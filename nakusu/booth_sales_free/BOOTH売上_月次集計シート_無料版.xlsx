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月次集計" sheetId="2" state="visible" r:id="rId2"/>
    <sheet xmlns:r="http://schemas.openxmlformats.org/officeDocument/2006/relationships" name="貼り付け" sheetId="3" state="visible" r:id="rId3"/>
    <sheet xmlns:r="http://schemas.openxmlformats.org/officeDocument/2006/relationships" name="計算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円&quot;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1F7A7A"/>
      <sz val="16"/>
    </font>
    <font>
      <color rgb="00666666"/>
      <sz val="10"/>
    </font>
    <font>
      <b val="1"/>
      <sz val="12"/>
    </font>
    <font>
      <b val="1"/>
    </font>
    <font>
      <b val="1"/>
      <color rgb="00FFFFFF"/>
    </font>
    <font>
      <color rgb="00666666"/>
      <sz val="9"/>
    </font>
    <font>
      <color rgb="001F7A7A"/>
      <sz val="9"/>
    </font>
  </fonts>
  <fills count="4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1F7A7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5" fillId="3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165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BOOTH売上CSVを貼るだけ 月次集計シート【無料版】</t>
        </is>
      </c>
    </row>
    <row r="2">
      <c r="A2" s="2" t="inlineStr">
        <is>
          <t>by 無駄尾なくす ― めんどくさいので、なくします。</t>
        </is>
      </c>
    </row>
    <row r="3">
      <c r="A3" s="3" t="inlineStr"/>
    </row>
    <row r="4">
      <c r="A4" s="4" t="inlineStr">
        <is>
          <t>■ できること</t>
        </is>
      </c>
    </row>
    <row r="5">
      <c r="A5" s="3" t="inlineStr">
        <is>
          <t>BOOTHの「売上管理CSV」を貼り付けるだけで、月ごとの 売上（小計）・送料・BOOTH手数料・受取金額 を自動で集計します。</t>
        </is>
      </c>
    </row>
    <row r="6">
      <c r="A6" s="3" t="inlineStr"/>
    </row>
    <row r="7">
      <c r="A7" s="4" t="inlineStr">
        <is>
          <t>■ 使い方（3ステップ）</t>
        </is>
      </c>
    </row>
    <row r="8">
      <c r="A8" s="3" t="inlineStr">
        <is>
          <t>1. BOOTHのショップ管理 →「売上管理」から、集計したい月の売上管理CSVをダウンロードする（1回につき最大31日分）。</t>
        </is>
      </c>
    </row>
    <row r="9">
      <c r="A9" s="3" t="inlineStr">
        <is>
          <t>2. CSVを開いて全体をコピーし、「貼り付け」シートのA1セルに貼る。2か月目以降は、前のデータの下の空いている行に、見出し行ごと貼ってOK。</t>
        </is>
      </c>
    </row>
    <row r="10">
      <c r="A10" s="3" t="inlineStr">
        <is>
          <t>3. 「月次集計」シートの年（B3セル）を選ぶ。月ごとの数字が自動で出ます。</t>
        </is>
      </c>
    </row>
    <row r="11">
      <c r="A11" s="3" t="inlineStr"/>
    </row>
    <row r="12">
      <c r="A12" s="4" t="inlineStr">
        <is>
          <t>■ うまく集計されないとき</t>
        </is>
      </c>
    </row>
    <row r="13">
      <c r="A13" s="3" t="inlineStr">
        <is>
          <t>「月次集計」シートの「読み取った列」に「見つかりません」と出ている場合、CSVの見出し名が想定と違います。お手数ですが購入ページのメッセージ機能などでお知らせください。</t>
        </is>
      </c>
    </row>
    <row r="14">
      <c r="A14" s="3" t="inlineStr">
        <is>
          <t>日付が文字列の形（例：2026/1/5）の場合も読み取りますが、うまくいかない場合はお知らせください。</t>
        </is>
      </c>
    </row>
    <row r="15">
      <c r="A15" s="3" t="inlineStr">
        <is>
          <t>貼り付けできるのは3,000行までです。</t>
        </is>
      </c>
    </row>
    <row r="16">
      <c r="A16" s="3" t="inlineStr"/>
    </row>
    <row r="17">
      <c r="A17" s="4" t="inlineStr">
        <is>
          <t>■ 動作環境</t>
        </is>
      </c>
    </row>
    <row r="18">
      <c r="A18" s="3" t="inlineStr">
        <is>
          <t>Googleスプレッドシート（推奨。Googleドライブにアップロードして「Googleスプレッドシートで開く」）／Microsoft Excel 2016以降。マクロ・GASは使っていません。</t>
        </is>
      </c>
    </row>
    <row r="19">
      <c r="A19" s="3" t="inlineStr"/>
    </row>
    <row r="20">
      <c r="A20" s="4" t="inlineStr">
        <is>
          <t>■ ご注意</t>
        </is>
      </c>
    </row>
    <row r="21">
      <c r="A21" s="3" t="inlineStr">
        <is>
          <t>このシートは売上の集計を手伝うものです。確定申告の内容や税務上の判断の正しさは保証しません。最終的な数字は、BOOTHの管理画面や入金記録と照らし合わせて確認してください。</t>
        </is>
      </c>
    </row>
    <row r="22">
      <c r="A22" s="3" t="inlineStr">
        <is>
          <t>データは、あなたのスプレッドシートの中だけで処理されます。外部には送信されません。</t>
        </is>
      </c>
    </row>
    <row r="23">
      <c r="A23" s="3" t="inlineStr"/>
    </row>
    <row r="24">
      <c r="A24" s="4" t="inlineStr">
        <is>
          <t>■ 有料版（準備中）</t>
        </is>
      </c>
    </row>
    <row r="25">
      <c r="A25" s="3" t="inlineStr">
        <is>
          <t>・BOOTH以外（note・FANBOX・Skeb など）の売上もまとめて年間集計</t>
        </is>
      </c>
    </row>
    <row r="26">
      <c r="A26" s="3" t="inlineStr">
        <is>
          <t>・経費の記録シートと、確定申告用の年間まとめ</t>
        </is>
      </c>
    </row>
    <row r="27">
      <c r="A27" s="3" t="inlineStr">
        <is>
          <t>・商品別の売上ランキング</t>
        </is>
      </c>
    </row>
    <row r="28">
      <c r="A28" s="3" t="inlineStr">
        <is>
          <t>欲しい方は、BOOTHでショップをフォローしておいてください。公開したらお知らせします。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7A7A"/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6" customWidth="1" min="3" max="3"/>
    <col width="12" customWidth="1" min="4" max="4"/>
    <col width="16" customWidth="1" min="5" max="5"/>
    <col width="16" customWidth="1" min="6" max="6"/>
  </cols>
  <sheetData>
    <row r="1">
      <c r="A1" s="5" t="inlineStr">
        <is>
          <t>BOOTH 月次集計</t>
        </is>
      </c>
    </row>
    <row r="3">
      <c r="A3" s="6" t="inlineStr">
        <is>
          <t>集計する年</t>
        </is>
      </c>
      <c r="B3" s="7" t="n">
        <v>2026</v>
      </c>
    </row>
    <row r="5">
      <c r="A5" s="8" t="inlineStr">
        <is>
          <t>月</t>
        </is>
      </c>
      <c r="B5" s="8" t="inlineStr">
        <is>
          <t>明細の行数</t>
        </is>
      </c>
      <c r="C5" s="8" t="inlineStr">
        <is>
          <t>売上（小計）</t>
        </is>
      </c>
      <c r="D5" s="8" t="inlineStr">
        <is>
          <t>送料</t>
        </is>
      </c>
      <c r="E5" s="8" t="inlineStr">
        <is>
          <t>BOOTH手数料</t>
        </is>
      </c>
      <c r="F5" s="8" t="inlineStr">
        <is>
          <t>受取金額</t>
        </is>
      </c>
    </row>
    <row r="6">
      <c r="A6" s="9" t="inlineStr">
        <is>
          <t>1月</t>
        </is>
      </c>
      <c r="B6" s="9">
        <f>COUNTIFS(計算!$G$3:$G$3002,$B$3,計算!$H$3:$H$3002,1)</f>
        <v/>
      </c>
      <c r="C6" s="10">
        <f>SUMIFS(計算!$C$3:$C$3002,計算!$G$3:$G$3002,$B$3,計算!$H$3:$H$3002,1)</f>
        <v/>
      </c>
      <c r="D6" s="10">
        <f>SUMIFS(計算!$D$3:$D$3002,計算!$G$3:$G$3002,$B$3,計算!$H$3:$H$3002,1)</f>
        <v/>
      </c>
      <c r="E6" s="10">
        <f>SUMIFS(計算!$E$3:$E$3002,計算!$G$3:$G$3002,$B$3,計算!$H$3:$H$3002,1)</f>
        <v/>
      </c>
      <c r="F6" s="10">
        <f>SUMIFS(計算!$F$3:$F$3002,計算!$G$3:$G$3002,$B$3,計算!$H$3:$H$3002,1)</f>
        <v/>
      </c>
    </row>
    <row r="7">
      <c r="A7" s="9" t="inlineStr">
        <is>
          <t>2月</t>
        </is>
      </c>
      <c r="B7" s="9">
        <f>COUNTIFS(計算!$G$3:$G$3002,$B$3,計算!$H$3:$H$3002,2)</f>
        <v/>
      </c>
      <c r="C7" s="10">
        <f>SUMIFS(計算!$C$3:$C$3002,計算!$G$3:$G$3002,$B$3,計算!$H$3:$H$3002,2)</f>
        <v/>
      </c>
      <c r="D7" s="10">
        <f>SUMIFS(計算!$D$3:$D$3002,計算!$G$3:$G$3002,$B$3,計算!$H$3:$H$3002,2)</f>
        <v/>
      </c>
      <c r="E7" s="10">
        <f>SUMIFS(計算!$E$3:$E$3002,計算!$G$3:$G$3002,$B$3,計算!$H$3:$H$3002,2)</f>
        <v/>
      </c>
      <c r="F7" s="10">
        <f>SUMIFS(計算!$F$3:$F$3002,計算!$G$3:$G$3002,$B$3,計算!$H$3:$H$3002,2)</f>
        <v/>
      </c>
    </row>
    <row r="8">
      <c r="A8" s="9" t="inlineStr">
        <is>
          <t>3月</t>
        </is>
      </c>
      <c r="B8" s="9">
        <f>COUNTIFS(計算!$G$3:$G$3002,$B$3,計算!$H$3:$H$3002,3)</f>
        <v/>
      </c>
      <c r="C8" s="10">
        <f>SUMIFS(計算!$C$3:$C$3002,計算!$G$3:$G$3002,$B$3,計算!$H$3:$H$3002,3)</f>
        <v/>
      </c>
      <c r="D8" s="10">
        <f>SUMIFS(計算!$D$3:$D$3002,計算!$G$3:$G$3002,$B$3,計算!$H$3:$H$3002,3)</f>
        <v/>
      </c>
      <c r="E8" s="10">
        <f>SUMIFS(計算!$E$3:$E$3002,計算!$G$3:$G$3002,$B$3,計算!$H$3:$H$3002,3)</f>
        <v/>
      </c>
      <c r="F8" s="10">
        <f>SUMIFS(計算!$F$3:$F$3002,計算!$G$3:$G$3002,$B$3,計算!$H$3:$H$3002,3)</f>
        <v/>
      </c>
    </row>
    <row r="9">
      <c r="A9" s="9" t="inlineStr">
        <is>
          <t>4月</t>
        </is>
      </c>
      <c r="B9" s="9">
        <f>COUNTIFS(計算!$G$3:$G$3002,$B$3,計算!$H$3:$H$3002,4)</f>
        <v/>
      </c>
      <c r="C9" s="10">
        <f>SUMIFS(計算!$C$3:$C$3002,計算!$G$3:$G$3002,$B$3,計算!$H$3:$H$3002,4)</f>
        <v/>
      </c>
      <c r="D9" s="10">
        <f>SUMIFS(計算!$D$3:$D$3002,計算!$G$3:$G$3002,$B$3,計算!$H$3:$H$3002,4)</f>
        <v/>
      </c>
      <c r="E9" s="10">
        <f>SUMIFS(計算!$E$3:$E$3002,計算!$G$3:$G$3002,$B$3,計算!$H$3:$H$3002,4)</f>
        <v/>
      </c>
      <c r="F9" s="10">
        <f>SUMIFS(計算!$F$3:$F$3002,計算!$G$3:$G$3002,$B$3,計算!$H$3:$H$3002,4)</f>
        <v/>
      </c>
    </row>
    <row r="10">
      <c r="A10" s="9" t="inlineStr">
        <is>
          <t>5月</t>
        </is>
      </c>
      <c r="B10" s="9">
        <f>COUNTIFS(計算!$G$3:$G$3002,$B$3,計算!$H$3:$H$3002,5)</f>
        <v/>
      </c>
      <c r="C10" s="10">
        <f>SUMIFS(計算!$C$3:$C$3002,計算!$G$3:$G$3002,$B$3,計算!$H$3:$H$3002,5)</f>
        <v/>
      </c>
      <c r="D10" s="10">
        <f>SUMIFS(計算!$D$3:$D$3002,計算!$G$3:$G$3002,$B$3,計算!$H$3:$H$3002,5)</f>
        <v/>
      </c>
      <c r="E10" s="10">
        <f>SUMIFS(計算!$E$3:$E$3002,計算!$G$3:$G$3002,$B$3,計算!$H$3:$H$3002,5)</f>
        <v/>
      </c>
      <c r="F10" s="10">
        <f>SUMIFS(計算!$F$3:$F$3002,計算!$G$3:$G$3002,$B$3,計算!$H$3:$H$3002,5)</f>
        <v/>
      </c>
    </row>
    <row r="11">
      <c r="A11" s="9" t="inlineStr">
        <is>
          <t>6月</t>
        </is>
      </c>
      <c r="B11" s="9">
        <f>COUNTIFS(計算!$G$3:$G$3002,$B$3,計算!$H$3:$H$3002,6)</f>
        <v/>
      </c>
      <c r="C11" s="10">
        <f>SUMIFS(計算!$C$3:$C$3002,計算!$G$3:$G$3002,$B$3,計算!$H$3:$H$3002,6)</f>
        <v/>
      </c>
      <c r="D11" s="10">
        <f>SUMIFS(計算!$D$3:$D$3002,計算!$G$3:$G$3002,$B$3,計算!$H$3:$H$3002,6)</f>
        <v/>
      </c>
      <c r="E11" s="10">
        <f>SUMIFS(計算!$E$3:$E$3002,計算!$G$3:$G$3002,$B$3,計算!$H$3:$H$3002,6)</f>
        <v/>
      </c>
      <c r="F11" s="10">
        <f>SUMIFS(計算!$F$3:$F$3002,計算!$G$3:$G$3002,$B$3,計算!$H$3:$H$3002,6)</f>
        <v/>
      </c>
    </row>
    <row r="12">
      <c r="A12" s="9" t="inlineStr">
        <is>
          <t>7月</t>
        </is>
      </c>
      <c r="B12" s="9">
        <f>COUNTIFS(計算!$G$3:$G$3002,$B$3,計算!$H$3:$H$3002,7)</f>
        <v/>
      </c>
      <c r="C12" s="10">
        <f>SUMIFS(計算!$C$3:$C$3002,計算!$G$3:$G$3002,$B$3,計算!$H$3:$H$3002,7)</f>
        <v/>
      </c>
      <c r="D12" s="10">
        <f>SUMIFS(計算!$D$3:$D$3002,計算!$G$3:$G$3002,$B$3,計算!$H$3:$H$3002,7)</f>
        <v/>
      </c>
      <c r="E12" s="10">
        <f>SUMIFS(計算!$E$3:$E$3002,計算!$G$3:$G$3002,$B$3,計算!$H$3:$H$3002,7)</f>
        <v/>
      </c>
      <c r="F12" s="10">
        <f>SUMIFS(計算!$F$3:$F$3002,計算!$G$3:$G$3002,$B$3,計算!$H$3:$H$3002,7)</f>
        <v/>
      </c>
    </row>
    <row r="13">
      <c r="A13" s="9" t="inlineStr">
        <is>
          <t>8月</t>
        </is>
      </c>
      <c r="B13" s="9">
        <f>COUNTIFS(計算!$G$3:$G$3002,$B$3,計算!$H$3:$H$3002,8)</f>
        <v/>
      </c>
      <c r="C13" s="10">
        <f>SUMIFS(計算!$C$3:$C$3002,計算!$G$3:$G$3002,$B$3,計算!$H$3:$H$3002,8)</f>
        <v/>
      </c>
      <c r="D13" s="10">
        <f>SUMIFS(計算!$D$3:$D$3002,計算!$G$3:$G$3002,$B$3,計算!$H$3:$H$3002,8)</f>
        <v/>
      </c>
      <c r="E13" s="10">
        <f>SUMIFS(計算!$E$3:$E$3002,計算!$G$3:$G$3002,$B$3,計算!$H$3:$H$3002,8)</f>
        <v/>
      </c>
      <c r="F13" s="10">
        <f>SUMIFS(計算!$F$3:$F$3002,計算!$G$3:$G$3002,$B$3,計算!$H$3:$H$3002,8)</f>
        <v/>
      </c>
    </row>
    <row r="14">
      <c r="A14" s="9" t="inlineStr">
        <is>
          <t>9月</t>
        </is>
      </c>
      <c r="B14" s="9">
        <f>COUNTIFS(計算!$G$3:$G$3002,$B$3,計算!$H$3:$H$3002,9)</f>
        <v/>
      </c>
      <c r="C14" s="10">
        <f>SUMIFS(計算!$C$3:$C$3002,計算!$G$3:$G$3002,$B$3,計算!$H$3:$H$3002,9)</f>
        <v/>
      </c>
      <c r="D14" s="10">
        <f>SUMIFS(計算!$D$3:$D$3002,計算!$G$3:$G$3002,$B$3,計算!$H$3:$H$3002,9)</f>
        <v/>
      </c>
      <c r="E14" s="10">
        <f>SUMIFS(計算!$E$3:$E$3002,計算!$G$3:$G$3002,$B$3,計算!$H$3:$H$3002,9)</f>
        <v/>
      </c>
      <c r="F14" s="10">
        <f>SUMIFS(計算!$F$3:$F$3002,計算!$G$3:$G$3002,$B$3,計算!$H$3:$H$3002,9)</f>
        <v/>
      </c>
    </row>
    <row r="15">
      <c r="A15" s="9" t="inlineStr">
        <is>
          <t>10月</t>
        </is>
      </c>
      <c r="B15" s="9">
        <f>COUNTIFS(計算!$G$3:$G$3002,$B$3,計算!$H$3:$H$3002,10)</f>
        <v/>
      </c>
      <c r="C15" s="10">
        <f>SUMIFS(計算!$C$3:$C$3002,計算!$G$3:$G$3002,$B$3,計算!$H$3:$H$3002,10)</f>
        <v/>
      </c>
      <c r="D15" s="10">
        <f>SUMIFS(計算!$D$3:$D$3002,計算!$G$3:$G$3002,$B$3,計算!$H$3:$H$3002,10)</f>
        <v/>
      </c>
      <c r="E15" s="10">
        <f>SUMIFS(計算!$E$3:$E$3002,計算!$G$3:$G$3002,$B$3,計算!$H$3:$H$3002,10)</f>
        <v/>
      </c>
      <c r="F15" s="10">
        <f>SUMIFS(計算!$F$3:$F$3002,計算!$G$3:$G$3002,$B$3,計算!$H$3:$H$3002,10)</f>
        <v/>
      </c>
    </row>
    <row r="16">
      <c r="A16" s="9" t="inlineStr">
        <is>
          <t>11月</t>
        </is>
      </c>
      <c r="B16" s="9">
        <f>COUNTIFS(計算!$G$3:$G$3002,$B$3,計算!$H$3:$H$3002,11)</f>
        <v/>
      </c>
      <c r="C16" s="10">
        <f>SUMIFS(計算!$C$3:$C$3002,計算!$G$3:$G$3002,$B$3,計算!$H$3:$H$3002,11)</f>
        <v/>
      </c>
      <c r="D16" s="10">
        <f>SUMIFS(計算!$D$3:$D$3002,計算!$G$3:$G$3002,$B$3,計算!$H$3:$H$3002,11)</f>
        <v/>
      </c>
      <c r="E16" s="10">
        <f>SUMIFS(計算!$E$3:$E$3002,計算!$G$3:$G$3002,$B$3,計算!$H$3:$H$3002,11)</f>
        <v/>
      </c>
      <c r="F16" s="10">
        <f>SUMIFS(計算!$F$3:$F$3002,計算!$G$3:$G$3002,$B$3,計算!$H$3:$H$3002,11)</f>
        <v/>
      </c>
    </row>
    <row r="17">
      <c r="A17" s="9" t="inlineStr">
        <is>
          <t>12月</t>
        </is>
      </c>
      <c r="B17" s="9">
        <f>COUNTIFS(計算!$G$3:$G$3002,$B$3,計算!$H$3:$H$3002,12)</f>
        <v/>
      </c>
      <c r="C17" s="10">
        <f>SUMIFS(計算!$C$3:$C$3002,計算!$G$3:$G$3002,$B$3,計算!$H$3:$H$3002,12)</f>
        <v/>
      </c>
      <c r="D17" s="10">
        <f>SUMIFS(計算!$D$3:$D$3002,計算!$G$3:$G$3002,$B$3,計算!$H$3:$H$3002,12)</f>
        <v/>
      </c>
      <c r="E17" s="10">
        <f>SUMIFS(計算!$E$3:$E$3002,計算!$G$3:$G$3002,$B$3,計算!$H$3:$H$3002,12)</f>
        <v/>
      </c>
      <c r="F17" s="10">
        <f>SUMIFS(計算!$F$3:$F$3002,計算!$G$3:$G$3002,$B$3,計算!$H$3:$H$3002,12)</f>
        <v/>
      </c>
    </row>
    <row r="18">
      <c r="A18" s="11" t="inlineStr">
        <is>
          <t>年間合計</t>
        </is>
      </c>
      <c r="B18" s="11">
        <f>SUM(B6:B17)</f>
        <v/>
      </c>
      <c r="C18" s="12">
        <f>SUM(C6:C17)</f>
        <v/>
      </c>
      <c r="D18" s="12">
        <f>SUM(D6:D17)</f>
        <v/>
      </c>
      <c r="E18" s="12">
        <f>SUM(E6:E17)</f>
        <v/>
      </c>
      <c r="F18" s="12">
        <f>SUM(F6:F17)</f>
        <v/>
      </c>
    </row>
    <row r="20">
      <c r="A20" t="inlineStr">
        <is>
          <t>手数料の割合（手数料÷売上）</t>
        </is>
      </c>
      <c r="C20" s="13">
        <f>IF(C18=0,"",E18/C18)</f>
        <v/>
      </c>
    </row>
    <row r="22">
      <c r="A22" s="6" t="inlineStr">
        <is>
          <t>読み取った列（「見つかりません」がないか確認）</t>
        </is>
      </c>
    </row>
    <row r="23">
      <c r="A23" t="inlineStr">
        <is>
          <t>日時</t>
        </is>
      </c>
      <c r="B23">
        <f>IF(計算!B1=0,"見つかりません",INDEX(貼り付け!$A$1:$BZ$1,1,計算!B1))</f>
        <v/>
      </c>
    </row>
    <row r="24">
      <c r="A24" t="inlineStr">
        <is>
          <t>小計</t>
        </is>
      </c>
      <c r="B24">
        <f>IF(計算!C1=0,"見つかりません",INDEX(貼り付け!$A$1:$BZ$1,1,計算!C1))</f>
        <v/>
      </c>
    </row>
    <row r="25">
      <c r="A25" t="inlineStr">
        <is>
          <t>送料</t>
        </is>
      </c>
      <c r="B25">
        <f>IF(計算!D1=0,"見つかりません",INDEX(貼り付け!$A$1:$BZ$1,1,計算!D1))</f>
        <v/>
      </c>
    </row>
    <row r="26">
      <c r="A26" t="inlineStr">
        <is>
          <t>手数料</t>
        </is>
      </c>
      <c r="B26">
        <f>IF(計算!E1=0,"見つかりません",INDEX(貼り付け!$A$1:$BZ$1,1,計算!E1))</f>
        <v/>
      </c>
    </row>
    <row r="27">
      <c r="A27" t="inlineStr">
        <is>
          <t>受取金額</t>
        </is>
      </c>
      <c r="B27">
        <f>IF(計算!F1=0,"見つかりません",INDEX(貼り付け!$A$1:$BZ$1,1,計算!F1))</f>
        <v/>
      </c>
    </row>
    <row r="29">
      <c r="A29" s="14" t="inlineStr">
        <is>
          <t>※ 確定申告の内容の正しさは保証しません。BOOTHの管理画面・入金記録と照らし合わせて確認してください。</t>
        </is>
      </c>
    </row>
    <row r="30">
      <c r="A30" s="15" t="inlineStr">
        <is>
          <t>有料版（準備中）：note・FANBOX・Skebなどの売上の年間まとめ、経費シート、商品別ランキング</t>
        </is>
      </c>
    </row>
  </sheetData>
  <dataValidations count="1">
    <dataValidation sqref="B3" showDropDown="0" showInputMessage="0" showErrorMessage="0" allowBlank="0" type="list">
      <formula1>"2024,2025,2026,2027,2028"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2C94C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列番号</t>
        </is>
      </c>
      <c r="B1">
        <f>IFERROR(MATCH("*注文日時*",貼り付け!$A$1:$BZ$1,0),0)</f>
        <v/>
      </c>
      <c r="C1">
        <f>IFERROR(MATCH("*小計*",貼り付け!$A$1:$BZ$1,0),0)</f>
        <v/>
      </c>
      <c r="D1">
        <f>IFERROR(MATCH("*送料*",貼り付け!$A$1:$BZ$1,0),0)</f>
        <v/>
      </c>
      <c r="E1">
        <f>IFERROR(MATCH("*手数料*",貼り付け!$A$1:$BZ$1,0),0)</f>
        <v/>
      </c>
      <c r="F1">
        <f>IFERROR(MATCH("*受取*",貼り付け!$A$1:$BZ$1,0),0)</f>
        <v/>
      </c>
    </row>
    <row r="2">
      <c r="B2" t="inlineStr">
        <is>
          <t>日時</t>
        </is>
      </c>
      <c r="C2" t="inlineStr">
        <is>
          <t>小計</t>
        </is>
      </c>
      <c r="D2" t="inlineStr">
        <is>
          <t>送料</t>
        </is>
      </c>
      <c r="E2" t="inlineStr">
        <is>
          <t>手数料</t>
        </is>
      </c>
      <c r="F2" t="inlineStr">
        <is>
          <t>受取金額</t>
        </is>
      </c>
      <c r="G2" t="inlineStr">
        <is>
          <t>年</t>
        </is>
      </c>
      <c r="H2" t="inlineStr">
        <is>
          <t>月</t>
        </is>
      </c>
    </row>
    <row r="3">
      <c r="B3">
        <f>IFERROR(IF($B$1=0,"",IF(INDEX(貼り付け!$A$1:$BZ$3001,2,$B$1)="","",IF(ISNUMBER(INDEX(貼り付け!$A$1:$BZ$3001,2,$B$1)),INT(INDEX(貼り付け!$A$1:$BZ$3001,2,$B$1)),DATE(VALUE(LEFT(I3,FIND("-",I3)-1)),VALUE(LEFT(J3,FIND("-",J3)-1)),VALUE(MID(J3,FIND("-",J3)+1,99)))))),"")</f>
        <v/>
      </c>
      <c r="C3">
        <f>IF($C$1=0,0,IFERROR(VALUE(SUBSTITUTE(SUBSTITUTE(SUBSTITUTE(INDEX(貼り付け!$A$1:$BZ$3001,2,$C$1)&amp;"",",",""),"¥",""),"￥","")),0))</f>
        <v/>
      </c>
      <c r="D3">
        <f>IF($D$1=0,0,IFERROR(VALUE(SUBSTITUTE(SUBSTITUTE(SUBSTITUTE(INDEX(貼り付け!$A$1:$BZ$3001,2,$D$1)&amp;"",",",""),"¥",""),"￥","")),0))</f>
        <v/>
      </c>
      <c r="E3">
        <f>IF($E$1=0,0,IFERROR(VALUE(SUBSTITUTE(SUBSTITUTE(SUBSTITUTE(INDEX(貼り付け!$A$1:$BZ$3001,2,$E$1)&amp;"",",",""),"¥",""),"￥","")),0))</f>
        <v/>
      </c>
      <c r="F3">
        <f>IF($F$1=0,0,IFERROR(VALUE(SUBSTITUTE(SUBSTITUTE(SUBSTITUTE(INDEX(貼り付け!$A$1:$BZ$3001,2,$F$1)&amp;"",",",""),"¥",""),"￥","")),0))</f>
        <v/>
      </c>
      <c r="G3">
        <f>IF(ISNUMBER(B3),YEAR(B3),"")</f>
        <v/>
      </c>
      <c r="H3">
        <f>IF(ISNUMBER(B3),MONTH(B3),"")</f>
        <v/>
      </c>
      <c r="I3">
        <f>IFERROR(IF($B$1=0,"",IF(ISNUMBER(INDEX(貼り付け!$A$1:$BZ$3001,2,$B$1)),"",SUBSTITUTE(SUBSTITUTE(SUBSTITUTE(SUBSTITUTE(TRIM(LEFT(INDEX(貼り付け!$A$1:$BZ$3001,2,$B$1)&amp;"",FIND(" ",TRIM(INDEX(貼り付け!$A$1:$BZ$3001,2,$B$1)&amp;"")&amp;" ")-1)),"/","-"),"年","-"),"月","-"),"日",""))),"")</f>
        <v/>
      </c>
      <c r="J3">
        <f>IFERROR(MID(I3,FIND("-",I3)+1,99),"")</f>
        <v/>
      </c>
    </row>
    <row r="4">
      <c r="B4">
        <f>IFERROR(IF($B$1=0,"",IF(INDEX(貼り付け!$A$1:$BZ$3001,3,$B$1)="","",IF(ISNUMBER(INDEX(貼り付け!$A$1:$BZ$3001,3,$B$1)),INT(INDEX(貼り付け!$A$1:$BZ$3001,3,$B$1)),DATE(VALUE(LEFT(I4,FIND("-",I4)-1)),VALUE(LEFT(J4,FIND("-",J4)-1)),VALUE(MID(J4,FIND("-",J4)+1,99)))))),"")</f>
        <v/>
      </c>
      <c r="C4">
        <f>IF($C$1=0,0,IFERROR(VALUE(SUBSTITUTE(SUBSTITUTE(SUBSTITUTE(INDEX(貼り付け!$A$1:$BZ$3001,3,$C$1)&amp;"",",",""),"¥",""),"￥","")),0))</f>
        <v/>
      </c>
      <c r="D4">
        <f>IF($D$1=0,0,IFERROR(VALUE(SUBSTITUTE(SUBSTITUTE(SUBSTITUTE(INDEX(貼り付け!$A$1:$BZ$3001,3,$D$1)&amp;"",",",""),"¥",""),"￥","")),0))</f>
        <v/>
      </c>
      <c r="E4">
        <f>IF($E$1=0,0,IFERROR(VALUE(SUBSTITUTE(SUBSTITUTE(SUBSTITUTE(INDEX(貼り付け!$A$1:$BZ$3001,3,$E$1)&amp;"",",",""),"¥",""),"￥","")),0))</f>
        <v/>
      </c>
      <c r="F4">
        <f>IF($F$1=0,0,IFERROR(VALUE(SUBSTITUTE(SUBSTITUTE(SUBSTITUTE(INDEX(貼り付け!$A$1:$BZ$3001,3,$F$1)&amp;"",",",""),"¥",""),"￥","")),0))</f>
        <v/>
      </c>
      <c r="G4">
        <f>IF(ISNUMBER(B4),YEAR(B4),"")</f>
        <v/>
      </c>
      <c r="H4">
        <f>IF(ISNUMBER(B4),MONTH(B4),"")</f>
        <v/>
      </c>
      <c r="I4">
        <f>IFERROR(IF($B$1=0,"",IF(ISNUMBER(INDEX(貼り付け!$A$1:$BZ$3001,3,$B$1)),"",SUBSTITUTE(SUBSTITUTE(SUBSTITUTE(SUBSTITUTE(TRIM(LEFT(INDEX(貼り付け!$A$1:$BZ$3001,3,$B$1)&amp;"",FIND(" ",TRIM(INDEX(貼り付け!$A$1:$BZ$3001,3,$B$1)&amp;"")&amp;" ")-1)),"/","-"),"年","-"),"月","-"),"日",""))),"")</f>
        <v/>
      </c>
      <c r="J4">
        <f>IFERROR(MID(I4,FIND("-",I4)+1,99),"")</f>
        <v/>
      </c>
    </row>
    <row r="5">
      <c r="B5">
        <f>IFERROR(IF($B$1=0,"",IF(INDEX(貼り付け!$A$1:$BZ$3001,4,$B$1)="","",IF(ISNUMBER(INDEX(貼り付け!$A$1:$BZ$3001,4,$B$1)),INT(INDEX(貼り付け!$A$1:$BZ$3001,4,$B$1)),DATE(VALUE(LEFT(I5,FIND("-",I5)-1)),VALUE(LEFT(J5,FIND("-",J5)-1)),VALUE(MID(J5,FIND("-",J5)+1,99)))))),"")</f>
        <v/>
      </c>
      <c r="C5">
        <f>IF($C$1=0,0,IFERROR(VALUE(SUBSTITUTE(SUBSTITUTE(SUBSTITUTE(INDEX(貼り付け!$A$1:$BZ$3001,4,$C$1)&amp;"",",",""),"¥",""),"￥","")),0))</f>
        <v/>
      </c>
      <c r="D5">
        <f>IF($D$1=0,0,IFERROR(VALUE(SUBSTITUTE(SUBSTITUTE(SUBSTITUTE(INDEX(貼り付け!$A$1:$BZ$3001,4,$D$1)&amp;"",",",""),"¥",""),"￥","")),0))</f>
        <v/>
      </c>
      <c r="E5">
        <f>IF($E$1=0,0,IFERROR(VALUE(SUBSTITUTE(SUBSTITUTE(SUBSTITUTE(INDEX(貼り付け!$A$1:$BZ$3001,4,$E$1)&amp;"",",",""),"¥",""),"￥","")),0))</f>
        <v/>
      </c>
      <c r="F5">
        <f>IF($F$1=0,0,IFERROR(VALUE(SUBSTITUTE(SUBSTITUTE(SUBSTITUTE(INDEX(貼り付け!$A$1:$BZ$3001,4,$F$1)&amp;"",",",""),"¥",""),"￥","")),0))</f>
        <v/>
      </c>
      <c r="G5">
        <f>IF(ISNUMBER(B5),YEAR(B5),"")</f>
        <v/>
      </c>
      <c r="H5">
        <f>IF(ISNUMBER(B5),MONTH(B5),"")</f>
        <v/>
      </c>
      <c r="I5">
        <f>IFERROR(IF($B$1=0,"",IF(ISNUMBER(INDEX(貼り付け!$A$1:$BZ$3001,4,$B$1)),"",SUBSTITUTE(SUBSTITUTE(SUBSTITUTE(SUBSTITUTE(TRIM(LEFT(INDEX(貼り付け!$A$1:$BZ$3001,4,$B$1)&amp;"",FIND(" ",TRIM(INDEX(貼り付け!$A$1:$BZ$3001,4,$B$1)&amp;"")&amp;" ")-1)),"/","-"),"年","-"),"月","-"),"日",""))),"")</f>
        <v/>
      </c>
      <c r="J5">
        <f>IFERROR(MID(I5,FIND("-",I5)+1,99),"")</f>
        <v/>
      </c>
    </row>
    <row r="6">
      <c r="B6">
        <f>IFERROR(IF($B$1=0,"",IF(INDEX(貼り付け!$A$1:$BZ$3001,5,$B$1)="","",IF(ISNUMBER(INDEX(貼り付け!$A$1:$BZ$3001,5,$B$1)),INT(INDEX(貼り付け!$A$1:$BZ$3001,5,$B$1)),DATE(VALUE(LEFT(I6,FIND("-",I6)-1)),VALUE(LEFT(J6,FIND("-",J6)-1)),VALUE(MID(J6,FIND("-",J6)+1,99)))))),"")</f>
        <v/>
      </c>
      <c r="C6">
        <f>IF($C$1=0,0,IFERROR(VALUE(SUBSTITUTE(SUBSTITUTE(SUBSTITUTE(INDEX(貼り付け!$A$1:$BZ$3001,5,$C$1)&amp;"",",",""),"¥",""),"￥","")),0))</f>
        <v/>
      </c>
      <c r="D6">
        <f>IF($D$1=0,0,IFERROR(VALUE(SUBSTITUTE(SUBSTITUTE(SUBSTITUTE(INDEX(貼り付け!$A$1:$BZ$3001,5,$D$1)&amp;"",",",""),"¥",""),"￥","")),0))</f>
        <v/>
      </c>
      <c r="E6">
        <f>IF($E$1=0,0,IFERROR(VALUE(SUBSTITUTE(SUBSTITUTE(SUBSTITUTE(INDEX(貼り付け!$A$1:$BZ$3001,5,$E$1)&amp;"",",",""),"¥",""),"￥","")),0))</f>
        <v/>
      </c>
      <c r="F6">
        <f>IF($F$1=0,0,IFERROR(VALUE(SUBSTITUTE(SUBSTITUTE(SUBSTITUTE(INDEX(貼り付け!$A$1:$BZ$3001,5,$F$1)&amp;"",",",""),"¥",""),"￥","")),0))</f>
        <v/>
      </c>
      <c r="G6">
        <f>IF(ISNUMBER(B6),YEAR(B6),"")</f>
        <v/>
      </c>
      <c r="H6">
        <f>IF(ISNUMBER(B6),MONTH(B6),"")</f>
        <v/>
      </c>
      <c r="I6">
        <f>IFERROR(IF($B$1=0,"",IF(ISNUMBER(INDEX(貼り付け!$A$1:$BZ$3001,5,$B$1)),"",SUBSTITUTE(SUBSTITUTE(SUBSTITUTE(SUBSTITUTE(TRIM(LEFT(INDEX(貼り付け!$A$1:$BZ$3001,5,$B$1)&amp;"",FIND(" ",TRIM(INDEX(貼り付け!$A$1:$BZ$3001,5,$B$1)&amp;"")&amp;" ")-1)),"/","-"),"年","-"),"月","-"),"日",""))),"")</f>
        <v/>
      </c>
      <c r="J6">
        <f>IFERROR(MID(I6,FIND("-",I6)+1,99),"")</f>
        <v/>
      </c>
    </row>
    <row r="7">
      <c r="B7">
        <f>IFERROR(IF($B$1=0,"",IF(INDEX(貼り付け!$A$1:$BZ$3001,6,$B$1)="","",IF(ISNUMBER(INDEX(貼り付け!$A$1:$BZ$3001,6,$B$1)),INT(INDEX(貼り付け!$A$1:$BZ$3001,6,$B$1)),DATE(VALUE(LEFT(I7,FIND("-",I7)-1)),VALUE(LEFT(J7,FIND("-",J7)-1)),VALUE(MID(J7,FIND("-",J7)+1,99)))))),"")</f>
        <v/>
      </c>
      <c r="C7">
        <f>IF($C$1=0,0,IFERROR(VALUE(SUBSTITUTE(SUBSTITUTE(SUBSTITUTE(INDEX(貼り付け!$A$1:$BZ$3001,6,$C$1)&amp;"",",",""),"¥",""),"￥","")),0))</f>
        <v/>
      </c>
      <c r="D7">
        <f>IF($D$1=0,0,IFERROR(VALUE(SUBSTITUTE(SUBSTITUTE(SUBSTITUTE(INDEX(貼り付け!$A$1:$BZ$3001,6,$D$1)&amp;"",",",""),"¥",""),"￥","")),0))</f>
        <v/>
      </c>
      <c r="E7">
        <f>IF($E$1=0,0,IFERROR(VALUE(SUBSTITUTE(SUBSTITUTE(SUBSTITUTE(INDEX(貼り付け!$A$1:$BZ$3001,6,$E$1)&amp;"",",",""),"¥",""),"￥","")),0))</f>
        <v/>
      </c>
      <c r="F7">
        <f>IF($F$1=0,0,IFERROR(VALUE(SUBSTITUTE(SUBSTITUTE(SUBSTITUTE(INDEX(貼り付け!$A$1:$BZ$3001,6,$F$1)&amp;"",",",""),"¥",""),"￥","")),0))</f>
        <v/>
      </c>
      <c r="G7">
        <f>IF(ISNUMBER(B7),YEAR(B7),"")</f>
        <v/>
      </c>
      <c r="H7">
        <f>IF(ISNUMBER(B7),MONTH(B7),"")</f>
        <v/>
      </c>
      <c r="I7">
        <f>IFERROR(IF($B$1=0,"",IF(ISNUMBER(INDEX(貼り付け!$A$1:$BZ$3001,6,$B$1)),"",SUBSTITUTE(SUBSTITUTE(SUBSTITUTE(SUBSTITUTE(TRIM(LEFT(INDEX(貼り付け!$A$1:$BZ$3001,6,$B$1)&amp;"",FIND(" ",TRIM(INDEX(貼り付け!$A$1:$BZ$3001,6,$B$1)&amp;"")&amp;" ")-1)),"/","-"),"年","-"),"月","-"),"日",""))),"")</f>
        <v/>
      </c>
      <c r="J7">
        <f>IFERROR(MID(I7,FIND("-",I7)+1,99),"")</f>
        <v/>
      </c>
    </row>
    <row r="8">
      <c r="B8">
        <f>IFERROR(IF($B$1=0,"",IF(INDEX(貼り付け!$A$1:$BZ$3001,7,$B$1)="","",IF(ISNUMBER(INDEX(貼り付け!$A$1:$BZ$3001,7,$B$1)),INT(INDEX(貼り付け!$A$1:$BZ$3001,7,$B$1)),DATE(VALUE(LEFT(I8,FIND("-",I8)-1)),VALUE(LEFT(J8,FIND("-",J8)-1)),VALUE(MID(J8,FIND("-",J8)+1,99)))))),"")</f>
        <v/>
      </c>
      <c r="C8">
        <f>IF($C$1=0,0,IFERROR(VALUE(SUBSTITUTE(SUBSTITUTE(SUBSTITUTE(INDEX(貼り付け!$A$1:$BZ$3001,7,$C$1)&amp;"",",",""),"¥",""),"￥","")),0))</f>
        <v/>
      </c>
      <c r="D8">
        <f>IF($D$1=0,0,IFERROR(VALUE(SUBSTITUTE(SUBSTITUTE(SUBSTITUTE(INDEX(貼り付け!$A$1:$BZ$3001,7,$D$1)&amp;"",",",""),"¥",""),"￥","")),0))</f>
        <v/>
      </c>
      <c r="E8">
        <f>IF($E$1=0,0,IFERROR(VALUE(SUBSTITUTE(SUBSTITUTE(SUBSTITUTE(INDEX(貼り付け!$A$1:$BZ$3001,7,$E$1)&amp;"",",",""),"¥",""),"￥","")),0))</f>
        <v/>
      </c>
      <c r="F8">
        <f>IF($F$1=0,0,IFERROR(VALUE(SUBSTITUTE(SUBSTITUTE(SUBSTITUTE(INDEX(貼り付け!$A$1:$BZ$3001,7,$F$1)&amp;"",",",""),"¥",""),"￥","")),0))</f>
        <v/>
      </c>
      <c r="G8">
        <f>IF(ISNUMBER(B8),YEAR(B8),"")</f>
        <v/>
      </c>
      <c r="H8">
        <f>IF(ISNUMBER(B8),MONTH(B8),"")</f>
        <v/>
      </c>
      <c r="I8">
        <f>IFERROR(IF($B$1=0,"",IF(ISNUMBER(INDEX(貼り付け!$A$1:$BZ$3001,7,$B$1)),"",SUBSTITUTE(SUBSTITUTE(SUBSTITUTE(SUBSTITUTE(TRIM(LEFT(INDEX(貼り付け!$A$1:$BZ$3001,7,$B$1)&amp;"",FIND(" ",TRIM(INDEX(貼り付け!$A$1:$BZ$3001,7,$B$1)&amp;"")&amp;" ")-1)),"/","-"),"年","-"),"月","-"),"日",""))),"")</f>
        <v/>
      </c>
      <c r="J8">
        <f>IFERROR(MID(I8,FIND("-",I8)+1,99),"")</f>
        <v/>
      </c>
    </row>
    <row r="9">
      <c r="B9">
        <f>IFERROR(IF($B$1=0,"",IF(INDEX(貼り付け!$A$1:$BZ$3001,8,$B$1)="","",IF(ISNUMBER(INDEX(貼り付け!$A$1:$BZ$3001,8,$B$1)),INT(INDEX(貼り付け!$A$1:$BZ$3001,8,$B$1)),DATE(VALUE(LEFT(I9,FIND("-",I9)-1)),VALUE(LEFT(J9,FIND("-",J9)-1)),VALUE(MID(J9,FIND("-",J9)+1,99)))))),"")</f>
        <v/>
      </c>
      <c r="C9">
        <f>IF($C$1=0,0,IFERROR(VALUE(SUBSTITUTE(SUBSTITUTE(SUBSTITUTE(INDEX(貼り付け!$A$1:$BZ$3001,8,$C$1)&amp;"",",",""),"¥",""),"￥","")),0))</f>
        <v/>
      </c>
      <c r="D9">
        <f>IF($D$1=0,0,IFERROR(VALUE(SUBSTITUTE(SUBSTITUTE(SUBSTITUTE(INDEX(貼り付け!$A$1:$BZ$3001,8,$D$1)&amp;"",",",""),"¥",""),"￥","")),0))</f>
        <v/>
      </c>
      <c r="E9">
        <f>IF($E$1=0,0,IFERROR(VALUE(SUBSTITUTE(SUBSTITUTE(SUBSTITUTE(INDEX(貼り付け!$A$1:$BZ$3001,8,$E$1)&amp;"",",",""),"¥",""),"￥","")),0))</f>
        <v/>
      </c>
      <c r="F9">
        <f>IF($F$1=0,0,IFERROR(VALUE(SUBSTITUTE(SUBSTITUTE(SUBSTITUTE(INDEX(貼り付け!$A$1:$BZ$3001,8,$F$1)&amp;"",",",""),"¥",""),"￥","")),0))</f>
        <v/>
      </c>
      <c r="G9">
        <f>IF(ISNUMBER(B9),YEAR(B9),"")</f>
        <v/>
      </c>
      <c r="H9">
        <f>IF(ISNUMBER(B9),MONTH(B9),"")</f>
        <v/>
      </c>
      <c r="I9">
        <f>IFERROR(IF($B$1=0,"",IF(ISNUMBER(INDEX(貼り付け!$A$1:$BZ$3001,8,$B$1)),"",SUBSTITUTE(SUBSTITUTE(SUBSTITUTE(SUBSTITUTE(TRIM(LEFT(INDEX(貼り付け!$A$1:$BZ$3001,8,$B$1)&amp;"",FIND(" ",TRIM(INDEX(貼り付け!$A$1:$BZ$3001,8,$B$1)&amp;"")&amp;" ")-1)),"/","-"),"年","-"),"月","-"),"日",""))),"")</f>
        <v/>
      </c>
      <c r="J9">
        <f>IFERROR(MID(I9,FIND("-",I9)+1,99),"")</f>
        <v/>
      </c>
    </row>
    <row r="10">
      <c r="B10">
        <f>IFERROR(IF($B$1=0,"",IF(INDEX(貼り付け!$A$1:$BZ$3001,9,$B$1)="","",IF(ISNUMBER(INDEX(貼り付け!$A$1:$BZ$3001,9,$B$1)),INT(INDEX(貼り付け!$A$1:$BZ$3001,9,$B$1)),DATE(VALUE(LEFT(I10,FIND("-",I10)-1)),VALUE(LEFT(J10,FIND("-",J10)-1)),VALUE(MID(J10,FIND("-",J10)+1,99)))))),"")</f>
        <v/>
      </c>
      <c r="C10">
        <f>IF($C$1=0,0,IFERROR(VALUE(SUBSTITUTE(SUBSTITUTE(SUBSTITUTE(INDEX(貼り付け!$A$1:$BZ$3001,9,$C$1)&amp;"",",",""),"¥",""),"￥","")),0))</f>
        <v/>
      </c>
      <c r="D10">
        <f>IF($D$1=0,0,IFERROR(VALUE(SUBSTITUTE(SUBSTITUTE(SUBSTITUTE(INDEX(貼り付け!$A$1:$BZ$3001,9,$D$1)&amp;"",",",""),"¥",""),"￥","")),0))</f>
        <v/>
      </c>
      <c r="E10">
        <f>IF($E$1=0,0,IFERROR(VALUE(SUBSTITUTE(SUBSTITUTE(SUBSTITUTE(INDEX(貼り付け!$A$1:$BZ$3001,9,$E$1)&amp;"",",",""),"¥",""),"￥","")),0))</f>
        <v/>
      </c>
      <c r="F10">
        <f>IF($F$1=0,0,IFERROR(VALUE(SUBSTITUTE(SUBSTITUTE(SUBSTITUTE(INDEX(貼り付け!$A$1:$BZ$3001,9,$F$1)&amp;"",",",""),"¥",""),"￥","")),0))</f>
        <v/>
      </c>
      <c r="G10">
        <f>IF(ISNUMBER(B10),YEAR(B10),"")</f>
        <v/>
      </c>
      <c r="H10">
        <f>IF(ISNUMBER(B10),MONTH(B10),"")</f>
        <v/>
      </c>
      <c r="I10">
        <f>IFERROR(IF($B$1=0,"",IF(ISNUMBER(INDEX(貼り付け!$A$1:$BZ$3001,9,$B$1)),"",SUBSTITUTE(SUBSTITUTE(SUBSTITUTE(SUBSTITUTE(TRIM(LEFT(INDEX(貼り付け!$A$1:$BZ$3001,9,$B$1)&amp;"",FIND(" ",TRIM(INDEX(貼り付け!$A$1:$BZ$3001,9,$B$1)&amp;"")&amp;" ")-1)),"/","-"),"年","-"),"月","-"),"日",""))),"")</f>
        <v/>
      </c>
      <c r="J10">
        <f>IFERROR(MID(I10,FIND("-",I10)+1,99),"")</f>
        <v/>
      </c>
    </row>
    <row r="11">
      <c r="B11">
        <f>IFERROR(IF($B$1=0,"",IF(INDEX(貼り付け!$A$1:$BZ$3001,10,$B$1)="","",IF(ISNUMBER(INDEX(貼り付け!$A$1:$BZ$3001,10,$B$1)),INT(INDEX(貼り付け!$A$1:$BZ$3001,10,$B$1)),DATE(VALUE(LEFT(I11,FIND("-",I11)-1)),VALUE(LEFT(J11,FIND("-",J11)-1)),VALUE(MID(J11,FIND("-",J11)+1,99)))))),"")</f>
        <v/>
      </c>
      <c r="C11">
        <f>IF($C$1=0,0,IFERROR(VALUE(SUBSTITUTE(SUBSTITUTE(SUBSTITUTE(INDEX(貼り付け!$A$1:$BZ$3001,10,$C$1)&amp;"",",",""),"¥",""),"￥","")),0))</f>
        <v/>
      </c>
      <c r="D11">
        <f>IF($D$1=0,0,IFERROR(VALUE(SUBSTITUTE(SUBSTITUTE(SUBSTITUTE(INDEX(貼り付け!$A$1:$BZ$3001,10,$D$1)&amp;"",",",""),"¥",""),"￥","")),0))</f>
        <v/>
      </c>
      <c r="E11">
        <f>IF($E$1=0,0,IFERROR(VALUE(SUBSTITUTE(SUBSTITUTE(SUBSTITUTE(INDEX(貼り付け!$A$1:$BZ$3001,10,$E$1)&amp;"",",",""),"¥",""),"￥","")),0))</f>
        <v/>
      </c>
      <c r="F11">
        <f>IF($F$1=0,0,IFERROR(VALUE(SUBSTITUTE(SUBSTITUTE(SUBSTITUTE(INDEX(貼り付け!$A$1:$BZ$3001,10,$F$1)&amp;"",",",""),"¥",""),"￥","")),0))</f>
        <v/>
      </c>
      <c r="G11">
        <f>IF(ISNUMBER(B11),YEAR(B11),"")</f>
        <v/>
      </c>
      <c r="H11">
        <f>IF(ISNUMBER(B11),MONTH(B11),"")</f>
        <v/>
      </c>
      <c r="I11">
        <f>IFERROR(IF($B$1=0,"",IF(ISNUMBER(INDEX(貼り付け!$A$1:$BZ$3001,10,$B$1)),"",SUBSTITUTE(SUBSTITUTE(SUBSTITUTE(SUBSTITUTE(TRIM(LEFT(INDEX(貼り付け!$A$1:$BZ$3001,10,$B$1)&amp;"",FIND(" ",TRIM(INDEX(貼り付け!$A$1:$BZ$3001,10,$B$1)&amp;"")&amp;" ")-1)),"/","-"),"年","-"),"月","-"),"日",""))),"")</f>
        <v/>
      </c>
      <c r="J11">
        <f>IFERROR(MID(I11,FIND("-",I11)+1,99),"")</f>
        <v/>
      </c>
    </row>
    <row r="12">
      <c r="B12">
        <f>IFERROR(IF($B$1=0,"",IF(INDEX(貼り付け!$A$1:$BZ$3001,11,$B$1)="","",IF(ISNUMBER(INDEX(貼り付け!$A$1:$BZ$3001,11,$B$1)),INT(INDEX(貼り付け!$A$1:$BZ$3001,11,$B$1)),DATE(VALUE(LEFT(I12,FIND("-",I12)-1)),VALUE(LEFT(J12,FIND("-",J12)-1)),VALUE(MID(J12,FIND("-",J12)+1,99)))))),"")</f>
        <v/>
      </c>
      <c r="C12">
        <f>IF($C$1=0,0,IFERROR(VALUE(SUBSTITUTE(SUBSTITUTE(SUBSTITUTE(INDEX(貼り付け!$A$1:$BZ$3001,11,$C$1)&amp;"",",",""),"¥",""),"￥","")),0))</f>
        <v/>
      </c>
      <c r="D12">
        <f>IF($D$1=0,0,IFERROR(VALUE(SUBSTITUTE(SUBSTITUTE(SUBSTITUTE(INDEX(貼り付け!$A$1:$BZ$3001,11,$D$1)&amp;"",",",""),"¥",""),"￥","")),0))</f>
        <v/>
      </c>
      <c r="E12">
        <f>IF($E$1=0,0,IFERROR(VALUE(SUBSTITUTE(SUBSTITUTE(SUBSTITUTE(INDEX(貼り付け!$A$1:$BZ$3001,11,$E$1)&amp;"",",",""),"¥",""),"￥","")),0))</f>
        <v/>
      </c>
      <c r="F12">
        <f>IF($F$1=0,0,IFERROR(VALUE(SUBSTITUTE(SUBSTITUTE(SUBSTITUTE(INDEX(貼り付け!$A$1:$BZ$3001,11,$F$1)&amp;"",",",""),"¥",""),"￥","")),0))</f>
        <v/>
      </c>
      <c r="G12">
        <f>IF(ISNUMBER(B12),YEAR(B12),"")</f>
        <v/>
      </c>
      <c r="H12">
        <f>IF(ISNUMBER(B12),MONTH(B12),"")</f>
        <v/>
      </c>
      <c r="I12">
        <f>IFERROR(IF($B$1=0,"",IF(ISNUMBER(INDEX(貼り付け!$A$1:$BZ$3001,11,$B$1)),"",SUBSTITUTE(SUBSTITUTE(SUBSTITUTE(SUBSTITUTE(TRIM(LEFT(INDEX(貼り付け!$A$1:$BZ$3001,11,$B$1)&amp;"",FIND(" ",TRIM(INDEX(貼り付け!$A$1:$BZ$3001,11,$B$1)&amp;"")&amp;" ")-1)),"/","-"),"年","-"),"月","-"),"日",""))),"")</f>
        <v/>
      </c>
      <c r="J12">
        <f>IFERROR(MID(I12,FIND("-",I12)+1,99),"")</f>
        <v/>
      </c>
    </row>
    <row r="13">
      <c r="B13">
        <f>IFERROR(IF($B$1=0,"",IF(INDEX(貼り付け!$A$1:$BZ$3001,12,$B$1)="","",IF(ISNUMBER(INDEX(貼り付け!$A$1:$BZ$3001,12,$B$1)),INT(INDEX(貼り付け!$A$1:$BZ$3001,12,$B$1)),DATE(VALUE(LEFT(I13,FIND("-",I13)-1)),VALUE(LEFT(J13,FIND("-",J13)-1)),VALUE(MID(J13,FIND("-",J13)+1,99)))))),"")</f>
        <v/>
      </c>
      <c r="C13">
        <f>IF($C$1=0,0,IFERROR(VALUE(SUBSTITUTE(SUBSTITUTE(SUBSTITUTE(INDEX(貼り付け!$A$1:$BZ$3001,12,$C$1)&amp;"",",",""),"¥",""),"￥","")),0))</f>
        <v/>
      </c>
      <c r="D13">
        <f>IF($D$1=0,0,IFERROR(VALUE(SUBSTITUTE(SUBSTITUTE(SUBSTITUTE(INDEX(貼り付け!$A$1:$BZ$3001,12,$D$1)&amp;"",",",""),"¥",""),"￥","")),0))</f>
        <v/>
      </c>
      <c r="E13">
        <f>IF($E$1=0,0,IFERROR(VALUE(SUBSTITUTE(SUBSTITUTE(SUBSTITUTE(INDEX(貼り付け!$A$1:$BZ$3001,12,$E$1)&amp;"",",",""),"¥",""),"￥","")),0))</f>
        <v/>
      </c>
      <c r="F13">
        <f>IF($F$1=0,0,IFERROR(VALUE(SUBSTITUTE(SUBSTITUTE(SUBSTITUTE(INDEX(貼り付け!$A$1:$BZ$3001,12,$F$1)&amp;"",",",""),"¥",""),"￥","")),0))</f>
        <v/>
      </c>
      <c r="G13">
        <f>IF(ISNUMBER(B13),YEAR(B13),"")</f>
        <v/>
      </c>
      <c r="H13">
        <f>IF(ISNUMBER(B13),MONTH(B13),"")</f>
        <v/>
      </c>
      <c r="I13">
        <f>IFERROR(IF($B$1=0,"",IF(ISNUMBER(INDEX(貼り付け!$A$1:$BZ$3001,12,$B$1)),"",SUBSTITUTE(SUBSTITUTE(SUBSTITUTE(SUBSTITUTE(TRIM(LEFT(INDEX(貼り付け!$A$1:$BZ$3001,12,$B$1)&amp;"",FIND(" ",TRIM(INDEX(貼り付け!$A$1:$BZ$3001,12,$B$1)&amp;"")&amp;" ")-1)),"/","-"),"年","-"),"月","-"),"日",""))),"")</f>
        <v/>
      </c>
      <c r="J13">
        <f>IFERROR(MID(I13,FIND("-",I13)+1,99),"")</f>
        <v/>
      </c>
    </row>
    <row r="14">
      <c r="B14">
        <f>IFERROR(IF($B$1=0,"",IF(INDEX(貼り付け!$A$1:$BZ$3001,13,$B$1)="","",IF(ISNUMBER(INDEX(貼り付け!$A$1:$BZ$3001,13,$B$1)),INT(INDEX(貼り付け!$A$1:$BZ$3001,13,$B$1)),DATE(VALUE(LEFT(I14,FIND("-",I14)-1)),VALUE(LEFT(J14,FIND("-",J14)-1)),VALUE(MID(J14,FIND("-",J14)+1,99)))))),"")</f>
        <v/>
      </c>
      <c r="C14">
        <f>IF($C$1=0,0,IFERROR(VALUE(SUBSTITUTE(SUBSTITUTE(SUBSTITUTE(INDEX(貼り付け!$A$1:$BZ$3001,13,$C$1)&amp;"",",",""),"¥",""),"￥","")),0))</f>
        <v/>
      </c>
      <c r="D14">
        <f>IF($D$1=0,0,IFERROR(VALUE(SUBSTITUTE(SUBSTITUTE(SUBSTITUTE(INDEX(貼り付け!$A$1:$BZ$3001,13,$D$1)&amp;"",",",""),"¥",""),"￥","")),0))</f>
        <v/>
      </c>
      <c r="E14">
        <f>IF($E$1=0,0,IFERROR(VALUE(SUBSTITUTE(SUBSTITUTE(SUBSTITUTE(INDEX(貼り付け!$A$1:$BZ$3001,13,$E$1)&amp;"",",",""),"¥",""),"￥","")),0))</f>
        <v/>
      </c>
      <c r="F14">
        <f>IF($F$1=0,0,IFERROR(VALUE(SUBSTITUTE(SUBSTITUTE(SUBSTITUTE(INDEX(貼り付け!$A$1:$BZ$3001,13,$F$1)&amp;"",",",""),"¥",""),"￥","")),0))</f>
        <v/>
      </c>
      <c r="G14">
        <f>IF(ISNUMBER(B14),YEAR(B14),"")</f>
        <v/>
      </c>
      <c r="H14">
        <f>IF(ISNUMBER(B14),MONTH(B14),"")</f>
        <v/>
      </c>
      <c r="I14">
        <f>IFERROR(IF($B$1=0,"",IF(ISNUMBER(INDEX(貼り付け!$A$1:$BZ$3001,13,$B$1)),"",SUBSTITUTE(SUBSTITUTE(SUBSTITUTE(SUBSTITUTE(TRIM(LEFT(INDEX(貼り付け!$A$1:$BZ$3001,13,$B$1)&amp;"",FIND(" ",TRIM(INDEX(貼り付け!$A$1:$BZ$3001,13,$B$1)&amp;"")&amp;" ")-1)),"/","-"),"年","-"),"月","-"),"日",""))),"")</f>
        <v/>
      </c>
      <c r="J14">
        <f>IFERROR(MID(I14,FIND("-",I14)+1,99),"")</f>
        <v/>
      </c>
    </row>
    <row r="15">
      <c r="B15">
        <f>IFERROR(IF($B$1=0,"",IF(INDEX(貼り付け!$A$1:$BZ$3001,14,$B$1)="","",IF(ISNUMBER(INDEX(貼り付け!$A$1:$BZ$3001,14,$B$1)),INT(INDEX(貼り付け!$A$1:$BZ$3001,14,$B$1)),DATE(VALUE(LEFT(I15,FIND("-",I15)-1)),VALUE(LEFT(J15,FIND("-",J15)-1)),VALUE(MID(J15,FIND("-",J15)+1,99)))))),"")</f>
        <v/>
      </c>
      <c r="C15">
        <f>IF($C$1=0,0,IFERROR(VALUE(SUBSTITUTE(SUBSTITUTE(SUBSTITUTE(INDEX(貼り付け!$A$1:$BZ$3001,14,$C$1)&amp;"",",",""),"¥",""),"￥","")),0))</f>
        <v/>
      </c>
      <c r="D15">
        <f>IF($D$1=0,0,IFERROR(VALUE(SUBSTITUTE(SUBSTITUTE(SUBSTITUTE(INDEX(貼り付け!$A$1:$BZ$3001,14,$D$1)&amp;"",",",""),"¥",""),"￥","")),0))</f>
        <v/>
      </c>
      <c r="E15">
        <f>IF($E$1=0,0,IFERROR(VALUE(SUBSTITUTE(SUBSTITUTE(SUBSTITUTE(INDEX(貼り付け!$A$1:$BZ$3001,14,$E$1)&amp;"",",",""),"¥",""),"￥","")),0))</f>
        <v/>
      </c>
      <c r="F15">
        <f>IF($F$1=0,0,IFERROR(VALUE(SUBSTITUTE(SUBSTITUTE(SUBSTITUTE(INDEX(貼り付け!$A$1:$BZ$3001,14,$F$1)&amp;"",",",""),"¥",""),"￥","")),0))</f>
        <v/>
      </c>
      <c r="G15">
        <f>IF(ISNUMBER(B15),YEAR(B15),"")</f>
        <v/>
      </c>
      <c r="H15">
        <f>IF(ISNUMBER(B15),MONTH(B15),"")</f>
        <v/>
      </c>
      <c r="I15">
        <f>IFERROR(IF($B$1=0,"",IF(ISNUMBER(INDEX(貼り付け!$A$1:$BZ$3001,14,$B$1)),"",SUBSTITUTE(SUBSTITUTE(SUBSTITUTE(SUBSTITUTE(TRIM(LEFT(INDEX(貼り付け!$A$1:$BZ$3001,14,$B$1)&amp;"",FIND(" ",TRIM(INDEX(貼り付け!$A$1:$BZ$3001,14,$B$1)&amp;"")&amp;" ")-1)),"/","-"),"年","-"),"月","-"),"日",""))),"")</f>
        <v/>
      </c>
      <c r="J15">
        <f>IFERROR(MID(I15,FIND("-",I15)+1,99),"")</f>
        <v/>
      </c>
    </row>
    <row r="16">
      <c r="B16">
        <f>IFERROR(IF($B$1=0,"",IF(INDEX(貼り付け!$A$1:$BZ$3001,15,$B$1)="","",IF(ISNUMBER(INDEX(貼り付け!$A$1:$BZ$3001,15,$B$1)),INT(INDEX(貼り付け!$A$1:$BZ$3001,15,$B$1)),DATE(VALUE(LEFT(I16,FIND("-",I16)-1)),VALUE(LEFT(J16,FIND("-",J16)-1)),VALUE(MID(J16,FIND("-",J16)+1,99)))))),"")</f>
        <v/>
      </c>
      <c r="C16">
        <f>IF($C$1=0,0,IFERROR(VALUE(SUBSTITUTE(SUBSTITUTE(SUBSTITUTE(INDEX(貼り付け!$A$1:$BZ$3001,15,$C$1)&amp;"",",",""),"¥",""),"￥","")),0))</f>
        <v/>
      </c>
      <c r="D16">
        <f>IF($D$1=0,0,IFERROR(VALUE(SUBSTITUTE(SUBSTITUTE(SUBSTITUTE(INDEX(貼り付け!$A$1:$BZ$3001,15,$D$1)&amp;"",",",""),"¥",""),"￥","")),0))</f>
        <v/>
      </c>
      <c r="E16">
        <f>IF($E$1=0,0,IFERROR(VALUE(SUBSTITUTE(SUBSTITUTE(SUBSTITUTE(INDEX(貼り付け!$A$1:$BZ$3001,15,$E$1)&amp;"",",",""),"¥",""),"￥","")),0))</f>
        <v/>
      </c>
      <c r="F16">
        <f>IF($F$1=0,0,IFERROR(VALUE(SUBSTITUTE(SUBSTITUTE(SUBSTITUTE(INDEX(貼り付け!$A$1:$BZ$3001,15,$F$1)&amp;"",",",""),"¥",""),"￥","")),0))</f>
        <v/>
      </c>
      <c r="G16">
        <f>IF(ISNUMBER(B16),YEAR(B16),"")</f>
        <v/>
      </c>
      <c r="H16">
        <f>IF(ISNUMBER(B16),MONTH(B16),"")</f>
        <v/>
      </c>
      <c r="I16">
        <f>IFERROR(IF($B$1=0,"",IF(ISNUMBER(INDEX(貼り付け!$A$1:$BZ$3001,15,$B$1)),"",SUBSTITUTE(SUBSTITUTE(SUBSTITUTE(SUBSTITUTE(TRIM(LEFT(INDEX(貼り付け!$A$1:$BZ$3001,15,$B$1)&amp;"",FIND(" ",TRIM(INDEX(貼り付け!$A$1:$BZ$3001,15,$B$1)&amp;"")&amp;" ")-1)),"/","-"),"年","-"),"月","-"),"日",""))),"")</f>
        <v/>
      </c>
      <c r="J16">
        <f>IFERROR(MID(I16,FIND("-",I16)+1,99),"")</f>
        <v/>
      </c>
    </row>
    <row r="17">
      <c r="B17">
        <f>IFERROR(IF($B$1=0,"",IF(INDEX(貼り付け!$A$1:$BZ$3001,16,$B$1)="","",IF(ISNUMBER(INDEX(貼り付け!$A$1:$BZ$3001,16,$B$1)),INT(INDEX(貼り付け!$A$1:$BZ$3001,16,$B$1)),DATE(VALUE(LEFT(I17,FIND("-",I17)-1)),VALUE(LEFT(J17,FIND("-",J17)-1)),VALUE(MID(J17,FIND("-",J17)+1,99)))))),"")</f>
        <v/>
      </c>
      <c r="C17">
        <f>IF($C$1=0,0,IFERROR(VALUE(SUBSTITUTE(SUBSTITUTE(SUBSTITUTE(INDEX(貼り付け!$A$1:$BZ$3001,16,$C$1)&amp;"",",",""),"¥",""),"￥","")),0))</f>
        <v/>
      </c>
      <c r="D17">
        <f>IF($D$1=0,0,IFERROR(VALUE(SUBSTITUTE(SUBSTITUTE(SUBSTITUTE(INDEX(貼り付け!$A$1:$BZ$3001,16,$D$1)&amp;"",",",""),"¥",""),"￥","")),0))</f>
        <v/>
      </c>
      <c r="E17">
        <f>IF($E$1=0,0,IFERROR(VALUE(SUBSTITUTE(SUBSTITUTE(SUBSTITUTE(INDEX(貼り付け!$A$1:$BZ$3001,16,$E$1)&amp;"",",",""),"¥",""),"￥","")),0))</f>
        <v/>
      </c>
      <c r="F17">
        <f>IF($F$1=0,0,IFERROR(VALUE(SUBSTITUTE(SUBSTITUTE(SUBSTITUTE(INDEX(貼り付け!$A$1:$BZ$3001,16,$F$1)&amp;"",",",""),"¥",""),"￥","")),0))</f>
        <v/>
      </c>
      <c r="G17">
        <f>IF(ISNUMBER(B17),YEAR(B17),"")</f>
        <v/>
      </c>
      <c r="H17">
        <f>IF(ISNUMBER(B17),MONTH(B17),"")</f>
        <v/>
      </c>
      <c r="I17">
        <f>IFERROR(IF($B$1=0,"",IF(ISNUMBER(INDEX(貼り付け!$A$1:$BZ$3001,16,$B$1)),"",SUBSTITUTE(SUBSTITUTE(SUBSTITUTE(SUBSTITUTE(TRIM(LEFT(INDEX(貼り付け!$A$1:$BZ$3001,16,$B$1)&amp;"",FIND(" ",TRIM(INDEX(貼り付け!$A$1:$BZ$3001,16,$B$1)&amp;"")&amp;" ")-1)),"/","-"),"年","-"),"月","-"),"日",""))),"")</f>
        <v/>
      </c>
      <c r="J17">
        <f>IFERROR(MID(I17,FIND("-",I17)+1,99),"")</f>
        <v/>
      </c>
    </row>
    <row r="18">
      <c r="B18">
        <f>IFERROR(IF($B$1=0,"",IF(INDEX(貼り付け!$A$1:$BZ$3001,17,$B$1)="","",IF(ISNUMBER(INDEX(貼り付け!$A$1:$BZ$3001,17,$B$1)),INT(INDEX(貼り付け!$A$1:$BZ$3001,17,$B$1)),DATE(VALUE(LEFT(I18,FIND("-",I18)-1)),VALUE(LEFT(J18,FIND("-",J18)-1)),VALUE(MID(J18,FIND("-",J18)+1,99)))))),"")</f>
        <v/>
      </c>
      <c r="C18">
        <f>IF($C$1=0,0,IFERROR(VALUE(SUBSTITUTE(SUBSTITUTE(SUBSTITUTE(INDEX(貼り付け!$A$1:$BZ$3001,17,$C$1)&amp;"",",",""),"¥",""),"￥","")),0))</f>
        <v/>
      </c>
      <c r="D18">
        <f>IF($D$1=0,0,IFERROR(VALUE(SUBSTITUTE(SUBSTITUTE(SUBSTITUTE(INDEX(貼り付け!$A$1:$BZ$3001,17,$D$1)&amp;"",",",""),"¥",""),"￥","")),0))</f>
        <v/>
      </c>
      <c r="E18">
        <f>IF($E$1=0,0,IFERROR(VALUE(SUBSTITUTE(SUBSTITUTE(SUBSTITUTE(INDEX(貼り付け!$A$1:$BZ$3001,17,$E$1)&amp;"",",",""),"¥",""),"￥","")),0))</f>
        <v/>
      </c>
      <c r="F18">
        <f>IF($F$1=0,0,IFERROR(VALUE(SUBSTITUTE(SUBSTITUTE(SUBSTITUTE(INDEX(貼り付け!$A$1:$BZ$3001,17,$F$1)&amp;"",",",""),"¥",""),"￥","")),0))</f>
        <v/>
      </c>
      <c r="G18">
        <f>IF(ISNUMBER(B18),YEAR(B18),"")</f>
        <v/>
      </c>
      <c r="H18">
        <f>IF(ISNUMBER(B18),MONTH(B18),"")</f>
        <v/>
      </c>
      <c r="I18">
        <f>IFERROR(IF($B$1=0,"",IF(ISNUMBER(INDEX(貼り付け!$A$1:$BZ$3001,17,$B$1)),"",SUBSTITUTE(SUBSTITUTE(SUBSTITUTE(SUBSTITUTE(TRIM(LEFT(INDEX(貼り付け!$A$1:$BZ$3001,17,$B$1)&amp;"",FIND(" ",TRIM(INDEX(貼り付け!$A$1:$BZ$3001,17,$B$1)&amp;"")&amp;" ")-1)),"/","-"),"年","-"),"月","-"),"日",""))),"")</f>
        <v/>
      </c>
      <c r="J18">
        <f>IFERROR(MID(I18,FIND("-",I18)+1,99),"")</f>
        <v/>
      </c>
    </row>
    <row r="19">
      <c r="B19">
        <f>IFERROR(IF($B$1=0,"",IF(INDEX(貼り付け!$A$1:$BZ$3001,18,$B$1)="","",IF(ISNUMBER(INDEX(貼り付け!$A$1:$BZ$3001,18,$B$1)),INT(INDEX(貼り付け!$A$1:$BZ$3001,18,$B$1)),DATE(VALUE(LEFT(I19,FIND("-",I19)-1)),VALUE(LEFT(J19,FIND("-",J19)-1)),VALUE(MID(J19,FIND("-",J19)+1,99)))))),"")</f>
        <v/>
      </c>
      <c r="C19">
        <f>IF($C$1=0,0,IFERROR(VALUE(SUBSTITUTE(SUBSTITUTE(SUBSTITUTE(INDEX(貼り付け!$A$1:$BZ$3001,18,$C$1)&amp;"",",",""),"¥",""),"￥","")),0))</f>
        <v/>
      </c>
      <c r="D19">
        <f>IF($D$1=0,0,IFERROR(VALUE(SUBSTITUTE(SUBSTITUTE(SUBSTITUTE(INDEX(貼り付け!$A$1:$BZ$3001,18,$D$1)&amp;"",",",""),"¥",""),"￥","")),0))</f>
        <v/>
      </c>
      <c r="E19">
        <f>IF($E$1=0,0,IFERROR(VALUE(SUBSTITUTE(SUBSTITUTE(SUBSTITUTE(INDEX(貼り付け!$A$1:$BZ$3001,18,$E$1)&amp;"",",",""),"¥",""),"￥","")),0))</f>
        <v/>
      </c>
      <c r="F19">
        <f>IF($F$1=0,0,IFERROR(VALUE(SUBSTITUTE(SUBSTITUTE(SUBSTITUTE(INDEX(貼り付け!$A$1:$BZ$3001,18,$F$1)&amp;"",",",""),"¥",""),"￥","")),0))</f>
        <v/>
      </c>
      <c r="G19">
        <f>IF(ISNUMBER(B19),YEAR(B19),"")</f>
        <v/>
      </c>
      <c r="H19">
        <f>IF(ISNUMBER(B19),MONTH(B19),"")</f>
        <v/>
      </c>
      <c r="I19">
        <f>IFERROR(IF($B$1=0,"",IF(ISNUMBER(INDEX(貼り付け!$A$1:$BZ$3001,18,$B$1)),"",SUBSTITUTE(SUBSTITUTE(SUBSTITUTE(SUBSTITUTE(TRIM(LEFT(INDEX(貼り付け!$A$1:$BZ$3001,18,$B$1)&amp;"",FIND(" ",TRIM(INDEX(貼り付け!$A$1:$BZ$3001,18,$B$1)&amp;"")&amp;" ")-1)),"/","-"),"年","-"),"月","-"),"日",""))),"")</f>
        <v/>
      </c>
      <c r="J19">
        <f>IFERROR(MID(I19,FIND("-",I19)+1,99),"")</f>
        <v/>
      </c>
    </row>
    <row r="20">
      <c r="B20">
        <f>IFERROR(IF($B$1=0,"",IF(INDEX(貼り付け!$A$1:$BZ$3001,19,$B$1)="","",IF(ISNUMBER(INDEX(貼り付け!$A$1:$BZ$3001,19,$B$1)),INT(INDEX(貼り付け!$A$1:$BZ$3001,19,$B$1)),DATE(VALUE(LEFT(I20,FIND("-",I20)-1)),VALUE(LEFT(J20,FIND("-",J20)-1)),VALUE(MID(J20,FIND("-",J20)+1,99)))))),"")</f>
        <v/>
      </c>
      <c r="C20">
        <f>IF($C$1=0,0,IFERROR(VALUE(SUBSTITUTE(SUBSTITUTE(SUBSTITUTE(INDEX(貼り付け!$A$1:$BZ$3001,19,$C$1)&amp;"",",",""),"¥",""),"￥","")),0))</f>
        <v/>
      </c>
      <c r="D20">
        <f>IF($D$1=0,0,IFERROR(VALUE(SUBSTITUTE(SUBSTITUTE(SUBSTITUTE(INDEX(貼り付け!$A$1:$BZ$3001,19,$D$1)&amp;"",",",""),"¥",""),"￥","")),0))</f>
        <v/>
      </c>
      <c r="E20">
        <f>IF($E$1=0,0,IFERROR(VALUE(SUBSTITUTE(SUBSTITUTE(SUBSTITUTE(INDEX(貼り付け!$A$1:$BZ$3001,19,$E$1)&amp;"",",",""),"¥",""),"￥","")),0))</f>
        <v/>
      </c>
      <c r="F20">
        <f>IF($F$1=0,0,IFERROR(VALUE(SUBSTITUTE(SUBSTITUTE(SUBSTITUTE(INDEX(貼り付け!$A$1:$BZ$3001,19,$F$1)&amp;"",",",""),"¥",""),"￥","")),0))</f>
        <v/>
      </c>
      <c r="G20">
        <f>IF(ISNUMBER(B20),YEAR(B20),"")</f>
        <v/>
      </c>
      <c r="H20">
        <f>IF(ISNUMBER(B20),MONTH(B20),"")</f>
        <v/>
      </c>
      <c r="I20">
        <f>IFERROR(IF($B$1=0,"",IF(ISNUMBER(INDEX(貼り付け!$A$1:$BZ$3001,19,$B$1)),"",SUBSTITUTE(SUBSTITUTE(SUBSTITUTE(SUBSTITUTE(TRIM(LEFT(INDEX(貼り付け!$A$1:$BZ$3001,19,$B$1)&amp;"",FIND(" ",TRIM(INDEX(貼り付け!$A$1:$BZ$3001,19,$B$1)&amp;"")&amp;" ")-1)),"/","-"),"年","-"),"月","-"),"日",""))),"")</f>
        <v/>
      </c>
      <c r="J20">
        <f>IFERROR(MID(I20,FIND("-",I20)+1,99),"")</f>
        <v/>
      </c>
    </row>
    <row r="21">
      <c r="B21">
        <f>IFERROR(IF($B$1=0,"",IF(INDEX(貼り付け!$A$1:$BZ$3001,20,$B$1)="","",IF(ISNUMBER(INDEX(貼り付け!$A$1:$BZ$3001,20,$B$1)),INT(INDEX(貼り付け!$A$1:$BZ$3001,20,$B$1)),DATE(VALUE(LEFT(I21,FIND("-",I21)-1)),VALUE(LEFT(J21,FIND("-",J21)-1)),VALUE(MID(J21,FIND("-",J21)+1,99)))))),"")</f>
        <v/>
      </c>
      <c r="C21">
        <f>IF($C$1=0,0,IFERROR(VALUE(SUBSTITUTE(SUBSTITUTE(SUBSTITUTE(INDEX(貼り付け!$A$1:$BZ$3001,20,$C$1)&amp;"",",",""),"¥",""),"￥","")),0))</f>
        <v/>
      </c>
      <c r="D21">
        <f>IF($D$1=0,0,IFERROR(VALUE(SUBSTITUTE(SUBSTITUTE(SUBSTITUTE(INDEX(貼り付け!$A$1:$BZ$3001,20,$D$1)&amp;"",",",""),"¥",""),"￥","")),0))</f>
        <v/>
      </c>
      <c r="E21">
        <f>IF($E$1=0,0,IFERROR(VALUE(SUBSTITUTE(SUBSTITUTE(SUBSTITUTE(INDEX(貼り付け!$A$1:$BZ$3001,20,$E$1)&amp;"",",",""),"¥",""),"￥","")),0))</f>
        <v/>
      </c>
      <c r="F21">
        <f>IF($F$1=0,0,IFERROR(VALUE(SUBSTITUTE(SUBSTITUTE(SUBSTITUTE(INDEX(貼り付け!$A$1:$BZ$3001,20,$F$1)&amp;"",",",""),"¥",""),"￥","")),0))</f>
        <v/>
      </c>
      <c r="G21">
        <f>IF(ISNUMBER(B21),YEAR(B21),"")</f>
        <v/>
      </c>
      <c r="H21">
        <f>IF(ISNUMBER(B21),MONTH(B21),"")</f>
        <v/>
      </c>
      <c r="I21">
        <f>IFERROR(IF($B$1=0,"",IF(ISNUMBER(INDEX(貼り付け!$A$1:$BZ$3001,20,$B$1)),"",SUBSTITUTE(SUBSTITUTE(SUBSTITUTE(SUBSTITUTE(TRIM(LEFT(INDEX(貼り付け!$A$1:$BZ$3001,20,$B$1)&amp;"",FIND(" ",TRIM(INDEX(貼り付け!$A$1:$BZ$3001,20,$B$1)&amp;"")&amp;" ")-1)),"/","-"),"年","-"),"月","-"),"日",""))),"")</f>
        <v/>
      </c>
      <c r="J21">
        <f>IFERROR(MID(I21,FIND("-",I21)+1,99),"")</f>
        <v/>
      </c>
    </row>
    <row r="22">
      <c r="B22">
        <f>IFERROR(IF($B$1=0,"",IF(INDEX(貼り付け!$A$1:$BZ$3001,21,$B$1)="","",IF(ISNUMBER(INDEX(貼り付け!$A$1:$BZ$3001,21,$B$1)),INT(INDEX(貼り付け!$A$1:$BZ$3001,21,$B$1)),DATE(VALUE(LEFT(I22,FIND("-",I22)-1)),VALUE(LEFT(J22,FIND("-",J22)-1)),VALUE(MID(J22,FIND("-",J22)+1,99)))))),"")</f>
        <v/>
      </c>
      <c r="C22">
        <f>IF($C$1=0,0,IFERROR(VALUE(SUBSTITUTE(SUBSTITUTE(SUBSTITUTE(INDEX(貼り付け!$A$1:$BZ$3001,21,$C$1)&amp;"",",",""),"¥",""),"￥","")),0))</f>
        <v/>
      </c>
      <c r="D22">
        <f>IF($D$1=0,0,IFERROR(VALUE(SUBSTITUTE(SUBSTITUTE(SUBSTITUTE(INDEX(貼り付け!$A$1:$BZ$3001,21,$D$1)&amp;"",",",""),"¥",""),"￥","")),0))</f>
        <v/>
      </c>
      <c r="E22">
        <f>IF($E$1=0,0,IFERROR(VALUE(SUBSTITUTE(SUBSTITUTE(SUBSTITUTE(INDEX(貼り付け!$A$1:$BZ$3001,21,$E$1)&amp;"",",",""),"¥",""),"￥","")),0))</f>
        <v/>
      </c>
      <c r="F22">
        <f>IF($F$1=0,0,IFERROR(VALUE(SUBSTITUTE(SUBSTITUTE(SUBSTITUTE(INDEX(貼り付け!$A$1:$BZ$3001,21,$F$1)&amp;"",",",""),"¥",""),"￥","")),0))</f>
        <v/>
      </c>
      <c r="G22">
        <f>IF(ISNUMBER(B22),YEAR(B22),"")</f>
        <v/>
      </c>
      <c r="H22">
        <f>IF(ISNUMBER(B22),MONTH(B22),"")</f>
        <v/>
      </c>
      <c r="I22">
        <f>IFERROR(IF($B$1=0,"",IF(ISNUMBER(INDEX(貼り付け!$A$1:$BZ$3001,21,$B$1)),"",SUBSTITUTE(SUBSTITUTE(SUBSTITUTE(SUBSTITUTE(TRIM(LEFT(INDEX(貼り付け!$A$1:$BZ$3001,21,$B$1)&amp;"",FIND(" ",TRIM(INDEX(貼り付け!$A$1:$BZ$3001,21,$B$1)&amp;"")&amp;" ")-1)),"/","-"),"年","-"),"月","-"),"日",""))),"")</f>
        <v/>
      </c>
      <c r="J22">
        <f>IFERROR(MID(I22,FIND("-",I22)+1,99),"")</f>
        <v/>
      </c>
    </row>
    <row r="23">
      <c r="B23">
        <f>IFERROR(IF($B$1=0,"",IF(INDEX(貼り付け!$A$1:$BZ$3001,22,$B$1)="","",IF(ISNUMBER(INDEX(貼り付け!$A$1:$BZ$3001,22,$B$1)),INT(INDEX(貼り付け!$A$1:$BZ$3001,22,$B$1)),DATE(VALUE(LEFT(I23,FIND("-",I23)-1)),VALUE(LEFT(J23,FIND("-",J23)-1)),VALUE(MID(J23,FIND("-",J23)+1,99)))))),"")</f>
        <v/>
      </c>
      <c r="C23">
        <f>IF($C$1=0,0,IFERROR(VALUE(SUBSTITUTE(SUBSTITUTE(SUBSTITUTE(INDEX(貼り付け!$A$1:$BZ$3001,22,$C$1)&amp;"",",",""),"¥",""),"￥","")),0))</f>
        <v/>
      </c>
      <c r="D23">
        <f>IF($D$1=0,0,IFERROR(VALUE(SUBSTITUTE(SUBSTITUTE(SUBSTITUTE(INDEX(貼り付け!$A$1:$BZ$3001,22,$D$1)&amp;"",",",""),"¥",""),"￥","")),0))</f>
        <v/>
      </c>
      <c r="E23">
        <f>IF($E$1=0,0,IFERROR(VALUE(SUBSTITUTE(SUBSTITUTE(SUBSTITUTE(INDEX(貼り付け!$A$1:$BZ$3001,22,$E$1)&amp;"",",",""),"¥",""),"￥","")),0))</f>
        <v/>
      </c>
      <c r="F23">
        <f>IF($F$1=0,0,IFERROR(VALUE(SUBSTITUTE(SUBSTITUTE(SUBSTITUTE(INDEX(貼り付け!$A$1:$BZ$3001,22,$F$1)&amp;"",",",""),"¥",""),"￥","")),0))</f>
        <v/>
      </c>
      <c r="G23">
        <f>IF(ISNUMBER(B23),YEAR(B23),"")</f>
        <v/>
      </c>
      <c r="H23">
        <f>IF(ISNUMBER(B23),MONTH(B23),"")</f>
        <v/>
      </c>
      <c r="I23">
        <f>IFERROR(IF($B$1=0,"",IF(ISNUMBER(INDEX(貼り付け!$A$1:$BZ$3001,22,$B$1)),"",SUBSTITUTE(SUBSTITUTE(SUBSTITUTE(SUBSTITUTE(TRIM(LEFT(INDEX(貼り付け!$A$1:$BZ$3001,22,$B$1)&amp;"",FIND(" ",TRIM(INDEX(貼り付け!$A$1:$BZ$3001,22,$B$1)&amp;"")&amp;" ")-1)),"/","-"),"年","-"),"月","-"),"日",""))),"")</f>
        <v/>
      </c>
      <c r="J23">
        <f>IFERROR(MID(I23,FIND("-",I23)+1,99),"")</f>
        <v/>
      </c>
    </row>
    <row r="24">
      <c r="B24">
        <f>IFERROR(IF($B$1=0,"",IF(INDEX(貼り付け!$A$1:$BZ$3001,23,$B$1)="","",IF(ISNUMBER(INDEX(貼り付け!$A$1:$BZ$3001,23,$B$1)),INT(INDEX(貼り付け!$A$1:$BZ$3001,23,$B$1)),DATE(VALUE(LEFT(I24,FIND("-",I24)-1)),VALUE(LEFT(J24,FIND("-",J24)-1)),VALUE(MID(J24,FIND("-",J24)+1,99)))))),"")</f>
        <v/>
      </c>
      <c r="C24">
        <f>IF($C$1=0,0,IFERROR(VALUE(SUBSTITUTE(SUBSTITUTE(SUBSTITUTE(INDEX(貼り付け!$A$1:$BZ$3001,23,$C$1)&amp;"",",",""),"¥",""),"￥","")),0))</f>
        <v/>
      </c>
      <c r="D24">
        <f>IF($D$1=0,0,IFERROR(VALUE(SUBSTITUTE(SUBSTITUTE(SUBSTITUTE(INDEX(貼り付け!$A$1:$BZ$3001,23,$D$1)&amp;"",",",""),"¥",""),"￥","")),0))</f>
        <v/>
      </c>
      <c r="E24">
        <f>IF($E$1=0,0,IFERROR(VALUE(SUBSTITUTE(SUBSTITUTE(SUBSTITUTE(INDEX(貼り付け!$A$1:$BZ$3001,23,$E$1)&amp;"",",",""),"¥",""),"￥","")),0))</f>
        <v/>
      </c>
      <c r="F24">
        <f>IF($F$1=0,0,IFERROR(VALUE(SUBSTITUTE(SUBSTITUTE(SUBSTITUTE(INDEX(貼り付け!$A$1:$BZ$3001,23,$F$1)&amp;"",",",""),"¥",""),"￥","")),0))</f>
        <v/>
      </c>
      <c r="G24">
        <f>IF(ISNUMBER(B24),YEAR(B24),"")</f>
        <v/>
      </c>
      <c r="H24">
        <f>IF(ISNUMBER(B24),MONTH(B24),"")</f>
        <v/>
      </c>
      <c r="I24">
        <f>IFERROR(IF($B$1=0,"",IF(ISNUMBER(INDEX(貼り付け!$A$1:$BZ$3001,23,$B$1)),"",SUBSTITUTE(SUBSTITUTE(SUBSTITUTE(SUBSTITUTE(TRIM(LEFT(INDEX(貼り付け!$A$1:$BZ$3001,23,$B$1)&amp;"",FIND(" ",TRIM(INDEX(貼り付け!$A$1:$BZ$3001,23,$B$1)&amp;"")&amp;" ")-1)),"/","-"),"年","-"),"月","-"),"日",""))),"")</f>
        <v/>
      </c>
      <c r="J24">
        <f>IFERROR(MID(I24,FIND("-",I24)+1,99),"")</f>
        <v/>
      </c>
    </row>
    <row r="25">
      <c r="B25">
        <f>IFERROR(IF($B$1=0,"",IF(INDEX(貼り付け!$A$1:$BZ$3001,24,$B$1)="","",IF(ISNUMBER(INDEX(貼り付け!$A$1:$BZ$3001,24,$B$1)),INT(INDEX(貼り付け!$A$1:$BZ$3001,24,$B$1)),DATE(VALUE(LEFT(I25,FIND("-",I25)-1)),VALUE(LEFT(J25,FIND("-",J25)-1)),VALUE(MID(J25,FIND("-",J25)+1,99)))))),"")</f>
        <v/>
      </c>
      <c r="C25">
        <f>IF($C$1=0,0,IFERROR(VALUE(SUBSTITUTE(SUBSTITUTE(SUBSTITUTE(INDEX(貼り付け!$A$1:$BZ$3001,24,$C$1)&amp;"",",",""),"¥",""),"￥","")),0))</f>
        <v/>
      </c>
      <c r="D25">
        <f>IF($D$1=0,0,IFERROR(VALUE(SUBSTITUTE(SUBSTITUTE(SUBSTITUTE(INDEX(貼り付け!$A$1:$BZ$3001,24,$D$1)&amp;"",",",""),"¥",""),"￥","")),0))</f>
        <v/>
      </c>
      <c r="E25">
        <f>IF($E$1=0,0,IFERROR(VALUE(SUBSTITUTE(SUBSTITUTE(SUBSTITUTE(INDEX(貼り付け!$A$1:$BZ$3001,24,$E$1)&amp;"",",",""),"¥",""),"￥","")),0))</f>
        <v/>
      </c>
      <c r="F25">
        <f>IF($F$1=0,0,IFERROR(VALUE(SUBSTITUTE(SUBSTITUTE(SUBSTITUTE(INDEX(貼り付け!$A$1:$BZ$3001,24,$F$1)&amp;"",",",""),"¥",""),"￥","")),0))</f>
        <v/>
      </c>
      <c r="G25">
        <f>IF(ISNUMBER(B25),YEAR(B25),"")</f>
        <v/>
      </c>
      <c r="H25">
        <f>IF(ISNUMBER(B25),MONTH(B25),"")</f>
        <v/>
      </c>
      <c r="I25">
        <f>IFERROR(IF($B$1=0,"",IF(ISNUMBER(INDEX(貼り付け!$A$1:$BZ$3001,24,$B$1)),"",SUBSTITUTE(SUBSTITUTE(SUBSTITUTE(SUBSTITUTE(TRIM(LEFT(INDEX(貼り付け!$A$1:$BZ$3001,24,$B$1)&amp;"",FIND(" ",TRIM(INDEX(貼り付け!$A$1:$BZ$3001,24,$B$1)&amp;"")&amp;" ")-1)),"/","-"),"年","-"),"月","-"),"日",""))),"")</f>
        <v/>
      </c>
      <c r="J25">
        <f>IFERROR(MID(I25,FIND("-",I25)+1,99),"")</f>
        <v/>
      </c>
    </row>
    <row r="26">
      <c r="B26">
        <f>IFERROR(IF($B$1=0,"",IF(INDEX(貼り付け!$A$1:$BZ$3001,25,$B$1)="","",IF(ISNUMBER(INDEX(貼り付け!$A$1:$BZ$3001,25,$B$1)),INT(INDEX(貼り付け!$A$1:$BZ$3001,25,$B$1)),DATE(VALUE(LEFT(I26,FIND("-",I26)-1)),VALUE(LEFT(J26,FIND("-",J26)-1)),VALUE(MID(J26,FIND("-",J26)+1,99)))))),"")</f>
        <v/>
      </c>
      <c r="C26">
        <f>IF($C$1=0,0,IFERROR(VALUE(SUBSTITUTE(SUBSTITUTE(SUBSTITUTE(INDEX(貼り付け!$A$1:$BZ$3001,25,$C$1)&amp;"",",",""),"¥",""),"￥","")),0))</f>
        <v/>
      </c>
      <c r="D26">
        <f>IF($D$1=0,0,IFERROR(VALUE(SUBSTITUTE(SUBSTITUTE(SUBSTITUTE(INDEX(貼り付け!$A$1:$BZ$3001,25,$D$1)&amp;"",",",""),"¥",""),"￥","")),0))</f>
        <v/>
      </c>
      <c r="E26">
        <f>IF($E$1=0,0,IFERROR(VALUE(SUBSTITUTE(SUBSTITUTE(SUBSTITUTE(INDEX(貼り付け!$A$1:$BZ$3001,25,$E$1)&amp;"",",",""),"¥",""),"￥","")),0))</f>
        <v/>
      </c>
      <c r="F26">
        <f>IF($F$1=0,0,IFERROR(VALUE(SUBSTITUTE(SUBSTITUTE(SUBSTITUTE(INDEX(貼り付け!$A$1:$BZ$3001,25,$F$1)&amp;"",",",""),"¥",""),"￥","")),0))</f>
        <v/>
      </c>
      <c r="G26">
        <f>IF(ISNUMBER(B26),YEAR(B26),"")</f>
        <v/>
      </c>
      <c r="H26">
        <f>IF(ISNUMBER(B26),MONTH(B26),"")</f>
        <v/>
      </c>
      <c r="I26">
        <f>IFERROR(IF($B$1=0,"",IF(ISNUMBER(INDEX(貼り付け!$A$1:$BZ$3001,25,$B$1)),"",SUBSTITUTE(SUBSTITUTE(SUBSTITUTE(SUBSTITUTE(TRIM(LEFT(INDEX(貼り付け!$A$1:$BZ$3001,25,$B$1)&amp;"",FIND(" ",TRIM(INDEX(貼り付け!$A$1:$BZ$3001,25,$B$1)&amp;"")&amp;" ")-1)),"/","-"),"年","-"),"月","-"),"日",""))),"")</f>
        <v/>
      </c>
      <c r="J26">
        <f>IFERROR(MID(I26,FIND("-",I26)+1,99),"")</f>
        <v/>
      </c>
    </row>
    <row r="27">
      <c r="B27">
        <f>IFERROR(IF($B$1=0,"",IF(INDEX(貼り付け!$A$1:$BZ$3001,26,$B$1)="","",IF(ISNUMBER(INDEX(貼り付け!$A$1:$BZ$3001,26,$B$1)),INT(INDEX(貼り付け!$A$1:$BZ$3001,26,$B$1)),DATE(VALUE(LEFT(I27,FIND("-",I27)-1)),VALUE(LEFT(J27,FIND("-",J27)-1)),VALUE(MID(J27,FIND("-",J27)+1,99)))))),"")</f>
        <v/>
      </c>
      <c r="C27">
        <f>IF($C$1=0,0,IFERROR(VALUE(SUBSTITUTE(SUBSTITUTE(SUBSTITUTE(INDEX(貼り付け!$A$1:$BZ$3001,26,$C$1)&amp;"",",",""),"¥",""),"￥","")),0))</f>
        <v/>
      </c>
      <c r="D27">
        <f>IF($D$1=0,0,IFERROR(VALUE(SUBSTITUTE(SUBSTITUTE(SUBSTITUTE(INDEX(貼り付け!$A$1:$BZ$3001,26,$D$1)&amp;"",",",""),"¥",""),"￥","")),0))</f>
        <v/>
      </c>
      <c r="E27">
        <f>IF($E$1=0,0,IFERROR(VALUE(SUBSTITUTE(SUBSTITUTE(SUBSTITUTE(INDEX(貼り付け!$A$1:$BZ$3001,26,$E$1)&amp;"",",",""),"¥",""),"￥","")),0))</f>
        <v/>
      </c>
      <c r="F27">
        <f>IF($F$1=0,0,IFERROR(VALUE(SUBSTITUTE(SUBSTITUTE(SUBSTITUTE(INDEX(貼り付け!$A$1:$BZ$3001,26,$F$1)&amp;"",",",""),"¥",""),"￥","")),0))</f>
        <v/>
      </c>
      <c r="G27">
        <f>IF(ISNUMBER(B27),YEAR(B27),"")</f>
        <v/>
      </c>
      <c r="H27">
        <f>IF(ISNUMBER(B27),MONTH(B27),"")</f>
        <v/>
      </c>
      <c r="I27">
        <f>IFERROR(IF($B$1=0,"",IF(ISNUMBER(INDEX(貼り付け!$A$1:$BZ$3001,26,$B$1)),"",SUBSTITUTE(SUBSTITUTE(SUBSTITUTE(SUBSTITUTE(TRIM(LEFT(INDEX(貼り付け!$A$1:$BZ$3001,26,$B$1)&amp;"",FIND(" ",TRIM(INDEX(貼り付け!$A$1:$BZ$3001,26,$B$1)&amp;"")&amp;" ")-1)),"/","-"),"年","-"),"月","-"),"日",""))),"")</f>
        <v/>
      </c>
      <c r="J27">
        <f>IFERROR(MID(I27,FIND("-",I27)+1,99),"")</f>
        <v/>
      </c>
    </row>
    <row r="28">
      <c r="B28">
        <f>IFERROR(IF($B$1=0,"",IF(INDEX(貼り付け!$A$1:$BZ$3001,27,$B$1)="","",IF(ISNUMBER(INDEX(貼り付け!$A$1:$BZ$3001,27,$B$1)),INT(INDEX(貼り付け!$A$1:$BZ$3001,27,$B$1)),DATE(VALUE(LEFT(I28,FIND("-",I28)-1)),VALUE(LEFT(J28,FIND("-",J28)-1)),VALUE(MID(J28,FIND("-",J28)+1,99)))))),"")</f>
        <v/>
      </c>
      <c r="C28">
        <f>IF($C$1=0,0,IFERROR(VALUE(SUBSTITUTE(SUBSTITUTE(SUBSTITUTE(INDEX(貼り付け!$A$1:$BZ$3001,27,$C$1)&amp;"",",",""),"¥",""),"￥","")),0))</f>
        <v/>
      </c>
      <c r="D28">
        <f>IF($D$1=0,0,IFERROR(VALUE(SUBSTITUTE(SUBSTITUTE(SUBSTITUTE(INDEX(貼り付け!$A$1:$BZ$3001,27,$D$1)&amp;"",",",""),"¥",""),"￥","")),0))</f>
        <v/>
      </c>
      <c r="E28">
        <f>IF($E$1=0,0,IFERROR(VALUE(SUBSTITUTE(SUBSTITUTE(SUBSTITUTE(INDEX(貼り付け!$A$1:$BZ$3001,27,$E$1)&amp;"",",",""),"¥",""),"￥","")),0))</f>
        <v/>
      </c>
      <c r="F28">
        <f>IF($F$1=0,0,IFERROR(VALUE(SUBSTITUTE(SUBSTITUTE(SUBSTITUTE(INDEX(貼り付け!$A$1:$BZ$3001,27,$F$1)&amp;"",",",""),"¥",""),"￥","")),0))</f>
        <v/>
      </c>
      <c r="G28">
        <f>IF(ISNUMBER(B28),YEAR(B28),"")</f>
        <v/>
      </c>
      <c r="H28">
        <f>IF(ISNUMBER(B28),MONTH(B28),"")</f>
        <v/>
      </c>
      <c r="I28">
        <f>IFERROR(IF($B$1=0,"",IF(ISNUMBER(INDEX(貼り付け!$A$1:$BZ$3001,27,$B$1)),"",SUBSTITUTE(SUBSTITUTE(SUBSTITUTE(SUBSTITUTE(TRIM(LEFT(INDEX(貼り付け!$A$1:$BZ$3001,27,$B$1)&amp;"",FIND(" ",TRIM(INDEX(貼り付け!$A$1:$BZ$3001,27,$B$1)&amp;"")&amp;" ")-1)),"/","-"),"年","-"),"月","-"),"日",""))),"")</f>
        <v/>
      </c>
      <c r="J28">
        <f>IFERROR(MID(I28,FIND("-",I28)+1,99),"")</f>
        <v/>
      </c>
    </row>
    <row r="29">
      <c r="B29">
        <f>IFERROR(IF($B$1=0,"",IF(INDEX(貼り付け!$A$1:$BZ$3001,28,$B$1)="","",IF(ISNUMBER(INDEX(貼り付け!$A$1:$BZ$3001,28,$B$1)),INT(INDEX(貼り付け!$A$1:$BZ$3001,28,$B$1)),DATE(VALUE(LEFT(I29,FIND("-",I29)-1)),VALUE(LEFT(J29,FIND("-",J29)-1)),VALUE(MID(J29,FIND("-",J29)+1,99)))))),"")</f>
        <v/>
      </c>
      <c r="C29">
        <f>IF($C$1=0,0,IFERROR(VALUE(SUBSTITUTE(SUBSTITUTE(SUBSTITUTE(INDEX(貼り付け!$A$1:$BZ$3001,28,$C$1)&amp;"",",",""),"¥",""),"￥","")),0))</f>
        <v/>
      </c>
      <c r="D29">
        <f>IF($D$1=0,0,IFERROR(VALUE(SUBSTITUTE(SUBSTITUTE(SUBSTITUTE(INDEX(貼り付け!$A$1:$BZ$3001,28,$D$1)&amp;"",",",""),"¥",""),"￥","")),0))</f>
        <v/>
      </c>
      <c r="E29">
        <f>IF($E$1=0,0,IFERROR(VALUE(SUBSTITUTE(SUBSTITUTE(SUBSTITUTE(INDEX(貼り付け!$A$1:$BZ$3001,28,$E$1)&amp;"",",",""),"¥",""),"￥","")),0))</f>
        <v/>
      </c>
      <c r="F29">
        <f>IF($F$1=0,0,IFERROR(VALUE(SUBSTITUTE(SUBSTITUTE(SUBSTITUTE(INDEX(貼り付け!$A$1:$BZ$3001,28,$F$1)&amp;"",",",""),"¥",""),"￥","")),0))</f>
        <v/>
      </c>
      <c r="G29">
        <f>IF(ISNUMBER(B29),YEAR(B29),"")</f>
        <v/>
      </c>
      <c r="H29">
        <f>IF(ISNUMBER(B29),MONTH(B29),"")</f>
        <v/>
      </c>
      <c r="I29">
        <f>IFERROR(IF($B$1=0,"",IF(ISNUMBER(INDEX(貼り付け!$A$1:$BZ$3001,28,$B$1)),"",SUBSTITUTE(SUBSTITUTE(SUBSTITUTE(SUBSTITUTE(TRIM(LEFT(INDEX(貼り付け!$A$1:$BZ$3001,28,$B$1)&amp;"",FIND(" ",TRIM(INDEX(貼り付け!$A$1:$BZ$3001,28,$B$1)&amp;"")&amp;" ")-1)),"/","-"),"年","-"),"月","-"),"日",""))),"")</f>
        <v/>
      </c>
      <c r="J29">
        <f>IFERROR(MID(I29,FIND("-",I29)+1,99),"")</f>
        <v/>
      </c>
    </row>
    <row r="30">
      <c r="B30">
        <f>IFERROR(IF($B$1=0,"",IF(INDEX(貼り付け!$A$1:$BZ$3001,29,$B$1)="","",IF(ISNUMBER(INDEX(貼り付け!$A$1:$BZ$3001,29,$B$1)),INT(INDEX(貼り付け!$A$1:$BZ$3001,29,$B$1)),DATE(VALUE(LEFT(I30,FIND("-",I30)-1)),VALUE(LEFT(J30,FIND("-",J30)-1)),VALUE(MID(J30,FIND("-",J30)+1,99)))))),"")</f>
        <v/>
      </c>
      <c r="C30">
        <f>IF($C$1=0,0,IFERROR(VALUE(SUBSTITUTE(SUBSTITUTE(SUBSTITUTE(INDEX(貼り付け!$A$1:$BZ$3001,29,$C$1)&amp;"",",",""),"¥",""),"￥","")),0))</f>
        <v/>
      </c>
      <c r="D30">
        <f>IF($D$1=0,0,IFERROR(VALUE(SUBSTITUTE(SUBSTITUTE(SUBSTITUTE(INDEX(貼り付け!$A$1:$BZ$3001,29,$D$1)&amp;"",",",""),"¥",""),"￥","")),0))</f>
        <v/>
      </c>
      <c r="E30">
        <f>IF($E$1=0,0,IFERROR(VALUE(SUBSTITUTE(SUBSTITUTE(SUBSTITUTE(INDEX(貼り付け!$A$1:$BZ$3001,29,$E$1)&amp;"",",",""),"¥",""),"￥","")),0))</f>
        <v/>
      </c>
      <c r="F30">
        <f>IF($F$1=0,0,IFERROR(VALUE(SUBSTITUTE(SUBSTITUTE(SUBSTITUTE(INDEX(貼り付け!$A$1:$BZ$3001,29,$F$1)&amp;"",",",""),"¥",""),"￥","")),0))</f>
        <v/>
      </c>
      <c r="G30">
        <f>IF(ISNUMBER(B30),YEAR(B30),"")</f>
        <v/>
      </c>
      <c r="H30">
        <f>IF(ISNUMBER(B30),MONTH(B30),"")</f>
        <v/>
      </c>
      <c r="I30">
        <f>IFERROR(IF($B$1=0,"",IF(ISNUMBER(INDEX(貼り付け!$A$1:$BZ$3001,29,$B$1)),"",SUBSTITUTE(SUBSTITUTE(SUBSTITUTE(SUBSTITUTE(TRIM(LEFT(INDEX(貼り付け!$A$1:$BZ$3001,29,$B$1)&amp;"",FIND(" ",TRIM(INDEX(貼り付け!$A$1:$BZ$3001,29,$B$1)&amp;"")&amp;" ")-1)),"/","-"),"年","-"),"月","-"),"日",""))),"")</f>
        <v/>
      </c>
      <c r="J30">
        <f>IFERROR(MID(I30,FIND("-",I30)+1,99),"")</f>
        <v/>
      </c>
    </row>
    <row r="31">
      <c r="B31">
        <f>IFERROR(IF($B$1=0,"",IF(INDEX(貼り付け!$A$1:$BZ$3001,30,$B$1)="","",IF(ISNUMBER(INDEX(貼り付け!$A$1:$BZ$3001,30,$B$1)),INT(INDEX(貼り付け!$A$1:$BZ$3001,30,$B$1)),DATE(VALUE(LEFT(I31,FIND("-",I31)-1)),VALUE(LEFT(J31,FIND("-",J31)-1)),VALUE(MID(J31,FIND("-",J31)+1,99)))))),"")</f>
        <v/>
      </c>
      <c r="C31">
        <f>IF($C$1=0,0,IFERROR(VALUE(SUBSTITUTE(SUBSTITUTE(SUBSTITUTE(INDEX(貼り付け!$A$1:$BZ$3001,30,$C$1)&amp;"",",",""),"¥",""),"￥","")),0))</f>
        <v/>
      </c>
      <c r="D31">
        <f>IF($D$1=0,0,IFERROR(VALUE(SUBSTITUTE(SUBSTITUTE(SUBSTITUTE(INDEX(貼り付け!$A$1:$BZ$3001,30,$D$1)&amp;"",",",""),"¥",""),"￥","")),0))</f>
        <v/>
      </c>
      <c r="E31">
        <f>IF($E$1=0,0,IFERROR(VALUE(SUBSTITUTE(SUBSTITUTE(SUBSTITUTE(INDEX(貼り付け!$A$1:$BZ$3001,30,$E$1)&amp;"",",",""),"¥",""),"￥","")),0))</f>
        <v/>
      </c>
      <c r="F31">
        <f>IF($F$1=0,0,IFERROR(VALUE(SUBSTITUTE(SUBSTITUTE(SUBSTITUTE(INDEX(貼り付け!$A$1:$BZ$3001,30,$F$1)&amp;"",",",""),"¥",""),"￥","")),0))</f>
        <v/>
      </c>
      <c r="G31">
        <f>IF(ISNUMBER(B31),YEAR(B31),"")</f>
        <v/>
      </c>
      <c r="H31">
        <f>IF(ISNUMBER(B31),MONTH(B31),"")</f>
        <v/>
      </c>
      <c r="I31">
        <f>IFERROR(IF($B$1=0,"",IF(ISNUMBER(INDEX(貼り付け!$A$1:$BZ$3001,30,$B$1)),"",SUBSTITUTE(SUBSTITUTE(SUBSTITUTE(SUBSTITUTE(TRIM(LEFT(INDEX(貼り付け!$A$1:$BZ$3001,30,$B$1)&amp;"",FIND(" ",TRIM(INDEX(貼り付け!$A$1:$BZ$3001,30,$B$1)&amp;"")&amp;" ")-1)),"/","-"),"年","-"),"月","-"),"日",""))),"")</f>
        <v/>
      </c>
      <c r="J31">
        <f>IFERROR(MID(I31,FIND("-",I31)+1,99),"")</f>
        <v/>
      </c>
    </row>
    <row r="32">
      <c r="B32">
        <f>IFERROR(IF($B$1=0,"",IF(INDEX(貼り付け!$A$1:$BZ$3001,31,$B$1)="","",IF(ISNUMBER(INDEX(貼り付け!$A$1:$BZ$3001,31,$B$1)),INT(INDEX(貼り付け!$A$1:$BZ$3001,31,$B$1)),DATE(VALUE(LEFT(I32,FIND("-",I32)-1)),VALUE(LEFT(J32,FIND("-",J32)-1)),VALUE(MID(J32,FIND("-",J32)+1,99)))))),"")</f>
        <v/>
      </c>
      <c r="C32">
        <f>IF($C$1=0,0,IFERROR(VALUE(SUBSTITUTE(SUBSTITUTE(SUBSTITUTE(INDEX(貼り付け!$A$1:$BZ$3001,31,$C$1)&amp;"",",",""),"¥",""),"￥","")),0))</f>
        <v/>
      </c>
      <c r="D32">
        <f>IF($D$1=0,0,IFERROR(VALUE(SUBSTITUTE(SUBSTITUTE(SUBSTITUTE(INDEX(貼り付け!$A$1:$BZ$3001,31,$D$1)&amp;"",",",""),"¥",""),"￥","")),0))</f>
        <v/>
      </c>
      <c r="E32">
        <f>IF($E$1=0,0,IFERROR(VALUE(SUBSTITUTE(SUBSTITUTE(SUBSTITUTE(INDEX(貼り付け!$A$1:$BZ$3001,31,$E$1)&amp;"",",",""),"¥",""),"￥","")),0))</f>
        <v/>
      </c>
      <c r="F32">
        <f>IF($F$1=0,0,IFERROR(VALUE(SUBSTITUTE(SUBSTITUTE(SUBSTITUTE(INDEX(貼り付け!$A$1:$BZ$3001,31,$F$1)&amp;"",",",""),"¥",""),"￥","")),0))</f>
        <v/>
      </c>
      <c r="G32">
        <f>IF(ISNUMBER(B32),YEAR(B32),"")</f>
        <v/>
      </c>
      <c r="H32">
        <f>IF(ISNUMBER(B32),MONTH(B32),"")</f>
        <v/>
      </c>
      <c r="I32">
        <f>IFERROR(IF($B$1=0,"",IF(ISNUMBER(INDEX(貼り付け!$A$1:$BZ$3001,31,$B$1)),"",SUBSTITUTE(SUBSTITUTE(SUBSTITUTE(SUBSTITUTE(TRIM(LEFT(INDEX(貼り付け!$A$1:$BZ$3001,31,$B$1)&amp;"",FIND(" ",TRIM(INDEX(貼り付け!$A$1:$BZ$3001,31,$B$1)&amp;"")&amp;" ")-1)),"/","-"),"年","-"),"月","-"),"日",""))),"")</f>
        <v/>
      </c>
      <c r="J32">
        <f>IFERROR(MID(I32,FIND("-",I32)+1,99),"")</f>
        <v/>
      </c>
    </row>
    <row r="33">
      <c r="B33">
        <f>IFERROR(IF($B$1=0,"",IF(INDEX(貼り付け!$A$1:$BZ$3001,32,$B$1)="","",IF(ISNUMBER(INDEX(貼り付け!$A$1:$BZ$3001,32,$B$1)),INT(INDEX(貼り付け!$A$1:$BZ$3001,32,$B$1)),DATE(VALUE(LEFT(I33,FIND("-",I33)-1)),VALUE(LEFT(J33,FIND("-",J33)-1)),VALUE(MID(J33,FIND("-",J33)+1,99)))))),"")</f>
        <v/>
      </c>
      <c r="C33">
        <f>IF($C$1=0,0,IFERROR(VALUE(SUBSTITUTE(SUBSTITUTE(SUBSTITUTE(INDEX(貼り付け!$A$1:$BZ$3001,32,$C$1)&amp;"",",",""),"¥",""),"￥","")),0))</f>
        <v/>
      </c>
      <c r="D33">
        <f>IF($D$1=0,0,IFERROR(VALUE(SUBSTITUTE(SUBSTITUTE(SUBSTITUTE(INDEX(貼り付け!$A$1:$BZ$3001,32,$D$1)&amp;"",",",""),"¥",""),"￥","")),0))</f>
        <v/>
      </c>
      <c r="E33">
        <f>IF($E$1=0,0,IFERROR(VALUE(SUBSTITUTE(SUBSTITUTE(SUBSTITUTE(INDEX(貼り付け!$A$1:$BZ$3001,32,$E$1)&amp;"",",",""),"¥",""),"￥","")),0))</f>
        <v/>
      </c>
      <c r="F33">
        <f>IF($F$1=0,0,IFERROR(VALUE(SUBSTITUTE(SUBSTITUTE(SUBSTITUTE(INDEX(貼り付け!$A$1:$BZ$3001,32,$F$1)&amp;"",",",""),"¥",""),"￥","")),0))</f>
        <v/>
      </c>
      <c r="G33">
        <f>IF(ISNUMBER(B33),YEAR(B33),"")</f>
        <v/>
      </c>
      <c r="H33">
        <f>IF(ISNUMBER(B33),MONTH(B33),"")</f>
        <v/>
      </c>
      <c r="I33">
        <f>IFERROR(IF($B$1=0,"",IF(ISNUMBER(INDEX(貼り付け!$A$1:$BZ$3001,32,$B$1)),"",SUBSTITUTE(SUBSTITUTE(SUBSTITUTE(SUBSTITUTE(TRIM(LEFT(INDEX(貼り付け!$A$1:$BZ$3001,32,$B$1)&amp;"",FIND(" ",TRIM(INDEX(貼り付け!$A$1:$BZ$3001,32,$B$1)&amp;"")&amp;" ")-1)),"/","-"),"年","-"),"月","-"),"日",""))),"")</f>
        <v/>
      </c>
      <c r="J33">
        <f>IFERROR(MID(I33,FIND("-",I33)+1,99),"")</f>
        <v/>
      </c>
    </row>
    <row r="34">
      <c r="B34">
        <f>IFERROR(IF($B$1=0,"",IF(INDEX(貼り付け!$A$1:$BZ$3001,33,$B$1)="","",IF(ISNUMBER(INDEX(貼り付け!$A$1:$BZ$3001,33,$B$1)),INT(INDEX(貼り付け!$A$1:$BZ$3001,33,$B$1)),DATE(VALUE(LEFT(I34,FIND("-",I34)-1)),VALUE(LEFT(J34,FIND("-",J34)-1)),VALUE(MID(J34,FIND("-",J34)+1,99)))))),"")</f>
        <v/>
      </c>
      <c r="C34">
        <f>IF($C$1=0,0,IFERROR(VALUE(SUBSTITUTE(SUBSTITUTE(SUBSTITUTE(INDEX(貼り付け!$A$1:$BZ$3001,33,$C$1)&amp;"",",",""),"¥",""),"￥","")),0))</f>
        <v/>
      </c>
      <c r="D34">
        <f>IF($D$1=0,0,IFERROR(VALUE(SUBSTITUTE(SUBSTITUTE(SUBSTITUTE(INDEX(貼り付け!$A$1:$BZ$3001,33,$D$1)&amp;"",",",""),"¥",""),"￥","")),0))</f>
        <v/>
      </c>
      <c r="E34">
        <f>IF($E$1=0,0,IFERROR(VALUE(SUBSTITUTE(SUBSTITUTE(SUBSTITUTE(INDEX(貼り付け!$A$1:$BZ$3001,33,$E$1)&amp;"",",",""),"¥",""),"￥","")),0))</f>
        <v/>
      </c>
      <c r="F34">
        <f>IF($F$1=0,0,IFERROR(VALUE(SUBSTITUTE(SUBSTITUTE(SUBSTITUTE(INDEX(貼り付け!$A$1:$BZ$3001,33,$F$1)&amp;"",",",""),"¥",""),"￥","")),0))</f>
        <v/>
      </c>
      <c r="G34">
        <f>IF(ISNUMBER(B34),YEAR(B34),"")</f>
        <v/>
      </c>
      <c r="H34">
        <f>IF(ISNUMBER(B34),MONTH(B34),"")</f>
        <v/>
      </c>
      <c r="I34">
        <f>IFERROR(IF($B$1=0,"",IF(ISNUMBER(INDEX(貼り付け!$A$1:$BZ$3001,33,$B$1)),"",SUBSTITUTE(SUBSTITUTE(SUBSTITUTE(SUBSTITUTE(TRIM(LEFT(INDEX(貼り付け!$A$1:$BZ$3001,33,$B$1)&amp;"",FIND(" ",TRIM(INDEX(貼り付け!$A$1:$BZ$3001,33,$B$1)&amp;"")&amp;" ")-1)),"/","-"),"年","-"),"月","-"),"日",""))),"")</f>
        <v/>
      </c>
      <c r="J34">
        <f>IFERROR(MID(I34,FIND("-",I34)+1,99),"")</f>
        <v/>
      </c>
    </row>
    <row r="35">
      <c r="B35">
        <f>IFERROR(IF($B$1=0,"",IF(INDEX(貼り付け!$A$1:$BZ$3001,34,$B$1)="","",IF(ISNUMBER(INDEX(貼り付け!$A$1:$BZ$3001,34,$B$1)),INT(INDEX(貼り付け!$A$1:$BZ$3001,34,$B$1)),DATE(VALUE(LEFT(I35,FIND("-",I35)-1)),VALUE(LEFT(J35,FIND("-",J35)-1)),VALUE(MID(J35,FIND("-",J35)+1,99)))))),"")</f>
        <v/>
      </c>
      <c r="C35">
        <f>IF($C$1=0,0,IFERROR(VALUE(SUBSTITUTE(SUBSTITUTE(SUBSTITUTE(INDEX(貼り付け!$A$1:$BZ$3001,34,$C$1)&amp;"",",",""),"¥",""),"￥","")),0))</f>
        <v/>
      </c>
      <c r="D35">
        <f>IF($D$1=0,0,IFERROR(VALUE(SUBSTITUTE(SUBSTITUTE(SUBSTITUTE(INDEX(貼り付け!$A$1:$BZ$3001,34,$D$1)&amp;"",",",""),"¥",""),"￥","")),0))</f>
        <v/>
      </c>
      <c r="E35">
        <f>IF($E$1=0,0,IFERROR(VALUE(SUBSTITUTE(SUBSTITUTE(SUBSTITUTE(INDEX(貼り付け!$A$1:$BZ$3001,34,$E$1)&amp;"",",",""),"¥",""),"￥","")),0))</f>
        <v/>
      </c>
      <c r="F35">
        <f>IF($F$1=0,0,IFERROR(VALUE(SUBSTITUTE(SUBSTITUTE(SUBSTITUTE(INDEX(貼り付け!$A$1:$BZ$3001,34,$F$1)&amp;"",",",""),"¥",""),"￥","")),0))</f>
        <v/>
      </c>
      <c r="G35">
        <f>IF(ISNUMBER(B35),YEAR(B35),"")</f>
        <v/>
      </c>
      <c r="H35">
        <f>IF(ISNUMBER(B35),MONTH(B35),"")</f>
        <v/>
      </c>
      <c r="I35">
        <f>IFERROR(IF($B$1=0,"",IF(ISNUMBER(INDEX(貼り付け!$A$1:$BZ$3001,34,$B$1)),"",SUBSTITUTE(SUBSTITUTE(SUBSTITUTE(SUBSTITUTE(TRIM(LEFT(INDEX(貼り付け!$A$1:$BZ$3001,34,$B$1)&amp;"",FIND(" ",TRIM(INDEX(貼り付け!$A$1:$BZ$3001,34,$B$1)&amp;"")&amp;" ")-1)),"/","-"),"年","-"),"月","-"),"日",""))),"")</f>
        <v/>
      </c>
      <c r="J35">
        <f>IFERROR(MID(I35,FIND("-",I35)+1,99),"")</f>
        <v/>
      </c>
    </row>
    <row r="36">
      <c r="B36">
        <f>IFERROR(IF($B$1=0,"",IF(INDEX(貼り付け!$A$1:$BZ$3001,35,$B$1)="","",IF(ISNUMBER(INDEX(貼り付け!$A$1:$BZ$3001,35,$B$1)),INT(INDEX(貼り付け!$A$1:$BZ$3001,35,$B$1)),DATE(VALUE(LEFT(I36,FIND("-",I36)-1)),VALUE(LEFT(J36,FIND("-",J36)-1)),VALUE(MID(J36,FIND("-",J36)+1,99)))))),"")</f>
        <v/>
      </c>
      <c r="C36">
        <f>IF($C$1=0,0,IFERROR(VALUE(SUBSTITUTE(SUBSTITUTE(SUBSTITUTE(INDEX(貼り付け!$A$1:$BZ$3001,35,$C$1)&amp;"",",",""),"¥",""),"￥","")),0))</f>
        <v/>
      </c>
      <c r="D36">
        <f>IF($D$1=0,0,IFERROR(VALUE(SUBSTITUTE(SUBSTITUTE(SUBSTITUTE(INDEX(貼り付け!$A$1:$BZ$3001,35,$D$1)&amp;"",",",""),"¥",""),"￥","")),0))</f>
        <v/>
      </c>
      <c r="E36">
        <f>IF($E$1=0,0,IFERROR(VALUE(SUBSTITUTE(SUBSTITUTE(SUBSTITUTE(INDEX(貼り付け!$A$1:$BZ$3001,35,$E$1)&amp;"",",",""),"¥",""),"￥","")),0))</f>
        <v/>
      </c>
      <c r="F36">
        <f>IF($F$1=0,0,IFERROR(VALUE(SUBSTITUTE(SUBSTITUTE(SUBSTITUTE(INDEX(貼り付け!$A$1:$BZ$3001,35,$F$1)&amp;"",",",""),"¥",""),"￥","")),0))</f>
        <v/>
      </c>
      <c r="G36">
        <f>IF(ISNUMBER(B36),YEAR(B36),"")</f>
        <v/>
      </c>
      <c r="H36">
        <f>IF(ISNUMBER(B36),MONTH(B36),"")</f>
        <v/>
      </c>
      <c r="I36">
        <f>IFERROR(IF($B$1=0,"",IF(ISNUMBER(INDEX(貼り付け!$A$1:$BZ$3001,35,$B$1)),"",SUBSTITUTE(SUBSTITUTE(SUBSTITUTE(SUBSTITUTE(TRIM(LEFT(INDEX(貼り付け!$A$1:$BZ$3001,35,$B$1)&amp;"",FIND(" ",TRIM(INDEX(貼り付け!$A$1:$BZ$3001,35,$B$1)&amp;"")&amp;" ")-1)),"/","-"),"年","-"),"月","-"),"日",""))),"")</f>
        <v/>
      </c>
      <c r="J36">
        <f>IFERROR(MID(I36,FIND("-",I36)+1,99),"")</f>
        <v/>
      </c>
    </row>
    <row r="37">
      <c r="B37">
        <f>IFERROR(IF($B$1=0,"",IF(INDEX(貼り付け!$A$1:$BZ$3001,36,$B$1)="","",IF(ISNUMBER(INDEX(貼り付け!$A$1:$BZ$3001,36,$B$1)),INT(INDEX(貼り付け!$A$1:$BZ$3001,36,$B$1)),DATE(VALUE(LEFT(I37,FIND("-",I37)-1)),VALUE(LEFT(J37,FIND("-",J37)-1)),VALUE(MID(J37,FIND("-",J37)+1,99)))))),"")</f>
        <v/>
      </c>
      <c r="C37">
        <f>IF($C$1=0,0,IFERROR(VALUE(SUBSTITUTE(SUBSTITUTE(SUBSTITUTE(INDEX(貼り付け!$A$1:$BZ$3001,36,$C$1)&amp;"",",",""),"¥",""),"￥","")),0))</f>
        <v/>
      </c>
      <c r="D37">
        <f>IF($D$1=0,0,IFERROR(VALUE(SUBSTITUTE(SUBSTITUTE(SUBSTITUTE(INDEX(貼り付け!$A$1:$BZ$3001,36,$D$1)&amp;"",",",""),"¥",""),"￥","")),0))</f>
        <v/>
      </c>
      <c r="E37">
        <f>IF($E$1=0,0,IFERROR(VALUE(SUBSTITUTE(SUBSTITUTE(SUBSTITUTE(INDEX(貼り付け!$A$1:$BZ$3001,36,$E$1)&amp;"",",",""),"¥",""),"￥","")),0))</f>
        <v/>
      </c>
      <c r="F37">
        <f>IF($F$1=0,0,IFERROR(VALUE(SUBSTITUTE(SUBSTITUTE(SUBSTITUTE(INDEX(貼り付け!$A$1:$BZ$3001,36,$F$1)&amp;"",",",""),"¥",""),"￥","")),0))</f>
        <v/>
      </c>
      <c r="G37">
        <f>IF(ISNUMBER(B37),YEAR(B37),"")</f>
        <v/>
      </c>
      <c r="H37">
        <f>IF(ISNUMBER(B37),MONTH(B37),"")</f>
        <v/>
      </c>
      <c r="I37">
        <f>IFERROR(IF($B$1=0,"",IF(ISNUMBER(INDEX(貼り付け!$A$1:$BZ$3001,36,$B$1)),"",SUBSTITUTE(SUBSTITUTE(SUBSTITUTE(SUBSTITUTE(TRIM(LEFT(INDEX(貼り付け!$A$1:$BZ$3001,36,$B$1)&amp;"",FIND(" ",TRIM(INDEX(貼り付け!$A$1:$BZ$3001,36,$B$1)&amp;"")&amp;" ")-1)),"/","-"),"年","-"),"月","-"),"日",""))),"")</f>
        <v/>
      </c>
      <c r="J37">
        <f>IFERROR(MID(I37,FIND("-",I37)+1,99),"")</f>
        <v/>
      </c>
    </row>
    <row r="38">
      <c r="B38">
        <f>IFERROR(IF($B$1=0,"",IF(INDEX(貼り付け!$A$1:$BZ$3001,37,$B$1)="","",IF(ISNUMBER(INDEX(貼り付け!$A$1:$BZ$3001,37,$B$1)),INT(INDEX(貼り付け!$A$1:$BZ$3001,37,$B$1)),DATE(VALUE(LEFT(I38,FIND("-",I38)-1)),VALUE(LEFT(J38,FIND("-",J38)-1)),VALUE(MID(J38,FIND("-",J38)+1,99)))))),"")</f>
        <v/>
      </c>
      <c r="C38">
        <f>IF($C$1=0,0,IFERROR(VALUE(SUBSTITUTE(SUBSTITUTE(SUBSTITUTE(INDEX(貼り付け!$A$1:$BZ$3001,37,$C$1)&amp;"",",",""),"¥",""),"￥","")),0))</f>
        <v/>
      </c>
      <c r="D38">
        <f>IF($D$1=0,0,IFERROR(VALUE(SUBSTITUTE(SUBSTITUTE(SUBSTITUTE(INDEX(貼り付け!$A$1:$BZ$3001,37,$D$1)&amp;"",",",""),"¥",""),"￥","")),0))</f>
        <v/>
      </c>
      <c r="E38">
        <f>IF($E$1=0,0,IFERROR(VALUE(SUBSTITUTE(SUBSTITUTE(SUBSTITUTE(INDEX(貼り付け!$A$1:$BZ$3001,37,$E$1)&amp;"",",",""),"¥",""),"￥","")),0))</f>
        <v/>
      </c>
      <c r="F38">
        <f>IF($F$1=0,0,IFERROR(VALUE(SUBSTITUTE(SUBSTITUTE(SUBSTITUTE(INDEX(貼り付け!$A$1:$BZ$3001,37,$F$1)&amp;"",",",""),"¥",""),"￥","")),0))</f>
        <v/>
      </c>
      <c r="G38">
        <f>IF(ISNUMBER(B38),YEAR(B38),"")</f>
        <v/>
      </c>
      <c r="H38">
        <f>IF(ISNUMBER(B38),MONTH(B38),"")</f>
        <v/>
      </c>
      <c r="I38">
        <f>IFERROR(IF($B$1=0,"",IF(ISNUMBER(INDEX(貼り付け!$A$1:$BZ$3001,37,$B$1)),"",SUBSTITUTE(SUBSTITUTE(SUBSTITUTE(SUBSTITUTE(TRIM(LEFT(INDEX(貼り付け!$A$1:$BZ$3001,37,$B$1)&amp;"",FIND(" ",TRIM(INDEX(貼り付け!$A$1:$BZ$3001,37,$B$1)&amp;"")&amp;" ")-1)),"/","-"),"年","-"),"月","-"),"日",""))),"")</f>
        <v/>
      </c>
      <c r="J38">
        <f>IFERROR(MID(I38,FIND("-",I38)+1,99),"")</f>
        <v/>
      </c>
    </row>
    <row r="39">
      <c r="B39">
        <f>IFERROR(IF($B$1=0,"",IF(INDEX(貼り付け!$A$1:$BZ$3001,38,$B$1)="","",IF(ISNUMBER(INDEX(貼り付け!$A$1:$BZ$3001,38,$B$1)),INT(INDEX(貼り付け!$A$1:$BZ$3001,38,$B$1)),DATE(VALUE(LEFT(I39,FIND("-",I39)-1)),VALUE(LEFT(J39,FIND("-",J39)-1)),VALUE(MID(J39,FIND("-",J39)+1,99)))))),"")</f>
        <v/>
      </c>
      <c r="C39">
        <f>IF($C$1=0,0,IFERROR(VALUE(SUBSTITUTE(SUBSTITUTE(SUBSTITUTE(INDEX(貼り付け!$A$1:$BZ$3001,38,$C$1)&amp;"",",",""),"¥",""),"￥","")),0))</f>
        <v/>
      </c>
      <c r="D39">
        <f>IF($D$1=0,0,IFERROR(VALUE(SUBSTITUTE(SUBSTITUTE(SUBSTITUTE(INDEX(貼り付け!$A$1:$BZ$3001,38,$D$1)&amp;"",",",""),"¥",""),"￥","")),0))</f>
        <v/>
      </c>
      <c r="E39">
        <f>IF($E$1=0,0,IFERROR(VALUE(SUBSTITUTE(SUBSTITUTE(SUBSTITUTE(INDEX(貼り付け!$A$1:$BZ$3001,38,$E$1)&amp;"",",",""),"¥",""),"￥","")),0))</f>
        <v/>
      </c>
      <c r="F39">
        <f>IF($F$1=0,0,IFERROR(VALUE(SUBSTITUTE(SUBSTITUTE(SUBSTITUTE(INDEX(貼り付け!$A$1:$BZ$3001,38,$F$1)&amp;"",",",""),"¥",""),"￥","")),0))</f>
        <v/>
      </c>
      <c r="G39">
        <f>IF(ISNUMBER(B39),YEAR(B39),"")</f>
        <v/>
      </c>
      <c r="H39">
        <f>IF(ISNUMBER(B39),MONTH(B39),"")</f>
        <v/>
      </c>
      <c r="I39">
        <f>IFERROR(IF($B$1=0,"",IF(ISNUMBER(INDEX(貼り付け!$A$1:$BZ$3001,38,$B$1)),"",SUBSTITUTE(SUBSTITUTE(SUBSTITUTE(SUBSTITUTE(TRIM(LEFT(INDEX(貼り付け!$A$1:$BZ$3001,38,$B$1)&amp;"",FIND(" ",TRIM(INDEX(貼り付け!$A$1:$BZ$3001,38,$B$1)&amp;"")&amp;" ")-1)),"/","-"),"年","-"),"月","-"),"日",""))),"")</f>
        <v/>
      </c>
      <c r="J39">
        <f>IFERROR(MID(I39,FIND("-",I39)+1,99),"")</f>
        <v/>
      </c>
    </row>
    <row r="40">
      <c r="B40">
        <f>IFERROR(IF($B$1=0,"",IF(INDEX(貼り付け!$A$1:$BZ$3001,39,$B$1)="","",IF(ISNUMBER(INDEX(貼り付け!$A$1:$BZ$3001,39,$B$1)),INT(INDEX(貼り付け!$A$1:$BZ$3001,39,$B$1)),DATE(VALUE(LEFT(I40,FIND("-",I40)-1)),VALUE(LEFT(J40,FIND("-",J40)-1)),VALUE(MID(J40,FIND("-",J40)+1,99)))))),"")</f>
        <v/>
      </c>
      <c r="C40">
        <f>IF($C$1=0,0,IFERROR(VALUE(SUBSTITUTE(SUBSTITUTE(SUBSTITUTE(INDEX(貼り付け!$A$1:$BZ$3001,39,$C$1)&amp;"",",",""),"¥",""),"￥","")),0))</f>
        <v/>
      </c>
      <c r="D40">
        <f>IF($D$1=0,0,IFERROR(VALUE(SUBSTITUTE(SUBSTITUTE(SUBSTITUTE(INDEX(貼り付け!$A$1:$BZ$3001,39,$D$1)&amp;"",",",""),"¥",""),"￥","")),0))</f>
        <v/>
      </c>
      <c r="E40">
        <f>IF($E$1=0,0,IFERROR(VALUE(SUBSTITUTE(SUBSTITUTE(SUBSTITUTE(INDEX(貼り付け!$A$1:$BZ$3001,39,$E$1)&amp;"",",",""),"¥",""),"￥","")),0))</f>
        <v/>
      </c>
      <c r="F40">
        <f>IF($F$1=0,0,IFERROR(VALUE(SUBSTITUTE(SUBSTITUTE(SUBSTITUTE(INDEX(貼り付け!$A$1:$BZ$3001,39,$F$1)&amp;"",",",""),"¥",""),"￥","")),0))</f>
        <v/>
      </c>
      <c r="G40">
        <f>IF(ISNUMBER(B40),YEAR(B40),"")</f>
        <v/>
      </c>
      <c r="H40">
        <f>IF(ISNUMBER(B40),MONTH(B40),"")</f>
        <v/>
      </c>
      <c r="I40">
        <f>IFERROR(IF($B$1=0,"",IF(ISNUMBER(INDEX(貼り付け!$A$1:$BZ$3001,39,$B$1)),"",SUBSTITUTE(SUBSTITUTE(SUBSTITUTE(SUBSTITUTE(TRIM(LEFT(INDEX(貼り付け!$A$1:$BZ$3001,39,$B$1)&amp;"",FIND(" ",TRIM(INDEX(貼り付け!$A$1:$BZ$3001,39,$B$1)&amp;"")&amp;" ")-1)),"/","-"),"年","-"),"月","-"),"日",""))),"")</f>
        <v/>
      </c>
      <c r="J40">
        <f>IFERROR(MID(I40,FIND("-",I40)+1,99),"")</f>
        <v/>
      </c>
    </row>
    <row r="41">
      <c r="B41">
        <f>IFERROR(IF($B$1=0,"",IF(INDEX(貼り付け!$A$1:$BZ$3001,40,$B$1)="","",IF(ISNUMBER(INDEX(貼り付け!$A$1:$BZ$3001,40,$B$1)),INT(INDEX(貼り付け!$A$1:$BZ$3001,40,$B$1)),DATE(VALUE(LEFT(I41,FIND("-",I41)-1)),VALUE(LEFT(J41,FIND("-",J41)-1)),VALUE(MID(J41,FIND("-",J41)+1,99)))))),"")</f>
        <v/>
      </c>
      <c r="C41">
        <f>IF($C$1=0,0,IFERROR(VALUE(SUBSTITUTE(SUBSTITUTE(SUBSTITUTE(INDEX(貼り付け!$A$1:$BZ$3001,40,$C$1)&amp;"",",",""),"¥",""),"￥","")),0))</f>
        <v/>
      </c>
      <c r="D41">
        <f>IF($D$1=0,0,IFERROR(VALUE(SUBSTITUTE(SUBSTITUTE(SUBSTITUTE(INDEX(貼り付け!$A$1:$BZ$3001,40,$D$1)&amp;"",",",""),"¥",""),"￥","")),0))</f>
        <v/>
      </c>
      <c r="E41">
        <f>IF($E$1=0,0,IFERROR(VALUE(SUBSTITUTE(SUBSTITUTE(SUBSTITUTE(INDEX(貼り付け!$A$1:$BZ$3001,40,$E$1)&amp;"",",",""),"¥",""),"￥","")),0))</f>
        <v/>
      </c>
      <c r="F41">
        <f>IF($F$1=0,0,IFERROR(VALUE(SUBSTITUTE(SUBSTITUTE(SUBSTITUTE(INDEX(貼り付け!$A$1:$BZ$3001,40,$F$1)&amp;"",",",""),"¥",""),"￥","")),0))</f>
        <v/>
      </c>
      <c r="G41">
        <f>IF(ISNUMBER(B41),YEAR(B41),"")</f>
        <v/>
      </c>
      <c r="H41">
        <f>IF(ISNUMBER(B41),MONTH(B41),"")</f>
        <v/>
      </c>
      <c r="I41">
        <f>IFERROR(IF($B$1=0,"",IF(ISNUMBER(INDEX(貼り付け!$A$1:$BZ$3001,40,$B$1)),"",SUBSTITUTE(SUBSTITUTE(SUBSTITUTE(SUBSTITUTE(TRIM(LEFT(INDEX(貼り付け!$A$1:$BZ$3001,40,$B$1)&amp;"",FIND(" ",TRIM(INDEX(貼り付け!$A$1:$BZ$3001,40,$B$1)&amp;"")&amp;" ")-1)),"/","-"),"年","-"),"月","-"),"日",""))),"")</f>
        <v/>
      </c>
      <c r="J41">
        <f>IFERROR(MID(I41,FIND("-",I41)+1,99),"")</f>
        <v/>
      </c>
    </row>
    <row r="42">
      <c r="B42">
        <f>IFERROR(IF($B$1=0,"",IF(INDEX(貼り付け!$A$1:$BZ$3001,41,$B$1)="","",IF(ISNUMBER(INDEX(貼り付け!$A$1:$BZ$3001,41,$B$1)),INT(INDEX(貼り付け!$A$1:$BZ$3001,41,$B$1)),DATE(VALUE(LEFT(I42,FIND("-",I42)-1)),VALUE(LEFT(J42,FIND("-",J42)-1)),VALUE(MID(J42,FIND("-",J42)+1,99)))))),"")</f>
        <v/>
      </c>
      <c r="C42">
        <f>IF($C$1=0,0,IFERROR(VALUE(SUBSTITUTE(SUBSTITUTE(SUBSTITUTE(INDEX(貼り付け!$A$1:$BZ$3001,41,$C$1)&amp;"",",",""),"¥",""),"￥","")),0))</f>
        <v/>
      </c>
      <c r="D42">
        <f>IF($D$1=0,0,IFERROR(VALUE(SUBSTITUTE(SUBSTITUTE(SUBSTITUTE(INDEX(貼り付け!$A$1:$BZ$3001,41,$D$1)&amp;"",",",""),"¥",""),"￥","")),0))</f>
        <v/>
      </c>
      <c r="E42">
        <f>IF($E$1=0,0,IFERROR(VALUE(SUBSTITUTE(SUBSTITUTE(SUBSTITUTE(INDEX(貼り付け!$A$1:$BZ$3001,41,$E$1)&amp;"",",",""),"¥",""),"￥","")),0))</f>
        <v/>
      </c>
      <c r="F42">
        <f>IF($F$1=0,0,IFERROR(VALUE(SUBSTITUTE(SUBSTITUTE(SUBSTITUTE(INDEX(貼り付け!$A$1:$BZ$3001,41,$F$1)&amp;"",",",""),"¥",""),"￥","")),0))</f>
        <v/>
      </c>
      <c r="G42">
        <f>IF(ISNUMBER(B42),YEAR(B42),"")</f>
        <v/>
      </c>
      <c r="H42">
        <f>IF(ISNUMBER(B42),MONTH(B42),"")</f>
        <v/>
      </c>
      <c r="I42">
        <f>IFERROR(IF($B$1=0,"",IF(ISNUMBER(INDEX(貼り付け!$A$1:$BZ$3001,41,$B$1)),"",SUBSTITUTE(SUBSTITUTE(SUBSTITUTE(SUBSTITUTE(TRIM(LEFT(INDEX(貼り付け!$A$1:$BZ$3001,41,$B$1)&amp;"",FIND(" ",TRIM(INDEX(貼り付け!$A$1:$BZ$3001,41,$B$1)&amp;"")&amp;" ")-1)),"/","-"),"年","-"),"月","-"),"日",""))),"")</f>
        <v/>
      </c>
      <c r="J42">
        <f>IFERROR(MID(I42,FIND("-",I42)+1,99),"")</f>
        <v/>
      </c>
    </row>
    <row r="43">
      <c r="B43">
        <f>IFERROR(IF($B$1=0,"",IF(INDEX(貼り付け!$A$1:$BZ$3001,42,$B$1)="","",IF(ISNUMBER(INDEX(貼り付け!$A$1:$BZ$3001,42,$B$1)),INT(INDEX(貼り付け!$A$1:$BZ$3001,42,$B$1)),DATE(VALUE(LEFT(I43,FIND("-",I43)-1)),VALUE(LEFT(J43,FIND("-",J43)-1)),VALUE(MID(J43,FIND("-",J43)+1,99)))))),"")</f>
        <v/>
      </c>
      <c r="C43">
        <f>IF($C$1=0,0,IFERROR(VALUE(SUBSTITUTE(SUBSTITUTE(SUBSTITUTE(INDEX(貼り付け!$A$1:$BZ$3001,42,$C$1)&amp;"",",",""),"¥",""),"￥","")),0))</f>
        <v/>
      </c>
      <c r="D43">
        <f>IF($D$1=0,0,IFERROR(VALUE(SUBSTITUTE(SUBSTITUTE(SUBSTITUTE(INDEX(貼り付け!$A$1:$BZ$3001,42,$D$1)&amp;"",",",""),"¥",""),"￥","")),0))</f>
        <v/>
      </c>
      <c r="E43">
        <f>IF($E$1=0,0,IFERROR(VALUE(SUBSTITUTE(SUBSTITUTE(SUBSTITUTE(INDEX(貼り付け!$A$1:$BZ$3001,42,$E$1)&amp;"",",",""),"¥",""),"￥","")),0))</f>
        <v/>
      </c>
      <c r="F43">
        <f>IF($F$1=0,0,IFERROR(VALUE(SUBSTITUTE(SUBSTITUTE(SUBSTITUTE(INDEX(貼り付け!$A$1:$BZ$3001,42,$F$1)&amp;"",",",""),"¥",""),"￥","")),0))</f>
        <v/>
      </c>
      <c r="G43">
        <f>IF(ISNUMBER(B43),YEAR(B43),"")</f>
        <v/>
      </c>
      <c r="H43">
        <f>IF(ISNUMBER(B43),MONTH(B43),"")</f>
        <v/>
      </c>
      <c r="I43">
        <f>IFERROR(IF($B$1=0,"",IF(ISNUMBER(INDEX(貼り付け!$A$1:$BZ$3001,42,$B$1)),"",SUBSTITUTE(SUBSTITUTE(SUBSTITUTE(SUBSTITUTE(TRIM(LEFT(INDEX(貼り付け!$A$1:$BZ$3001,42,$B$1)&amp;"",FIND(" ",TRIM(INDEX(貼り付け!$A$1:$BZ$3001,42,$B$1)&amp;"")&amp;" ")-1)),"/","-"),"年","-"),"月","-"),"日",""))),"")</f>
        <v/>
      </c>
      <c r="J43">
        <f>IFERROR(MID(I43,FIND("-",I43)+1,99),"")</f>
        <v/>
      </c>
    </row>
    <row r="44">
      <c r="B44">
        <f>IFERROR(IF($B$1=0,"",IF(INDEX(貼り付け!$A$1:$BZ$3001,43,$B$1)="","",IF(ISNUMBER(INDEX(貼り付け!$A$1:$BZ$3001,43,$B$1)),INT(INDEX(貼り付け!$A$1:$BZ$3001,43,$B$1)),DATE(VALUE(LEFT(I44,FIND("-",I44)-1)),VALUE(LEFT(J44,FIND("-",J44)-1)),VALUE(MID(J44,FIND("-",J44)+1,99)))))),"")</f>
        <v/>
      </c>
      <c r="C44">
        <f>IF($C$1=0,0,IFERROR(VALUE(SUBSTITUTE(SUBSTITUTE(SUBSTITUTE(INDEX(貼り付け!$A$1:$BZ$3001,43,$C$1)&amp;"",",",""),"¥",""),"￥","")),0))</f>
        <v/>
      </c>
      <c r="D44">
        <f>IF($D$1=0,0,IFERROR(VALUE(SUBSTITUTE(SUBSTITUTE(SUBSTITUTE(INDEX(貼り付け!$A$1:$BZ$3001,43,$D$1)&amp;"",",",""),"¥",""),"￥","")),0))</f>
        <v/>
      </c>
      <c r="E44">
        <f>IF($E$1=0,0,IFERROR(VALUE(SUBSTITUTE(SUBSTITUTE(SUBSTITUTE(INDEX(貼り付け!$A$1:$BZ$3001,43,$E$1)&amp;"",",",""),"¥",""),"￥","")),0))</f>
        <v/>
      </c>
      <c r="F44">
        <f>IF($F$1=0,0,IFERROR(VALUE(SUBSTITUTE(SUBSTITUTE(SUBSTITUTE(INDEX(貼り付け!$A$1:$BZ$3001,43,$F$1)&amp;"",",",""),"¥",""),"￥","")),0))</f>
        <v/>
      </c>
      <c r="G44">
        <f>IF(ISNUMBER(B44),YEAR(B44),"")</f>
        <v/>
      </c>
      <c r="H44">
        <f>IF(ISNUMBER(B44),MONTH(B44),"")</f>
        <v/>
      </c>
      <c r="I44">
        <f>IFERROR(IF($B$1=0,"",IF(ISNUMBER(INDEX(貼り付け!$A$1:$BZ$3001,43,$B$1)),"",SUBSTITUTE(SUBSTITUTE(SUBSTITUTE(SUBSTITUTE(TRIM(LEFT(INDEX(貼り付け!$A$1:$BZ$3001,43,$B$1)&amp;"",FIND(" ",TRIM(INDEX(貼り付け!$A$1:$BZ$3001,43,$B$1)&amp;"")&amp;" ")-1)),"/","-"),"年","-"),"月","-"),"日",""))),"")</f>
        <v/>
      </c>
      <c r="J44">
        <f>IFERROR(MID(I44,FIND("-",I44)+1,99),"")</f>
        <v/>
      </c>
    </row>
    <row r="45">
      <c r="B45">
        <f>IFERROR(IF($B$1=0,"",IF(INDEX(貼り付け!$A$1:$BZ$3001,44,$B$1)="","",IF(ISNUMBER(INDEX(貼り付け!$A$1:$BZ$3001,44,$B$1)),INT(INDEX(貼り付け!$A$1:$BZ$3001,44,$B$1)),DATE(VALUE(LEFT(I45,FIND("-",I45)-1)),VALUE(LEFT(J45,FIND("-",J45)-1)),VALUE(MID(J45,FIND("-",J45)+1,99)))))),"")</f>
        <v/>
      </c>
      <c r="C45">
        <f>IF($C$1=0,0,IFERROR(VALUE(SUBSTITUTE(SUBSTITUTE(SUBSTITUTE(INDEX(貼り付け!$A$1:$BZ$3001,44,$C$1)&amp;"",",",""),"¥",""),"￥","")),0))</f>
        <v/>
      </c>
      <c r="D45">
        <f>IF($D$1=0,0,IFERROR(VALUE(SUBSTITUTE(SUBSTITUTE(SUBSTITUTE(INDEX(貼り付け!$A$1:$BZ$3001,44,$D$1)&amp;"",",",""),"¥",""),"￥","")),0))</f>
        <v/>
      </c>
      <c r="E45">
        <f>IF($E$1=0,0,IFERROR(VALUE(SUBSTITUTE(SUBSTITUTE(SUBSTITUTE(INDEX(貼り付け!$A$1:$BZ$3001,44,$E$1)&amp;"",",",""),"¥",""),"￥","")),0))</f>
        <v/>
      </c>
      <c r="F45">
        <f>IF($F$1=0,0,IFERROR(VALUE(SUBSTITUTE(SUBSTITUTE(SUBSTITUTE(INDEX(貼り付け!$A$1:$BZ$3001,44,$F$1)&amp;"",",",""),"¥",""),"￥","")),0))</f>
        <v/>
      </c>
      <c r="G45">
        <f>IF(ISNUMBER(B45),YEAR(B45),"")</f>
        <v/>
      </c>
      <c r="H45">
        <f>IF(ISNUMBER(B45),MONTH(B45),"")</f>
        <v/>
      </c>
      <c r="I45">
        <f>IFERROR(IF($B$1=0,"",IF(ISNUMBER(INDEX(貼り付け!$A$1:$BZ$3001,44,$B$1)),"",SUBSTITUTE(SUBSTITUTE(SUBSTITUTE(SUBSTITUTE(TRIM(LEFT(INDEX(貼り付け!$A$1:$BZ$3001,44,$B$1)&amp;"",FIND(" ",TRIM(INDEX(貼り付け!$A$1:$BZ$3001,44,$B$1)&amp;"")&amp;" ")-1)),"/","-"),"年","-"),"月","-"),"日",""))),"")</f>
        <v/>
      </c>
      <c r="J45">
        <f>IFERROR(MID(I45,FIND("-",I45)+1,99),"")</f>
        <v/>
      </c>
    </row>
    <row r="46">
      <c r="B46">
        <f>IFERROR(IF($B$1=0,"",IF(INDEX(貼り付け!$A$1:$BZ$3001,45,$B$1)="","",IF(ISNUMBER(INDEX(貼り付け!$A$1:$BZ$3001,45,$B$1)),INT(INDEX(貼り付け!$A$1:$BZ$3001,45,$B$1)),DATE(VALUE(LEFT(I46,FIND("-",I46)-1)),VALUE(LEFT(J46,FIND("-",J46)-1)),VALUE(MID(J46,FIND("-",J46)+1,99)))))),"")</f>
        <v/>
      </c>
      <c r="C46">
        <f>IF($C$1=0,0,IFERROR(VALUE(SUBSTITUTE(SUBSTITUTE(SUBSTITUTE(INDEX(貼り付け!$A$1:$BZ$3001,45,$C$1)&amp;"",",",""),"¥",""),"￥","")),0))</f>
        <v/>
      </c>
      <c r="D46">
        <f>IF($D$1=0,0,IFERROR(VALUE(SUBSTITUTE(SUBSTITUTE(SUBSTITUTE(INDEX(貼り付け!$A$1:$BZ$3001,45,$D$1)&amp;"",",",""),"¥",""),"￥","")),0))</f>
        <v/>
      </c>
      <c r="E46">
        <f>IF($E$1=0,0,IFERROR(VALUE(SUBSTITUTE(SUBSTITUTE(SUBSTITUTE(INDEX(貼り付け!$A$1:$BZ$3001,45,$E$1)&amp;"",",",""),"¥",""),"￥","")),0))</f>
        <v/>
      </c>
      <c r="F46">
        <f>IF($F$1=0,0,IFERROR(VALUE(SUBSTITUTE(SUBSTITUTE(SUBSTITUTE(INDEX(貼り付け!$A$1:$BZ$3001,45,$F$1)&amp;"",",",""),"¥",""),"￥","")),0))</f>
        <v/>
      </c>
      <c r="G46">
        <f>IF(ISNUMBER(B46),YEAR(B46),"")</f>
        <v/>
      </c>
      <c r="H46">
        <f>IF(ISNUMBER(B46),MONTH(B46),"")</f>
        <v/>
      </c>
      <c r="I46">
        <f>IFERROR(IF($B$1=0,"",IF(ISNUMBER(INDEX(貼り付け!$A$1:$BZ$3001,45,$B$1)),"",SUBSTITUTE(SUBSTITUTE(SUBSTITUTE(SUBSTITUTE(TRIM(LEFT(INDEX(貼り付け!$A$1:$BZ$3001,45,$B$1)&amp;"",FIND(" ",TRIM(INDEX(貼り付け!$A$1:$BZ$3001,45,$B$1)&amp;"")&amp;" ")-1)),"/","-"),"年","-"),"月","-"),"日",""))),"")</f>
        <v/>
      </c>
      <c r="J46">
        <f>IFERROR(MID(I46,FIND("-",I46)+1,99),"")</f>
        <v/>
      </c>
    </row>
    <row r="47">
      <c r="B47">
        <f>IFERROR(IF($B$1=0,"",IF(INDEX(貼り付け!$A$1:$BZ$3001,46,$B$1)="","",IF(ISNUMBER(INDEX(貼り付け!$A$1:$BZ$3001,46,$B$1)),INT(INDEX(貼り付け!$A$1:$BZ$3001,46,$B$1)),DATE(VALUE(LEFT(I47,FIND("-",I47)-1)),VALUE(LEFT(J47,FIND("-",J47)-1)),VALUE(MID(J47,FIND("-",J47)+1,99)))))),"")</f>
        <v/>
      </c>
      <c r="C47">
        <f>IF($C$1=0,0,IFERROR(VALUE(SUBSTITUTE(SUBSTITUTE(SUBSTITUTE(INDEX(貼り付け!$A$1:$BZ$3001,46,$C$1)&amp;"",",",""),"¥",""),"￥","")),0))</f>
        <v/>
      </c>
      <c r="D47">
        <f>IF($D$1=0,0,IFERROR(VALUE(SUBSTITUTE(SUBSTITUTE(SUBSTITUTE(INDEX(貼り付け!$A$1:$BZ$3001,46,$D$1)&amp;"",",",""),"¥",""),"￥","")),0))</f>
        <v/>
      </c>
      <c r="E47">
        <f>IF($E$1=0,0,IFERROR(VALUE(SUBSTITUTE(SUBSTITUTE(SUBSTITUTE(INDEX(貼り付け!$A$1:$BZ$3001,46,$E$1)&amp;"",",",""),"¥",""),"￥","")),0))</f>
        <v/>
      </c>
      <c r="F47">
        <f>IF($F$1=0,0,IFERROR(VALUE(SUBSTITUTE(SUBSTITUTE(SUBSTITUTE(INDEX(貼り付け!$A$1:$BZ$3001,46,$F$1)&amp;"",",",""),"¥",""),"￥","")),0))</f>
        <v/>
      </c>
      <c r="G47">
        <f>IF(ISNUMBER(B47),YEAR(B47),"")</f>
        <v/>
      </c>
      <c r="H47">
        <f>IF(ISNUMBER(B47),MONTH(B47),"")</f>
        <v/>
      </c>
      <c r="I47">
        <f>IFERROR(IF($B$1=0,"",IF(ISNUMBER(INDEX(貼り付け!$A$1:$BZ$3001,46,$B$1)),"",SUBSTITUTE(SUBSTITUTE(SUBSTITUTE(SUBSTITUTE(TRIM(LEFT(INDEX(貼り付け!$A$1:$BZ$3001,46,$B$1)&amp;"",FIND(" ",TRIM(INDEX(貼り付け!$A$1:$BZ$3001,46,$B$1)&amp;"")&amp;" ")-1)),"/","-"),"年","-"),"月","-"),"日",""))),"")</f>
        <v/>
      </c>
      <c r="J47">
        <f>IFERROR(MID(I47,FIND("-",I47)+1,99),"")</f>
        <v/>
      </c>
    </row>
    <row r="48">
      <c r="B48">
        <f>IFERROR(IF($B$1=0,"",IF(INDEX(貼り付け!$A$1:$BZ$3001,47,$B$1)="","",IF(ISNUMBER(INDEX(貼り付け!$A$1:$BZ$3001,47,$B$1)),INT(INDEX(貼り付け!$A$1:$BZ$3001,47,$B$1)),DATE(VALUE(LEFT(I48,FIND("-",I48)-1)),VALUE(LEFT(J48,FIND("-",J48)-1)),VALUE(MID(J48,FIND("-",J48)+1,99)))))),"")</f>
        <v/>
      </c>
      <c r="C48">
        <f>IF($C$1=0,0,IFERROR(VALUE(SUBSTITUTE(SUBSTITUTE(SUBSTITUTE(INDEX(貼り付け!$A$1:$BZ$3001,47,$C$1)&amp;"",",",""),"¥",""),"￥","")),0))</f>
        <v/>
      </c>
      <c r="D48">
        <f>IF($D$1=0,0,IFERROR(VALUE(SUBSTITUTE(SUBSTITUTE(SUBSTITUTE(INDEX(貼り付け!$A$1:$BZ$3001,47,$D$1)&amp;"",",",""),"¥",""),"￥","")),0))</f>
        <v/>
      </c>
      <c r="E48">
        <f>IF($E$1=0,0,IFERROR(VALUE(SUBSTITUTE(SUBSTITUTE(SUBSTITUTE(INDEX(貼り付け!$A$1:$BZ$3001,47,$E$1)&amp;"",",",""),"¥",""),"￥","")),0))</f>
        <v/>
      </c>
      <c r="F48">
        <f>IF($F$1=0,0,IFERROR(VALUE(SUBSTITUTE(SUBSTITUTE(SUBSTITUTE(INDEX(貼り付け!$A$1:$BZ$3001,47,$F$1)&amp;"",",",""),"¥",""),"￥","")),0))</f>
        <v/>
      </c>
      <c r="G48">
        <f>IF(ISNUMBER(B48),YEAR(B48),"")</f>
        <v/>
      </c>
      <c r="H48">
        <f>IF(ISNUMBER(B48),MONTH(B48),"")</f>
        <v/>
      </c>
      <c r="I48">
        <f>IFERROR(IF($B$1=0,"",IF(ISNUMBER(INDEX(貼り付け!$A$1:$BZ$3001,47,$B$1)),"",SUBSTITUTE(SUBSTITUTE(SUBSTITUTE(SUBSTITUTE(TRIM(LEFT(INDEX(貼り付け!$A$1:$BZ$3001,47,$B$1)&amp;"",FIND(" ",TRIM(INDEX(貼り付け!$A$1:$BZ$3001,47,$B$1)&amp;"")&amp;" ")-1)),"/","-"),"年","-"),"月","-"),"日",""))),"")</f>
        <v/>
      </c>
      <c r="J48">
        <f>IFERROR(MID(I48,FIND("-",I48)+1,99),"")</f>
        <v/>
      </c>
    </row>
    <row r="49">
      <c r="B49">
        <f>IFERROR(IF($B$1=0,"",IF(INDEX(貼り付け!$A$1:$BZ$3001,48,$B$1)="","",IF(ISNUMBER(INDEX(貼り付け!$A$1:$BZ$3001,48,$B$1)),INT(INDEX(貼り付け!$A$1:$BZ$3001,48,$B$1)),DATE(VALUE(LEFT(I49,FIND("-",I49)-1)),VALUE(LEFT(J49,FIND("-",J49)-1)),VALUE(MID(J49,FIND("-",J49)+1,99)))))),"")</f>
        <v/>
      </c>
      <c r="C49">
        <f>IF($C$1=0,0,IFERROR(VALUE(SUBSTITUTE(SUBSTITUTE(SUBSTITUTE(INDEX(貼り付け!$A$1:$BZ$3001,48,$C$1)&amp;"",",",""),"¥",""),"￥","")),0))</f>
        <v/>
      </c>
      <c r="D49">
        <f>IF($D$1=0,0,IFERROR(VALUE(SUBSTITUTE(SUBSTITUTE(SUBSTITUTE(INDEX(貼り付け!$A$1:$BZ$3001,48,$D$1)&amp;"",",",""),"¥",""),"￥","")),0))</f>
        <v/>
      </c>
      <c r="E49">
        <f>IF($E$1=0,0,IFERROR(VALUE(SUBSTITUTE(SUBSTITUTE(SUBSTITUTE(INDEX(貼り付け!$A$1:$BZ$3001,48,$E$1)&amp;"",",",""),"¥",""),"￥","")),0))</f>
        <v/>
      </c>
      <c r="F49">
        <f>IF($F$1=0,0,IFERROR(VALUE(SUBSTITUTE(SUBSTITUTE(SUBSTITUTE(INDEX(貼り付け!$A$1:$BZ$3001,48,$F$1)&amp;"",",",""),"¥",""),"￥","")),0))</f>
        <v/>
      </c>
      <c r="G49">
        <f>IF(ISNUMBER(B49),YEAR(B49),"")</f>
        <v/>
      </c>
      <c r="H49">
        <f>IF(ISNUMBER(B49),MONTH(B49),"")</f>
        <v/>
      </c>
      <c r="I49">
        <f>IFERROR(IF($B$1=0,"",IF(ISNUMBER(INDEX(貼り付け!$A$1:$BZ$3001,48,$B$1)),"",SUBSTITUTE(SUBSTITUTE(SUBSTITUTE(SUBSTITUTE(TRIM(LEFT(INDEX(貼り付け!$A$1:$BZ$3001,48,$B$1)&amp;"",FIND(" ",TRIM(INDEX(貼り付け!$A$1:$BZ$3001,48,$B$1)&amp;"")&amp;" ")-1)),"/","-"),"年","-"),"月","-"),"日",""))),"")</f>
        <v/>
      </c>
      <c r="J49">
        <f>IFERROR(MID(I49,FIND("-",I49)+1,99),"")</f>
        <v/>
      </c>
    </row>
    <row r="50">
      <c r="B50">
        <f>IFERROR(IF($B$1=0,"",IF(INDEX(貼り付け!$A$1:$BZ$3001,49,$B$1)="","",IF(ISNUMBER(INDEX(貼り付け!$A$1:$BZ$3001,49,$B$1)),INT(INDEX(貼り付け!$A$1:$BZ$3001,49,$B$1)),DATE(VALUE(LEFT(I50,FIND("-",I50)-1)),VALUE(LEFT(J50,FIND("-",J50)-1)),VALUE(MID(J50,FIND("-",J50)+1,99)))))),"")</f>
        <v/>
      </c>
      <c r="C50">
        <f>IF($C$1=0,0,IFERROR(VALUE(SUBSTITUTE(SUBSTITUTE(SUBSTITUTE(INDEX(貼り付け!$A$1:$BZ$3001,49,$C$1)&amp;"",",",""),"¥",""),"￥","")),0))</f>
        <v/>
      </c>
      <c r="D50">
        <f>IF($D$1=0,0,IFERROR(VALUE(SUBSTITUTE(SUBSTITUTE(SUBSTITUTE(INDEX(貼り付け!$A$1:$BZ$3001,49,$D$1)&amp;"",",",""),"¥",""),"￥","")),0))</f>
        <v/>
      </c>
      <c r="E50">
        <f>IF($E$1=0,0,IFERROR(VALUE(SUBSTITUTE(SUBSTITUTE(SUBSTITUTE(INDEX(貼り付け!$A$1:$BZ$3001,49,$E$1)&amp;"",",",""),"¥",""),"￥","")),0))</f>
        <v/>
      </c>
      <c r="F50">
        <f>IF($F$1=0,0,IFERROR(VALUE(SUBSTITUTE(SUBSTITUTE(SUBSTITUTE(INDEX(貼り付け!$A$1:$BZ$3001,49,$F$1)&amp;"",",",""),"¥",""),"￥","")),0))</f>
        <v/>
      </c>
      <c r="G50">
        <f>IF(ISNUMBER(B50),YEAR(B50),"")</f>
        <v/>
      </c>
      <c r="H50">
        <f>IF(ISNUMBER(B50),MONTH(B50),"")</f>
        <v/>
      </c>
      <c r="I50">
        <f>IFERROR(IF($B$1=0,"",IF(ISNUMBER(INDEX(貼り付け!$A$1:$BZ$3001,49,$B$1)),"",SUBSTITUTE(SUBSTITUTE(SUBSTITUTE(SUBSTITUTE(TRIM(LEFT(INDEX(貼り付け!$A$1:$BZ$3001,49,$B$1)&amp;"",FIND(" ",TRIM(INDEX(貼り付け!$A$1:$BZ$3001,49,$B$1)&amp;"")&amp;" ")-1)),"/","-"),"年","-"),"月","-"),"日",""))),"")</f>
        <v/>
      </c>
      <c r="J50">
        <f>IFERROR(MID(I50,FIND("-",I50)+1,99),"")</f>
        <v/>
      </c>
    </row>
    <row r="51">
      <c r="B51">
        <f>IFERROR(IF($B$1=0,"",IF(INDEX(貼り付け!$A$1:$BZ$3001,50,$B$1)="","",IF(ISNUMBER(INDEX(貼り付け!$A$1:$BZ$3001,50,$B$1)),INT(INDEX(貼り付け!$A$1:$BZ$3001,50,$B$1)),DATE(VALUE(LEFT(I51,FIND("-",I51)-1)),VALUE(LEFT(J51,FIND("-",J51)-1)),VALUE(MID(J51,FIND("-",J51)+1,99)))))),"")</f>
        <v/>
      </c>
      <c r="C51">
        <f>IF($C$1=0,0,IFERROR(VALUE(SUBSTITUTE(SUBSTITUTE(SUBSTITUTE(INDEX(貼り付け!$A$1:$BZ$3001,50,$C$1)&amp;"",",",""),"¥",""),"￥","")),0))</f>
        <v/>
      </c>
      <c r="D51">
        <f>IF($D$1=0,0,IFERROR(VALUE(SUBSTITUTE(SUBSTITUTE(SUBSTITUTE(INDEX(貼り付け!$A$1:$BZ$3001,50,$D$1)&amp;"",",",""),"¥",""),"￥","")),0))</f>
        <v/>
      </c>
      <c r="E51">
        <f>IF($E$1=0,0,IFERROR(VALUE(SUBSTITUTE(SUBSTITUTE(SUBSTITUTE(INDEX(貼り付け!$A$1:$BZ$3001,50,$E$1)&amp;"",",",""),"¥",""),"￥","")),0))</f>
        <v/>
      </c>
      <c r="F51">
        <f>IF($F$1=0,0,IFERROR(VALUE(SUBSTITUTE(SUBSTITUTE(SUBSTITUTE(INDEX(貼り付け!$A$1:$BZ$3001,50,$F$1)&amp;"",",",""),"¥",""),"￥","")),0))</f>
        <v/>
      </c>
      <c r="G51">
        <f>IF(ISNUMBER(B51),YEAR(B51),"")</f>
        <v/>
      </c>
      <c r="H51">
        <f>IF(ISNUMBER(B51),MONTH(B51),"")</f>
        <v/>
      </c>
      <c r="I51">
        <f>IFERROR(IF($B$1=0,"",IF(ISNUMBER(INDEX(貼り付け!$A$1:$BZ$3001,50,$B$1)),"",SUBSTITUTE(SUBSTITUTE(SUBSTITUTE(SUBSTITUTE(TRIM(LEFT(INDEX(貼り付け!$A$1:$BZ$3001,50,$B$1)&amp;"",FIND(" ",TRIM(INDEX(貼り付け!$A$1:$BZ$3001,50,$B$1)&amp;"")&amp;" ")-1)),"/","-"),"年","-"),"月","-"),"日",""))),"")</f>
        <v/>
      </c>
      <c r="J51">
        <f>IFERROR(MID(I51,FIND("-",I51)+1,99),"")</f>
        <v/>
      </c>
    </row>
    <row r="52">
      <c r="B52">
        <f>IFERROR(IF($B$1=0,"",IF(INDEX(貼り付け!$A$1:$BZ$3001,51,$B$1)="","",IF(ISNUMBER(INDEX(貼り付け!$A$1:$BZ$3001,51,$B$1)),INT(INDEX(貼り付け!$A$1:$BZ$3001,51,$B$1)),DATE(VALUE(LEFT(I52,FIND("-",I52)-1)),VALUE(LEFT(J52,FIND("-",J52)-1)),VALUE(MID(J52,FIND("-",J52)+1,99)))))),"")</f>
        <v/>
      </c>
      <c r="C52">
        <f>IF($C$1=0,0,IFERROR(VALUE(SUBSTITUTE(SUBSTITUTE(SUBSTITUTE(INDEX(貼り付け!$A$1:$BZ$3001,51,$C$1)&amp;"",",",""),"¥",""),"￥","")),0))</f>
        <v/>
      </c>
      <c r="D52">
        <f>IF($D$1=0,0,IFERROR(VALUE(SUBSTITUTE(SUBSTITUTE(SUBSTITUTE(INDEX(貼り付け!$A$1:$BZ$3001,51,$D$1)&amp;"",",",""),"¥",""),"￥","")),0))</f>
        <v/>
      </c>
      <c r="E52">
        <f>IF($E$1=0,0,IFERROR(VALUE(SUBSTITUTE(SUBSTITUTE(SUBSTITUTE(INDEX(貼り付け!$A$1:$BZ$3001,51,$E$1)&amp;"",",",""),"¥",""),"￥","")),0))</f>
        <v/>
      </c>
      <c r="F52">
        <f>IF($F$1=0,0,IFERROR(VALUE(SUBSTITUTE(SUBSTITUTE(SUBSTITUTE(INDEX(貼り付け!$A$1:$BZ$3001,51,$F$1)&amp;"",",",""),"¥",""),"￥","")),0))</f>
        <v/>
      </c>
      <c r="G52">
        <f>IF(ISNUMBER(B52),YEAR(B52),"")</f>
        <v/>
      </c>
      <c r="H52">
        <f>IF(ISNUMBER(B52),MONTH(B52),"")</f>
        <v/>
      </c>
      <c r="I52">
        <f>IFERROR(IF($B$1=0,"",IF(ISNUMBER(INDEX(貼り付け!$A$1:$BZ$3001,51,$B$1)),"",SUBSTITUTE(SUBSTITUTE(SUBSTITUTE(SUBSTITUTE(TRIM(LEFT(INDEX(貼り付け!$A$1:$BZ$3001,51,$B$1)&amp;"",FIND(" ",TRIM(INDEX(貼り付け!$A$1:$BZ$3001,51,$B$1)&amp;"")&amp;" ")-1)),"/","-"),"年","-"),"月","-"),"日",""))),"")</f>
        <v/>
      </c>
      <c r="J52">
        <f>IFERROR(MID(I52,FIND("-",I52)+1,99),"")</f>
        <v/>
      </c>
    </row>
    <row r="53">
      <c r="B53">
        <f>IFERROR(IF($B$1=0,"",IF(INDEX(貼り付け!$A$1:$BZ$3001,52,$B$1)="","",IF(ISNUMBER(INDEX(貼り付け!$A$1:$BZ$3001,52,$B$1)),INT(INDEX(貼り付け!$A$1:$BZ$3001,52,$B$1)),DATE(VALUE(LEFT(I53,FIND("-",I53)-1)),VALUE(LEFT(J53,FIND("-",J53)-1)),VALUE(MID(J53,FIND("-",J53)+1,99)))))),"")</f>
        <v/>
      </c>
      <c r="C53">
        <f>IF($C$1=0,0,IFERROR(VALUE(SUBSTITUTE(SUBSTITUTE(SUBSTITUTE(INDEX(貼り付け!$A$1:$BZ$3001,52,$C$1)&amp;"",",",""),"¥",""),"￥","")),0))</f>
        <v/>
      </c>
      <c r="D53">
        <f>IF($D$1=0,0,IFERROR(VALUE(SUBSTITUTE(SUBSTITUTE(SUBSTITUTE(INDEX(貼り付け!$A$1:$BZ$3001,52,$D$1)&amp;"",",",""),"¥",""),"￥","")),0))</f>
        <v/>
      </c>
      <c r="E53">
        <f>IF($E$1=0,0,IFERROR(VALUE(SUBSTITUTE(SUBSTITUTE(SUBSTITUTE(INDEX(貼り付け!$A$1:$BZ$3001,52,$E$1)&amp;"",",",""),"¥",""),"￥","")),0))</f>
        <v/>
      </c>
      <c r="F53">
        <f>IF($F$1=0,0,IFERROR(VALUE(SUBSTITUTE(SUBSTITUTE(SUBSTITUTE(INDEX(貼り付け!$A$1:$BZ$3001,52,$F$1)&amp;"",",",""),"¥",""),"￥","")),0))</f>
        <v/>
      </c>
      <c r="G53">
        <f>IF(ISNUMBER(B53),YEAR(B53),"")</f>
        <v/>
      </c>
      <c r="H53">
        <f>IF(ISNUMBER(B53),MONTH(B53),"")</f>
        <v/>
      </c>
      <c r="I53">
        <f>IFERROR(IF($B$1=0,"",IF(ISNUMBER(INDEX(貼り付け!$A$1:$BZ$3001,52,$B$1)),"",SUBSTITUTE(SUBSTITUTE(SUBSTITUTE(SUBSTITUTE(TRIM(LEFT(INDEX(貼り付け!$A$1:$BZ$3001,52,$B$1)&amp;"",FIND(" ",TRIM(INDEX(貼り付け!$A$1:$BZ$3001,52,$B$1)&amp;"")&amp;" ")-1)),"/","-"),"年","-"),"月","-"),"日",""))),"")</f>
        <v/>
      </c>
      <c r="J53">
        <f>IFERROR(MID(I53,FIND("-",I53)+1,99),"")</f>
        <v/>
      </c>
    </row>
    <row r="54">
      <c r="B54">
        <f>IFERROR(IF($B$1=0,"",IF(INDEX(貼り付け!$A$1:$BZ$3001,53,$B$1)="","",IF(ISNUMBER(INDEX(貼り付け!$A$1:$BZ$3001,53,$B$1)),INT(INDEX(貼り付け!$A$1:$BZ$3001,53,$B$1)),DATE(VALUE(LEFT(I54,FIND("-",I54)-1)),VALUE(LEFT(J54,FIND("-",J54)-1)),VALUE(MID(J54,FIND("-",J54)+1,99)))))),"")</f>
        <v/>
      </c>
      <c r="C54">
        <f>IF($C$1=0,0,IFERROR(VALUE(SUBSTITUTE(SUBSTITUTE(SUBSTITUTE(INDEX(貼り付け!$A$1:$BZ$3001,53,$C$1)&amp;"",",",""),"¥",""),"￥","")),0))</f>
        <v/>
      </c>
      <c r="D54">
        <f>IF($D$1=0,0,IFERROR(VALUE(SUBSTITUTE(SUBSTITUTE(SUBSTITUTE(INDEX(貼り付け!$A$1:$BZ$3001,53,$D$1)&amp;"",",",""),"¥",""),"￥","")),0))</f>
        <v/>
      </c>
      <c r="E54">
        <f>IF($E$1=0,0,IFERROR(VALUE(SUBSTITUTE(SUBSTITUTE(SUBSTITUTE(INDEX(貼り付け!$A$1:$BZ$3001,53,$E$1)&amp;"",",",""),"¥",""),"￥","")),0))</f>
        <v/>
      </c>
      <c r="F54">
        <f>IF($F$1=0,0,IFERROR(VALUE(SUBSTITUTE(SUBSTITUTE(SUBSTITUTE(INDEX(貼り付け!$A$1:$BZ$3001,53,$F$1)&amp;"",",",""),"¥",""),"￥","")),0))</f>
        <v/>
      </c>
      <c r="G54">
        <f>IF(ISNUMBER(B54),YEAR(B54),"")</f>
        <v/>
      </c>
      <c r="H54">
        <f>IF(ISNUMBER(B54),MONTH(B54),"")</f>
        <v/>
      </c>
      <c r="I54">
        <f>IFERROR(IF($B$1=0,"",IF(ISNUMBER(INDEX(貼り付け!$A$1:$BZ$3001,53,$B$1)),"",SUBSTITUTE(SUBSTITUTE(SUBSTITUTE(SUBSTITUTE(TRIM(LEFT(INDEX(貼り付け!$A$1:$BZ$3001,53,$B$1)&amp;"",FIND(" ",TRIM(INDEX(貼り付け!$A$1:$BZ$3001,53,$B$1)&amp;"")&amp;" ")-1)),"/","-"),"年","-"),"月","-"),"日",""))),"")</f>
        <v/>
      </c>
      <c r="J54">
        <f>IFERROR(MID(I54,FIND("-",I54)+1,99),"")</f>
        <v/>
      </c>
    </row>
    <row r="55">
      <c r="B55">
        <f>IFERROR(IF($B$1=0,"",IF(INDEX(貼り付け!$A$1:$BZ$3001,54,$B$1)="","",IF(ISNUMBER(INDEX(貼り付け!$A$1:$BZ$3001,54,$B$1)),INT(INDEX(貼り付け!$A$1:$BZ$3001,54,$B$1)),DATE(VALUE(LEFT(I55,FIND("-",I55)-1)),VALUE(LEFT(J55,FIND("-",J55)-1)),VALUE(MID(J55,FIND("-",J55)+1,99)))))),"")</f>
        <v/>
      </c>
      <c r="C55">
        <f>IF($C$1=0,0,IFERROR(VALUE(SUBSTITUTE(SUBSTITUTE(SUBSTITUTE(INDEX(貼り付け!$A$1:$BZ$3001,54,$C$1)&amp;"",",",""),"¥",""),"￥","")),0))</f>
        <v/>
      </c>
      <c r="D55">
        <f>IF($D$1=0,0,IFERROR(VALUE(SUBSTITUTE(SUBSTITUTE(SUBSTITUTE(INDEX(貼り付け!$A$1:$BZ$3001,54,$D$1)&amp;"",",",""),"¥",""),"￥","")),0))</f>
        <v/>
      </c>
      <c r="E55">
        <f>IF($E$1=0,0,IFERROR(VALUE(SUBSTITUTE(SUBSTITUTE(SUBSTITUTE(INDEX(貼り付け!$A$1:$BZ$3001,54,$E$1)&amp;"",",",""),"¥",""),"￥","")),0))</f>
        <v/>
      </c>
      <c r="F55">
        <f>IF($F$1=0,0,IFERROR(VALUE(SUBSTITUTE(SUBSTITUTE(SUBSTITUTE(INDEX(貼り付け!$A$1:$BZ$3001,54,$F$1)&amp;"",",",""),"¥",""),"￥","")),0))</f>
        <v/>
      </c>
      <c r="G55">
        <f>IF(ISNUMBER(B55),YEAR(B55),"")</f>
        <v/>
      </c>
      <c r="H55">
        <f>IF(ISNUMBER(B55),MONTH(B55),"")</f>
        <v/>
      </c>
      <c r="I55">
        <f>IFERROR(IF($B$1=0,"",IF(ISNUMBER(INDEX(貼り付け!$A$1:$BZ$3001,54,$B$1)),"",SUBSTITUTE(SUBSTITUTE(SUBSTITUTE(SUBSTITUTE(TRIM(LEFT(INDEX(貼り付け!$A$1:$BZ$3001,54,$B$1)&amp;"",FIND(" ",TRIM(INDEX(貼り付け!$A$1:$BZ$3001,54,$B$1)&amp;"")&amp;" ")-1)),"/","-"),"年","-"),"月","-"),"日",""))),"")</f>
        <v/>
      </c>
      <c r="J55">
        <f>IFERROR(MID(I55,FIND("-",I55)+1,99),"")</f>
        <v/>
      </c>
    </row>
    <row r="56">
      <c r="B56">
        <f>IFERROR(IF($B$1=0,"",IF(INDEX(貼り付け!$A$1:$BZ$3001,55,$B$1)="","",IF(ISNUMBER(INDEX(貼り付け!$A$1:$BZ$3001,55,$B$1)),INT(INDEX(貼り付け!$A$1:$BZ$3001,55,$B$1)),DATE(VALUE(LEFT(I56,FIND("-",I56)-1)),VALUE(LEFT(J56,FIND("-",J56)-1)),VALUE(MID(J56,FIND("-",J56)+1,99)))))),"")</f>
        <v/>
      </c>
      <c r="C56">
        <f>IF($C$1=0,0,IFERROR(VALUE(SUBSTITUTE(SUBSTITUTE(SUBSTITUTE(INDEX(貼り付け!$A$1:$BZ$3001,55,$C$1)&amp;"",",",""),"¥",""),"￥","")),0))</f>
        <v/>
      </c>
      <c r="D56">
        <f>IF($D$1=0,0,IFERROR(VALUE(SUBSTITUTE(SUBSTITUTE(SUBSTITUTE(INDEX(貼り付け!$A$1:$BZ$3001,55,$D$1)&amp;"",",",""),"¥",""),"￥","")),0))</f>
        <v/>
      </c>
      <c r="E56">
        <f>IF($E$1=0,0,IFERROR(VALUE(SUBSTITUTE(SUBSTITUTE(SUBSTITUTE(INDEX(貼り付け!$A$1:$BZ$3001,55,$E$1)&amp;"",",",""),"¥",""),"￥","")),0))</f>
        <v/>
      </c>
      <c r="F56">
        <f>IF($F$1=0,0,IFERROR(VALUE(SUBSTITUTE(SUBSTITUTE(SUBSTITUTE(INDEX(貼り付け!$A$1:$BZ$3001,55,$F$1)&amp;"",",",""),"¥",""),"￥","")),0))</f>
        <v/>
      </c>
      <c r="G56">
        <f>IF(ISNUMBER(B56),YEAR(B56),"")</f>
        <v/>
      </c>
      <c r="H56">
        <f>IF(ISNUMBER(B56),MONTH(B56),"")</f>
        <v/>
      </c>
      <c r="I56">
        <f>IFERROR(IF($B$1=0,"",IF(ISNUMBER(INDEX(貼り付け!$A$1:$BZ$3001,55,$B$1)),"",SUBSTITUTE(SUBSTITUTE(SUBSTITUTE(SUBSTITUTE(TRIM(LEFT(INDEX(貼り付け!$A$1:$BZ$3001,55,$B$1)&amp;"",FIND(" ",TRIM(INDEX(貼り付け!$A$1:$BZ$3001,55,$B$1)&amp;"")&amp;" ")-1)),"/","-"),"年","-"),"月","-"),"日",""))),"")</f>
        <v/>
      </c>
      <c r="J56">
        <f>IFERROR(MID(I56,FIND("-",I56)+1,99),"")</f>
        <v/>
      </c>
    </row>
    <row r="57">
      <c r="B57">
        <f>IFERROR(IF($B$1=0,"",IF(INDEX(貼り付け!$A$1:$BZ$3001,56,$B$1)="","",IF(ISNUMBER(INDEX(貼り付け!$A$1:$BZ$3001,56,$B$1)),INT(INDEX(貼り付け!$A$1:$BZ$3001,56,$B$1)),DATE(VALUE(LEFT(I57,FIND("-",I57)-1)),VALUE(LEFT(J57,FIND("-",J57)-1)),VALUE(MID(J57,FIND("-",J57)+1,99)))))),"")</f>
        <v/>
      </c>
      <c r="C57">
        <f>IF($C$1=0,0,IFERROR(VALUE(SUBSTITUTE(SUBSTITUTE(SUBSTITUTE(INDEX(貼り付け!$A$1:$BZ$3001,56,$C$1)&amp;"",",",""),"¥",""),"￥","")),0))</f>
        <v/>
      </c>
      <c r="D57">
        <f>IF($D$1=0,0,IFERROR(VALUE(SUBSTITUTE(SUBSTITUTE(SUBSTITUTE(INDEX(貼り付け!$A$1:$BZ$3001,56,$D$1)&amp;"",",",""),"¥",""),"￥","")),0))</f>
        <v/>
      </c>
      <c r="E57">
        <f>IF($E$1=0,0,IFERROR(VALUE(SUBSTITUTE(SUBSTITUTE(SUBSTITUTE(INDEX(貼り付け!$A$1:$BZ$3001,56,$E$1)&amp;"",",",""),"¥",""),"￥","")),0))</f>
        <v/>
      </c>
      <c r="F57">
        <f>IF($F$1=0,0,IFERROR(VALUE(SUBSTITUTE(SUBSTITUTE(SUBSTITUTE(INDEX(貼り付け!$A$1:$BZ$3001,56,$F$1)&amp;"",",",""),"¥",""),"￥","")),0))</f>
        <v/>
      </c>
      <c r="G57">
        <f>IF(ISNUMBER(B57),YEAR(B57),"")</f>
        <v/>
      </c>
      <c r="H57">
        <f>IF(ISNUMBER(B57),MONTH(B57),"")</f>
        <v/>
      </c>
      <c r="I57">
        <f>IFERROR(IF($B$1=0,"",IF(ISNUMBER(INDEX(貼り付け!$A$1:$BZ$3001,56,$B$1)),"",SUBSTITUTE(SUBSTITUTE(SUBSTITUTE(SUBSTITUTE(TRIM(LEFT(INDEX(貼り付け!$A$1:$BZ$3001,56,$B$1)&amp;"",FIND(" ",TRIM(INDEX(貼り付け!$A$1:$BZ$3001,56,$B$1)&amp;"")&amp;" ")-1)),"/","-"),"年","-"),"月","-"),"日",""))),"")</f>
        <v/>
      </c>
      <c r="J57">
        <f>IFERROR(MID(I57,FIND("-",I57)+1,99),"")</f>
        <v/>
      </c>
    </row>
    <row r="58">
      <c r="B58">
        <f>IFERROR(IF($B$1=0,"",IF(INDEX(貼り付け!$A$1:$BZ$3001,57,$B$1)="","",IF(ISNUMBER(INDEX(貼り付け!$A$1:$BZ$3001,57,$B$1)),INT(INDEX(貼り付け!$A$1:$BZ$3001,57,$B$1)),DATE(VALUE(LEFT(I58,FIND("-",I58)-1)),VALUE(LEFT(J58,FIND("-",J58)-1)),VALUE(MID(J58,FIND("-",J58)+1,99)))))),"")</f>
        <v/>
      </c>
      <c r="C58">
        <f>IF($C$1=0,0,IFERROR(VALUE(SUBSTITUTE(SUBSTITUTE(SUBSTITUTE(INDEX(貼り付け!$A$1:$BZ$3001,57,$C$1)&amp;"",",",""),"¥",""),"￥","")),0))</f>
        <v/>
      </c>
      <c r="D58">
        <f>IF($D$1=0,0,IFERROR(VALUE(SUBSTITUTE(SUBSTITUTE(SUBSTITUTE(INDEX(貼り付け!$A$1:$BZ$3001,57,$D$1)&amp;"",",",""),"¥",""),"￥","")),0))</f>
        <v/>
      </c>
      <c r="E58">
        <f>IF($E$1=0,0,IFERROR(VALUE(SUBSTITUTE(SUBSTITUTE(SUBSTITUTE(INDEX(貼り付け!$A$1:$BZ$3001,57,$E$1)&amp;"",",",""),"¥",""),"￥","")),0))</f>
        <v/>
      </c>
      <c r="F58">
        <f>IF($F$1=0,0,IFERROR(VALUE(SUBSTITUTE(SUBSTITUTE(SUBSTITUTE(INDEX(貼り付け!$A$1:$BZ$3001,57,$F$1)&amp;"",",",""),"¥",""),"￥","")),0))</f>
        <v/>
      </c>
      <c r="G58">
        <f>IF(ISNUMBER(B58),YEAR(B58),"")</f>
        <v/>
      </c>
      <c r="H58">
        <f>IF(ISNUMBER(B58),MONTH(B58),"")</f>
        <v/>
      </c>
      <c r="I58">
        <f>IFERROR(IF($B$1=0,"",IF(ISNUMBER(INDEX(貼り付け!$A$1:$BZ$3001,57,$B$1)),"",SUBSTITUTE(SUBSTITUTE(SUBSTITUTE(SUBSTITUTE(TRIM(LEFT(INDEX(貼り付け!$A$1:$BZ$3001,57,$B$1)&amp;"",FIND(" ",TRIM(INDEX(貼り付け!$A$1:$BZ$3001,57,$B$1)&amp;"")&amp;" ")-1)),"/","-"),"年","-"),"月","-"),"日",""))),"")</f>
        <v/>
      </c>
      <c r="J58">
        <f>IFERROR(MID(I58,FIND("-",I58)+1,99),"")</f>
        <v/>
      </c>
    </row>
    <row r="59">
      <c r="B59">
        <f>IFERROR(IF($B$1=0,"",IF(INDEX(貼り付け!$A$1:$BZ$3001,58,$B$1)="","",IF(ISNUMBER(INDEX(貼り付け!$A$1:$BZ$3001,58,$B$1)),INT(INDEX(貼り付け!$A$1:$BZ$3001,58,$B$1)),DATE(VALUE(LEFT(I59,FIND("-",I59)-1)),VALUE(LEFT(J59,FIND("-",J59)-1)),VALUE(MID(J59,FIND("-",J59)+1,99)))))),"")</f>
        <v/>
      </c>
      <c r="C59">
        <f>IF($C$1=0,0,IFERROR(VALUE(SUBSTITUTE(SUBSTITUTE(SUBSTITUTE(INDEX(貼り付け!$A$1:$BZ$3001,58,$C$1)&amp;"",",",""),"¥",""),"￥","")),0))</f>
        <v/>
      </c>
      <c r="D59">
        <f>IF($D$1=0,0,IFERROR(VALUE(SUBSTITUTE(SUBSTITUTE(SUBSTITUTE(INDEX(貼り付け!$A$1:$BZ$3001,58,$D$1)&amp;"",",",""),"¥",""),"￥","")),0))</f>
        <v/>
      </c>
      <c r="E59">
        <f>IF($E$1=0,0,IFERROR(VALUE(SUBSTITUTE(SUBSTITUTE(SUBSTITUTE(INDEX(貼り付け!$A$1:$BZ$3001,58,$E$1)&amp;"",",",""),"¥",""),"￥","")),0))</f>
        <v/>
      </c>
      <c r="F59">
        <f>IF($F$1=0,0,IFERROR(VALUE(SUBSTITUTE(SUBSTITUTE(SUBSTITUTE(INDEX(貼り付け!$A$1:$BZ$3001,58,$F$1)&amp;"",",",""),"¥",""),"￥","")),0))</f>
        <v/>
      </c>
      <c r="G59">
        <f>IF(ISNUMBER(B59),YEAR(B59),"")</f>
        <v/>
      </c>
      <c r="H59">
        <f>IF(ISNUMBER(B59),MONTH(B59),"")</f>
        <v/>
      </c>
      <c r="I59">
        <f>IFERROR(IF($B$1=0,"",IF(ISNUMBER(INDEX(貼り付け!$A$1:$BZ$3001,58,$B$1)),"",SUBSTITUTE(SUBSTITUTE(SUBSTITUTE(SUBSTITUTE(TRIM(LEFT(INDEX(貼り付け!$A$1:$BZ$3001,58,$B$1)&amp;"",FIND(" ",TRIM(INDEX(貼り付け!$A$1:$BZ$3001,58,$B$1)&amp;"")&amp;" ")-1)),"/","-"),"年","-"),"月","-"),"日",""))),"")</f>
        <v/>
      </c>
      <c r="J59">
        <f>IFERROR(MID(I59,FIND("-",I59)+1,99),"")</f>
        <v/>
      </c>
    </row>
    <row r="60">
      <c r="B60">
        <f>IFERROR(IF($B$1=0,"",IF(INDEX(貼り付け!$A$1:$BZ$3001,59,$B$1)="","",IF(ISNUMBER(INDEX(貼り付け!$A$1:$BZ$3001,59,$B$1)),INT(INDEX(貼り付け!$A$1:$BZ$3001,59,$B$1)),DATE(VALUE(LEFT(I60,FIND("-",I60)-1)),VALUE(LEFT(J60,FIND("-",J60)-1)),VALUE(MID(J60,FIND("-",J60)+1,99)))))),"")</f>
        <v/>
      </c>
      <c r="C60">
        <f>IF($C$1=0,0,IFERROR(VALUE(SUBSTITUTE(SUBSTITUTE(SUBSTITUTE(INDEX(貼り付け!$A$1:$BZ$3001,59,$C$1)&amp;"",",",""),"¥",""),"￥","")),0))</f>
        <v/>
      </c>
      <c r="D60">
        <f>IF($D$1=0,0,IFERROR(VALUE(SUBSTITUTE(SUBSTITUTE(SUBSTITUTE(INDEX(貼り付け!$A$1:$BZ$3001,59,$D$1)&amp;"",",",""),"¥",""),"￥","")),0))</f>
        <v/>
      </c>
      <c r="E60">
        <f>IF($E$1=0,0,IFERROR(VALUE(SUBSTITUTE(SUBSTITUTE(SUBSTITUTE(INDEX(貼り付け!$A$1:$BZ$3001,59,$E$1)&amp;"",",",""),"¥",""),"￥","")),0))</f>
        <v/>
      </c>
      <c r="F60">
        <f>IF($F$1=0,0,IFERROR(VALUE(SUBSTITUTE(SUBSTITUTE(SUBSTITUTE(INDEX(貼り付け!$A$1:$BZ$3001,59,$F$1)&amp;"",",",""),"¥",""),"￥","")),0))</f>
        <v/>
      </c>
      <c r="G60">
        <f>IF(ISNUMBER(B60),YEAR(B60),"")</f>
        <v/>
      </c>
      <c r="H60">
        <f>IF(ISNUMBER(B60),MONTH(B60),"")</f>
        <v/>
      </c>
      <c r="I60">
        <f>IFERROR(IF($B$1=0,"",IF(ISNUMBER(INDEX(貼り付け!$A$1:$BZ$3001,59,$B$1)),"",SUBSTITUTE(SUBSTITUTE(SUBSTITUTE(SUBSTITUTE(TRIM(LEFT(INDEX(貼り付け!$A$1:$BZ$3001,59,$B$1)&amp;"",FIND(" ",TRIM(INDEX(貼り付け!$A$1:$BZ$3001,59,$B$1)&amp;"")&amp;" ")-1)),"/","-"),"年","-"),"月","-"),"日",""))),"")</f>
        <v/>
      </c>
      <c r="J60">
        <f>IFERROR(MID(I60,FIND("-",I60)+1,99),"")</f>
        <v/>
      </c>
    </row>
    <row r="61">
      <c r="B61">
        <f>IFERROR(IF($B$1=0,"",IF(INDEX(貼り付け!$A$1:$BZ$3001,60,$B$1)="","",IF(ISNUMBER(INDEX(貼り付け!$A$1:$BZ$3001,60,$B$1)),INT(INDEX(貼り付け!$A$1:$BZ$3001,60,$B$1)),DATE(VALUE(LEFT(I61,FIND("-",I61)-1)),VALUE(LEFT(J61,FIND("-",J61)-1)),VALUE(MID(J61,FIND("-",J61)+1,99)))))),"")</f>
        <v/>
      </c>
      <c r="C61">
        <f>IF($C$1=0,0,IFERROR(VALUE(SUBSTITUTE(SUBSTITUTE(SUBSTITUTE(INDEX(貼り付け!$A$1:$BZ$3001,60,$C$1)&amp;"",",",""),"¥",""),"￥","")),0))</f>
        <v/>
      </c>
      <c r="D61">
        <f>IF($D$1=0,0,IFERROR(VALUE(SUBSTITUTE(SUBSTITUTE(SUBSTITUTE(INDEX(貼り付け!$A$1:$BZ$3001,60,$D$1)&amp;"",",",""),"¥",""),"￥","")),0))</f>
        <v/>
      </c>
      <c r="E61">
        <f>IF($E$1=0,0,IFERROR(VALUE(SUBSTITUTE(SUBSTITUTE(SUBSTITUTE(INDEX(貼り付け!$A$1:$BZ$3001,60,$E$1)&amp;"",",",""),"¥",""),"￥","")),0))</f>
        <v/>
      </c>
      <c r="F61">
        <f>IF($F$1=0,0,IFERROR(VALUE(SUBSTITUTE(SUBSTITUTE(SUBSTITUTE(INDEX(貼り付け!$A$1:$BZ$3001,60,$F$1)&amp;"",",",""),"¥",""),"￥","")),0))</f>
        <v/>
      </c>
      <c r="G61">
        <f>IF(ISNUMBER(B61),YEAR(B61),"")</f>
        <v/>
      </c>
      <c r="H61">
        <f>IF(ISNUMBER(B61),MONTH(B61),"")</f>
        <v/>
      </c>
      <c r="I61">
        <f>IFERROR(IF($B$1=0,"",IF(ISNUMBER(INDEX(貼り付け!$A$1:$BZ$3001,60,$B$1)),"",SUBSTITUTE(SUBSTITUTE(SUBSTITUTE(SUBSTITUTE(TRIM(LEFT(INDEX(貼り付け!$A$1:$BZ$3001,60,$B$1)&amp;"",FIND(" ",TRIM(INDEX(貼り付け!$A$1:$BZ$3001,60,$B$1)&amp;"")&amp;" ")-1)),"/","-"),"年","-"),"月","-"),"日",""))),"")</f>
        <v/>
      </c>
      <c r="J61">
        <f>IFERROR(MID(I61,FIND("-",I61)+1,99),"")</f>
        <v/>
      </c>
    </row>
    <row r="62">
      <c r="B62">
        <f>IFERROR(IF($B$1=0,"",IF(INDEX(貼り付け!$A$1:$BZ$3001,61,$B$1)="","",IF(ISNUMBER(INDEX(貼り付け!$A$1:$BZ$3001,61,$B$1)),INT(INDEX(貼り付け!$A$1:$BZ$3001,61,$B$1)),DATE(VALUE(LEFT(I62,FIND("-",I62)-1)),VALUE(LEFT(J62,FIND("-",J62)-1)),VALUE(MID(J62,FIND("-",J62)+1,99)))))),"")</f>
        <v/>
      </c>
      <c r="C62">
        <f>IF($C$1=0,0,IFERROR(VALUE(SUBSTITUTE(SUBSTITUTE(SUBSTITUTE(INDEX(貼り付け!$A$1:$BZ$3001,61,$C$1)&amp;"",",",""),"¥",""),"￥","")),0))</f>
        <v/>
      </c>
      <c r="D62">
        <f>IF($D$1=0,0,IFERROR(VALUE(SUBSTITUTE(SUBSTITUTE(SUBSTITUTE(INDEX(貼り付け!$A$1:$BZ$3001,61,$D$1)&amp;"",",",""),"¥",""),"￥","")),0))</f>
        <v/>
      </c>
      <c r="E62">
        <f>IF($E$1=0,0,IFERROR(VALUE(SUBSTITUTE(SUBSTITUTE(SUBSTITUTE(INDEX(貼り付け!$A$1:$BZ$3001,61,$E$1)&amp;"",",",""),"¥",""),"￥","")),0))</f>
        <v/>
      </c>
      <c r="F62">
        <f>IF($F$1=0,0,IFERROR(VALUE(SUBSTITUTE(SUBSTITUTE(SUBSTITUTE(INDEX(貼り付け!$A$1:$BZ$3001,61,$F$1)&amp;"",",",""),"¥",""),"￥","")),0))</f>
        <v/>
      </c>
      <c r="G62">
        <f>IF(ISNUMBER(B62),YEAR(B62),"")</f>
        <v/>
      </c>
      <c r="H62">
        <f>IF(ISNUMBER(B62),MONTH(B62),"")</f>
        <v/>
      </c>
      <c r="I62">
        <f>IFERROR(IF($B$1=0,"",IF(ISNUMBER(INDEX(貼り付け!$A$1:$BZ$3001,61,$B$1)),"",SUBSTITUTE(SUBSTITUTE(SUBSTITUTE(SUBSTITUTE(TRIM(LEFT(INDEX(貼り付け!$A$1:$BZ$3001,61,$B$1)&amp;"",FIND(" ",TRIM(INDEX(貼り付け!$A$1:$BZ$3001,61,$B$1)&amp;"")&amp;" ")-1)),"/","-"),"年","-"),"月","-"),"日",""))),"")</f>
        <v/>
      </c>
      <c r="J62">
        <f>IFERROR(MID(I62,FIND("-",I62)+1,99),"")</f>
        <v/>
      </c>
    </row>
    <row r="63">
      <c r="B63">
        <f>IFERROR(IF($B$1=0,"",IF(INDEX(貼り付け!$A$1:$BZ$3001,62,$B$1)="","",IF(ISNUMBER(INDEX(貼り付け!$A$1:$BZ$3001,62,$B$1)),INT(INDEX(貼り付け!$A$1:$BZ$3001,62,$B$1)),DATE(VALUE(LEFT(I63,FIND("-",I63)-1)),VALUE(LEFT(J63,FIND("-",J63)-1)),VALUE(MID(J63,FIND("-",J63)+1,99)))))),"")</f>
        <v/>
      </c>
      <c r="C63">
        <f>IF($C$1=0,0,IFERROR(VALUE(SUBSTITUTE(SUBSTITUTE(SUBSTITUTE(INDEX(貼り付け!$A$1:$BZ$3001,62,$C$1)&amp;"",",",""),"¥",""),"￥","")),0))</f>
        <v/>
      </c>
      <c r="D63">
        <f>IF($D$1=0,0,IFERROR(VALUE(SUBSTITUTE(SUBSTITUTE(SUBSTITUTE(INDEX(貼り付け!$A$1:$BZ$3001,62,$D$1)&amp;"",",",""),"¥",""),"￥","")),0))</f>
        <v/>
      </c>
      <c r="E63">
        <f>IF($E$1=0,0,IFERROR(VALUE(SUBSTITUTE(SUBSTITUTE(SUBSTITUTE(INDEX(貼り付け!$A$1:$BZ$3001,62,$E$1)&amp;"",",",""),"¥",""),"￥","")),0))</f>
        <v/>
      </c>
      <c r="F63">
        <f>IF($F$1=0,0,IFERROR(VALUE(SUBSTITUTE(SUBSTITUTE(SUBSTITUTE(INDEX(貼り付け!$A$1:$BZ$3001,62,$F$1)&amp;"",",",""),"¥",""),"￥","")),0))</f>
        <v/>
      </c>
      <c r="G63">
        <f>IF(ISNUMBER(B63),YEAR(B63),"")</f>
        <v/>
      </c>
      <c r="H63">
        <f>IF(ISNUMBER(B63),MONTH(B63),"")</f>
        <v/>
      </c>
      <c r="I63">
        <f>IFERROR(IF($B$1=0,"",IF(ISNUMBER(INDEX(貼り付け!$A$1:$BZ$3001,62,$B$1)),"",SUBSTITUTE(SUBSTITUTE(SUBSTITUTE(SUBSTITUTE(TRIM(LEFT(INDEX(貼り付け!$A$1:$BZ$3001,62,$B$1)&amp;"",FIND(" ",TRIM(INDEX(貼り付け!$A$1:$BZ$3001,62,$B$1)&amp;"")&amp;" ")-1)),"/","-"),"年","-"),"月","-"),"日",""))),"")</f>
        <v/>
      </c>
      <c r="J63">
        <f>IFERROR(MID(I63,FIND("-",I63)+1,99),"")</f>
        <v/>
      </c>
    </row>
    <row r="64">
      <c r="B64">
        <f>IFERROR(IF($B$1=0,"",IF(INDEX(貼り付け!$A$1:$BZ$3001,63,$B$1)="","",IF(ISNUMBER(INDEX(貼り付け!$A$1:$BZ$3001,63,$B$1)),INT(INDEX(貼り付け!$A$1:$BZ$3001,63,$B$1)),DATE(VALUE(LEFT(I64,FIND("-",I64)-1)),VALUE(LEFT(J64,FIND("-",J64)-1)),VALUE(MID(J64,FIND("-",J64)+1,99)))))),"")</f>
        <v/>
      </c>
      <c r="C64">
        <f>IF($C$1=0,0,IFERROR(VALUE(SUBSTITUTE(SUBSTITUTE(SUBSTITUTE(INDEX(貼り付け!$A$1:$BZ$3001,63,$C$1)&amp;"",",",""),"¥",""),"￥","")),0))</f>
        <v/>
      </c>
      <c r="D64">
        <f>IF($D$1=0,0,IFERROR(VALUE(SUBSTITUTE(SUBSTITUTE(SUBSTITUTE(INDEX(貼り付け!$A$1:$BZ$3001,63,$D$1)&amp;"",",",""),"¥",""),"￥","")),0))</f>
        <v/>
      </c>
      <c r="E64">
        <f>IF($E$1=0,0,IFERROR(VALUE(SUBSTITUTE(SUBSTITUTE(SUBSTITUTE(INDEX(貼り付け!$A$1:$BZ$3001,63,$E$1)&amp;"",",",""),"¥",""),"￥","")),0))</f>
        <v/>
      </c>
      <c r="F64">
        <f>IF($F$1=0,0,IFERROR(VALUE(SUBSTITUTE(SUBSTITUTE(SUBSTITUTE(INDEX(貼り付け!$A$1:$BZ$3001,63,$F$1)&amp;"",",",""),"¥",""),"￥","")),0))</f>
        <v/>
      </c>
      <c r="G64">
        <f>IF(ISNUMBER(B64),YEAR(B64),"")</f>
        <v/>
      </c>
      <c r="H64">
        <f>IF(ISNUMBER(B64),MONTH(B64),"")</f>
        <v/>
      </c>
      <c r="I64">
        <f>IFERROR(IF($B$1=0,"",IF(ISNUMBER(INDEX(貼り付け!$A$1:$BZ$3001,63,$B$1)),"",SUBSTITUTE(SUBSTITUTE(SUBSTITUTE(SUBSTITUTE(TRIM(LEFT(INDEX(貼り付け!$A$1:$BZ$3001,63,$B$1)&amp;"",FIND(" ",TRIM(INDEX(貼り付け!$A$1:$BZ$3001,63,$B$1)&amp;"")&amp;" ")-1)),"/","-"),"年","-"),"月","-"),"日",""))),"")</f>
        <v/>
      </c>
      <c r="J64">
        <f>IFERROR(MID(I64,FIND("-",I64)+1,99),"")</f>
        <v/>
      </c>
    </row>
    <row r="65">
      <c r="B65">
        <f>IFERROR(IF($B$1=0,"",IF(INDEX(貼り付け!$A$1:$BZ$3001,64,$B$1)="","",IF(ISNUMBER(INDEX(貼り付け!$A$1:$BZ$3001,64,$B$1)),INT(INDEX(貼り付け!$A$1:$BZ$3001,64,$B$1)),DATE(VALUE(LEFT(I65,FIND("-",I65)-1)),VALUE(LEFT(J65,FIND("-",J65)-1)),VALUE(MID(J65,FIND("-",J65)+1,99)))))),"")</f>
        <v/>
      </c>
      <c r="C65">
        <f>IF($C$1=0,0,IFERROR(VALUE(SUBSTITUTE(SUBSTITUTE(SUBSTITUTE(INDEX(貼り付け!$A$1:$BZ$3001,64,$C$1)&amp;"",",",""),"¥",""),"￥","")),0))</f>
        <v/>
      </c>
      <c r="D65">
        <f>IF($D$1=0,0,IFERROR(VALUE(SUBSTITUTE(SUBSTITUTE(SUBSTITUTE(INDEX(貼り付け!$A$1:$BZ$3001,64,$D$1)&amp;"",",",""),"¥",""),"￥","")),0))</f>
        <v/>
      </c>
      <c r="E65">
        <f>IF($E$1=0,0,IFERROR(VALUE(SUBSTITUTE(SUBSTITUTE(SUBSTITUTE(INDEX(貼り付け!$A$1:$BZ$3001,64,$E$1)&amp;"",",",""),"¥",""),"￥","")),0))</f>
        <v/>
      </c>
      <c r="F65">
        <f>IF($F$1=0,0,IFERROR(VALUE(SUBSTITUTE(SUBSTITUTE(SUBSTITUTE(INDEX(貼り付け!$A$1:$BZ$3001,64,$F$1)&amp;"",",",""),"¥",""),"￥","")),0))</f>
        <v/>
      </c>
      <c r="G65">
        <f>IF(ISNUMBER(B65),YEAR(B65),"")</f>
        <v/>
      </c>
      <c r="H65">
        <f>IF(ISNUMBER(B65),MONTH(B65),"")</f>
        <v/>
      </c>
      <c r="I65">
        <f>IFERROR(IF($B$1=0,"",IF(ISNUMBER(INDEX(貼り付け!$A$1:$BZ$3001,64,$B$1)),"",SUBSTITUTE(SUBSTITUTE(SUBSTITUTE(SUBSTITUTE(TRIM(LEFT(INDEX(貼り付け!$A$1:$BZ$3001,64,$B$1)&amp;"",FIND(" ",TRIM(INDEX(貼り付け!$A$1:$BZ$3001,64,$B$1)&amp;"")&amp;" ")-1)),"/","-"),"年","-"),"月","-"),"日",""))),"")</f>
        <v/>
      </c>
      <c r="J65">
        <f>IFERROR(MID(I65,FIND("-",I65)+1,99),"")</f>
        <v/>
      </c>
    </row>
    <row r="66">
      <c r="B66">
        <f>IFERROR(IF($B$1=0,"",IF(INDEX(貼り付け!$A$1:$BZ$3001,65,$B$1)="","",IF(ISNUMBER(INDEX(貼り付け!$A$1:$BZ$3001,65,$B$1)),INT(INDEX(貼り付け!$A$1:$BZ$3001,65,$B$1)),DATE(VALUE(LEFT(I66,FIND("-",I66)-1)),VALUE(LEFT(J66,FIND("-",J66)-1)),VALUE(MID(J66,FIND("-",J66)+1,99)))))),"")</f>
        <v/>
      </c>
      <c r="C66">
        <f>IF($C$1=0,0,IFERROR(VALUE(SUBSTITUTE(SUBSTITUTE(SUBSTITUTE(INDEX(貼り付け!$A$1:$BZ$3001,65,$C$1)&amp;"",",",""),"¥",""),"￥","")),0))</f>
        <v/>
      </c>
      <c r="D66">
        <f>IF($D$1=0,0,IFERROR(VALUE(SUBSTITUTE(SUBSTITUTE(SUBSTITUTE(INDEX(貼り付け!$A$1:$BZ$3001,65,$D$1)&amp;"",",",""),"¥",""),"￥","")),0))</f>
        <v/>
      </c>
      <c r="E66">
        <f>IF($E$1=0,0,IFERROR(VALUE(SUBSTITUTE(SUBSTITUTE(SUBSTITUTE(INDEX(貼り付け!$A$1:$BZ$3001,65,$E$1)&amp;"",",",""),"¥",""),"￥","")),0))</f>
        <v/>
      </c>
      <c r="F66">
        <f>IF($F$1=0,0,IFERROR(VALUE(SUBSTITUTE(SUBSTITUTE(SUBSTITUTE(INDEX(貼り付け!$A$1:$BZ$3001,65,$F$1)&amp;"",",",""),"¥",""),"￥","")),0))</f>
        <v/>
      </c>
      <c r="G66">
        <f>IF(ISNUMBER(B66),YEAR(B66),"")</f>
        <v/>
      </c>
      <c r="H66">
        <f>IF(ISNUMBER(B66),MONTH(B66),"")</f>
        <v/>
      </c>
      <c r="I66">
        <f>IFERROR(IF($B$1=0,"",IF(ISNUMBER(INDEX(貼り付け!$A$1:$BZ$3001,65,$B$1)),"",SUBSTITUTE(SUBSTITUTE(SUBSTITUTE(SUBSTITUTE(TRIM(LEFT(INDEX(貼り付け!$A$1:$BZ$3001,65,$B$1)&amp;"",FIND(" ",TRIM(INDEX(貼り付け!$A$1:$BZ$3001,65,$B$1)&amp;"")&amp;" ")-1)),"/","-"),"年","-"),"月","-"),"日",""))),"")</f>
        <v/>
      </c>
      <c r="J66">
        <f>IFERROR(MID(I66,FIND("-",I66)+1,99),"")</f>
        <v/>
      </c>
    </row>
    <row r="67">
      <c r="B67">
        <f>IFERROR(IF($B$1=0,"",IF(INDEX(貼り付け!$A$1:$BZ$3001,66,$B$1)="","",IF(ISNUMBER(INDEX(貼り付け!$A$1:$BZ$3001,66,$B$1)),INT(INDEX(貼り付け!$A$1:$BZ$3001,66,$B$1)),DATE(VALUE(LEFT(I67,FIND("-",I67)-1)),VALUE(LEFT(J67,FIND("-",J67)-1)),VALUE(MID(J67,FIND("-",J67)+1,99)))))),"")</f>
        <v/>
      </c>
      <c r="C67">
        <f>IF($C$1=0,0,IFERROR(VALUE(SUBSTITUTE(SUBSTITUTE(SUBSTITUTE(INDEX(貼り付け!$A$1:$BZ$3001,66,$C$1)&amp;"",",",""),"¥",""),"￥","")),0))</f>
        <v/>
      </c>
      <c r="D67">
        <f>IF($D$1=0,0,IFERROR(VALUE(SUBSTITUTE(SUBSTITUTE(SUBSTITUTE(INDEX(貼り付け!$A$1:$BZ$3001,66,$D$1)&amp;"",",",""),"¥",""),"￥","")),0))</f>
        <v/>
      </c>
      <c r="E67">
        <f>IF($E$1=0,0,IFERROR(VALUE(SUBSTITUTE(SUBSTITUTE(SUBSTITUTE(INDEX(貼り付け!$A$1:$BZ$3001,66,$E$1)&amp;"",",",""),"¥",""),"￥","")),0))</f>
        <v/>
      </c>
      <c r="F67">
        <f>IF($F$1=0,0,IFERROR(VALUE(SUBSTITUTE(SUBSTITUTE(SUBSTITUTE(INDEX(貼り付け!$A$1:$BZ$3001,66,$F$1)&amp;"",",",""),"¥",""),"￥","")),0))</f>
        <v/>
      </c>
      <c r="G67">
        <f>IF(ISNUMBER(B67),YEAR(B67),"")</f>
        <v/>
      </c>
      <c r="H67">
        <f>IF(ISNUMBER(B67),MONTH(B67),"")</f>
        <v/>
      </c>
      <c r="I67">
        <f>IFERROR(IF($B$1=0,"",IF(ISNUMBER(INDEX(貼り付け!$A$1:$BZ$3001,66,$B$1)),"",SUBSTITUTE(SUBSTITUTE(SUBSTITUTE(SUBSTITUTE(TRIM(LEFT(INDEX(貼り付け!$A$1:$BZ$3001,66,$B$1)&amp;"",FIND(" ",TRIM(INDEX(貼り付け!$A$1:$BZ$3001,66,$B$1)&amp;"")&amp;" ")-1)),"/","-"),"年","-"),"月","-"),"日",""))),"")</f>
        <v/>
      </c>
      <c r="J67">
        <f>IFERROR(MID(I67,FIND("-",I67)+1,99),"")</f>
        <v/>
      </c>
    </row>
    <row r="68">
      <c r="B68">
        <f>IFERROR(IF($B$1=0,"",IF(INDEX(貼り付け!$A$1:$BZ$3001,67,$B$1)="","",IF(ISNUMBER(INDEX(貼り付け!$A$1:$BZ$3001,67,$B$1)),INT(INDEX(貼り付け!$A$1:$BZ$3001,67,$B$1)),DATE(VALUE(LEFT(I68,FIND("-",I68)-1)),VALUE(LEFT(J68,FIND("-",J68)-1)),VALUE(MID(J68,FIND("-",J68)+1,99)))))),"")</f>
        <v/>
      </c>
      <c r="C68">
        <f>IF($C$1=0,0,IFERROR(VALUE(SUBSTITUTE(SUBSTITUTE(SUBSTITUTE(INDEX(貼り付け!$A$1:$BZ$3001,67,$C$1)&amp;"",",",""),"¥",""),"￥","")),0))</f>
        <v/>
      </c>
      <c r="D68">
        <f>IF($D$1=0,0,IFERROR(VALUE(SUBSTITUTE(SUBSTITUTE(SUBSTITUTE(INDEX(貼り付け!$A$1:$BZ$3001,67,$D$1)&amp;"",",",""),"¥",""),"￥","")),0))</f>
        <v/>
      </c>
      <c r="E68">
        <f>IF($E$1=0,0,IFERROR(VALUE(SUBSTITUTE(SUBSTITUTE(SUBSTITUTE(INDEX(貼り付け!$A$1:$BZ$3001,67,$E$1)&amp;"",",",""),"¥",""),"￥","")),0))</f>
        <v/>
      </c>
      <c r="F68">
        <f>IF($F$1=0,0,IFERROR(VALUE(SUBSTITUTE(SUBSTITUTE(SUBSTITUTE(INDEX(貼り付け!$A$1:$BZ$3001,67,$F$1)&amp;"",",",""),"¥",""),"￥","")),0))</f>
        <v/>
      </c>
      <c r="G68">
        <f>IF(ISNUMBER(B68),YEAR(B68),"")</f>
        <v/>
      </c>
      <c r="H68">
        <f>IF(ISNUMBER(B68),MONTH(B68),"")</f>
        <v/>
      </c>
      <c r="I68">
        <f>IFERROR(IF($B$1=0,"",IF(ISNUMBER(INDEX(貼り付け!$A$1:$BZ$3001,67,$B$1)),"",SUBSTITUTE(SUBSTITUTE(SUBSTITUTE(SUBSTITUTE(TRIM(LEFT(INDEX(貼り付け!$A$1:$BZ$3001,67,$B$1)&amp;"",FIND(" ",TRIM(INDEX(貼り付け!$A$1:$BZ$3001,67,$B$1)&amp;"")&amp;" ")-1)),"/","-"),"年","-"),"月","-"),"日",""))),"")</f>
        <v/>
      </c>
      <c r="J68">
        <f>IFERROR(MID(I68,FIND("-",I68)+1,99),"")</f>
        <v/>
      </c>
    </row>
    <row r="69">
      <c r="B69">
        <f>IFERROR(IF($B$1=0,"",IF(INDEX(貼り付け!$A$1:$BZ$3001,68,$B$1)="","",IF(ISNUMBER(INDEX(貼り付け!$A$1:$BZ$3001,68,$B$1)),INT(INDEX(貼り付け!$A$1:$BZ$3001,68,$B$1)),DATE(VALUE(LEFT(I69,FIND("-",I69)-1)),VALUE(LEFT(J69,FIND("-",J69)-1)),VALUE(MID(J69,FIND("-",J69)+1,99)))))),"")</f>
        <v/>
      </c>
      <c r="C69">
        <f>IF($C$1=0,0,IFERROR(VALUE(SUBSTITUTE(SUBSTITUTE(SUBSTITUTE(INDEX(貼り付け!$A$1:$BZ$3001,68,$C$1)&amp;"",",",""),"¥",""),"￥","")),0))</f>
        <v/>
      </c>
      <c r="D69">
        <f>IF($D$1=0,0,IFERROR(VALUE(SUBSTITUTE(SUBSTITUTE(SUBSTITUTE(INDEX(貼り付け!$A$1:$BZ$3001,68,$D$1)&amp;"",",",""),"¥",""),"￥","")),0))</f>
        <v/>
      </c>
      <c r="E69">
        <f>IF($E$1=0,0,IFERROR(VALUE(SUBSTITUTE(SUBSTITUTE(SUBSTITUTE(INDEX(貼り付け!$A$1:$BZ$3001,68,$E$1)&amp;"",",",""),"¥",""),"￥","")),0))</f>
        <v/>
      </c>
      <c r="F69">
        <f>IF($F$1=0,0,IFERROR(VALUE(SUBSTITUTE(SUBSTITUTE(SUBSTITUTE(INDEX(貼り付け!$A$1:$BZ$3001,68,$F$1)&amp;"",",",""),"¥",""),"￥","")),0))</f>
        <v/>
      </c>
      <c r="G69">
        <f>IF(ISNUMBER(B69),YEAR(B69),"")</f>
        <v/>
      </c>
      <c r="H69">
        <f>IF(ISNUMBER(B69),MONTH(B69),"")</f>
        <v/>
      </c>
      <c r="I69">
        <f>IFERROR(IF($B$1=0,"",IF(ISNUMBER(INDEX(貼り付け!$A$1:$BZ$3001,68,$B$1)),"",SUBSTITUTE(SUBSTITUTE(SUBSTITUTE(SUBSTITUTE(TRIM(LEFT(INDEX(貼り付け!$A$1:$BZ$3001,68,$B$1)&amp;"",FIND(" ",TRIM(INDEX(貼り付け!$A$1:$BZ$3001,68,$B$1)&amp;"")&amp;" ")-1)),"/","-"),"年","-"),"月","-"),"日",""))),"")</f>
        <v/>
      </c>
      <c r="J69">
        <f>IFERROR(MID(I69,FIND("-",I69)+1,99),"")</f>
        <v/>
      </c>
    </row>
    <row r="70">
      <c r="B70">
        <f>IFERROR(IF($B$1=0,"",IF(INDEX(貼り付け!$A$1:$BZ$3001,69,$B$1)="","",IF(ISNUMBER(INDEX(貼り付け!$A$1:$BZ$3001,69,$B$1)),INT(INDEX(貼り付け!$A$1:$BZ$3001,69,$B$1)),DATE(VALUE(LEFT(I70,FIND("-",I70)-1)),VALUE(LEFT(J70,FIND("-",J70)-1)),VALUE(MID(J70,FIND("-",J70)+1,99)))))),"")</f>
        <v/>
      </c>
      <c r="C70">
        <f>IF($C$1=0,0,IFERROR(VALUE(SUBSTITUTE(SUBSTITUTE(SUBSTITUTE(INDEX(貼り付け!$A$1:$BZ$3001,69,$C$1)&amp;"",",",""),"¥",""),"￥","")),0))</f>
        <v/>
      </c>
      <c r="D70">
        <f>IF($D$1=0,0,IFERROR(VALUE(SUBSTITUTE(SUBSTITUTE(SUBSTITUTE(INDEX(貼り付け!$A$1:$BZ$3001,69,$D$1)&amp;"",",",""),"¥",""),"￥","")),0))</f>
        <v/>
      </c>
      <c r="E70">
        <f>IF($E$1=0,0,IFERROR(VALUE(SUBSTITUTE(SUBSTITUTE(SUBSTITUTE(INDEX(貼り付け!$A$1:$BZ$3001,69,$E$1)&amp;"",",",""),"¥",""),"￥","")),0))</f>
        <v/>
      </c>
      <c r="F70">
        <f>IF($F$1=0,0,IFERROR(VALUE(SUBSTITUTE(SUBSTITUTE(SUBSTITUTE(INDEX(貼り付け!$A$1:$BZ$3001,69,$F$1)&amp;"",",",""),"¥",""),"￥","")),0))</f>
        <v/>
      </c>
      <c r="G70">
        <f>IF(ISNUMBER(B70),YEAR(B70),"")</f>
        <v/>
      </c>
      <c r="H70">
        <f>IF(ISNUMBER(B70),MONTH(B70),"")</f>
        <v/>
      </c>
      <c r="I70">
        <f>IFERROR(IF($B$1=0,"",IF(ISNUMBER(INDEX(貼り付け!$A$1:$BZ$3001,69,$B$1)),"",SUBSTITUTE(SUBSTITUTE(SUBSTITUTE(SUBSTITUTE(TRIM(LEFT(INDEX(貼り付け!$A$1:$BZ$3001,69,$B$1)&amp;"",FIND(" ",TRIM(INDEX(貼り付け!$A$1:$BZ$3001,69,$B$1)&amp;"")&amp;" ")-1)),"/","-"),"年","-"),"月","-"),"日",""))),"")</f>
        <v/>
      </c>
      <c r="J70">
        <f>IFERROR(MID(I70,FIND("-",I70)+1,99),"")</f>
        <v/>
      </c>
    </row>
    <row r="71">
      <c r="B71">
        <f>IFERROR(IF($B$1=0,"",IF(INDEX(貼り付け!$A$1:$BZ$3001,70,$B$1)="","",IF(ISNUMBER(INDEX(貼り付け!$A$1:$BZ$3001,70,$B$1)),INT(INDEX(貼り付け!$A$1:$BZ$3001,70,$B$1)),DATE(VALUE(LEFT(I71,FIND("-",I71)-1)),VALUE(LEFT(J71,FIND("-",J71)-1)),VALUE(MID(J71,FIND("-",J71)+1,99)))))),"")</f>
        <v/>
      </c>
      <c r="C71">
        <f>IF($C$1=0,0,IFERROR(VALUE(SUBSTITUTE(SUBSTITUTE(SUBSTITUTE(INDEX(貼り付け!$A$1:$BZ$3001,70,$C$1)&amp;"",",",""),"¥",""),"￥","")),0))</f>
        <v/>
      </c>
      <c r="D71">
        <f>IF($D$1=0,0,IFERROR(VALUE(SUBSTITUTE(SUBSTITUTE(SUBSTITUTE(INDEX(貼り付け!$A$1:$BZ$3001,70,$D$1)&amp;"",",",""),"¥",""),"￥","")),0))</f>
        <v/>
      </c>
      <c r="E71">
        <f>IF($E$1=0,0,IFERROR(VALUE(SUBSTITUTE(SUBSTITUTE(SUBSTITUTE(INDEX(貼り付け!$A$1:$BZ$3001,70,$E$1)&amp;"",",",""),"¥",""),"￥","")),0))</f>
        <v/>
      </c>
      <c r="F71">
        <f>IF($F$1=0,0,IFERROR(VALUE(SUBSTITUTE(SUBSTITUTE(SUBSTITUTE(INDEX(貼り付け!$A$1:$BZ$3001,70,$F$1)&amp;"",",",""),"¥",""),"￥","")),0))</f>
        <v/>
      </c>
      <c r="G71">
        <f>IF(ISNUMBER(B71),YEAR(B71),"")</f>
        <v/>
      </c>
      <c r="H71">
        <f>IF(ISNUMBER(B71),MONTH(B71),"")</f>
        <v/>
      </c>
      <c r="I71">
        <f>IFERROR(IF($B$1=0,"",IF(ISNUMBER(INDEX(貼り付け!$A$1:$BZ$3001,70,$B$1)),"",SUBSTITUTE(SUBSTITUTE(SUBSTITUTE(SUBSTITUTE(TRIM(LEFT(INDEX(貼り付け!$A$1:$BZ$3001,70,$B$1)&amp;"",FIND(" ",TRIM(INDEX(貼り付け!$A$1:$BZ$3001,70,$B$1)&amp;"")&amp;" ")-1)),"/","-"),"年","-"),"月","-"),"日",""))),"")</f>
        <v/>
      </c>
      <c r="J71">
        <f>IFERROR(MID(I71,FIND("-",I71)+1,99),"")</f>
        <v/>
      </c>
    </row>
    <row r="72">
      <c r="B72">
        <f>IFERROR(IF($B$1=0,"",IF(INDEX(貼り付け!$A$1:$BZ$3001,71,$B$1)="","",IF(ISNUMBER(INDEX(貼り付け!$A$1:$BZ$3001,71,$B$1)),INT(INDEX(貼り付け!$A$1:$BZ$3001,71,$B$1)),DATE(VALUE(LEFT(I72,FIND("-",I72)-1)),VALUE(LEFT(J72,FIND("-",J72)-1)),VALUE(MID(J72,FIND("-",J72)+1,99)))))),"")</f>
        <v/>
      </c>
      <c r="C72">
        <f>IF($C$1=0,0,IFERROR(VALUE(SUBSTITUTE(SUBSTITUTE(SUBSTITUTE(INDEX(貼り付け!$A$1:$BZ$3001,71,$C$1)&amp;"",",",""),"¥",""),"￥","")),0))</f>
        <v/>
      </c>
      <c r="D72">
        <f>IF($D$1=0,0,IFERROR(VALUE(SUBSTITUTE(SUBSTITUTE(SUBSTITUTE(INDEX(貼り付け!$A$1:$BZ$3001,71,$D$1)&amp;"",",",""),"¥",""),"￥","")),0))</f>
        <v/>
      </c>
      <c r="E72">
        <f>IF($E$1=0,0,IFERROR(VALUE(SUBSTITUTE(SUBSTITUTE(SUBSTITUTE(INDEX(貼り付け!$A$1:$BZ$3001,71,$E$1)&amp;"",",",""),"¥",""),"￥","")),0))</f>
        <v/>
      </c>
      <c r="F72">
        <f>IF($F$1=0,0,IFERROR(VALUE(SUBSTITUTE(SUBSTITUTE(SUBSTITUTE(INDEX(貼り付け!$A$1:$BZ$3001,71,$F$1)&amp;"",",",""),"¥",""),"￥","")),0))</f>
        <v/>
      </c>
      <c r="G72">
        <f>IF(ISNUMBER(B72),YEAR(B72),"")</f>
        <v/>
      </c>
      <c r="H72">
        <f>IF(ISNUMBER(B72),MONTH(B72),"")</f>
        <v/>
      </c>
      <c r="I72">
        <f>IFERROR(IF($B$1=0,"",IF(ISNUMBER(INDEX(貼り付け!$A$1:$BZ$3001,71,$B$1)),"",SUBSTITUTE(SUBSTITUTE(SUBSTITUTE(SUBSTITUTE(TRIM(LEFT(INDEX(貼り付け!$A$1:$BZ$3001,71,$B$1)&amp;"",FIND(" ",TRIM(INDEX(貼り付け!$A$1:$BZ$3001,71,$B$1)&amp;"")&amp;" ")-1)),"/","-"),"年","-"),"月","-"),"日",""))),"")</f>
        <v/>
      </c>
      <c r="J72">
        <f>IFERROR(MID(I72,FIND("-",I72)+1,99),"")</f>
        <v/>
      </c>
    </row>
    <row r="73">
      <c r="B73">
        <f>IFERROR(IF($B$1=0,"",IF(INDEX(貼り付け!$A$1:$BZ$3001,72,$B$1)="","",IF(ISNUMBER(INDEX(貼り付け!$A$1:$BZ$3001,72,$B$1)),INT(INDEX(貼り付け!$A$1:$BZ$3001,72,$B$1)),DATE(VALUE(LEFT(I73,FIND("-",I73)-1)),VALUE(LEFT(J73,FIND("-",J73)-1)),VALUE(MID(J73,FIND("-",J73)+1,99)))))),"")</f>
        <v/>
      </c>
      <c r="C73">
        <f>IF($C$1=0,0,IFERROR(VALUE(SUBSTITUTE(SUBSTITUTE(SUBSTITUTE(INDEX(貼り付け!$A$1:$BZ$3001,72,$C$1)&amp;"",",",""),"¥",""),"￥","")),0))</f>
        <v/>
      </c>
      <c r="D73">
        <f>IF($D$1=0,0,IFERROR(VALUE(SUBSTITUTE(SUBSTITUTE(SUBSTITUTE(INDEX(貼り付け!$A$1:$BZ$3001,72,$D$1)&amp;"",",",""),"¥",""),"￥","")),0))</f>
        <v/>
      </c>
      <c r="E73">
        <f>IF($E$1=0,0,IFERROR(VALUE(SUBSTITUTE(SUBSTITUTE(SUBSTITUTE(INDEX(貼り付け!$A$1:$BZ$3001,72,$E$1)&amp;"",",",""),"¥",""),"￥","")),0))</f>
        <v/>
      </c>
      <c r="F73">
        <f>IF($F$1=0,0,IFERROR(VALUE(SUBSTITUTE(SUBSTITUTE(SUBSTITUTE(INDEX(貼り付け!$A$1:$BZ$3001,72,$F$1)&amp;"",",",""),"¥",""),"￥","")),0))</f>
        <v/>
      </c>
      <c r="G73">
        <f>IF(ISNUMBER(B73),YEAR(B73),"")</f>
        <v/>
      </c>
      <c r="H73">
        <f>IF(ISNUMBER(B73),MONTH(B73),"")</f>
        <v/>
      </c>
      <c r="I73">
        <f>IFERROR(IF($B$1=0,"",IF(ISNUMBER(INDEX(貼り付け!$A$1:$BZ$3001,72,$B$1)),"",SUBSTITUTE(SUBSTITUTE(SUBSTITUTE(SUBSTITUTE(TRIM(LEFT(INDEX(貼り付け!$A$1:$BZ$3001,72,$B$1)&amp;"",FIND(" ",TRIM(INDEX(貼り付け!$A$1:$BZ$3001,72,$B$1)&amp;"")&amp;" ")-1)),"/","-"),"年","-"),"月","-"),"日",""))),"")</f>
        <v/>
      </c>
      <c r="J73">
        <f>IFERROR(MID(I73,FIND("-",I73)+1,99),"")</f>
        <v/>
      </c>
    </row>
    <row r="74">
      <c r="B74">
        <f>IFERROR(IF($B$1=0,"",IF(INDEX(貼り付け!$A$1:$BZ$3001,73,$B$1)="","",IF(ISNUMBER(INDEX(貼り付け!$A$1:$BZ$3001,73,$B$1)),INT(INDEX(貼り付け!$A$1:$BZ$3001,73,$B$1)),DATE(VALUE(LEFT(I74,FIND("-",I74)-1)),VALUE(LEFT(J74,FIND("-",J74)-1)),VALUE(MID(J74,FIND("-",J74)+1,99)))))),"")</f>
        <v/>
      </c>
      <c r="C74">
        <f>IF($C$1=0,0,IFERROR(VALUE(SUBSTITUTE(SUBSTITUTE(SUBSTITUTE(INDEX(貼り付け!$A$1:$BZ$3001,73,$C$1)&amp;"",",",""),"¥",""),"￥","")),0))</f>
        <v/>
      </c>
      <c r="D74">
        <f>IF($D$1=0,0,IFERROR(VALUE(SUBSTITUTE(SUBSTITUTE(SUBSTITUTE(INDEX(貼り付け!$A$1:$BZ$3001,73,$D$1)&amp;"",",",""),"¥",""),"￥","")),0))</f>
        <v/>
      </c>
      <c r="E74">
        <f>IF($E$1=0,0,IFERROR(VALUE(SUBSTITUTE(SUBSTITUTE(SUBSTITUTE(INDEX(貼り付け!$A$1:$BZ$3001,73,$E$1)&amp;"",",",""),"¥",""),"￥","")),0))</f>
        <v/>
      </c>
      <c r="F74">
        <f>IF($F$1=0,0,IFERROR(VALUE(SUBSTITUTE(SUBSTITUTE(SUBSTITUTE(INDEX(貼り付け!$A$1:$BZ$3001,73,$F$1)&amp;"",",",""),"¥",""),"￥","")),0))</f>
        <v/>
      </c>
      <c r="G74">
        <f>IF(ISNUMBER(B74),YEAR(B74),"")</f>
        <v/>
      </c>
      <c r="H74">
        <f>IF(ISNUMBER(B74),MONTH(B74),"")</f>
        <v/>
      </c>
      <c r="I74">
        <f>IFERROR(IF($B$1=0,"",IF(ISNUMBER(INDEX(貼り付け!$A$1:$BZ$3001,73,$B$1)),"",SUBSTITUTE(SUBSTITUTE(SUBSTITUTE(SUBSTITUTE(TRIM(LEFT(INDEX(貼り付け!$A$1:$BZ$3001,73,$B$1)&amp;"",FIND(" ",TRIM(INDEX(貼り付け!$A$1:$BZ$3001,73,$B$1)&amp;"")&amp;" ")-1)),"/","-"),"年","-"),"月","-"),"日",""))),"")</f>
        <v/>
      </c>
      <c r="J74">
        <f>IFERROR(MID(I74,FIND("-",I74)+1,99),"")</f>
        <v/>
      </c>
    </row>
    <row r="75">
      <c r="B75">
        <f>IFERROR(IF($B$1=0,"",IF(INDEX(貼り付け!$A$1:$BZ$3001,74,$B$1)="","",IF(ISNUMBER(INDEX(貼り付け!$A$1:$BZ$3001,74,$B$1)),INT(INDEX(貼り付け!$A$1:$BZ$3001,74,$B$1)),DATE(VALUE(LEFT(I75,FIND("-",I75)-1)),VALUE(LEFT(J75,FIND("-",J75)-1)),VALUE(MID(J75,FIND("-",J75)+1,99)))))),"")</f>
        <v/>
      </c>
      <c r="C75">
        <f>IF($C$1=0,0,IFERROR(VALUE(SUBSTITUTE(SUBSTITUTE(SUBSTITUTE(INDEX(貼り付け!$A$1:$BZ$3001,74,$C$1)&amp;"",",",""),"¥",""),"￥","")),0))</f>
        <v/>
      </c>
      <c r="D75">
        <f>IF($D$1=0,0,IFERROR(VALUE(SUBSTITUTE(SUBSTITUTE(SUBSTITUTE(INDEX(貼り付け!$A$1:$BZ$3001,74,$D$1)&amp;"",",",""),"¥",""),"￥","")),0))</f>
        <v/>
      </c>
      <c r="E75">
        <f>IF($E$1=0,0,IFERROR(VALUE(SUBSTITUTE(SUBSTITUTE(SUBSTITUTE(INDEX(貼り付け!$A$1:$BZ$3001,74,$E$1)&amp;"",",",""),"¥",""),"￥","")),0))</f>
        <v/>
      </c>
      <c r="F75">
        <f>IF($F$1=0,0,IFERROR(VALUE(SUBSTITUTE(SUBSTITUTE(SUBSTITUTE(INDEX(貼り付け!$A$1:$BZ$3001,74,$F$1)&amp;"",",",""),"¥",""),"￥","")),0))</f>
        <v/>
      </c>
      <c r="G75">
        <f>IF(ISNUMBER(B75),YEAR(B75),"")</f>
        <v/>
      </c>
      <c r="H75">
        <f>IF(ISNUMBER(B75),MONTH(B75),"")</f>
        <v/>
      </c>
      <c r="I75">
        <f>IFERROR(IF($B$1=0,"",IF(ISNUMBER(INDEX(貼り付け!$A$1:$BZ$3001,74,$B$1)),"",SUBSTITUTE(SUBSTITUTE(SUBSTITUTE(SUBSTITUTE(TRIM(LEFT(INDEX(貼り付け!$A$1:$BZ$3001,74,$B$1)&amp;"",FIND(" ",TRIM(INDEX(貼り付け!$A$1:$BZ$3001,74,$B$1)&amp;"")&amp;" ")-1)),"/","-"),"年","-"),"月","-"),"日",""))),"")</f>
        <v/>
      </c>
      <c r="J75">
        <f>IFERROR(MID(I75,FIND("-",I75)+1,99),"")</f>
        <v/>
      </c>
    </row>
    <row r="76">
      <c r="B76">
        <f>IFERROR(IF($B$1=0,"",IF(INDEX(貼り付け!$A$1:$BZ$3001,75,$B$1)="","",IF(ISNUMBER(INDEX(貼り付け!$A$1:$BZ$3001,75,$B$1)),INT(INDEX(貼り付け!$A$1:$BZ$3001,75,$B$1)),DATE(VALUE(LEFT(I76,FIND("-",I76)-1)),VALUE(LEFT(J76,FIND("-",J76)-1)),VALUE(MID(J76,FIND("-",J76)+1,99)))))),"")</f>
        <v/>
      </c>
      <c r="C76">
        <f>IF($C$1=0,0,IFERROR(VALUE(SUBSTITUTE(SUBSTITUTE(SUBSTITUTE(INDEX(貼り付け!$A$1:$BZ$3001,75,$C$1)&amp;"",",",""),"¥",""),"￥","")),0))</f>
        <v/>
      </c>
      <c r="D76">
        <f>IF($D$1=0,0,IFERROR(VALUE(SUBSTITUTE(SUBSTITUTE(SUBSTITUTE(INDEX(貼り付け!$A$1:$BZ$3001,75,$D$1)&amp;"",",",""),"¥",""),"￥","")),0))</f>
        <v/>
      </c>
      <c r="E76">
        <f>IF($E$1=0,0,IFERROR(VALUE(SUBSTITUTE(SUBSTITUTE(SUBSTITUTE(INDEX(貼り付け!$A$1:$BZ$3001,75,$E$1)&amp;"",",",""),"¥",""),"￥","")),0))</f>
        <v/>
      </c>
      <c r="F76">
        <f>IF($F$1=0,0,IFERROR(VALUE(SUBSTITUTE(SUBSTITUTE(SUBSTITUTE(INDEX(貼り付け!$A$1:$BZ$3001,75,$F$1)&amp;"",",",""),"¥",""),"￥","")),0))</f>
        <v/>
      </c>
      <c r="G76">
        <f>IF(ISNUMBER(B76),YEAR(B76),"")</f>
        <v/>
      </c>
      <c r="H76">
        <f>IF(ISNUMBER(B76),MONTH(B76),"")</f>
        <v/>
      </c>
      <c r="I76">
        <f>IFERROR(IF($B$1=0,"",IF(ISNUMBER(INDEX(貼り付け!$A$1:$BZ$3001,75,$B$1)),"",SUBSTITUTE(SUBSTITUTE(SUBSTITUTE(SUBSTITUTE(TRIM(LEFT(INDEX(貼り付け!$A$1:$BZ$3001,75,$B$1)&amp;"",FIND(" ",TRIM(INDEX(貼り付け!$A$1:$BZ$3001,75,$B$1)&amp;"")&amp;" ")-1)),"/","-"),"年","-"),"月","-"),"日",""))),"")</f>
        <v/>
      </c>
      <c r="J76">
        <f>IFERROR(MID(I76,FIND("-",I76)+1,99),"")</f>
        <v/>
      </c>
    </row>
    <row r="77">
      <c r="B77">
        <f>IFERROR(IF($B$1=0,"",IF(INDEX(貼り付け!$A$1:$BZ$3001,76,$B$1)="","",IF(ISNUMBER(INDEX(貼り付け!$A$1:$BZ$3001,76,$B$1)),INT(INDEX(貼り付け!$A$1:$BZ$3001,76,$B$1)),DATE(VALUE(LEFT(I77,FIND("-",I77)-1)),VALUE(LEFT(J77,FIND("-",J77)-1)),VALUE(MID(J77,FIND("-",J77)+1,99)))))),"")</f>
        <v/>
      </c>
      <c r="C77">
        <f>IF($C$1=0,0,IFERROR(VALUE(SUBSTITUTE(SUBSTITUTE(SUBSTITUTE(INDEX(貼り付け!$A$1:$BZ$3001,76,$C$1)&amp;"",",",""),"¥",""),"￥","")),0))</f>
        <v/>
      </c>
      <c r="D77">
        <f>IF($D$1=0,0,IFERROR(VALUE(SUBSTITUTE(SUBSTITUTE(SUBSTITUTE(INDEX(貼り付け!$A$1:$BZ$3001,76,$D$1)&amp;"",",",""),"¥",""),"￥","")),0))</f>
        <v/>
      </c>
      <c r="E77">
        <f>IF($E$1=0,0,IFERROR(VALUE(SUBSTITUTE(SUBSTITUTE(SUBSTITUTE(INDEX(貼り付け!$A$1:$BZ$3001,76,$E$1)&amp;"",",",""),"¥",""),"￥","")),0))</f>
        <v/>
      </c>
      <c r="F77">
        <f>IF($F$1=0,0,IFERROR(VALUE(SUBSTITUTE(SUBSTITUTE(SUBSTITUTE(INDEX(貼り付け!$A$1:$BZ$3001,76,$F$1)&amp;"",",",""),"¥",""),"￥","")),0))</f>
        <v/>
      </c>
      <c r="G77">
        <f>IF(ISNUMBER(B77),YEAR(B77),"")</f>
        <v/>
      </c>
      <c r="H77">
        <f>IF(ISNUMBER(B77),MONTH(B77),"")</f>
        <v/>
      </c>
      <c r="I77">
        <f>IFERROR(IF($B$1=0,"",IF(ISNUMBER(INDEX(貼り付け!$A$1:$BZ$3001,76,$B$1)),"",SUBSTITUTE(SUBSTITUTE(SUBSTITUTE(SUBSTITUTE(TRIM(LEFT(INDEX(貼り付け!$A$1:$BZ$3001,76,$B$1)&amp;"",FIND(" ",TRIM(INDEX(貼り付け!$A$1:$BZ$3001,76,$B$1)&amp;"")&amp;" ")-1)),"/","-"),"年","-"),"月","-"),"日",""))),"")</f>
        <v/>
      </c>
      <c r="J77">
        <f>IFERROR(MID(I77,FIND("-",I77)+1,99),"")</f>
        <v/>
      </c>
    </row>
    <row r="78">
      <c r="B78">
        <f>IFERROR(IF($B$1=0,"",IF(INDEX(貼り付け!$A$1:$BZ$3001,77,$B$1)="","",IF(ISNUMBER(INDEX(貼り付け!$A$1:$BZ$3001,77,$B$1)),INT(INDEX(貼り付け!$A$1:$BZ$3001,77,$B$1)),DATE(VALUE(LEFT(I78,FIND("-",I78)-1)),VALUE(LEFT(J78,FIND("-",J78)-1)),VALUE(MID(J78,FIND("-",J78)+1,99)))))),"")</f>
        <v/>
      </c>
      <c r="C78">
        <f>IF($C$1=0,0,IFERROR(VALUE(SUBSTITUTE(SUBSTITUTE(SUBSTITUTE(INDEX(貼り付け!$A$1:$BZ$3001,77,$C$1)&amp;"",",",""),"¥",""),"￥","")),0))</f>
        <v/>
      </c>
      <c r="D78">
        <f>IF($D$1=0,0,IFERROR(VALUE(SUBSTITUTE(SUBSTITUTE(SUBSTITUTE(INDEX(貼り付け!$A$1:$BZ$3001,77,$D$1)&amp;"",",",""),"¥",""),"￥","")),0))</f>
        <v/>
      </c>
      <c r="E78">
        <f>IF($E$1=0,0,IFERROR(VALUE(SUBSTITUTE(SUBSTITUTE(SUBSTITUTE(INDEX(貼り付け!$A$1:$BZ$3001,77,$E$1)&amp;"",",",""),"¥",""),"￥","")),0))</f>
        <v/>
      </c>
      <c r="F78">
        <f>IF($F$1=0,0,IFERROR(VALUE(SUBSTITUTE(SUBSTITUTE(SUBSTITUTE(INDEX(貼り付け!$A$1:$BZ$3001,77,$F$1)&amp;"",",",""),"¥",""),"￥","")),0))</f>
        <v/>
      </c>
      <c r="G78">
        <f>IF(ISNUMBER(B78),YEAR(B78),"")</f>
        <v/>
      </c>
      <c r="H78">
        <f>IF(ISNUMBER(B78),MONTH(B78),"")</f>
        <v/>
      </c>
      <c r="I78">
        <f>IFERROR(IF($B$1=0,"",IF(ISNUMBER(INDEX(貼り付け!$A$1:$BZ$3001,77,$B$1)),"",SUBSTITUTE(SUBSTITUTE(SUBSTITUTE(SUBSTITUTE(TRIM(LEFT(INDEX(貼り付け!$A$1:$BZ$3001,77,$B$1)&amp;"",FIND(" ",TRIM(INDEX(貼り付け!$A$1:$BZ$3001,77,$B$1)&amp;"")&amp;" ")-1)),"/","-"),"年","-"),"月","-"),"日",""))),"")</f>
        <v/>
      </c>
      <c r="J78">
        <f>IFERROR(MID(I78,FIND("-",I78)+1,99),"")</f>
        <v/>
      </c>
    </row>
    <row r="79">
      <c r="B79">
        <f>IFERROR(IF($B$1=0,"",IF(INDEX(貼り付け!$A$1:$BZ$3001,78,$B$1)="","",IF(ISNUMBER(INDEX(貼り付け!$A$1:$BZ$3001,78,$B$1)),INT(INDEX(貼り付け!$A$1:$BZ$3001,78,$B$1)),DATE(VALUE(LEFT(I79,FIND("-",I79)-1)),VALUE(LEFT(J79,FIND("-",J79)-1)),VALUE(MID(J79,FIND("-",J79)+1,99)))))),"")</f>
        <v/>
      </c>
      <c r="C79">
        <f>IF($C$1=0,0,IFERROR(VALUE(SUBSTITUTE(SUBSTITUTE(SUBSTITUTE(INDEX(貼り付け!$A$1:$BZ$3001,78,$C$1)&amp;"",",",""),"¥",""),"￥","")),0))</f>
        <v/>
      </c>
      <c r="D79">
        <f>IF($D$1=0,0,IFERROR(VALUE(SUBSTITUTE(SUBSTITUTE(SUBSTITUTE(INDEX(貼り付け!$A$1:$BZ$3001,78,$D$1)&amp;"",",",""),"¥",""),"￥","")),0))</f>
        <v/>
      </c>
      <c r="E79">
        <f>IF($E$1=0,0,IFERROR(VALUE(SUBSTITUTE(SUBSTITUTE(SUBSTITUTE(INDEX(貼り付け!$A$1:$BZ$3001,78,$E$1)&amp;"",",",""),"¥",""),"￥","")),0))</f>
        <v/>
      </c>
      <c r="F79">
        <f>IF($F$1=0,0,IFERROR(VALUE(SUBSTITUTE(SUBSTITUTE(SUBSTITUTE(INDEX(貼り付け!$A$1:$BZ$3001,78,$F$1)&amp;"",",",""),"¥",""),"￥","")),0))</f>
        <v/>
      </c>
      <c r="G79">
        <f>IF(ISNUMBER(B79),YEAR(B79),"")</f>
        <v/>
      </c>
      <c r="H79">
        <f>IF(ISNUMBER(B79),MONTH(B79),"")</f>
        <v/>
      </c>
      <c r="I79">
        <f>IFERROR(IF($B$1=0,"",IF(ISNUMBER(INDEX(貼り付け!$A$1:$BZ$3001,78,$B$1)),"",SUBSTITUTE(SUBSTITUTE(SUBSTITUTE(SUBSTITUTE(TRIM(LEFT(INDEX(貼り付け!$A$1:$BZ$3001,78,$B$1)&amp;"",FIND(" ",TRIM(INDEX(貼り付け!$A$1:$BZ$3001,78,$B$1)&amp;"")&amp;" ")-1)),"/","-"),"年","-"),"月","-"),"日",""))),"")</f>
        <v/>
      </c>
      <c r="J79">
        <f>IFERROR(MID(I79,FIND("-",I79)+1,99),"")</f>
        <v/>
      </c>
    </row>
    <row r="80">
      <c r="B80">
        <f>IFERROR(IF($B$1=0,"",IF(INDEX(貼り付け!$A$1:$BZ$3001,79,$B$1)="","",IF(ISNUMBER(INDEX(貼り付け!$A$1:$BZ$3001,79,$B$1)),INT(INDEX(貼り付け!$A$1:$BZ$3001,79,$B$1)),DATE(VALUE(LEFT(I80,FIND("-",I80)-1)),VALUE(LEFT(J80,FIND("-",J80)-1)),VALUE(MID(J80,FIND("-",J80)+1,99)))))),"")</f>
        <v/>
      </c>
      <c r="C80">
        <f>IF($C$1=0,0,IFERROR(VALUE(SUBSTITUTE(SUBSTITUTE(SUBSTITUTE(INDEX(貼り付け!$A$1:$BZ$3001,79,$C$1)&amp;"",",",""),"¥",""),"￥","")),0))</f>
        <v/>
      </c>
      <c r="D80">
        <f>IF($D$1=0,0,IFERROR(VALUE(SUBSTITUTE(SUBSTITUTE(SUBSTITUTE(INDEX(貼り付け!$A$1:$BZ$3001,79,$D$1)&amp;"",",",""),"¥",""),"￥","")),0))</f>
        <v/>
      </c>
      <c r="E80">
        <f>IF($E$1=0,0,IFERROR(VALUE(SUBSTITUTE(SUBSTITUTE(SUBSTITUTE(INDEX(貼り付け!$A$1:$BZ$3001,79,$E$1)&amp;"",",",""),"¥",""),"￥","")),0))</f>
        <v/>
      </c>
      <c r="F80">
        <f>IF($F$1=0,0,IFERROR(VALUE(SUBSTITUTE(SUBSTITUTE(SUBSTITUTE(INDEX(貼り付け!$A$1:$BZ$3001,79,$F$1)&amp;"",",",""),"¥",""),"￥","")),0))</f>
        <v/>
      </c>
      <c r="G80">
        <f>IF(ISNUMBER(B80),YEAR(B80),"")</f>
        <v/>
      </c>
      <c r="H80">
        <f>IF(ISNUMBER(B80),MONTH(B80),"")</f>
        <v/>
      </c>
      <c r="I80">
        <f>IFERROR(IF($B$1=0,"",IF(ISNUMBER(INDEX(貼り付け!$A$1:$BZ$3001,79,$B$1)),"",SUBSTITUTE(SUBSTITUTE(SUBSTITUTE(SUBSTITUTE(TRIM(LEFT(INDEX(貼り付け!$A$1:$BZ$3001,79,$B$1)&amp;"",FIND(" ",TRIM(INDEX(貼り付け!$A$1:$BZ$3001,79,$B$1)&amp;"")&amp;" ")-1)),"/","-"),"年","-"),"月","-"),"日",""))),"")</f>
        <v/>
      </c>
      <c r="J80">
        <f>IFERROR(MID(I80,FIND("-",I80)+1,99),"")</f>
        <v/>
      </c>
    </row>
    <row r="81">
      <c r="B81">
        <f>IFERROR(IF($B$1=0,"",IF(INDEX(貼り付け!$A$1:$BZ$3001,80,$B$1)="","",IF(ISNUMBER(INDEX(貼り付け!$A$1:$BZ$3001,80,$B$1)),INT(INDEX(貼り付け!$A$1:$BZ$3001,80,$B$1)),DATE(VALUE(LEFT(I81,FIND("-",I81)-1)),VALUE(LEFT(J81,FIND("-",J81)-1)),VALUE(MID(J81,FIND("-",J81)+1,99)))))),"")</f>
        <v/>
      </c>
      <c r="C81">
        <f>IF($C$1=0,0,IFERROR(VALUE(SUBSTITUTE(SUBSTITUTE(SUBSTITUTE(INDEX(貼り付け!$A$1:$BZ$3001,80,$C$1)&amp;"",",",""),"¥",""),"￥","")),0))</f>
        <v/>
      </c>
      <c r="D81">
        <f>IF($D$1=0,0,IFERROR(VALUE(SUBSTITUTE(SUBSTITUTE(SUBSTITUTE(INDEX(貼り付け!$A$1:$BZ$3001,80,$D$1)&amp;"",",",""),"¥",""),"￥","")),0))</f>
        <v/>
      </c>
      <c r="E81">
        <f>IF($E$1=0,0,IFERROR(VALUE(SUBSTITUTE(SUBSTITUTE(SUBSTITUTE(INDEX(貼り付け!$A$1:$BZ$3001,80,$E$1)&amp;"",",",""),"¥",""),"￥","")),0))</f>
        <v/>
      </c>
      <c r="F81">
        <f>IF($F$1=0,0,IFERROR(VALUE(SUBSTITUTE(SUBSTITUTE(SUBSTITUTE(INDEX(貼り付け!$A$1:$BZ$3001,80,$F$1)&amp;"",",",""),"¥",""),"￥","")),0))</f>
        <v/>
      </c>
      <c r="G81">
        <f>IF(ISNUMBER(B81),YEAR(B81),"")</f>
        <v/>
      </c>
      <c r="H81">
        <f>IF(ISNUMBER(B81),MONTH(B81),"")</f>
        <v/>
      </c>
      <c r="I81">
        <f>IFERROR(IF($B$1=0,"",IF(ISNUMBER(INDEX(貼り付け!$A$1:$BZ$3001,80,$B$1)),"",SUBSTITUTE(SUBSTITUTE(SUBSTITUTE(SUBSTITUTE(TRIM(LEFT(INDEX(貼り付け!$A$1:$BZ$3001,80,$B$1)&amp;"",FIND(" ",TRIM(INDEX(貼り付け!$A$1:$BZ$3001,80,$B$1)&amp;"")&amp;" ")-1)),"/","-"),"年","-"),"月","-"),"日",""))),"")</f>
        <v/>
      </c>
      <c r="J81">
        <f>IFERROR(MID(I81,FIND("-",I81)+1,99),"")</f>
        <v/>
      </c>
    </row>
    <row r="82">
      <c r="B82">
        <f>IFERROR(IF($B$1=0,"",IF(INDEX(貼り付け!$A$1:$BZ$3001,81,$B$1)="","",IF(ISNUMBER(INDEX(貼り付け!$A$1:$BZ$3001,81,$B$1)),INT(INDEX(貼り付け!$A$1:$BZ$3001,81,$B$1)),DATE(VALUE(LEFT(I82,FIND("-",I82)-1)),VALUE(LEFT(J82,FIND("-",J82)-1)),VALUE(MID(J82,FIND("-",J82)+1,99)))))),"")</f>
        <v/>
      </c>
      <c r="C82">
        <f>IF($C$1=0,0,IFERROR(VALUE(SUBSTITUTE(SUBSTITUTE(SUBSTITUTE(INDEX(貼り付け!$A$1:$BZ$3001,81,$C$1)&amp;"",",",""),"¥",""),"￥","")),0))</f>
        <v/>
      </c>
      <c r="D82">
        <f>IF($D$1=0,0,IFERROR(VALUE(SUBSTITUTE(SUBSTITUTE(SUBSTITUTE(INDEX(貼り付け!$A$1:$BZ$3001,81,$D$1)&amp;"",",",""),"¥",""),"￥","")),0))</f>
        <v/>
      </c>
      <c r="E82">
        <f>IF($E$1=0,0,IFERROR(VALUE(SUBSTITUTE(SUBSTITUTE(SUBSTITUTE(INDEX(貼り付け!$A$1:$BZ$3001,81,$E$1)&amp;"",",",""),"¥",""),"￥","")),0))</f>
        <v/>
      </c>
      <c r="F82">
        <f>IF($F$1=0,0,IFERROR(VALUE(SUBSTITUTE(SUBSTITUTE(SUBSTITUTE(INDEX(貼り付け!$A$1:$BZ$3001,81,$F$1)&amp;"",",",""),"¥",""),"￥","")),0))</f>
        <v/>
      </c>
      <c r="G82">
        <f>IF(ISNUMBER(B82),YEAR(B82),"")</f>
        <v/>
      </c>
      <c r="H82">
        <f>IF(ISNUMBER(B82),MONTH(B82),"")</f>
        <v/>
      </c>
      <c r="I82">
        <f>IFERROR(IF($B$1=0,"",IF(ISNUMBER(INDEX(貼り付け!$A$1:$BZ$3001,81,$B$1)),"",SUBSTITUTE(SUBSTITUTE(SUBSTITUTE(SUBSTITUTE(TRIM(LEFT(INDEX(貼り付け!$A$1:$BZ$3001,81,$B$1)&amp;"",FIND(" ",TRIM(INDEX(貼り付け!$A$1:$BZ$3001,81,$B$1)&amp;"")&amp;" ")-1)),"/","-"),"年","-"),"月","-"),"日",""))),"")</f>
        <v/>
      </c>
      <c r="J82">
        <f>IFERROR(MID(I82,FIND("-",I82)+1,99),"")</f>
        <v/>
      </c>
    </row>
    <row r="83">
      <c r="B83">
        <f>IFERROR(IF($B$1=0,"",IF(INDEX(貼り付け!$A$1:$BZ$3001,82,$B$1)="","",IF(ISNUMBER(INDEX(貼り付け!$A$1:$BZ$3001,82,$B$1)),INT(INDEX(貼り付け!$A$1:$BZ$3001,82,$B$1)),DATE(VALUE(LEFT(I83,FIND("-",I83)-1)),VALUE(LEFT(J83,FIND("-",J83)-1)),VALUE(MID(J83,FIND("-",J83)+1,99)))))),"")</f>
        <v/>
      </c>
      <c r="C83">
        <f>IF($C$1=0,0,IFERROR(VALUE(SUBSTITUTE(SUBSTITUTE(SUBSTITUTE(INDEX(貼り付け!$A$1:$BZ$3001,82,$C$1)&amp;"",",",""),"¥",""),"￥","")),0))</f>
        <v/>
      </c>
      <c r="D83">
        <f>IF($D$1=0,0,IFERROR(VALUE(SUBSTITUTE(SUBSTITUTE(SUBSTITUTE(INDEX(貼り付け!$A$1:$BZ$3001,82,$D$1)&amp;"",",",""),"¥",""),"￥","")),0))</f>
        <v/>
      </c>
      <c r="E83">
        <f>IF($E$1=0,0,IFERROR(VALUE(SUBSTITUTE(SUBSTITUTE(SUBSTITUTE(INDEX(貼り付け!$A$1:$BZ$3001,82,$E$1)&amp;"",",",""),"¥",""),"￥","")),0))</f>
        <v/>
      </c>
      <c r="F83">
        <f>IF($F$1=0,0,IFERROR(VALUE(SUBSTITUTE(SUBSTITUTE(SUBSTITUTE(INDEX(貼り付け!$A$1:$BZ$3001,82,$F$1)&amp;"",",",""),"¥",""),"￥","")),0))</f>
        <v/>
      </c>
      <c r="G83">
        <f>IF(ISNUMBER(B83),YEAR(B83),"")</f>
        <v/>
      </c>
      <c r="H83">
        <f>IF(ISNUMBER(B83),MONTH(B83),"")</f>
        <v/>
      </c>
      <c r="I83">
        <f>IFERROR(IF($B$1=0,"",IF(ISNUMBER(INDEX(貼り付け!$A$1:$BZ$3001,82,$B$1)),"",SUBSTITUTE(SUBSTITUTE(SUBSTITUTE(SUBSTITUTE(TRIM(LEFT(INDEX(貼り付け!$A$1:$BZ$3001,82,$B$1)&amp;"",FIND(" ",TRIM(INDEX(貼り付け!$A$1:$BZ$3001,82,$B$1)&amp;"")&amp;" ")-1)),"/","-"),"年","-"),"月","-"),"日",""))),"")</f>
        <v/>
      </c>
      <c r="J83">
        <f>IFERROR(MID(I83,FIND("-",I83)+1,99),"")</f>
        <v/>
      </c>
    </row>
    <row r="84">
      <c r="B84">
        <f>IFERROR(IF($B$1=0,"",IF(INDEX(貼り付け!$A$1:$BZ$3001,83,$B$1)="","",IF(ISNUMBER(INDEX(貼り付け!$A$1:$BZ$3001,83,$B$1)),INT(INDEX(貼り付け!$A$1:$BZ$3001,83,$B$1)),DATE(VALUE(LEFT(I84,FIND("-",I84)-1)),VALUE(LEFT(J84,FIND("-",J84)-1)),VALUE(MID(J84,FIND("-",J84)+1,99)))))),"")</f>
        <v/>
      </c>
      <c r="C84">
        <f>IF($C$1=0,0,IFERROR(VALUE(SUBSTITUTE(SUBSTITUTE(SUBSTITUTE(INDEX(貼り付け!$A$1:$BZ$3001,83,$C$1)&amp;"",",",""),"¥",""),"￥","")),0))</f>
        <v/>
      </c>
      <c r="D84">
        <f>IF($D$1=0,0,IFERROR(VALUE(SUBSTITUTE(SUBSTITUTE(SUBSTITUTE(INDEX(貼り付け!$A$1:$BZ$3001,83,$D$1)&amp;"",",",""),"¥",""),"￥","")),0))</f>
        <v/>
      </c>
      <c r="E84">
        <f>IF($E$1=0,0,IFERROR(VALUE(SUBSTITUTE(SUBSTITUTE(SUBSTITUTE(INDEX(貼り付け!$A$1:$BZ$3001,83,$E$1)&amp;"",",",""),"¥",""),"￥","")),0))</f>
        <v/>
      </c>
      <c r="F84">
        <f>IF($F$1=0,0,IFERROR(VALUE(SUBSTITUTE(SUBSTITUTE(SUBSTITUTE(INDEX(貼り付け!$A$1:$BZ$3001,83,$F$1)&amp;"",",",""),"¥",""),"￥","")),0))</f>
        <v/>
      </c>
      <c r="G84">
        <f>IF(ISNUMBER(B84),YEAR(B84),"")</f>
        <v/>
      </c>
      <c r="H84">
        <f>IF(ISNUMBER(B84),MONTH(B84),"")</f>
        <v/>
      </c>
      <c r="I84">
        <f>IFERROR(IF($B$1=0,"",IF(ISNUMBER(INDEX(貼り付け!$A$1:$BZ$3001,83,$B$1)),"",SUBSTITUTE(SUBSTITUTE(SUBSTITUTE(SUBSTITUTE(TRIM(LEFT(INDEX(貼り付け!$A$1:$BZ$3001,83,$B$1)&amp;"",FIND(" ",TRIM(INDEX(貼り付け!$A$1:$BZ$3001,83,$B$1)&amp;"")&amp;" ")-1)),"/","-"),"年","-"),"月","-"),"日",""))),"")</f>
        <v/>
      </c>
      <c r="J84">
        <f>IFERROR(MID(I84,FIND("-",I84)+1,99),"")</f>
        <v/>
      </c>
    </row>
    <row r="85">
      <c r="B85">
        <f>IFERROR(IF($B$1=0,"",IF(INDEX(貼り付け!$A$1:$BZ$3001,84,$B$1)="","",IF(ISNUMBER(INDEX(貼り付け!$A$1:$BZ$3001,84,$B$1)),INT(INDEX(貼り付け!$A$1:$BZ$3001,84,$B$1)),DATE(VALUE(LEFT(I85,FIND("-",I85)-1)),VALUE(LEFT(J85,FIND("-",J85)-1)),VALUE(MID(J85,FIND("-",J85)+1,99)))))),"")</f>
        <v/>
      </c>
      <c r="C85">
        <f>IF($C$1=0,0,IFERROR(VALUE(SUBSTITUTE(SUBSTITUTE(SUBSTITUTE(INDEX(貼り付け!$A$1:$BZ$3001,84,$C$1)&amp;"",",",""),"¥",""),"￥","")),0))</f>
        <v/>
      </c>
      <c r="D85">
        <f>IF($D$1=0,0,IFERROR(VALUE(SUBSTITUTE(SUBSTITUTE(SUBSTITUTE(INDEX(貼り付け!$A$1:$BZ$3001,84,$D$1)&amp;"",",",""),"¥",""),"￥","")),0))</f>
        <v/>
      </c>
      <c r="E85">
        <f>IF($E$1=0,0,IFERROR(VALUE(SUBSTITUTE(SUBSTITUTE(SUBSTITUTE(INDEX(貼り付け!$A$1:$BZ$3001,84,$E$1)&amp;"",",",""),"¥",""),"￥","")),0))</f>
        <v/>
      </c>
      <c r="F85">
        <f>IF($F$1=0,0,IFERROR(VALUE(SUBSTITUTE(SUBSTITUTE(SUBSTITUTE(INDEX(貼り付け!$A$1:$BZ$3001,84,$F$1)&amp;"",",",""),"¥",""),"￥","")),0))</f>
        <v/>
      </c>
      <c r="G85">
        <f>IF(ISNUMBER(B85),YEAR(B85),"")</f>
        <v/>
      </c>
      <c r="H85">
        <f>IF(ISNUMBER(B85),MONTH(B85),"")</f>
        <v/>
      </c>
      <c r="I85">
        <f>IFERROR(IF($B$1=0,"",IF(ISNUMBER(INDEX(貼り付け!$A$1:$BZ$3001,84,$B$1)),"",SUBSTITUTE(SUBSTITUTE(SUBSTITUTE(SUBSTITUTE(TRIM(LEFT(INDEX(貼り付け!$A$1:$BZ$3001,84,$B$1)&amp;"",FIND(" ",TRIM(INDEX(貼り付け!$A$1:$BZ$3001,84,$B$1)&amp;"")&amp;" ")-1)),"/","-"),"年","-"),"月","-"),"日",""))),"")</f>
        <v/>
      </c>
      <c r="J85">
        <f>IFERROR(MID(I85,FIND("-",I85)+1,99),"")</f>
        <v/>
      </c>
    </row>
    <row r="86">
      <c r="B86">
        <f>IFERROR(IF($B$1=0,"",IF(INDEX(貼り付け!$A$1:$BZ$3001,85,$B$1)="","",IF(ISNUMBER(INDEX(貼り付け!$A$1:$BZ$3001,85,$B$1)),INT(INDEX(貼り付け!$A$1:$BZ$3001,85,$B$1)),DATE(VALUE(LEFT(I86,FIND("-",I86)-1)),VALUE(LEFT(J86,FIND("-",J86)-1)),VALUE(MID(J86,FIND("-",J86)+1,99)))))),"")</f>
        <v/>
      </c>
      <c r="C86">
        <f>IF($C$1=0,0,IFERROR(VALUE(SUBSTITUTE(SUBSTITUTE(SUBSTITUTE(INDEX(貼り付け!$A$1:$BZ$3001,85,$C$1)&amp;"",",",""),"¥",""),"￥","")),0))</f>
        <v/>
      </c>
      <c r="D86">
        <f>IF($D$1=0,0,IFERROR(VALUE(SUBSTITUTE(SUBSTITUTE(SUBSTITUTE(INDEX(貼り付け!$A$1:$BZ$3001,85,$D$1)&amp;"",",",""),"¥",""),"￥","")),0))</f>
        <v/>
      </c>
      <c r="E86">
        <f>IF($E$1=0,0,IFERROR(VALUE(SUBSTITUTE(SUBSTITUTE(SUBSTITUTE(INDEX(貼り付け!$A$1:$BZ$3001,85,$E$1)&amp;"",",",""),"¥",""),"￥","")),0))</f>
        <v/>
      </c>
      <c r="F86">
        <f>IF($F$1=0,0,IFERROR(VALUE(SUBSTITUTE(SUBSTITUTE(SUBSTITUTE(INDEX(貼り付け!$A$1:$BZ$3001,85,$F$1)&amp;"",",",""),"¥",""),"￥","")),0))</f>
        <v/>
      </c>
      <c r="G86">
        <f>IF(ISNUMBER(B86),YEAR(B86),"")</f>
        <v/>
      </c>
      <c r="H86">
        <f>IF(ISNUMBER(B86),MONTH(B86),"")</f>
        <v/>
      </c>
      <c r="I86">
        <f>IFERROR(IF($B$1=0,"",IF(ISNUMBER(INDEX(貼り付け!$A$1:$BZ$3001,85,$B$1)),"",SUBSTITUTE(SUBSTITUTE(SUBSTITUTE(SUBSTITUTE(TRIM(LEFT(INDEX(貼り付け!$A$1:$BZ$3001,85,$B$1)&amp;"",FIND(" ",TRIM(INDEX(貼り付け!$A$1:$BZ$3001,85,$B$1)&amp;"")&amp;" ")-1)),"/","-"),"年","-"),"月","-"),"日",""))),"")</f>
        <v/>
      </c>
      <c r="J86">
        <f>IFERROR(MID(I86,FIND("-",I86)+1,99),"")</f>
        <v/>
      </c>
    </row>
    <row r="87">
      <c r="B87">
        <f>IFERROR(IF($B$1=0,"",IF(INDEX(貼り付け!$A$1:$BZ$3001,86,$B$1)="","",IF(ISNUMBER(INDEX(貼り付け!$A$1:$BZ$3001,86,$B$1)),INT(INDEX(貼り付け!$A$1:$BZ$3001,86,$B$1)),DATE(VALUE(LEFT(I87,FIND("-",I87)-1)),VALUE(LEFT(J87,FIND("-",J87)-1)),VALUE(MID(J87,FIND("-",J87)+1,99)))))),"")</f>
        <v/>
      </c>
      <c r="C87">
        <f>IF($C$1=0,0,IFERROR(VALUE(SUBSTITUTE(SUBSTITUTE(SUBSTITUTE(INDEX(貼り付け!$A$1:$BZ$3001,86,$C$1)&amp;"",",",""),"¥",""),"￥","")),0))</f>
        <v/>
      </c>
      <c r="D87">
        <f>IF($D$1=0,0,IFERROR(VALUE(SUBSTITUTE(SUBSTITUTE(SUBSTITUTE(INDEX(貼り付け!$A$1:$BZ$3001,86,$D$1)&amp;"",",",""),"¥",""),"￥","")),0))</f>
        <v/>
      </c>
      <c r="E87">
        <f>IF($E$1=0,0,IFERROR(VALUE(SUBSTITUTE(SUBSTITUTE(SUBSTITUTE(INDEX(貼り付け!$A$1:$BZ$3001,86,$E$1)&amp;"",",",""),"¥",""),"￥","")),0))</f>
        <v/>
      </c>
      <c r="F87">
        <f>IF($F$1=0,0,IFERROR(VALUE(SUBSTITUTE(SUBSTITUTE(SUBSTITUTE(INDEX(貼り付け!$A$1:$BZ$3001,86,$F$1)&amp;"",",",""),"¥",""),"￥","")),0))</f>
        <v/>
      </c>
      <c r="G87">
        <f>IF(ISNUMBER(B87),YEAR(B87),"")</f>
        <v/>
      </c>
      <c r="H87">
        <f>IF(ISNUMBER(B87),MONTH(B87),"")</f>
        <v/>
      </c>
      <c r="I87">
        <f>IFERROR(IF($B$1=0,"",IF(ISNUMBER(INDEX(貼り付け!$A$1:$BZ$3001,86,$B$1)),"",SUBSTITUTE(SUBSTITUTE(SUBSTITUTE(SUBSTITUTE(TRIM(LEFT(INDEX(貼り付け!$A$1:$BZ$3001,86,$B$1)&amp;"",FIND(" ",TRIM(INDEX(貼り付け!$A$1:$BZ$3001,86,$B$1)&amp;"")&amp;" ")-1)),"/","-"),"年","-"),"月","-"),"日",""))),"")</f>
        <v/>
      </c>
      <c r="J87">
        <f>IFERROR(MID(I87,FIND("-",I87)+1,99),"")</f>
        <v/>
      </c>
    </row>
    <row r="88">
      <c r="B88">
        <f>IFERROR(IF($B$1=0,"",IF(INDEX(貼り付け!$A$1:$BZ$3001,87,$B$1)="","",IF(ISNUMBER(INDEX(貼り付け!$A$1:$BZ$3001,87,$B$1)),INT(INDEX(貼り付け!$A$1:$BZ$3001,87,$B$1)),DATE(VALUE(LEFT(I88,FIND("-",I88)-1)),VALUE(LEFT(J88,FIND("-",J88)-1)),VALUE(MID(J88,FIND("-",J88)+1,99)))))),"")</f>
        <v/>
      </c>
      <c r="C88">
        <f>IF($C$1=0,0,IFERROR(VALUE(SUBSTITUTE(SUBSTITUTE(SUBSTITUTE(INDEX(貼り付け!$A$1:$BZ$3001,87,$C$1)&amp;"",",",""),"¥",""),"￥","")),0))</f>
        <v/>
      </c>
      <c r="D88">
        <f>IF($D$1=0,0,IFERROR(VALUE(SUBSTITUTE(SUBSTITUTE(SUBSTITUTE(INDEX(貼り付け!$A$1:$BZ$3001,87,$D$1)&amp;"",",",""),"¥",""),"￥","")),0))</f>
        <v/>
      </c>
      <c r="E88">
        <f>IF($E$1=0,0,IFERROR(VALUE(SUBSTITUTE(SUBSTITUTE(SUBSTITUTE(INDEX(貼り付け!$A$1:$BZ$3001,87,$E$1)&amp;"",",",""),"¥",""),"￥","")),0))</f>
        <v/>
      </c>
      <c r="F88">
        <f>IF($F$1=0,0,IFERROR(VALUE(SUBSTITUTE(SUBSTITUTE(SUBSTITUTE(INDEX(貼り付け!$A$1:$BZ$3001,87,$F$1)&amp;"",",",""),"¥",""),"￥","")),0))</f>
        <v/>
      </c>
      <c r="G88">
        <f>IF(ISNUMBER(B88),YEAR(B88),"")</f>
        <v/>
      </c>
      <c r="H88">
        <f>IF(ISNUMBER(B88),MONTH(B88),"")</f>
        <v/>
      </c>
      <c r="I88">
        <f>IFERROR(IF($B$1=0,"",IF(ISNUMBER(INDEX(貼り付け!$A$1:$BZ$3001,87,$B$1)),"",SUBSTITUTE(SUBSTITUTE(SUBSTITUTE(SUBSTITUTE(TRIM(LEFT(INDEX(貼り付け!$A$1:$BZ$3001,87,$B$1)&amp;"",FIND(" ",TRIM(INDEX(貼り付け!$A$1:$BZ$3001,87,$B$1)&amp;"")&amp;" ")-1)),"/","-"),"年","-"),"月","-"),"日",""))),"")</f>
        <v/>
      </c>
      <c r="J88">
        <f>IFERROR(MID(I88,FIND("-",I88)+1,99),"")</f>
        <v/>
      </c>
    </row>
    <row r="89">
      <c r="B89">
        <f>IFERROR(IF($B$1=0,"",IF(INDEX(貼り付け!$A$1:$BZ$3001,88,$B$1)="","",IF(ISNUMBER(INDEX(貼り付け!$A$1:$BZ$3001,88,$B$1)),INT(INDEX(貼り付け!$A$1:$BZ$3001,88,$B$1)),DATE(VALUE(LEFT(I89,FIND("-",I89)-1)),VALUE(LEFT(J89,FIND("-",J89)-1)),VALUE(MID(J89,FIND("-",J89)+1,99)))))),"")</f>
        <v/>
      </c>
      <c r="C89">
        <f>IF($C$1=0,0,IFERROR(VALUE(SUBSTITUTE(SUBSTITUTE(SUBSTITUTE(INDEX(貼り付け!$A$1:$BZ$3001,88,$C$1)&amp;"",",",""),"¥",""),"￥","")),0))</f>
        <v/>
      </c>
      <c r="D89">
        <f>IF($D$1=0,0,IFERROR(VALUE(SUBSTITUTE(SUBSTITUTE(SUBSTITUTE(INDEX(貼り付け!$A$1:$BZ$3001,88,$D$1)&amp;"",",",""),"¥",""),"￥","")),0))</f>
        <v/>
      </c>
      <c r="E89">
        <f>IF($E$1=0,0,IFERROR(VALUE(SUBSTITUTE(SUBSTITUTE(SUBSTITUTE(INDEX(貼り付け!$A$1:$BZ$3001,88,$E$1)&amp;"",",",""),"¥",""),"￥","")),0))</f>
        <v/>
      </c>
      <c r="F89">
        <f>IF($F$1=0,0,IFERROR(VALUE(SUBSTITUTE(SUBSTITUTE(SUBSTITUTE(INDEX(貼り付け!$A$1:$BZ$3001,88,$F$1)&amp;"",",",""),"¥",""),"￥","")),0))</f>
        <v/>
      </c>
      <c r="G89">
        <f>IF(ISNUMBER(B89),YEAR(B89),"")</f>
        <v/>
      </c>
      <c r="H89">
        <f>IF(ISNUMBER(B89),MONTH(B89),"")</f>
        <v/>
      </c>
      <c r="I89">
        <f>IFERROR(IF($B$1=0,"",IF(ISNUMBER(INDEX(貼り付け!$A$1:$BZ$3001,88,$B$1)),"",SUBSTITUTE(SUBSTITUTE(SUBSTITUTE(SUBSTITUTE(TRIM(LEFT(INDEX(貼り付け!$A$1:$BZ$3001,88,$B$1)&amp;"",FIND(" ",TRIM(INDEX(貼り付け!$A$1:$BZ$3001,88,$B$1)&amp;"")&amp;" ")-1)),"/","-"),"年","-"),"月","-"),"日",""))),"")</f>
        <v/>
      </c>
      <c r="J89">
        <f>IFERROR(MID(I89,FIND("-",I89)+1,99),"")</f>
        <v/>
      </c>
    </row>
    <row r="90">
      <c r="B90">
        <f>IFERROR(IF($B$1=0,"",IF(INDEX(貼り付け!$A$1:$BZ$3001,89,$B$1)="","",IF(ISNUMBER(INDEX(貼り付け!$A$1:$BZ$3001,89,$B$1)),INT(INDEX(貼り付け!$A$1:$BZ$3001,89,$B$1)),DATE(VALUE(LEFT(I90,FIND("-",I90)-1)),VALUE(LEFT(J90,FIND("-",J90)-1)),VALUE(MID(J90,FIND("-",J90)+1,99)))))),"")</f>
        <v/>
      </c>
      <c r="C90">
        <f>IF($C$1=0,0,IFERROR(VALUE(SUBSTITUTE(SUBSTITUTE(SUBSTITUTE(INDEX(貼り付け!$A$1:$BZ$3001,89,$C$1)&amp;"",",",""),"¥",""),"￥","")),0))</f>
        <v/>
      </c>
      <c r="D90">
        <f>IF($D$1=0,0,IFERROR(VALUE(SUBSTITUTE(SUBSTITUTE(SUBSTITUTE(INDEX(貼り付け!$A$1:$BZ$3001,89,$D$1)&amp;"",",",""),"¥",""),"￥","")),0))</f>
        <v/>
      </c>
      <c r="E90">
        <f>IF($E$1=0,0,IFERROR(VALUE(SUBSTITUTE(SUBSTITUTE(SUBSTITUTE(INDEX(貼り付け!$A$1:$BZ$3001,89,$E$1)&amp;"",",",""),"¥",""),"￥","")),0))</f>
        <v/>
      </c>
      <c r="F90">
        <f>IF($F$1=0,0,IFERROR(VALUE(SUBSTITUTE(SUBSTITUTE(SUBSTITUTE(INDEX(貼り付け!$A$1:$BZ$3001,89,$F$1)&amp;"",",",""),"¥",""),"￥","")),0))</f>
        <v/>
      </c>
      <c r="G90">
        <f>IF(ISNUMBER(B90),YEAR(B90),"")</f>
        <v/>
      </c>
      <c r="H90">
        <f>IF(ISNUMBER(B90),MONTH(B90),"")</f>
        <v/>
      </c>
      <c r="I90">
        <f>IFERROR(IF($B$1=0,"",IF(ISNUMBER(INDEX(貼り付け!$A$1:$BZ$3001,89,$B$1)),"",SUBSTITUTE(SUBSTITUTE(SUBSTITUTE(SUBSTITUTE(TRIM(LEFT(INDEX(貼り付け!$A$1:$BZ$3001,89,$B$1)&amp;"",FIND(" ",TRIM(INDEX(貼り付け!$A$1:$BZ$3001,89,$B$1)&amp;"")&amp;" ")-1)),"/","-"),"年","-"),"月","-"),"日",""))),"")</f>
        <v/>
      </c>
      <c r="J90">
        <f>IFERROR(MID(I90,FIND("-",I90)+1,99),"")</f>
        <v/>
      </c>
    </row>
    <row r="91">
      <c r="B91">
        <f>IFERROR(IF($B$1=0,"",IF(INDEX(貼り付け!$A$1:$BZ$3001,90,$B$1)="","",IF(ISNUMBER(INDEX(貼り付け!$A$1:$BZ$3001,90,$B$1)),INT(INDEX(貼り付け!$A$1:$BZ$3001,90,$B$1)),DATE(VALUE(LEFT(I91,FIND("-",I91)-1)),VALUE(LEFT(J91,FIND("-",J91)-1)),VALUE(MID(J91,FIND("-",J91)+1,99)))))),"")</f>
        <v/>
      </c>
      <c r="C91">
        <f>IF($C$1=0,0,IFERROR(VALUE(SUBSTITUTE(SUBSTITUTE(SUBSTITUTE(INDEX(貼り付け!$A$1:$BZ$3001,90,$C$1)&amp;"",",",""),"¥",""),"￥","")),0))</f>
        <v/>
      </c>
      <c r="D91">
        <f>IF($D$1=0,0,IFERROR(VALUE(SUBSTITUTE(SUBSTITUTE(SUBSTITUTE(INDEX(貼り付け!$A$1:$BZ$3001,90,$D$1)&amp;"",",",""),"¥",""),"￥","")),0))</f>
        <v/>
      </c>
      <c r="E91">
        <f>IF($E$1=0,0,IFERROR(VALUE(SUBSTITUTE(SUBSTITUTE(SUBSTITUTE(INDEX(貼り付け!$A$1:$BZ$3001,90,$E$1)&amp;"",",",""),"¥",""),"￥","")),0))</f>
        <v/>
      </c>
      <c r="F91">
        <f>IF($F$1=0,0,IFERROR(VALUE(SUBSTITUTE(SUBSTITUTE(SUBSTITUTE(INDEX(貼り付け!$A$1:$BZ$3001,90,$F$1)&amp;"",",",""),"¥",""),"￥","")),0))</f>
        <v/>
      </c>
      <c r="G91">
        <f>IF(ISNUMBER(B91),YEAR(B91),"")</f>
        <v/>
      </c>
      <c r="H91">
        <f>IF(ISNUMBER(B91),MONTH(B91),"")</f>
        <v/>
      </c>
      <c r="I91">
        <f>IFERROR(IF($B$1=0,"",IF(ISNUMBER(INDEX(貼り付け!$A$1:$BZ$3001,90,$B$1)),"",SUBSTITUTE(SUBSTITUTE(SUBSTITUTE(SUBSTITUTE(TRIM(LEFT(INDEX(貼り付け!$A$1:$BZ$3001,90,$B$1)&amp;"",FIND(" ",TRIM(INDEX(貼り付け!$A$1:$BZ$3001,90,$B$1)&amp;"")&amp;" ")-1)),"/","-"),"年","-"),"月","-"),"日",""))),"")</f>
        <v/>
      </c>
      <c r="J91">
        <f>IFERROR(MID(I91,FIND("-",I91)+1,99),"")</f>
        <v/>
      </c>
    </row>
    <row r="92">
      <c r="B92">
        <f>IFERROR(IF($B$1=0,"",IF(INDEX(貼り付け!$A$1:$BZ$3001,91,$B$1)="","",IF(ISNUMBER(INDEX(貼り付け!$A$1:$BZ$3001,91,$B$1)),INT(INDEX(貼り付け!$A$1:$BZ$3001,91,$B$1)),DATE(VALUE(LEFT(I92,FIND("-",I92)-1)),VALUE(LEFT(J92,FIND("-",J92)-1)),VALUE(MID(J92,FIND("-",J92)+1,99)))))),"")</f>
        <v/>
      </c>
      <c r="C92">
        <f>IF($C$1=0,0,IFERROR(VALUE(SUBSTITUTE(SUBSTITUTE(SUBSTITUTE(INDEX(貼り付け!$A$1:$BZ$3001,91,$C$1)&amp;"",",",""),"¥",""),"￥","")),0))</f>
        <v/>
      </c>
      <c r="D92">
        <f>IF($D$1=0,0,IFERROR(VALUE(SUBSTITUTE(SUBSTITUTE(SUBSTITUTE(INDEX(貼り付け!$A$1:$BZ$3001,91,$D$1)&amp;"",",",""),"¥",""),"￥","")),0))</f>
        <v/>
      </c>
      <c r="E92">
        <f>IF($E$1=0,0,IFERROR(VALUE(SUBSTITUTE(SUBSTITUTE(SUBSTITUTE(INDEX(貼り付け!$A$1:$BZ$3001,91,$E$1)&amp;"",",",""),"¥",""),"￥","")),0))</f>
        <v/>
      </c>
      <c r="F92">
        <f>IF($F$1=0,0,IFERROR(VALUE(SUBSTITUTE(SUBSTITUTE(SUBSTITUTE(INDEX(貼り付け!$A$1:$BZ$3001,91,$F$1)&amp;"",",",""),"¥",""),"￥","")),0))</f>
        <v/>
      </c>
      <c r="G92">
        <f>IF(ISNUMBER(B92),YEAR(B92),"")</f>
        <v/>
      </c>
      <c r="H92">
        <f>IF(ISNUMBER(B92),MONTH(B92),"")</f>
        <v/>
      </c>
      <c r="I92">
        <f>IFERROR(IF($B$1=0,"",IF(ISNUMBER(INDEX(貼り付け!$A$1:$BZ$3001,91,$B$1)),"",SUBSTITUTE(SUBSTITUTE(SUBSTITUTE(SUBSTITUTE(TRIM(LEFT(INDEX(貼り付け!$A$1:$BZ$3001,91,$B$1)&amp;"",FIND(" ",TRIM(INDEX(貼り付け!$A$1:$BZ$3001,91,$B$1)&amp;"")&amp;" ")-1)),"/","-"),"年","-"),"月","-"),"日",""))),"")</f>
        <v/>
      </c>
      <c r="J92">
        <f>IFERROR(MID(I92,FIND("-",I92)+1,99),"")</f>
        <v/>
      </c>
    </row>
    <row r="93">
      <c r="B93">
        <f>IFERROR(IF($B$1=0,"",IF(INDEX(貼り付け!$A$1:$BZ$3001,92,$B$1)="","",IF(ISNUMBER(INDEX(貼り付け!$A$1:$BZ$3001,92,$B$1)),INT(INDEX(貼り付け!$A$1:$BZ$3001,92,$B$1)),DATE(VALUE(LEFT(I93,FIND("-",I93)-1)),VALUE(LEFT(J93,FIND("-",J93)-1)),VALUE(MID(J93,FIND("-",J93)+1,99)))))),"")</f>
        <v/>
      </c>
      <c r="C93">
        <f>IF($C$1=0,0,IFERROR(VALUE(SUBSTITUTE(SUBSTITUTE(SUBSTITUTE(INDEX(貼り付け!$A$1:$BZ$3001,92,$C$1)&amp;"",",",""),"¥",""),"￥","")),0))</f>
        <v/>
      </c>
      <c r="D93">
        <f>IF($D$1=0,0,IFERROR(VALUE(SUBSTITUTE(SUBSTITUTE(SUBSTITUTE(INDEX(貼り付け!$A$1:$BZ$3001,92,$D$1)&amp;"",",",""),"¥",""),"￥","")),0))</f>
        <v/>
      </c>
      <c r="E93">
        <f>IF($E$1=0,0,IFERROR(VALUE(SUBSTITUTE(SUBSTITUTE(SUBSTITUTE(INDEX(貼り付け!$A$1:$BZ$3001,92,$E$1)&amp;"",",",""),"¥",""),"￥","")),0))</f>
        <v/>
      </c>
      <c r="F93">
        <f>IF($F$1=0,0,IFERROR(VALUE(SUBSTITUTE(SUBSTITUTE(SUBSTITUTE(INDEX(貼り付け!$A$1:$BZ$3001,92,$F$1)&amp;"",",",""),"¥",""),"￥","")),0))</f>
        <v/>
      </c>
      <c r="G93">
        <f>IF(ISNUMBER(B93),YEAR(B93),"")</f>
        <v/>
      </c>
      <c r="H93">
        <f>IF(ISNUMBER(B93),MONTH(B93),"")</f>
        <v/>
      </c>
      <c r="I93">
        <f>IFERROR(IF($B$1=0,"",IF(ISNUMBER(INDEX(貼り付け!$A$1:$BZ$3001,92,$B$1)),"",SUBSTITUTE(SUBSTITUTE(SUBSTITUTE(SUBSTITUTE(TRIM(LEFT(INDEX(貼り付け!$A$1:$BZ$3001,92,$B$1)&amp;"",FIND(" ",TRIM(INDEX(貼り付け!$A$1:$BZ$3001,92,$B$1)&amp;"")&amp;" ")-1)),"/","-"),"年","-"),"月","-"),"日",""))),"")</f>
        <v/>
      </c>
      <c r="J93">
        <f>IFERROR(MID(I93,FIND("-",I93)+1,99),"")</f>
        <v/>
      </c>
    </row>
    <row r="94">
      <c r="B94">
        <f>IFERROR(IF($B$1=0,"",IF(INDEX(貼り付け!$A$1:$BZ$3001,93,$B$1)="","",IF(ISNUMBER(INDEX(貼り付け!$A$1:$BZ$3001,93,$B$1)),INT(INDEX(貼り付け!$A$1:$BZ$3001,93,$B$1)),DATE(VALUE(LEFT(I94,FIND("-",I94)-1)),VALUE(LEFT(J94,FIND("-",J94)-1)),VALUE(MID(J94,FIND("-",J94)+1,99)))))),"")</f>
        <v/>
      </c>
      <c r="C94">
        <f>IF($C$1=0,0,IFERROR(VALUE(SUBSTITUTE(SUBSTITUTE(SUBSTITUTE(INDEX(貼り付け!$A$1:$BZ$3001,93,$C$1)&amp;"",",",""),"¥",""),"￥","")),0))</f>
        <v/>
      </c>
      <c r="D94">
        <f>IF($D$1=0,0,IFERROR(VALUE(SUBSTITUTE(SUBSTITUTE(SUBSTITUTE(INDEX(貼り付け!$A$1:$BZ$3001,93,$D$1)&amp;"",",",""),"¥",""),"￥","")),0))</f>
        <v/>
      </c>
      <c r="E94">
        <f>IF($E$1=0,0,IFERROR(VALUE(SUBSTITUTE(SUBSTITUTE(SUBSTITUTE(INDEX(貼り付け!$A$1:$BZ$3001,93,$E$1)&amp;"",",",""),"¥",""),"￥","")),0))</f>
        <v/>
      </c>
      <c r="F94">
        <f>IF($F$1=0,0,IFERROR(VALUE(SUBSTITUTE(SUBSTITUTE(SUBSTITUTE(INDEX(貼り付け!$A$1:$BZ$3001,93,$F$1)&amp;"",",",""),"¥",""),"￥","")),0))</f>
        <v/>
      </c>
      <c r="G94">
        <f>IF(ISNUMBER(B94),YEAR(B94),"")</f>
        <v/>
      </c>
      <c r="H94">
        <f>IF(ISNUMBER(B94),MONTH(B94),"")</f>
        <v/>
      </c>
      <c r="I94">
        <f>IFERROR(IF($B$1=0,"",IF(ISNUMBER(INDEX(貼り付け!$A$1:$BZ$3001,93,$B$1)),"",SUBSTITUTE(SUBSTITUTE(SUBSTITUTE(SUBSTITUTE(TRIM(LEFT(INDEX(貼り付け!$A$1:$BZ$3001,93,$B$1)&amp;"",FIND(" ",TRIM(INDEX(貼り付け!$A$1:$BZ$3001,93,$B$1)&amp;"")&amp;" ")-1)),"/","-"),"年","-"),"月","-"),"日",""))),"")</f>
        <v/>
      </c>
      <c r="J94">
        <f>IFERROR(MID(I94,FIND("-",I94)+1,99),"")</f>
        <v/>
      </c>
    </row>
    <row r="95">
      <c r="B95">
        <f>IFERROR(IF($B$1=0,"",IF(INDEX(貼り付け!$A$1:$BZ$3001,94,$B$1)="","",IF(ISNUMBER(INDEX(貼り付け!$A$1:$BZ$3001,94,$B$1)),INT(INDEX(貼り付け!$A$1:$BZ$3001,94,$B$1)),DATE(VALUE(LEFT(I95,FIND("-",I95)-1)),VALUE(LEFT(J95,FIND("-",J95)-1)),VALUE(MID(J95,FIND("-",J95)+1,99)))))),"")</f>
        <v/>
      </c>
      <c r="C95">
        <f>IF($C$1=0,0,IFERROR(VALUE(SUBSTITUTE(SUBSTITUTE(SUBSTITUTE(INDEX(貼り付け!$A$1:$BZ$3001,94,$C$1)&amp;"",",",""),"¥",""),"￥","")),0))</f>
        <v/>
      </c>
      <c r="D95">
        <f>IF($D$1=0,0,IFERROR(VALUE(SUBSTITUTE(SUBSTITUTE(SUBSTITUTE(INDEX(貼り付け!$A$1:$BZ$3001,94,$D$1)&amp;"",",",""),"¥",""),"￥","")),0))</f>
        <v/>
      </c>
      <c r="E95">
        <f>IF($E$1=0,0,IFERROR(VALUE(SUBSTITUTE(SUBSTITUTE(SUBSTITUTE(INDEX(貼り付け!$A$1:$BZ$3001,94,$E$1)&amp;"",",",""),"¥",""),"￥","")),0))</f>
        <v/>
      </c>
      <c r="F95">
        <f>IF($F$1=0,0,IFERROR(VALUE(SUBSTITUTE(SUBSTITUTE(SUBSTITUTE(INDEX(貼り付け!$A$1:$BZ$3001,94,$F$1)&amp;"",",",""),"¥",""),"￥","")),0))</f>
        <v/>
      </c>
      <c r="G95">
        <f>IF(ISNUMBER(B95),YEAR(B95),"")</f>
        <v/>
      </c>
      <c r="H95">
        <f>IF(ISNUMBER(B95),MONTH(B95),"")</f>
        <v/>
      </c>
      <c r="I95">
        <f>IFERROR(IF($B$1=0,"",IF(ISNUMBER(INDEX(貼り付け!$A$1:$BZ$3001,94,$B$1)),"",SUBSTITUTE(SUBSTITUTE(SUBSTITUTE(SUBSTITUTE(TRIM(LEFT(INDEX(貼り付け!$A$1:$BZ$3001,94,$B$1)&amp;"",FIND(" ",TRIM(INDEX(貼り付け!$A$1:$BZ$3001,94,$B$1)&amp;"")&amp;" ")-1)),"/","-"),"年","-"),"月","-"),"日",""))),"")</f>
        <v/>
      </c>
      <c r="J95">
        <f>IFERROR(MID(I95,FIND("-",I95)+1,99),"")</f>
        <v/>
      </c>
    </row>
    <row r="96">
      <c r="B96">
        <f>IFERROR(IF($B$1=0,"",IF(INDEX(貼り付け!$A$1:$BZ$3001,95,$B$1)="","",IF(ISNUMBER(INDEX(貼り付け!$A$1:$BZ$3001,95,$B$1)),INT(INDEX(貼り付け!$A$1:$BZ$3001,95,$B$1)),DATE(VALUE(LEFT(I96,FIND("-",I96)-1)),VALUE(LEFT(J96,FIND("-",J96)-1)),VALUE(MID(J96,FIND("-",J96)+1,99)))))),"")</f>
        <v/>
      </c>
      <c r="C96">
        <f>IF($C$1=0,0,IFERROR(VALUE(SUBSTITUTE(SUBSTITUTE(SUBSTITUTE(INDEX(貼り付け!$A$1:$BZ$3001,95,$C$1)&amp;"",",",""),"¥",""),"￥","")),0))</f>
        <v/>
      </c>
      <c r="D96">
        <f>IF($D$1=0,0,IFERROR(VALUE(SUBSTITUTE(SUBSTITUTE(SUBSTITUTE(INDEX(貼り付け!$A$1:$BZ$3001,95,$D$1)&amp;"",",",""),"¥",""),"￥","")),0))</f>
        <v/>
      </c>
      <c r="E96">
        <f>IF($E$1=0,0,IFERROR(VALUE(SUBSTITUTE(SUBSTITUTE(SUBSTITUTE(INDEX(貼り付け!$A$1:$BZ$3001,95,$E$1)&amp;"",",",""),"¥",""),"￥","")),0))</f>
        <v/>
      </c>
      <c r="F96">
        <f>IF($F$1=0,0,IFERROR(VALUE(SUBSTITUTE(SUBSTITUTE(SUBSTITUTE(INDEX(貼り付け!$A$1:$BZ$3001,95,$F$1)&amp;"",",",""),"¥",""),"￥","")),0))</f>
        <v/>
      </c>
      <c r="G96">
        <f>IF(ISNUMBER(B96),YEAR(B96),"")</f>
        <v/>
      </c>
      <c r="H96">
        <f>IF(ISNUMBER(B96),MONTH(B96),"")</f>
        <v/>
      </c>
      <c r="I96">
        <f>IFERROR(IF($B$1=0,"",IF(ISNUMBER(INDEX(貼り付け!$A$1:$BZ$3001,95,$B$1)),"",SUBSTITUTE(SUBSTITUTE(SUBSTITUTE(SUBSTITUTE(TRIM(LEFT(INDEX(貼り付け!$A$1:$BZ$3001,95,$B$1)&amp;"",FIND(" ",TRIM(INDEX(貼り付け!$A$1:$BZ$3001,95,$B$1)&amp;"")&amp;" ")-1)),"/","-"),"年","-"),"月","-"),"日",""))),"")</f>
        <v/>
      </c>
      <c r="J96">
        <f>IFERROR(MID(I96,FIND("-",I96)+1,99),"")</f>
        <v/>
      </c>
    </row>
    <row r="97">
      <c r="B97">
        <f>IFERROR(IF($B$1=0,"",IF(INDEX(貼り付け!$A$1:$BZ$3001,96,$B$1)="","",IF(ISNUMBER(INDEX(貼り付け!$A$1:$BZ$3001,96,$B$1)),INT(INDEX(貼り付け!$A$1:$BZ$3001,96,$B$1)),DATE(VALUE(LEFT(I97,FIND("-",I97)-1)),VALUE(LEFT(J97,FIND("-",J97)-1)),VALUE(MID(J97,FIND("-",J97)+1,99)))))),"")</f>
        <v/>
      </c>
      <c r="C97">
        <f>IF($C$1=0,0,IFERROR(VALUE(SUBSTITUTE(SUBSTITUTE(SUBSTITUTE(INDEX(貼り付け!$A$1:$BZ$3001,96,$C$1)&amp;"",",",""),"¥",""),"￥","")),0))</f>
        <v/>
      </c>
      <c r="D97">
        <f>IF($D$1=0,0,IFERROR(VALUE(SUBSTITUTE(SUBSTITUTE(SUBSTITUTE(INDEX(貼り付け!$A$1:$BZ$3001,96,$D$1)&amp;"",",",""),"¥",""),"￥","")),0))</f>
        <v/>
      </c>
      <c r="E97">
        <f>IF($E$1=0,0,IFERROR(VALUE(SUBSTITUTE(SUBSTITUTE(SUBSTITUTE(INDEX(貼り付け!$A$1:$BZ$3001,96,$E$1)&amp;"",",",""),"¥",""),"￥","")),0))</f>
        <v/>
      </c>
      <c r="F97">
        <f>IF($F$1=0,0,IFERROR(VALUE(SUBSTITUTE(SUBSTITUTE(SUBSTITUTE(INDEX(貼り付け!$A$1:$BZ$3001,96,$F$1)&amp;"",",",""),"¥",""),"￥","")),0))</f>
        <v/>
      </c>
      <c r="G97">
        <f>IF(ISNUMBER(B97),YEAR(B97),"")</f>
        <v/>
      </c>
      <c r="H97">
        <f>IF(ISNUMBER(B97),MONTH(B97),"")</f>
        <v/>
      </c>
      <c r="I97">
        <f>IFERROR(IF($B$1=0,"",IF(ISNUMBER(INDEX(貼り付け!$A$1:$BZ$3001,96,$B$1)),"",SUBSTITUTE(SUBSTITUTE(SUBSTITUTE(SUBSTITUTE(TRIM(LEFT(INDEX(貼り付け!$A$1:$BZ$3001,96,$B$1)&amp;"",FIND(" ",TRIM(INDEX(貼り付け!$A$1:$BZ$3001,96,$B$1)&amp;"")&amp;" ")-1)),"/","-"),"年","-"),"月","-"),"日",""))),"")</f>
        <v/>
      </c>
      <c r="J97">
        <f>IFERROR(MID(I97,FIND("-",I97)+1,99),"")</f>
        <v/>
      </c>
    </row>
    <row r="98">
      <c r="B98">
        <f>IFERROR(IF($B$1=0,"",IF(INDEX(貼り付け!$A$1:$BZ$3001,97,$B$1)="","",IF(ISNUMBER(INDEX(貼り付け!$A$1:$BZ$3001,97,$B$1)),INT(INDEX(貼り付け!$A$1:$BZ$3001,97,$B$1)),DATE(VALUE(LEFT(I98,FIND("-",I98)-1)),VALUE(LEFT(J98,FIND("-",J98)-1)),VALUE(MID(J98,FIND("-",J98)+1,99)))))),"")</f>
        <v/>
      </c>
      <c r="C98">
        <f>IF($C$1=0,0,IFERROR(VALUE(SUBSTITUTE(SUBSTITUTE(SUBSTITUTE(INDEX(貼り付け!$A$1:$BZ$3001,97,$C$1)&amp;"",",",""),"¥",""),"￥","")),0))</f>
        <v/>
      </c>
      <c r="D98">
        <f>IF($D$1=0,0,IFERROR(VALUE(SUBSTITUTE(SUBSTITUTE(SUBSTITUTE(INDEX(貼り付け!$A$1:$BZ$3001,97,$D$1)&amp;"",",",""),"¥",""),"￥","")),0))</f>
        <v/>
      </c>
      <c r="E98">
        <f>IF($E$1=0,0,IFERROR(VALUE(SUBSTITUTE(SUBSTITUTE(SUBSTITUTE(INDEX(貼り付け!$A$1:$BZ$3001,97,$E$1)&amp;"",",",""),"¥",""),"￥","")),0))</f>
        <v/>
      </c>
      <c r="F98">
        <f>IF($F$1=0,0,IFERROR(VALUE(SUBSTITUTE(SUBSTITUTE(SUBSTITUTE(INDEX(貼り付け!$A$1:$BZ$3001,97,$F$1)&amp;"",",",""),"¥",""),"￥","")),0))</f>
        <v/>
      </c>
      <c r="G98">
        <f>IF(ISNUMBER(B98),YEAR(B98),"")</f>
        <v/>
      </c>
      <c r="H98">
        <f>IF(ISNUMBER(B98),MONTH(B98),"")</f>
        <v/>
      </c>
      <c r="I98">
        <f>IFERROR(IF($B$1=0,"",IF(ISNUMBER(INDEX(貼り付け!$A$1:$BZ$3001,97,$B$1)),"",SUBSTITUTE(SUBSTITUTE(SUBSTITUTE(SUBSTITUTE(TRIM(LEFT(INDEX(貼り付け!$A$1:$BZ$3001,97,$B$1)&amp;"",FIND(" ",TRIM(INDEX(貼り付け!$A$1:$BZ$3001,97,$B$1)&amp;"")&amp;" ")-1)),"/","-"),"年","-"),"月","-"),"日",""))),"")</f>
        <v/>
      </c>
      <c r="J98">
        <f>IFERROR(MID(I98,FIND("-",I98)+1,99),"")</f>
        <v/>
      </c>
    </row>
    <row r="99">
      <c r="B99">
        <f>IFERROR(IF($B$1=0,"",IF(INDEX(貼り付け!$A$1:$BZ$3001,98,$B$1)="","",IF(ISNUMBER(INDEX(貼り付け!$A$1:$BZ$3001,98,$B$1)),INT(INDEX(貼り付け!$A$1:$BZ$3001,98,$B$1)),DATE(VALUE(LEFT(I99,FIND("-",I99)-1)),VALUE(LEFT(J99,FIND("-",J99)-1)),VALUE(MID(J99,FIND("-",J99)+1,99)))))),"")</f>
        <v/>
      </c>
      <c r="C99">
        <f>IF($C$1=0,0,IFERROR(VALUE(SUBSTITUTE(SUBSTITUTE(SUBSTITUTE(INDEX(貼り付け!$A$1:$BZ$3001,98,$C$1)&amp;"",",",""),"¥",""),"￥","")),0))</f>
        <v/>
      </c>
      <c r="D99">
        <f>IF($D$1=0,0,IFERROR(VALUE(SUBSTITUTE(SUBSTITUTE(SUBSTITUTE(INDEX(貼り付け!$A$1:$BZ$3001,98,$D$1)&amp;"",",",""),"¥",""),"￥","")),0))</f>
        <v/>
      </c>
      <c r="E99">
        <f>IF($E$1=0,0,IFERROR(VALUE(SUBSTITUTE(SUBSTITUTE(SUBSTITUTE(INDEX(貼り付け!$A$1:$BZ$3001,98,$E$1)&amp;"",",",""),"¥",""),"￥","")),0))</f>
        <v/>
      </c>
      <c r="F99">
        <f>IF($F$1=0,0,IFERROR(VALUE(SUBSTITUTE(SUBSTITUTE(SUBSTITUTE(INDEX(貼り付け!$A$1:$BZ$3001,98,$F$1)&amp;"",",",""),"¥",""),"￥","")),0))</f>
        <v/>
      </c>
      <c r="G99">
        <f>IF(ISNUMBER(B99),YEAR(B99),"")</f>
        <v/>
      </c>
      <c r="H99">
        <f>IF(ISNUMBER(B99),MONTH(B99),"")</f>
        <v/>
      </c>
      <c r="I99">
        <f>IFERROR(IF($B$1=0,"",IF(ISNUMBER(INDEX(貼り付け!$A$1:$BZ$3001,98,$B$1)),"",SUBSTITUTE(SUBSTITUTE(SUBSTITUTE(SUBSTITUTE(TRIM(LEFT(INDEX(貼り付け!$A$1:$BZ$3001,98,$B$1)&amp;"",FIND(" ",TRIM(INDEX(貼り付け!$A$1:$BZ$3001,98,$B$1)&amp;"")&amp;" ")-1)),"/","-"),"年","-"),"月","-"),"日",""))),"")</f>
        <v/>
      </c>
      <c r="J99">
        <f>IFERROR(MID(I99,FIND("-",I99)+1,99),"")</f>
        <v/>
      </c>
    </row>
    <row r="100">
      <c r="B100">
        <f>IFERROR(IF($B$1=0,"",IF(INDEX(貼り付け!$A$1:$BZ$3001,99,$B$1)="","",IF(ISNUMBER(INDEX(貼り付け!$A$1:$BZ$3001,99,$B$1)),INT(INDEX(貼り付け!$A$1:$BZ$3001,99,$B$1)),DATE(VALUE(LEFT(I100,FIND("-",I100)-1)),VALUE(LEFT(J100,FIND("-",J100)-1)),VALUE(MID(J100,FIND("-",J100)+1,99)))))),"")</f>
        <v/>
      </c>
      <c r="C100">
        <f>IF($C$1=0,0,IFERROR(VALUE(SUBSTITUTE(SUBSTITUTE(SUBSTITUTE(INDEX(貼り付け!$A$1:$BZ$3001,99,$C$1)&amp;"",",",""),"¥",""),"￥","")),0))</f>
        <v/>
      </c>
      <c r="D100">
        <f>IF($D$1=0,0,IFERROR(VALUE(SUBSTITUTE(SUBSTITUTE(SUBSTITUTE(INDEX(貼り付け!$A$1:$BZ$3001,99,$D$1)&amp;"",",",""),"¥",""),"￥","")),0))</f>
        <v/>
      </c>
      <c r="E100">
        <f>IF($E$1=0,0,IFERROR(VALUE(SUBSTITUTE(SUBSTITUTE(SUBSTITUTE(INDEX(貼り付け!$A$1:$BZ$3001,99,$E$1)&amp;"",",",""),"¥",""),"￥","")),0))</f>
        <v/>
      </c>
      <c r="F100">
        <f>IF($F$1=0,0,IFERROR(VALUE(SUBSTITUTE(SUBSTITUTE(SUBSTITUTE(INDEX(貼り付け!$A$1:$BZ$3001,99,$F$1)&amp;"",",",""),"¥",""),"￥","")),0))</f>
        <v/>
      </c>
      <c r="G100">
        <f>IF(ISNUMBER(B100),YEAR(B100),"")</f>
        <v/>
      </c>
      <c r="H100">
        <f>IF(ISNUMBER(B100),MONTH(B100),"")</f>
        <v/>
      </c>
      <c r="I100">
        <f>IFERROR(IF($B$1=0,"",IF(ISNUMBER(INDEX(貼り付け!$A$1:$BZ$3001,99,$B$1)),"",SUBSTITUTE(SUBSTITUTE(SUBSTITUTE(SUBSTITUTE(TRIM(LEFT(INDEX(貼り付け!$A$1:$BZ$3001,99,$B$1)&amp;"",FIND(" ",TRIM(INDEX(貼り付け!$A$1:$BZ$3001,99,$B$1)&amp;"")&amp;" ")-1)),"/","-"),"年","-"),"月","-"),"日",""))),"")</f>
        <v/>
      </c>
      <c r="J100">
        <f>IFERROR(MID(I100,FIND("-",I100)+1,99),"")</f>
        <v/>
      </c>
    </row>
    <row r="101">
      <c r="B101">
        <f>IFERROR(IF($B$1=0,"",IF(INDEX(貼り付け!$A$1:$BZ$3001,100,$B$1)="","",IF(ISNUMBER(INDEX(貼り付け!$A$1:$BZ$3001,100,$B$1)),INT(INDEX(貼り付け!$A$1:$BZ$3001,100,$B$1)),DATE(VALUE(LEFT(I101,FIND("-",I101)-1)),VALUE(LEFT(J101,FIND("-",J101)-1)),VALUE(MID(J101,FIND("-",J101)+1,99)))))),"")</f>
        <v/>
      </c>
      <c r="C101">
        <f>IF($C$1=0,0,IFERROR(VALUE(SUBSTITUTE(SUBSTITUTE(SUBSTITUTE(INDEX(貼り付け!$A$1:$BZ$3001,100,$C$1)&amp;"",",",""),"¥",""),"￥","")),0))</f>
        <v/>
      </c>
      <c r="D101">
        <f>IF($D$1=0,0,IFERROR(VALUE(SUBSTITUTE(SUBSTITUTE(SUBSTITUTE(INDEX(貼り付け!$A$1:$BZ$3001,100,$D$1)&amp;"",",",""),"¥",""),"￥","")),0))</f>
        <v/>
      </c>
      <c r="E101">
        <f>IF($E$1=0,0,IFERROR(VALUE(SUBSTITUTE(SUBSTITUTE(SUBSTITUTE(INDEX(貼り付け!$A$1:$BZ$3001,100,$E$1)&amp;"",",",""),"¥",""),"￥","")),0))</f>
        <v/>
      </c>
      <c r="F101">
        <f>IF($F$1=0,0,IFERROR(VALUE(SUBSTITUTE(SUBSTITUTE(SUBSTITUTE(INDEX(貼り付け!$A$1:$BZ$3001,100,$F$1)&amp;"",",",""),"¥",""),"￥","")),0))</f>
        <v/>
      </c>
      <c r="G101">
        <f>IF(ISNUMBER(B101),YEAR(B101),"")</f>
        <v/>
      </c>
      <c r="H101">
        <f>IF(ISNUMBER(B101),MONTH(B101),"")</f>
        <v/>
      </c>
      <c r="I101">
        <f>IFERROR(IF($B$1=0,"",IF(ISNUMBER(INDEX(貼り付け!$A$1:$BZ$3001,100,$B$1)),"",SUBSTITUTE(SUBSTITUTE(SUBSTITUTE(SUBSTITUTE(TRIM(LEFT(INDEX(貼り付け!$A$1:$BZ$3001,100,$B$1)&amp;"",FIND(" ",TRIM(INDEX(貼り付け!$A$1:$BZ$3001,100,$B$1)&amp;"")&amp;" ")-1)),"/","-"),"年","-"),"月","-"),"日",""))),"")</f>
        <v/>
      </c>
      <c r="J101">
        <f>IFERROR(MID(I101,FIND("-",I101)+1,99),"")</f>
        <v/>
      </c>
    </row>
    <row r="102">
      <c r="B102">
        <f>IFERROR(IF($B$1=0,"",IF(INDEX(貼り付け!$A$1:$BZ$3001,101,$B$1)="","",IF(ISNUMBER(INDEX(貼り付け!$A$1:$BZ$3001,101,$B$1)),INT(INDEX(貼り付け!$A$1:$BZ$3001,101,$B$1)),DATE(VALUE(LEFT(I102,FIND("-",I102)-1)),VALUE(LEFT(J102,FIND("-",J102)-1)),VALUE(MID(J102,FIND("-",J102)+1,99)))))),"")</f>
        <v/>
      </c>
      <c r="C102">
        <f>IF($C$1=0,0,IFERROR(VALUE(SUBSTITUTE(SUBSTITUTE(SUBSTITUTE(INDEX(貼り付け!$A$1:$BZ$3001,101,$C$1)&amp;"",",",""),"¥",""),"￥","")),0))</f>
        <v/>
      </c>
      <c r="D102">
        <f>IF($D$1=0,0,IFERROR(VALUE(SUBSTITUTE(SUBSTITUTE(SUBSTITUTE(INDEX(貼り付け!$A$1:$BZ$3001,101,$D$1)&amp;"",",",""),"¥",""),"￥","")),0))</f>
        <v/>
      </c>
      <c r="E102">
        <f>IF($E$1=0,0,IFERROR(VALUE(SUBSTITUTE(SUBSTITUTE(SUBSTITUTE(INDEX(貼り付け!$A$1:$BZ$3001,101,$E$1)&amp;"",",",""),"¥",""),"￥","")),0))</f>
        <v/>
      </c>
      <c r="F102">
        <f>IF($F$1=0,0,IFERROR(VALUE(SUBSTITUTE(SUBSTITUTE(SUBSTITUTE(INDEX(貼り付け!$A$1:$BZ$3001,101,$F$1)&amp;"",",",""),"¥",""),"￥","")),0))</f>
        <v/>
      </c>
      <c r="G102">
        <f>IF(ISNUMBER(B102),YEAR(B102),"")</f>
        <v/>
      </c>
      <c r="H102">
        <f>IF(ISNUMBER(B102),MONTH(B102),"")</f>
        <v/>
      </c>
      <c r="I102">
        <f>IFERROR(IF($B$1=0,"",IF(ISNUMBER(INDEX(貼り付け!$A$1:$BZ$3001,101,$B$1)),"",SUBSTITUTE(SUBSTITUTE(SUBSTITUTE(SUBSTITUTE(TRIM(LEFT(INDEX(貼り付け!$A$1:$BZ$3001,101,$B$1)&amp;"",FIND(" ",TRIM(INDEX(貼り付け!$A$1:$BZ$3001,101,$B$1)&amp;"")&amp;" ")-1)),"/","-"),"年","-"),"月","-"),"日",""))),"")</f>
        <v/>
      </c>
      <c r="J102">
        <f>IFERROR(MID(I102,FIND("-",I102)+1,99),"")</f>
        <v/>
      </c>
    </row>
    <row r="103">
      <c r="B103">
        <f>IFERROR(IF($B$1=0,"",IF(INDEX(貼り付け!$A$1:$BZ$3001,102,$B$1)="","",IF(ISNUMBER(INDEX(貼り付け!$A$1:$BZ$3001,102,$B$1)),INT(INDEX(貼り付け!$A$1:$BZ$3001,102,$B$1)),DATE(VALUE(LEFT(I103,FIND("-",I103)-1)),VALUE(LEFT(J103,FIND("-",J103)-1)),VALUE(MID(J103,FIND("-",J103)+1,99)))))),"")</f>
        <v/>
      </c>
      <c r="C103">
        <f>IF($C$1=0,0,IFERROR(VALUE(SUBSTITUTE(SUBSTITUTE(SUBSTITUTE(INDEX(貼り付け!$A$1:$BZ$3001,102,$C$1)&amp;"",",",""),"¥",""),"￥","")),0))</f>
        <v/>
      </c>
      <c r="D103">
        <f>IF($D$1=0,0,IFERROR(VALUE(SUBSTITUTE(SUBSTITUTE(SUBSTITUTE(INDEX(貼り付け!$A$1:$BZ$3001,102,$D$1)&amp;"",",",""),"¥",""),"￥","")),0))</f>
        <v/>
      </c>
      <c r="E103">
        <f>IF($E$1=0,0,IFERROR(VALUE(SUBSTITUTE(SUBSTITUTE(SUBSTITUTE(INDEX(貼り付け!$A$1:$BZ$3001,102,$E$1)&amp;"",",",""),"¥",""),"￥","")),0))</f>
        <v/>
      </c>
      <c r="F103">
        <f>IF($F$1=0,0,IFERROR(VALUE(SUBSTITUTE(SUBSTITUTE(SUBSTITUTE(INDEX(貼り付け!$A$1:$BZ$3001,102,$F$1)&amp;"",",",""),"¥",""),"￥","")),0))</f>
        <v/>
      </c>
      <c r="G103">
        <f>IF(ISNUMBER(B103),YEAR(B103),"")</f>
        <v/>
      </c>
      <c r="H103">
        <f>IF(ISNUMBER(B103),MONTH(B103),"")</f>
        <v/>
      </c>
      <c r="I103">
        <f>IFERROR(IF($B$1=0,"",IF(ISNUMBER(INDEX(貼り付け!$A$1:$BZ$3001,102,$B$1)),"",SUBSTITUTE(SUBSTITUTE(SUBSTITUTE(SUBSTITUTE(TRIM(LEFT(INDEX(貼り付け!$A$1:$BZ$3001,102,$B$1)&amp;"",FIND(" ",TRIM(INDEX(貼り付け!$A$1:$BZ$3001,102,$B$1)&amp;"")&amp;" ")-1)),"/","-"),"年","-"),"月","-"),"日",""))),"")</f>
        <v/>
      </c>
      <c r="J103">
        <f>IFERROR(MID(I103,FIND("-",I103)+1,99),"")</f>
        <v/>
      </c>
    </row>
    <row r="104">
      <c r="B104">
        <f>IFERROR(IF($B$1=0,"",IF(INDEX(貼り付け!$A$1:$BZ$3001,103,$B$1)="","",IF(ISNUMBER(INDEX(貼り付け!$A$1:$BZ$3001,103,$B$1)),INT(INDEX(貼り付け!$A$1:$BZ$3001,103,$B$1)),DATE(VALUE(LEFT(I104,FIND("-",I104)-1)),VALUE(LEFT(J104,FIND("-",J104)-1)),VALUE(MID(J104,FIND("-",J104)+1,99)))))),"")</f>
        <v/>
      </c>
      <c r="C104">
        <f>IF($C$1=0,0,IFERROR(VALUE(SUBSTITUTE(SUBSTITUTE(SUBSTITUTE(INDEX(貼り付け!$A$1:$BZ$3001,103,$C$1)&amp;"",",",""),"¥",""),"￥","")),0))</f>
        <v/>
      </c>
      <c r="D104">
        <f>IF($D$1=0,0,IFERROR(VALUE(SUBSTITUTE(SUBSTITUTE(SUBSTITUTE(INDEX(貼り付け!$A$1:$BZ$3001,103,$D$1)&amp;"",",",""),"¥",""),"￥","")),0))</f>
        <v/>
      </c>
      <c r="E104">
        <f>IF($E$1=0,0,IFERROR(VALUE(SUBSTITUTE(SUBSTITUTE(SUBSTITUTE(INDEX(貼り付け!$A$1:$BZ$3001,103,$E$1)&amp;"",",",""),"¥",""),"￥","")),0))</f>
        <v/>
      </c>
      <c r="F104">
        <f>IF($F$1=0,0,IFERROR(VALUE(SUBSTITUTE(SUBSTITUTE(SUBSTITUTE(INDEX(貼り付け!$A$1:$BZ$3001,103,$F$1)&amp;"",",",""),"¥",""),"￥","")),0))</f>
        <v/>
      </c>
      <c r="G104">
        <f>IF(ISNUMBER(B104),YEAR(B104),"")</f>
        <v/>
      </c>
      <c r="H104">
        <f>IF(ISNUMBER(B104),MONTH(B104),"")</f>
        <v/>
      </c>
      <c r="I104">
        <f>IFERROR(IF($B$1=0,"",IF(ISNUMBER(INDEX(貼り付け!$A$1:$BZ$3001,103,$B$1)),"",SUBSTITUTE(SUBSTITUTE(SUBSTITUTE(SUBSTITUTE(TRIM(LEFT(INDEX(貼り付け!$A$1:$BZ$3001,103,$B$1)&amp;"",FIND(" ",TRIM(INDEX(貼り付け!$A$1:$BZ$3001,103,$B$1)&amp;"")&amp;" ")-1)),"/","-"),"年","-"),"月","-"),"日",""))),"")</f>
        <v/>
      </c>
      <c r="J104">
        <f>IFERROR(MID(I104,FIND("-",I104)+1,99),"")</f>
        <v/>
      </c>
    </row>
    <row r="105">
      <c r="B105">
        <f>IFERROR(IF($B$1=0,"",IF(INDEX(貼り付け!$A$1:$BZ$3001,104,$B$1)="","",IF(ISNUMBER(INDEX(貼り付け!$A$1:$BZ$3001,104,$B$1)),INT(INDEX(貼り付け!$A$1:$BZ$3001,104,$B$1)),DATE(VALUE(LEFT(I105,FIND("-",I105)-1)),VALUE(LEFT(J105,FIND("-",J105)-1)),VALUE(MID(J105,FIND("-",J105)+1,99)))))),"")</f>
        <v/>
      </c>
      <c r="C105">
        <f>IF($C$1=0,0,IFERROR(VALUE(SUBSTITUTE(SUBSTITUTE(SUBSTITUTE(INDEX(貼り付け!$A$1:$BZ$3001,104,$C$1)&amp;"",",",""),"¥",""),"￥","")),0))</f>
        <v/>
      </c>
      <c r="D105">
        <f>IF($D$1=0,0,IFERROR(VALUE(SUBSTITUTE(SUBSTITUTE(SUBSTITUTE(INDEX(貼り付け!$A$1:$BZ$3001,104,$D$1)&amp;"",",",""),"¥",""),"￥","")),0))</f>
        <v/>
      </c>
      <c r="E105">
        <f>IF($E$1=0,0,IFERROR(VALUE(SUBSTITUTE(SUBSTITUTE(SUBSTITUTE(INDEX(貼り付け!$A$1:$BZ$3001,104,$E$1)&amp;"",",",""),"¥",""),"￥","")),0))</f>
        <v/>
      </c>
      <c r="F105">
        <f>IF($F$1=0,0,IFERROR(VALUE(SUBSTITUTE(SUBSTITUTE(SUBSTITUTE(INDEX(貼り付け!$A$1:$BZ$3001,104,$F$1)&amp;"",",",""),"¥",""),"￥","")),0))</f>
        <v/>
      </c>
      <c r="G105">
        <f>IF(ISNUMBER(B105),YEAR(B105),"")</f>
        <v/>
      </c>
      <c r="H105">
        <f>IF(ISNUMBER(B105),MONTH(B105),"")</f>
        <v/>
      </c>
      <c r="I105">
        <f>IFERROR(IF($B$1=0,"",IF(ISNUMBER(INDEX(貼り付け!$A$1:$BZ$3001,104,$B$1)),"",SUBSTITUTE(SUBSTITUTE(SUBSTITUTE(SUBSTITUTE(TRIM(LEFT(INDEX(貼り付け!$A$1:$BZ$3001,104,$B$1)&amp;"",FIND(" ",TRIM(INDEX(貼り付け!$A$1:$BZ$3001,104,$B$1)&amp;"")&amp;" ")-1)),"/","-"),"年","-"),"月","-"),"日",""))),"")</f>
        <v/>
      </c>
      <c r="J105">
        <f>IFERROR(MID(I105,FIND("-",I105)+1,99),"")</f>
        <v/>
      </c>
    </row>
    <row r="106">
      <c r="B106">
        <f>IFERROR(IF($B$1=0,"",IF(INDEX(貼り付け!$A$1:$BZ$3001,105,$B$1)="","",IF(ISNUMBER(INDEX(貼り付け!$A$1:$BZ$3001,105,$B$1)),INT(INDEX(貼り付け!$A$1:$BZ$3001,105,$B$1)),DATE(VALUE(LEFT(I106,FIND("-",I106)-1)),VALUE(LEFT(J106,FIND("-",J106)-1)),VALUE(MID(J106,FIND("-",J106)+1,99)))))),"")</f>
        <v/>
      </c>
      <c r="C106">
        <f>IF($C$1=0,0,IFERROR(VALUE(SUBSTITUTE(SUBSTITUTE(SUBSTITUTE(INDEX(貼り付け!$A$1:$BZ$3001,105,$C$1)&amp;"",",",""),"¥",""),"￥","")),0))</f>
        <v/>
      </c>
      <c r="D106">
        <f>IF($D$1=0,0,IFERROR(VALUE(SUBSTITUTE(SUBSTITUTE(SUBSTITUTE(INDEX(貼り付け!$A$1:$BZ$3001,105,$D$1)&amp;"",",",""),"¥",""),"￥","")),0))</f>
        <v/>
      </c>
      <c r="E106">
        <f>IF($E$1=0,0,IFERROR(VALUE(SUBSTITUTE(SUBSTITUTE(SUBSTITUTE(INDEX(貼り付け!$A$1:$BZ$3001,105,$E$1)&amp;"",",",""),"¥",""),"￥","")),0))</f>
        <v/>
      </c>
      <c r="F106">
        <f>IF($F$1=0,0,IFERROR(VALUE(SUBSTITUTE(SUBSTITUTE(SUBSTITUTE(INDEX(貼り付け!$A$1:$BZ$3001,105,$F$1)&amp;"",",",""),"¥",""),"￥","")),0))</f>
        <v/>
      </c>
      <c r="G106">
        <f>IF(ISNUMBER(B106),YEAR(B106),"")</f>
        <v/>
      </c>
      <c r="H106">
        <f>IF(ISNUMBER(B106),MONTH(B106),"")</f>
        <v/>
      </c>
      <c r="I106">
        <f>IFERROR(IF($B$1=0,"",IF(ISNUMBER(INDEX(貼り付け!$A$1:$BZ$3001,105,$B$1)),"",SUBSTITUTE(SUBSTITUTE(SUBSTITUTE(SUBSTITUTE(TRIM(LEFT(INDEX(貼り付け!$A$1:$BZ$3001,105,$B$1)&amp;"",FIND(" ",TRIM(INDEX(貼り付け!$A$1:$BZ$3001,105,$B$1)&amp;"")&amp;" ")-1)),"/","-"),"年","-"),"月","-"),"日",""))),"")</f>
        <v/>
      </c>
      <c r="J106">
        <f>IFERROR(MID(I106,FIND("-",I106)+1,99),"")</f>
        <v/>
      </c>
    </row>
    <row r="107">
      <c r="B107">
        <f>IFERROR(IF($B$1=0,"",IF(INDEX(貼り付け!$A$1:$BZ$3001,106,$B$1)="","",IF(ISNUMBER(INDEX(貼り付け!$A$1:$BZ$3001,106,$B$1)),INT(INDEX(貼り付け!$A$1:$BZ$3001,106,$B$1)),DATE(VALUE(LEFT(I107,FIND("-",I107)-1)),VALUE(LEFT(J107,FIND("-",J107)-1)),VALUE(MID(J107,FIND("-",J107)+1,99)))))),"")</f>
        <v/>
      </c>
      <c r="C107">
        <f>IF($C$1=0,0,IFERROR(VALUE(SUBSTITUTE(SUBSTITUTE(SUBSTITUTE(INDEX(貼り付け!$A$1:$BZ$3001,106,$C$1)&amp;"",",",""),"¥",""),"￥","")),0))</f>
        <v/>
      </c>
      <c r="D107">
        <f>IF($D$1=0,0,IFERROR(VALUE(SUBSTITUTE(SUBSTITUTE(SUBSTITUTE(INDEX(貼り付け!$A$1:$BZ$3001,106,$D$1)&amp;"",",",""),"¥",""),"￥","")),0))</f>
        <v/>
      </c>
      <c r="E107">
        <f>IF($E$1=0,0,IFERROR(VALUE(SUBSTITUTE(SUBSTITUTE(SUBSTITUTE(INDEX(貼り付け!$A$1:$BZ$3001,106,$E$1)&amp;"",",",""),"¥",""),"￥","")),0))</f>
        <v/>
      </c>
      <c r="F107">
        <f>IF($F$1=0,0,IFERROR(VALUE(SUBSTITUTE(SUBSTITUTE(SUBSTITUTE(INDEX(貼り付け!$A$1:$BZ$3001,106,$F$1)&amp;"",",",""),"¥",""),"￥","")),0))</f>
        <v/>
      </c>
      <c r="G107">
        <f>IF(ISNUMBER(B107),YEAR(B107),"")</f>
        <v/>
      </c>
      <c r="H107">
        <f>IF(ISNUMBER(B107),MONTH(B107),"")</f>
        <v/>
      </c>
      <c r="I107">
        <f>IFERROR(IF($B$1=0,"",IF(ISNUMBER(INDEX(貼り付け!$A$1:$BZ$3001,106,$B$1)),"",SUBSTITUTE(SUBSTITUTE(SUBSTITUTE(SUBSTITUTE(TRIM(LEFT(INDEX(貼り付け!$A$1:$BZ$3001,106,$B$1)&amp;"",FIND(" ",TRIM(INDEX(貼り付け!$A$1:$BZ$3001,106,$B$1)&amp;"")&amp;" ")-1)),"/","-"),"年","-"),"月","-"),"日",""))),"")</f>
        <v/>
      </c>
      <c r="J107">
        <f>IFERROR(MID(I107,FIND("-",I107)+1,99),"")</f>
        <v/>
      </c>
    </row>
    <row r="108">
      <c r="B108">
        <f>IFERROR(IF($B$1=0,"",IF(INDEX(貼り付け!$A$1:$BZ$3001,107,$B$1)="","",IF(ISNUMBER(INDEX(貼り付け!$A$1:$BZ$3001,107,$B$1)),INT(INDEX(貼り付け!$A$1:$BZ$3001,107,$B$1)),DATE(VALUE(LEFT(I108,FIND("-",I108)-1)),VALUE(LEFT(J108,FIND("-",J108)-1)),VALUE(MID(J108,FIND("-",J108)+1,99)))))),"")</f>
        <v/>
      </c>
      <c r="C108">
        <f>IF($C$1=0,0,IFERROR(VALUE(SUBSTITUTE(SUBSTITUTE(SUBSTITUTE(INDEX(貼り付け!$A$1:$BZ$3001,107,$C$1)&amp;"",",",""),"¥",""),"￥","")),0))</f>
        <v/>
      </c>
      <c r="D108">
        <f>IF($D$1=0,0,IFERROR(VALUE(SUBSTITUTE(SUBSTITUTE(SUBSTITUTE(INDEX(貼り付け!$A$1:$BZ$3001,107,$D$1)&amp;"",",",""),"¥",""),"￥","")),0))</f>
        <v/>
      </c>
      <c r="E108">
        <f>IF($E$1=0,0,IFERROR(VALUE(SUBSTITUTE(SUBSTITUTE(SUBSTITUTE(INDEX(貼り付け!$A$1:$BZ$3001,107,$E$1)&amp;"",",",""),"¥",""),"￥","")),0))</f>
        <v/>
      </c>
      <c r="F108">
        <f>IF($F$1=0,0,IFERROR(VALUE(SUBSTITUTE(SUBSTITUTE(SUBSTITUTE(INDEX(貼り付け!$A$1:$BZ$3001,107,$F$1)&amp;"",",",""),"¥",""),"￥","")),0))</f>
        <v/>
      </c>
      <c r="G108">
        <f>IF(ISNUMBER(B108),YEAR(B108),"")</f>
        <v/>
      </c>
      <c r="H108">
        <f>IF(ISNUMBER(B108),MONTH(B108),"")</f>
        <v/>
      </c>
      <c r="I108">
        <f>IFERROR(IF($B$1=0,"",IF(ISNUMBER(INDEX(貼り付け!$A$1:$BZ$3001,107,$B$1)),"",SUBSTITUTE(SUBSTITUTE(SUBSTITUTE(SUBSTITUTE(TRIM(LEFT(INDEX(貼り付け!$A$1:$BZ$3001,107,$B$1)&amp;"",FIND(" ",TRIM(INDEX(貼り付け!$A$1:$BZ$3001,107,$B$1)&amp;"")&amp;" ")-1)),"/","-"),"年","-"),"月","-"),"日",""))),"")</f>
        <v/>
      </c>
      <c r="J108">
        <f>IFERROR(MID(I108,FIND("-",I108)+1,99),"")</f>
        <v/>
      </c>
    </row>
    <row r="109">
      <c r="B109">
        <f>IFERROR(IF($B$1=0,"",IF(INDEX(貼り付け!$A$1:$BZ$3001,108,$B$1)="","",IF(ISNUMBER(INDEX(貼り付け!$A$1:$BZ$3001,108,$B$1)),INT(INDEX(貼り付け!$A$1:$BZ$3001,108,$B$1)),DATE(VALUE(LEFT(I109,FIND("-",I109)-1)),VALUE(LEFT(J109,FIND("-",J109)-1)),VALUE(MID(J109,FIND("-",J109)+1,99)))))),"")</f>
        <v/>
      </c>
      <c r="C109">
        <f>IF($C$1=0,0,IFERROR(VALUE(SUBSTITUTE(SUBSTITUTE(SUBSTITUTE(INDEX(貼り付け!$A$1:$BZ$3001,108,$C$1)&amp;"",",",""),"¥",""),"￥","")),0))</f>
        <v/>
      </c>
      <c r="D109">
        <f>IF($D$1=0,0,IFERROR(VALUE(SUBSTITUTE(SUBSTITUTE(SUBSTITUTE(INDEX(貼り付け!$A$1:$BZ$3001,108,$D$1)&amp;"",",",""),"¥",""),"￥","")),0))</f>
        <v/>
      </c>
      <c r="E109">
        <f>IF($E$1=0,0,IFERROR(VALUE(SUBSTITUTE(SUBSTITUTE(SUBSTITUTE(INDEX(貼り付け!$A$1:$BZ$3001,108,$E$1)&amp;"",",",""),"¥",""),"￥","")),0))</f>
        <v/>
      </c>
      <c r="F109">
        <f>IF($F$1=0,0,IFERROR(VALUE(SUBSTITUTE(SUBSTITUTE(SUBSTITUTE(INDEX(貼り付け!$A$1:$BZ$3001,108,$F$1)&amp;"",",",""),"¥",""),"￥","")),0))</f>
        <v/>
      </c>
      <c r="G109">
        <f>IF(ISNUMBER(B109),YEAR(B109),"")</f>
        <v/>
      </c>
      <c r="H109">
        <f>IF(ISNUMBER(B109),MONTH(B109),"")</f>
        <v/>
      </c>
      <c r="I109">
        <f>IFERROR(IF($B$1=0,"",IF(ISNUMBER(INDEX(貼り付け!$A$1:$BZ$3001,108,$B$1)),"",SUBSTITUTE(SUBSTITUTE(SUBSTITUTE(SUBSTITUTE(TRIM(LEFT(INDEX(貼り付け!$A$1:$BZ$3001,108,$B$1)&amp;"",FIND(" ",TRIM(INDEX(貼り付け!$A$1:$BZ$3001,108,$B$1)&amp;"")&amp;" ")-1)),"/","-"),"年","-"),"月","-"),"日",""))),"")</f>
        <v/>
      </c>
      <c r="J109">
        <f>IFERROR(MID(I109,FIND("-",I109)+1,99),"")</f>
        <v/>
      </c>
    </row>
    <row r="110">
      <c r="B110">
        <f>IFERROR(IF($B$1=0,"",IF(INDEX(貼り付け!$A$1:$BZ$3001,109,$B$1)="","",IF(ISNUMBER(INDEX(貼り付け!$A$1:$BZ$3001,109,$B$1)),INT(INDEX(貼り付け!$A$1:$BZ$3001,109,$B$1)),DATE(VALUE(LEFT(I110,FIND("-",I110)-1)),VALUE(LEFT(J110,FIND("-",J110)-1)),VALUE(MID(J110,FIND("-",J110)+1,99)))))),"")</f>
        <v/>
      </c>
      <c r="C110">
        <f>IF($C$1=0,0,IFERROR(VALUE(SUBSTITUTE(SUBSTITUTE(SUBSTITUTE(INDEX(貼り付け!$A$1:$BZ$3001,109,$C$1)&amp;"",",",""),"¥",""),"￥","")),0))</f>
        <v/>
      </c>
      <c r="D110">
        <f>IF($D$1=0,0,IFERROR(VALUE(SUBSTITUTE(SUBSTITUTE(SUBSTITUTE(INDEX(貼り付け!$A$1:$BZ$3001,109,$D$1)&amp;"",",",""),"¥",""),"￥","")),0))</f>
        <v/>
      </c>
      <c r="E110">
        <f>IF($E$1=0,0,IFERROR(VALUE(SUBSTITUTE(SUBSTITUTE(SUBSTITUTE(INDEX(貼り付け!$A$1:$BZ$3001,109,$E$1)&amp;"",",",""),"¥",""),"￥","")),0))</f>
        <v/>
      </c>
      <c r="F110">
        <f>IF($F$1=0,0,IFERROR(VALUE(SUBSTITUTE(SUBSTITUTE(SUBSTITUTE(INDEX(貼り付け!$A$1:$BZ$3001,109,$F$1)&amp;"",",",""),"¥",""),"￥","")),0))</f>
        <v/>
      </c>
      <c r="G110">
        <f>IF(ISNUMBER(B110),YEAR(B110),"")</f>
        <v/>
      </c>
      <c r="H110">
        <f>IF(ISNUMBER(B110),MONTH(B110),"")</f>
        <v/>
      </c>
      <c r="I110">
        <f>IFERROR(IF($B$1=0,"",IF(ISNUMBER(INDEX(貼り付け!$A$1:$BZ$3001,109,$B$1)),"",SUBSTITUTE(SUBSTITUTE(SUBSTITUTE(SUBSTITUTE(TRIM(LEFT(INDEX(貼り付け!$A$1:$BZ$3001,109,$B$1)&amp;"",FIND(" ",TRIM(INDEX(貼り付け!$A$1:$BZ$3001,109,$B$1)&amp;"")&amp;" ")-1)),"/","-"),"年","-"),"月","-"),"日",""))),"")</f>
        <v/>
      </c>
      <c r="J110">
        <f>IFERROR(MID(I110,FIND("-",I110)+1,99),"")</f>
        <v/>
      </c>
    </row>
    <row r="111">
      <c r="B111">
        <f>IFERROR(IF($B$1=0,"",IF(INDEX(貼り付け!$A$1:$BZ$3001,110,$B$1)="","",IF(ISNUMBER(INDEX(貼り付け!$A$1:$BZ$3001,110,$B$1)),INT(INDEX(貼り付け!$A$1:$BZ$3001,110,$B$1)),DATE(VALUE(LEFT(I111,FIND("-",I111)-1)),VALUE(LEFT(J111,FIND("-",J111)-1)),VALUE(MID(J111,FIND("-",J111)+1,99)))))),"")</f>
        <v/>
      </c>
      <c r="C111">
        <f>IF($C$1=0,0,IFERROR(VALUE(SUBSTITUTE(SUBSTITUTE(SUBSTITUTE(INDEX(貼り付け!$A$1:$BZ$3001,110,$C$1)&amp;"",",",""),"¥",""),"￥","")),0))</f>
        <v/>
      </c>
      <c r="D111">
        <f>IF($D$1=0,0,IFERROR(VALUE(SUBSTITUTE(SUBSTITUTE(SUBSTITUTE(INDEX(貼り付け!$A$1:$BZ$3001,110,$D$1)&amp;"",",",""),"¥",""),"￥","")),0))</f>
        <v/>
      </c>
      <c r="E111">
        <f>IF($E$1=0,0,IFERROR(VALUE(SUBSTITUTE(SUBSTITUTE(SUBSTITUTE(INDEX(貼り付け!$A$1:$BZ$3001,110,$E$1)&amp;"",",",""),"¥",""),"￥","")),0))</f>
        <v/>
      </c>
      <c r="F111">
        <f>IF($F$1=0,0,IFERROR(VALUE(SUBSTITUTE(SUBSTITUTE(SUBSTITUTE(INDEX(貼り付け!$A$1:$BZ$3001,110,$F$1)&amp;"",",",""),"¥",""),"￥","")),0))</f>
        <v/>
      </c>
      <c r="G111">
        <f>IF(ISNUMBER(B111),YEAR(B111),"")</f>
        <v/>
      </c>
      <c r="H111">
        <f>IF(ISNUMBER(B111),MONTH(B111),"")</f>
        <v/>
      </c>
      <c r="I111">
        <f>IFERROR(IF($B$1=0,"",IF(ISNUMBER(INDEX(貼り付け!$A$1:$BZ$3001,110,$B$1)),"",SUBSTITUTE(SUBSTITUTE(SUBSTITUTE(SUBSTITUTE(TRIM(LEFT(INDEX(貼り付け!$A$1:$BZ$3001,110,$B$1)&amp;"",FIND(" ",TRIM(INDEX(貼り付け!$A$1:$BZ$3001,110,$B$1)&amp;"")&amp;" ")-1)),"/","-"),"年","-"),"月","-"),"日",""))),"")</f>
        <v/>
      </c>
      <c r="J111">
        <f>IFERROR(MID(I111,FIND("-",I111)+1,99),"")</f>
        <v/>
      </c>
    </row>
    <row r="112">
      <c r="B112">
        <f>IFERROR(IF($B$1=0,"",IF(INDEX(貼り付け!$A$1:$BZ$3001,111,$B$1)="","",IF(ISNUMBER(INDEX(貼り付け!$A$1:$BZ$3001,111,$B$1)),INT(INDEX(貼り付け!$A$1:$BZ$3001,111,$B$1)),DATE(VALUE(LEFT(I112,FIND("-",I112)-1)),VALUE(LEFT(J112,FIND("-",J112)-1)),VALUE(MID(J112,FIND("-",J112)+1,99)))))),"")</f>
        <v/>
      </c>
      <c r="C112">
        <f>IF($C$1=0,0,IFERROR(VALUE(SUBSTITUTE(SUBSTITUTE(SUBSTITUTE(INDEX(貼り付け!$A$1:$BZ$3001,111,$C$1)&amp;"",",",""),"¥",""),"￥","")),0))</f>
        <v/>
      </c>
      <c r="D112">
        <f>IF($D$1=0,0,IFERROR(VALUE(SUBSTITUTE(SUBSTITUTE(SUBSTITUTE(INDEX(貼り付け!$A$1:$BZ$3001,111,$D$1)&amp;"",",",""),"¥",""),"￥","")),0))</f>
        <v/>
      </c>
      <c r="E112">
        <f>IF($E$1=0,0,IFERROR(VALUE(SUBSTITUTE(SUBSTITUTE(SUBSTITUTE(INDEX(貼り付け!$A$1:$BZ$3001,111,$E$1)&amp;"",",",""),"¥",""),"￥","")),0))</f>
        <v/>
      </c>
      <c r="F112">
        <f>IF($F$1=0,0,IFERROR(VALUE(SUBSTITUTE(SUBSTITUTE(SUBSTITUTE(INDEX(貼り付け!$A$1:$BZ$3001,111,$F$1)&amp;"",",",""),"¥",""),"￥","")),0))</f>
        <v/>
      </c>
      <c r="G112">
        <f>IF(ISNUMBER(B112),YEAR(B112),"")</f>
        <v/>
      </c>
      <c r="H112">
        <f>IF(ISNUMBER(B112),MONTH(B112),"")</f>
        <v/>
      </c>
      <c r="I112">
        <f>IFERROR(IF($B$1=0,"",IF(ISNUMBER(INDEX(貼り付け!$A$1:$BZ$3001,111,$B$1)),"",SUBSTITUTE(SUBSTITUTE(SUBSTITUTE(SUBSTITUTE(TRIM(LEFT(INDEX(貼り付け!$A$1:$BZ$3001,111,$B$1)&amp;"",FIND(" ",TRIM(INDEX(貼り付け!$A$1:$BZ$3001,111,$B$1)&amp;"")&amp;" ")-1)),"/","-"),"年","-"),"月","-"),"日",""))),"")</f>
        <v/>
      </c>
      <c r="J112">
        <f>IFERROR(MID(I112,FIND("-",I112)+1,99),"")</f>
        <v/>
      </c>
    </row>
    <row r="113">
      <c r="B113">
        <f>IFERROR(IF($B$1=0,"",IF(INDEX(貼り付け!$A$1:$BZ$3001,112,$B$1)="","",IF(ISNUMBER(INDEX(貼り付け!$A$1:$BZ$3001,112,$B$1)),INT(INDEX(貼り付け!$A$1:$BZ$3001,112,$B$1)),DATE(VALUE(LEFT(I113,FIND("-",I113)-1)),VALUE(LEFT(J113,FIND("-",J113)-1)),VALUE(MID(J113,FIND("-",J113)+1,99)))))),"")</f>
        <v/>
      </c>
      <c r="C113">
        <f>IF($C$1=0,0,IFERROR(VALUE(SUBSTITUTE(SUBSTITUTE(SUBSTITUTE(INDEX(貼り付け!$A$1:$BZ$3001,112,$C$1)&amp;"",",",""),"¥",""),"￥","")),0))</f>
        <v/>
      </c>
      <c r="D113">
        <f>IF($D$1=0,0,IFERROR(VALUE(SUBSTITUTE(SUBSTITUTE(SUBSTITUTE(INDEX(貼り付け!$A$1:$BZ$3001,112,$D$1)&amp;"",",",""),"¥",""),"￥","")),0))</f>
        <v/>
      </c>
      <c r="E113">
        <f>IF($E$1=0,0,IFERROR(VALUE(SUBSTITUTE(SUBSTITUTE(SUBSTITUTE(INDEX(貼り付け!$A$1:$BZ$3001,112,$E$1)&amp;"",",",""),"¥",""),"￥","")),0))</f>
        <v/>
      </c>
      <c r="F113">
        <f>IF($F$1=0,0,IFERROR(VALUE(SUBSTITUTE(SUBSTITUTE(SUBSTITUTE(INDEX(貼り付け!$A$1:$BZ$3001,112,$F$1)&amp;"",",",""),"¥",""),"￥","")),0))</f>
        <v/>
      </c>
      <c r="G113">
        <f>IF(ISNUMBER(B113),YEAR(B113),"")</f>
        <v/>
      </c>
      <c r="H113">
        <f>IF(ISNUMBER(B113),MONTH(B113),"")</f>
        <v/>
      </c>
      <c r="I113">
        <f>IFERROR(IF($B$1=0,"",IF(ISNUMBER(INDEX(貼り付け!$A$1:$BZ$3001,112,$B$1)),"",SUBSTITUTE(SUBSTITUTE(SUBSTITUTE(SUBSTITUTE(TRIM(LEFT(INDEX(貼り付け!$A$1:$BZ$3001,112,$B$1)&amp;"",FIND(" ",TRIM(INDEX(貼り付け!$A$1:$BZ$3001,112,$B$1)&amp;"")&amp;" ")-1)),"/","-"),"年","-"),"月","-"),"日",""))),"")</f>
        <v/>
      </c>
      <c r="J113">
        <f>IFERROR(MID(I113,FIND("-",I113)+1,99),"")</f>
        <v/>
      </c>
    </row>
    <row r="114">
      <c r="B114">
        <f>IFERROR(IF($B$1=0,"",IF(INDEX(貼り付け!$A$1:$BZ$3001,113,$B$1)="","",IF(ISNUMBER(INDEX(貼り付け!$A$1:$BZ$3001,113,$B$1)),INT(INDEX(貼り付け!$A$1:$BZ$3001,113,$B$1)),DATE(VALUE(LEFT(I114,FIND("-",I114)-1)),VALUE(LEFT(J114,FIND("-",J114)-1)),VALUE(MID(J114,FIND("-",J114)+1,99)))))),"")</f>
        <v/>
      </c>
      <c r="C114">
        <f>IF($C$1=0,0,IFERROR(VALUE(SUBSTITUTE(SUBSTITUTE(SUBSTITUTE(INDEX(貼り付け!$A$1:$BZ$3001,113,$C$1)&amp;"",",",""),"¥",""),"￥","")),0))</f>
        <v/>
      </c>
      <c r="D114">
        <f>IF($D$1=0,0,IFERROR(VALUE(SUBSTITUTE(SUBSTITUTE(SUBSTITUTE(INDEX(貼り付け!$A$1:$BZ$3001,113,$D$1)&amp;"",",",""),"¥",""),"￥","")),0))</f>
        <v/>
      </c>
      <c r="E114">
        <f>IF($E$1=0,0,IFERROR(VALUE(SUBSTITUTE(SUBSTITUTE(SUBSTITUTE(INDEX(貼り付け!$A$1:$BZ$3001,113,$E$1)&amp;"",",",""),"¥",""),"￥","")),0))</f>
        <v/>
      </c>
      <c r="F114">
        <f>IF($F$1=0,0,IFERROR(VALUE(SUBSTITUTE(SUBSTITUTE(SUBSTITUTE(INDEX(貼り付け!$A$1:$BZ$3001,113,$F$1)&amp;"",",",""),"¥",""),"￥","")),0))</f>
        <v/>
      </c>
      <c r="G114">
        <f>IF(ISNUMBER(B114),YEAR(B114),"")</f>
        <v/>
      </c>
      <c r="H114">
        <f>IF(ISNUMBER(B114),MONTH(B114),"")</f>
        <v/>
      </c>
      <c r="I114">
        <f>IFERROR(IF($B$1=0,"",IF(ISNUMBER(INDEX(貼り付け!$A$1:$BZ$3001,113,$B$1)),"",SUBSTITUTE(SUBSTITUTE(SUBSTITUTE(SUBSTITUTE(TRIM(LEFT(INDEX(貼り付け!$A$1:$BZ$3001,113,$B$1)&amp;"",FIND(" ",TRIM(INDEX(貼り付け!$A$1:$BZ$3001,113,$B$1)&amp;"")&amp;" ")-1)),"/","-"),"年","-"),"月","-"),"日",""))),"")</f>
        <v/>
      </c>
      <c r="J114">
        <f>IFERROR(MID(I114,FIND("-",I114)+1,99),"")</f>
        <v/>
      </c>
    </row>
    <row r="115">
      <c r="B115">
        <f>IFERROR(IF($B$1=0,"",IF(INDEX(貼り付け!$A$1:$BZ$3001,114,$B$1)="","",IF(ISNUMBER(INDEX(貼り付け!$A$1:$BZ$3001,114,$B$1)),INT(INDEX(貼り付け!$A$1:$BZ$3001,114,$B$1)),DATE(VALUE(LEFT(I115,FIND("-",I115)-1)),VALUE(LEFT(J115,FIND("-",J115)-1)),VALUE(MID(J115,FIND("-",J115)+1,99)))))),"")</f>
        <v/>
      </c>
      <c r="C115">
        <f>IF($C$1=0,0,IFERROR(VALUE(SUBSTITUTE(SUBSTITUTE(SUBSTITUTE(INDEX(貼り付け!$A$1:$BZ$3001,114,$C$1)&amp;"",",",""),"¥",""),"￥","")),0))</f>
        <v/>
      </c>
      <c r="D115">
        <f>IF($D$1=0,0,IFERROR(VALUE(SUBSTITUTE(SUBSTITUTE(SUBSTITUTE(INDEX(貼り付け!$A$1:$BZ$3001,114,$D$1)&amp;"",",",""),"¥",""),"￥","")),0))</f>
        <v/>
      </c>
      <c r="E115">
        <f>IF($E$1=0,0,IFERROR(VALUE(SUBSTITUTE(SUBSTITUTE(SUBSTITUTE(INDEX(貼り付け!$A$1:$BZ$3001,114,$E$1)&amp;"",",",""),"¥",""),"￥","")),0))</f>
        <v/>
      </c>
      <c r="F115">
        <f>IF($F$1=0,0,IFERROR(VALUE(SUBSTITUTE(SUBSTITUTE(SUBSTITUTE(INDEX(貼り付け!$A$1:$BZ$3001,114,$F$1)&amp;"",",",""),"¥",""),"￥","")),0))</f>
        <v/>
      </c>
      <c r="G115">
        <f>IF(ISNUMBER(B115),YEAR(B115),"")</f>
        <v/>
      </c>
      <c r="H115">
        <f>IF(ISNUMBER(B115),MONTH(B115),"")</f>
        <v/>
      </c>
      <c r="I115">
        <f>IFERROR(IF($B$1=0,"",IF(ISNUMBER(INDEX(貼り付け!$A$1:$BZ$3001,114,$B$1)),"",SUBSTITUTE(SUBSTITUTE(SUBSTITUTE(SUBSTITUTE(TRIM(LEFT(INDEX(貼り付け!$A$1:$BZ$3001,114,$B$1)&amp;"",FIND(" ",TRIM(INDEX(貼り付け!$A$1:$BZ$3001,114,$B$1)&amp;"")&amp;" ")-1)),"/","-"),"年","-"),"月","-"),"日",""))),"")</f>
        <v/>
      </c>
      <c r="J115">
        <f>IFERROR(MID(I115,FIND("-",I115)+1,99),"")</f>
        <v/>
      </c>
    </row>
    <row r="116">
      <c r="B116">
        <f>IFERROR(IF($B$1=0,"",IF(INDEX(貼り付け!$A$1:$BZ$3001,115,$B$1)="","",IF(ISNUMBER(INDEX(貼り付け!$A$1:$BZ$3001,115,$B$1)),INT(INDEX(貼り付け!$A$1:$BZ$3001,115,$B$1)),DATE(VALUE(LEFT(I116,FIND("-",I116)-1)),VALUE(LEFT(J116,FIND("-",J116)-1)),VALUE(MID(J116,FIND("-",J116)+1,99)))))),"")</f>
        <v/>
      </c>
      <c r="C116">
        <f>IF($C$1=0,0,IFERROR(VALUE(SUBSTITUTE(SUBSTITUTE(SUBSTITUTE(INDEX(貼り付け!$A$1:$BZ$3001,115,$C$1)&amp;"",",",""),"¥",""),"￥","")),0))</f>
        <v/>
      </c>
      <c r="D116">
        <f>IF($D$1=0,0,IFERROR(VALUE(SUBSTITUTE(SUBSTITUTE(SUBSTITUTE(INDEX(貼り付け!$A$1:$BZ$3001,115,$D$1)&amp;"",",",""),"¥",""),"￥","")),0))</f>
        <v/>
      </c>
      <c r="E116">
        <f>IF($E$1=0,0,IFERROR(VALUE(SUBSTITUTE(SUBSTITUTE(SUBSTITUTE(INDEX(貼り付け!$A$1:$BZ$3001,115,$E$1)&amp;"",",",""),"¥",""),"￥","")),0))</f>
        <v/>
      </c>
      <c r="F116">
        <f>IF($F$1=0,0,IFERROR(VALUE(SUBSTITUTE(SUBSTITUTE(SUBSTITUTE(INDEX(貼り付け!$A$1:$BZ$3001,115,$F$1)&amp;"",",",""),"¥",""),"￥","")),0))</f>
        <v/>
      </c>
      <c r="G116">
        <f>IF(ISNUMBER(B116),YEAR(B116),"")</f>
        <v/>
      </c>
      <c r="H116">
        <f>IF(ISNUMBER(B116),MONTH(B116),"")</f>
        <v/>
      </c>
      <c r="I116">
        <f>IFERROR(IF($B$1=0,"",IF(ISNUMBER(INDEX(貼り付け!$A$1:$BZ$3001,115,$B$1)),"",SUBSTITUTE(SUBSTITUTE(SUBSTITUTE(SUBSTITUTE(TRIM(LEFT(INDEX(貼り付け!$A$1:$BZ$3001,115,$B$1)&amp;"",FIND(" ",TRIM(INDEX(貼り付け!$A$1:$BZ$3001,115,$B$1)&amp;"")&amp;" ")-1)),"/","-"),"年","-"),"月","-"),"日",""))),"")</f>
        <v/>
      </c>
      <c r="J116">
        <f>IFERROR(MID(I116,FIND("-",I116)+1,99),"")</f>
        <v/>
      </c>
    </row>
    <row r="117">
      <c r="B117">
        <f>IFERROR(IF($B$1=0,"",IF(INDEX(貼り付け!$A$1:$BZ$3001,116,$B$1)="","",IF(ISNUMBER(INDEX(貼り付け!$A$1:$BZ$3001,116,$B$1)),INT(INDEX(貼り付け!$A$1:$BZ$3001,116,$B$1)),DATE(VALUE(LEFT(I117,FIND("-",I117)-1)),VALUE(LEFT(J117,FIND("-",J117)-1)),VALUE(MID(J117,FIND("-",J117)+1,99)))))),"")</f>
        <v/>
      </c>
      <c r="C117">
        <f>IF($C$1=0,0,IFERROR(VALUE(SUBSTITUTE(SUBSTITUTE(SUBSTITUTE(INDEX(貼り付け!$A$1:$BZ$3001,116,$C$1)&amp;"",",",""),"¥",""),"￥","")),0))</f>
        <v/>
      </c>
      <c r="D117">
        <f>IF($D$1=0,0,IFERROR(VALUE(SUBSTITUTE(SUBSTITUTE(SUBSTITUTE(INDEX(貼り付け!$A$1:$BZ$3001,116,$D$1)&amp;"",",",""),"¥",""),"￥","")),0))</f>
        <v/>
      </c>
      <c r="E117">
        <f>IF($E$1=0,0,IFERROR(VALUE(SUBSTITUTE(SUBSTITUTE(SUBSTITUTE(INDEX(貼り付け!$A$1:$BZ$3001,116,$E$1)&amp;"",",",""),"¥",""),"￥","")),0))</f>
        <v/>
      </c>
      <c r="F117">
        <f>IF($F$1=0,0,IFERROR(VALUE(SUBSTITUTE(SUBSTITUTE(SUBSTITUTE(INDEX(貼り付け!$A$1:$BZ$3001,116,$F$1)&amp;"",",",""),"¥",""),"￥","")),0))</f>
        <v/>
      </c>
      <c r="G117">
        <f>IF(ISNUMBER(B117),YEAR(B117),"")</f>
        <v/>
      </c>
      <c r="H117">
        <f>IF(ISNUMBER(B117),MONTH(B117),"")</f>
        <v/>
      </c>
      <c r="I117">
        <f>IFERROR(IF($B$1=0,"",IF(ISNUMBER(INDEX(貼り付け!$A$1:$BZ$3001,116,$B$1)),"",SUBSTITUTE(SUBSTITUTE(SUBSTITUTE(SUBSTITUTE(TRIM(LEFT(INDEX(貼り付け!$A$1:$BZ$3001,116,$B$1)&amp;"",FIND(" ",TRIM(INDEX(貼り付け!$A$1:$BZ$3001,116,$B$1)&amp;"")&amp;" ")-1)),"/","-"),"年","-"),"月","-"),"日",""))),"")</f>
        <v/>
      </c>
      <c r="J117">
        <f>IFERROR(MID(I117,FIND("-",I117)+1,99),"")</f>
        <v/>
      </c>
    </row>
    <row r="118">
      <c r="B118">
        <f>IFERROR(IF($B$1=0,"",IF(INDEX(貼り付け!$A$1:$BZ$3001,117,$B$1)="","",IF(ISNUMBER(INDEX(貼り付け!$A$1:$BZ$3001,117,$B$1)),INT(INDEX(貼り付け!$A$1:$BZ$3001,117,$B$1)),DATE(VALUE(LEFT(I118,FIND("-",I118)-1)),VALUE(LEFT(J118,FIND("-",J118)-1)),VALUE(MID(J118,FIND("-",J118)+1,99)))))),"")</f>
        <v/>
      </c>
      <c r="C118">
        <f>IF($C$1=0,0,IFERROR(VALUE(SUBSTITUTE(SUBSTITUTE(SUBSTITUTE(INDEX(貼り付け!$A$1:$BZ$3001,117,$C$1)&amp;"",",",""),"¥",""),"￥","")),0))</f>
        <v/>
      </c>
      <c r="D118">
        <f>IF($D$1=0,0,IFERROR(VALUE(SUBSTITUTE(SUBSTITUTE(SUBSTITUTE(INDEX(貼り付け!$A$1:$BZ$3001,117,$D$1)&amp;"",",",""),"¥",""),"￥","")),0))</f>
        <v/>
      </c>
      <c r="E118">
        <f>IF($E$1=0,0,IFERROR(VALUE(SUBSTITUTE(SUBSTITUTE(SUBSTITUTE(INDEX(貼り付け!$A$1:$BZ$3001,117,$E$1)&amp;"",",",""),"¥",""),"￥","")),0))</f>
        <v/>
      </c>
      <c r="F118">
        <f>IF($F$1=0,0,IFERROR(VALUE(SUBSTITUTE(SUBSTITUTE(SUBSTITUTE(INDEX(貼り付け!$A$1:$BZ$3001,117,$F$1)&amp;"",",",""),"¥",""),"￥","")),0))</f>
        <v/>
      </c>
      <c r="G118">
        <f>IF(ISNUMBER(B118),YEAR(B118),"")</f>
        <v/>
      </c>
      <c r="H118">
        <f>IF(ISNUMBER(B118),MONTH(B118),"")</f>
        <v/>
      </c>
      <c r="I118">
        <f>IFERROR(IF($B$1=0,"",IF(ISNUMBER(INDEX(貼り付け!$A$1:$BZ$3001,117,$B$1)),"",SUBSTITUTE(SUBSTITUTE(SUBSTITUTE(SUBSTITUTE(TRIM(LEFT(INDEX(貼り付け!$A$1:$BZ$3001,117,$B$1)&amp;"",FIND(" ",TRIM(INDEX(貼り付け!$A$1:$BZ$3001,117,$B$1)&amp;"")&amp;" ")-1)),"/","-"),"年","-"),"月","-"),"日",""))),"")</f>
        <v/>
      </c>
      <c r="J118">
        <f>IFERROR(MID(I118,FIND("-",I118)+1,99),"")</f>
        <v/>
      </c>
    </row>
    <row r="119">
      <c r="B119">
        <f>IFERROR(IF($B$1=0,"",IF(INDEX(貼り付け!$A$1:$BZ$3001,118,$B$1)="","",IF(ISNUMBER(INDEX(貼り付け!$A$1:$BZ$3001,118,$B$1)),INT(INDEX(貼り付け!$A$1:$BZ$3001,118,$B$1)),DATE(VALUE(LEFT(I119,FIND("-",I119)-1)),VALUE(LEFT(J119,FIND("-",J119)-1)),VALUE(MID(J119,FIND("-",J119)+1,99)))))),"")</f>
        <v/>
      </c>
      <c r="C119">
        <f>IF($C$1=0,0,IFERROR(VALUE(SUBSTITUTE(SUBSTITUTE(SUBSTITUTE(INDEX(貼り付け!$A$1:$BZ$3001,118,$C$1)&amp;"",",",""),"¥",""),"￥","")),0))</f>
        <v/>
      </c>
      <c r="D119">
        <f>IF($D$1=0,0,IFERROR(VALUE(SUBSTITUTE(SUBSTITUTE(SUBSTITUTE(INDEX(貼り付け!$A$1:$BZ$3001,118,$D$1)&amp;"",",",""),"¥",""),"￥","")),0))</f>
        <v/>
      </c>
      <c r="E119">
        <f>IF($E$1=0,0,IFERROR(VALUE(SUBSTITUTE(SUBSTITUTE(SUBSTITUTE(INDEX(貼り付け!$A$1:$BZ$3001,118,$E$1)&amp;"",",",""),"¥",""),"￥","")),0))</f>
        <v/>
      </c>
      <c r="F119">
        <f>IF($F$1=0,0,IFERROR(VALUE(SUBSTITUTE(SUBSTITUTE(SUBSTITUTE(INDEX(貼り付け!$A$1:$BZ$3001,118,$F$1)&amp;"",",",""),"¥",""),"￥","")),0))</f>
        <v/>
      </c>
      <c r="G119">
        <f>IF(ISNUMBER(B119),YEAR(B119),"")</f>
        <v/>
      </c>
      <c r="H119">
        <f>IF(ISNUMBER(B119),MONTH(B119),"")</f>
        <v/>
      </c>
      <c r="I119">
        <f>IFERROR(IF($B$1=0,"",IF(ISNUMBER(INDEX(貼り付け!$A$1:$BZ$3001,118,$B$1)),"",SUBSTITUTE(SUBSTITUTE(SUBSTITUTE(SUBSTITUTE(TRIM(LEFT(INDEX(貼り付け!$A$1:$BZ$3001,118,$B$1)&amp;"",FIND(" ",TRIM(INDEX(貼り付け!$A$1:$BZ$3001,118,$B$1)&amp;"")&amp;" ")-1)),"/","-"),"年","-"),"月","-"),"日",""))),"")</f>
        <v/>
      </c>
      <c r="J119">
        <f>IFERROR(MID(I119,FIND("-",I119)+1,99),"")</f>
        <v/>
      </c>
    </row>
    <row r="120">
      <c r="B120">
        <f>IFERROR(IF($B$1=0,"",IF(INDEX(貼り付け!$A$1:$BZ$3001,119,$B$1)="","",IF(ISNUMBER(INDEX(貼り付け!$A$1:$BZ$3001,119,$B$1)),INT(INDEX(貼り付け!$A$1:$BZ$3001,119,$B$1)),DATE(VALUE(LEFT(I120,FIND("-",I120)-1)),VALUE(LEFT(J120,FIND("-",J120)-1)),VALUE(MID(J120,FIND("-",J120)+1,99)))))),"")</f>
        <v/>
      </c>
      <c r="C120">
        <f>IF($C$1=0,0,IFERROR(VALUE(SUBSTITUTE(SUBSTITUTE(SUBSTITUTE(INDEX(貼り付け!$A$1:$BZ$3001,119,$C$1)&amp;"",",",""),"¥",""),"￥","")),0))</f>
        <v/>
      </c>
      <c r="D120">
        <f>IF($D$1=0,0,IFERROR(VALUE(SUBSTITUTE(SUBSTITUTE(SUBSTITUTE(INDEX(貼り付け!$A$1:$BZ$3001,119,$D$1)&amp;"",",",""),"¥",""),"￥","")),0))</f>
        <v/>
      </c>
      <c r="E120">
        <f>IF($E$1=0,0,IFERROR(VALUE(SUBSTITUTE(SUBSTITUTE(SUBSTITUTE(INDEX(貼り付け!$A$1:$BZ$3001,119,$E$1)&amp;"",",",""),"¥",""),"￥","")),0))</f>
        <v/>
      </c>
      <c r="F120">
        <f>IF($F$1=0,0,IFERROR(VALUE(SUBSTITUTE(SUBSTITUTE(SUBSTITUTE(INDEX(貼り付け!$A$1:$BZ$3001,119,$F$1)&amp;"",",",""),"¥",""),"￥","")),0))</f>
        <v/>
      </c>
      <c r="G120">
        <f>IF(ISNUMBER(B120),YEAR(B120),"")</f>
        <v/>
      </c>
      <c r="H120">
        <f>IF(ISNUMBER(B120),MONTH(B120),"")</f>
        <v/>
      </c>
      <c r="I120">
        <f>IFERROR(IF($B$1=0,"",IF(ISNUMBER(INDEX(貼り付け!$A$1:$BZ$3001,119,$B$1)),"",SUBSTITUTE(SUBSTITUTE(SUBSTITUTE(SUBSTITUTE(TRIM(LEFT(INDEX(貼り付け!$A$1:$BZ$3001,119,$B$1)&amp;"",FIND(" ",TRIM(INDEX(貼り付け!$A$1:$BZ$3001,119,$B$1)&amp;"")&amp;" ")-1)),"/","-"),"年","-"),"月","-"),"日",""))),"")</f>
        <v/>
      </c>
      <c r="J120">
        <f>IFERROR(MID(I120,FIND("-",I120)+1,99),"")</f>
        <v/>
      </c>
    </row>
    <row r="121">
      <c r="B121">
        <f>IFERROR(IF($B$1=0,"",IF(INDEX(貼り付け!$A$1:$BZ$3001,120,$B$1)="","",IF(ISNUMBER(INDEX(貼り付け!$A$1:$BZ$3001,120,$B$1)),INT(INDEX(貼り付け!$A$1:$BZ$3001,120,$B$1)),DATE(VALUE(LEFT(I121,FIND("-",I121)-1)),VALUE(LEFT(J121,FIND("-",J121)-1)),VALUE(MID(J121,FIND("-",J121)+1,99)))))),"")</f>
        <v/>
      </c>
      <c r="C121">
        <f>IF($C$1=0,0,IFERROR(VALUE(SUBSTITUTE(SUBSTITUTE(SUBSTITUTE(INDEX(貼り付け!$A$1:$BZ$3001,120,$C$1)&amp;"",",",""),"¥",""),"￥","")),0))</f>
        <v/>
      </c>
      <c r="D121">
        <f>IF($D$1=0,0,IFERROR(VALUE(SUBSTITUTE(SUBSTITUTE(SUBSTITUTE(INDEX(貼り付け!$A$1:$BZ$3001,120,$D$1)&amp;"",",",""),"¥",""),"￥","")),0))</f>
        <v/>
      </c>
      <c r="E121">
        <f>IF($E$1=0,0,IFERROR(VALUE(SUBSTITUTE(SUBSTITUTE(SUBSTITUTE(INDEX(貼り付け!$A$1:$BZ$3001,120,$E$1)&amp;"",",",""),"¥",""),"￥","")),0))</f>
        <v/>
      </c>
      <c r="F121">
        <f>IF($F$1=0,0,IFERROR(VALUE(SUBSTITUTE(SUBSTITUTE(SUBSTITUTE(INDEX(貼り付け!$A$1:$BZ$3001,120,$F$1)&amp;"",",",""),"¥",""),"￥","")),0))</f>
        <v/>
      </c>
      <c r="G121">
        <f>IF(ISNUMBER(B121),YEAR(B121),"")</f>
        <v/>
      </c>
      <c r="H121">
        <f>IF(ISNUMBER(B121),MONTH(B121),"")</f>
        <v/>
      </c>
      <c r="I121">
        <f>IFERROR(IF($B$1=0,"",IF(ISNUMBER(INDEX(貼り付け!$A$1:$BZ$3001,120,$B$1)),"",SUBSTITUTE(SUBSTITUTE(SUBSTITUTE(SUBSTITUTE(TRIM(LEFT(INDEX(貼り付け!$A$1:$BZ$3001,120,$B$1)&amp;"",FIND(" ",TRIM(INDEX(貼り付け!$A$1:$BZ$3001,120,$B$1)&amp;"")&amp;" ")-1)),"/","-"),"年","-"),"月","-"),"日",""))),"")</f>
        <v/>
      </c>
      <c r="J121">
        <f>IFERROR(MID(I121,FIND("-",I121)+1,99),"")</f>
        <v/>
      </c>
    </row>
    <row r="122">
      <c r="B122">
        <f>IFERROR(IF($B$1=0,"",IF(INDEX(貼り付け!$A$1:$BZ$3001,121,$B$1)="","",IF(ISNUMBER(INDEX(貼り付け!$A$1:$BZ$3001,121,$B$1)),INT(INDEX(貼り付け!$A$1:$BZ$3001,121,$B$1)),DATE(VALUE(LEFT(I122,FIND("-",I122)-1)),VALUE(LEFT(J122,FIND("-",J122)-1)),VALUE(MID(J122,FIND("-",J122)+1,99)))))),"")</f>
        <v/>
      </c>
      <c r="C122">
        <f>IF($C$1=0,0,IFERROR(VALUE(SUBSTITUTE(SUBSTITUTE(SUBSTITUTE(INDEX(貼り付け!$A$1:$BZ$3001,121,$C$1)&amp;"",",",""),"¥",""),"￥","")),0))</f>
        <v/>
      </c>
      <c r="D122">
        <f>IF($D$1=0,0,IFERROR(VALUE(SUBSTITUTE(SUBSTITUTE(SUBSTITUTE(INDEX(貼り付け!$A$1:$BZ$3001,121,$D$1)&amp;"",",",""),"¥",""),"￥","")),0))</f>
        <v/>
      </c>
      <c r="E122">
        <f>IF($E$1=0,0,IFERROR(VALUE(SUBSTITUTE(SUBSTITUTE(SUBSTITUTE(INDEX(貼り付け!$A$1:$BZ$3001,121,$E$1)&amp;"",",",""),"¥",""),"￥","")),0))</f>
        <v/>
      </c>
      <c r="F122">
        <f>IF($F$1=0,0,IFERROR(VALUE(SUBSTITUTE(SUBSTITUTE(SUBSTITUTE(INDEX(貼り付け!$A$1:$BZ$3001,121,$F$1)&amp;"",",",""),"¥",""),"￥","")),0))</f>
        <v/>
      </c>
      <c r="G122">
        <f>IF(ISNUMBER(B122),YEAR(B122),"")</f>
        <v/>
      </c>
      <c r="H122">
        <f>IF(ISNUMBER(B122),MONTH(B122),"")</f>
        <v/>
      </c>
      <c r="I122">
        <f>IFERROR(IF($B$1=0,"",IF(ISNUMBER(INDEX(貼り付け!$A$1:$BZ$3001,121,$B$1)),"",SUBSTITUTE(SUBSTITUTE(SUBSTITUTE(SUBSTITUTE(TRIM(LEFT(INDEX(貼り付け!$A$1:$BZ$3001,121,$B$1)&amp;"",FIND(" ",TRIM(INDEX(貼り付け!$A$1:$BZ$3001,121,$B$1)&amp;"")&amp;" ")-1)),"/","-"),"年","-"),"月","-"),"日",""))),"")</f>
        <v/>
      </c>
      <c r="J122">
        <f>IFERROR(MID(I122,FIND("-",I122)+1,99),"")</f>
        <v/>
      </c>
    </row>
    <row r="123">
      <c r="B123">
        <f>IFERROR(IF($B$1=0,"",IF(INDEX(貼り付け!$A$1:$BZ$3001,122,$B$1)="","",IF(ISNUMBER(INDEX(貼り付け!$A$1:$BZ$3001,122,$B$1)),INT(INDEX(貼り付け!$A$1:$BZ$3001,122,$B$1)),DATE(VALUE(LEFT(I123,FIND("-",I123)-1)),VALUE(LEFT(J123,FIND("-",J123)-1)),VALUE(MID(J123,FIND("-",J123)+1,99)))))),"")</f>
        <v/>
      </c>
      <c r="C123">
        <f>IF($C$1=0,0,IFERROR(VALUE(SUBSTITUTE(SUBSTITUTE(SUBSTITUTE(INDEX(貼り付け!$A$1:$BZ$3001,122,$C$1)&amp;"",",",""),"¥",""),"￥","")),0))</f>
        <v/>
      </c>
      <c r="D123">
        <f>IF($D$1=0,0,IFERROR(VALUE(SUBSTITUTE(SUBSTITUTE(SUBSTITUTE(INDEX(貼り付け!$A$1:$BZ$3001,122,$D$1)&amp;"",",",""),"¥",""),"￥","")),0))</f>
        <v/>
      </c>
      <c r="E123">
        <f>IF($E$1=0,0,IFERROR(VALUE(SUBSTITUTE(SUBSTITUTE(SUBSTITUTE(INDEX(貼り付け!$A$1:$BZ$3001,122,$E$1)&amp;"",",",""),"¥",""),"￥","")),0))</f>
        <v/>
      </c>
      <c r="F123">
        <f>IF($F$1=0,0,IFERROR(VALUE(SUBSTITUTE(SUBSTITUTE(SUBSTITUTE(INDEX(貼り付け!$A$1:$BZ$3001,122,$F$1)&amp;"",",",""),"¥",""),"￥","")),0))</f>
        <v/>
      </c>
      <c r="G123">
        <f>IF(ISNUMBER(B123),YEAR(B123),"")</f>
        <v/>
      </c>
      <c r="H123">
        <f>IF(ISNUMBER(B123),MONTH(B123),"")</f>
        <v/>
      </c>
      <c r="I123">
        <f>IFERROR(IF($B$1=0,"",IF(ISNUMBER(INDEX(貼り付け!$A$1:$BZ$3001,122,$B$1)),"",SUBSTITUTE(SUBSTITUTE(SUBSTITUTE(SUBSTITUTE(TRIM(LEFT(INDEX(貼り付け!$A$1:$BZ$3001,122,$B$1)&amp;"",FIND(" ",TRIM(INDEX(貼り付け!$A$1:$BZ$3001,122,$B$1)&amp;"")&amp;" ")-1)),"/","-"),"年","-"),"月","-"),"日",""))),"")</f>
        <v/>
      </c>
      <c r="J123">
        <f>IFERROR(MID(I123,FIND("-",I123)+1,99),"")</f>
        <v/>
      </c>
    </row>
    <row r="124">
      <c r="B124">
        <f>IFERROR(IF($B$1=0,"",IF(INDEX(貼り付け!$A$1:$BZ$3001,123,$B$1)="","",IF(ISNUMBER(INDEX(貼り付け!$A$1:$BZ$3001,123,$B$1)),INT(INDEX(貼り付け!$A$1:$BZ$3001,123,$B$1)),DATE(VALUE(LEFT(I124,FIND("-",I124)-1)),VALUE(LEFT(J124,FIND("-",J124)-1)),VALUE(MID(J124,FIND("-",J124)+1,99)))))),"")</f>
        <v/>
      </c>
      <c r="C124">
        <f>IF($C$1=0,0,IFERROR(VALUE(SUBSTITUTE(SUBSTITUTE(SUBSTITUTE(INDEX(貼り付け!$A$1:$BZ$3001,123,$C$1)&amp;"",",",""),"¥",""),"￥","")),0))</f>
        <v/>
      </c>
      <c r="D124">
        <f>IF($D$1=0,0,IFERROR(VALUE(SUBSTITUTE(SUBSTITUTE(SUBSTITUTE(INDEX(貼り付け!$A$1:$BZ$3001,123,$D$1)&amp;"",",",""),"¥",""),"￥","")),0))</f>
        <v/>
      </c>
      <c r="E124">
        <f>IF($E$1=0,0,IFERROR(VALUE(SUBSTITUTE(SUBSTITUTE(SUBSTITUTE(INDEX(貼り付け!$A$1:$BZ$3001,123,$E$1)&amp;"",",",""),"¥",""),"￥","")),0))</f>
        <v/>
      </c>
      <c r="F124">
        <f>IF($F$1=0,0,IFERROR(VALUE(SUBSTITUTE(SUBSTITUTE(SUBSTITUTE(INDEX(貼り付け!$A$1:$BZ$3001,123,$F$1)&amp;"",",",""),"¥",""),"￥","")),0))</f>
        <v/>
      </c>
      <c r="G124">
        <f>IF(ISNUMBER(B124),YEAR(B124),"")</f>
        <v/>
      </c>
      <c r="H124">
        <f>IF(ISNUMBER(B124),MONTH(B124),"")</f>
        <v/>
      </c>
      <c r="I124">
        <f>IFERROR(IF($B$1=0,"",IF(ISNUMBER(INDEX(貼り付け!$A$1:$BZ$3001,123,$B$1)),"",SUBSTITUTE(SUBSTITUTE(SUBSTITUTE(SUBSTITUTE(TRIM(LEFT(INDEX(貼り付け!$A$1:$BZ$3001,123,$B$1)&amp;"",FIND(" ",TRIM(INDEX(貼り付け!$A$1:$BZ$3001,123,$B$1)&amp;"")&amp;" ")-1)),"/","-"),"年","-"),"月","-"),"日",""))),"")</f>
        <v/>
      </c>
      <c r="J124">
        <f>IFERROR(MID(I124,FIND("-",I124)+1,99),"")</f>
        <v/>
      </c>
    </row>
    <row r="125">
      <c r="B125">
        <f>IFERROR(IF($B$1=0,"",IF(INDEX(貼り付け!$A$1:$BZ$3001,124,$B$1)="","",IF(ISNUMBER(INDEX(貼り付け!$A$1:$BZ$3001,124,$B$1)),INT(INDEX(貼り付け!$A$1:$BZ$3001,124,$B$1)),DATE(VALUE(LEFT(I125,FIND("-",I125)-1)),VALUE(LEFT(J125,FIND("-",J125)-1)),VALUE(MID(J125,FIND("-",J125)+1,99)))))),"")</f>
        <v/>
      </c>
      <c r="C125">
        <f>IF($C$1=0,0,IFERROR(VALUE(SUBSTITUTE(SUBSTITUTE(SUBSTITUTE(INDEX(貼り付け!$A$1:$BZ$3001,124,$C$1)&amp;"",",",""),"¥",""),"￥","")),0))</f>
        <v/>
      </c>
      <c r="D125">
        <f>IF($D$1=0,0,IFERROR(VALUE(SUBSTITUTE(SUBSTITUTE(SUBSTITUTE(INDEX(貼り付け!$A$1:$BZ$3001,124,$D$1)&amp;"",",",""),"¥",""),"￥","")),0))</f>
        <v/>
      </c>
      <c r="E125">
        <f>IF($E$1=0,0,IFERROR(VALUE(SUBSTITUTE(SUBSTITUTE(SUBSTITUTE(INDEX(貼り付け!$A$1:$BZ$3001,124,$E$1)&amp;"",",",""),"¥",""),"￥","")),0))</f>
        <v/>
      </c>
      <c r="F125">
        <f>IF($F$1=0,0,IFERROR(VALUE(SUBSTITUTE(SUBSTITUTE(SUBSTITUTE(INDEX(貼り付け!$A$1:$BZ$3001,124,$F$1)&amp;"",",",""),"¥",""),"￥","")),0))</f>
        <v/>
      </c>
      <c r="G125">
        <f>IF(ISNUMBER(B125),YEAR(B125),"")</f>
        <v/>
      </c>
      <c r="H125">
        <f>IF(ISNUMBER(B125),MONTH(B125),"")</f>
        <v/>
      </c>
      <c r="I125">
        <f>IFERROR(IF($B$1=0,"",IF(ISNUMBER(INDEX(貼り付け!$A$1:$BZ$3001,124,$B$1)),"",SUBSTITUTE(SUBSTITUTE(SUBSTITUTE(SUBSTITUTE(TRIM(LEFT(INDEX(貼り付け!$A$1:$BZ$3001,124,$B$1)&amp;"",FIND(" ",TRIM(INDEX(貼り付け!$A$1:$BZ$3001,124,$B$1)&amp;"")&amp;" ")-1)),"/","-"),"年","-"),"月","-"),"日",""))),"")</f>
        <v/>
      </c>
      <c r="J125">
        <f>IFERROR(MID(I125,FIND("-",I125)+1,99),"")</f>
        <v/>
      </c>
    </row>
    <row r="126">
      <c r="B126">
        <f>IFERROR(IF($B$1=0,"",IF(INDEX(貼り付け!$A$1:$BZ$3001,125,$B$1)="","",IF(ISNUMBER(INDEX(貼り付け!$A$1:$BZ$3001,125,$B$1)),INT(INDEX(貼り付け!$A$1:$BZ$3001,125,$B$1)),DATE(VALUE(LEFT(I126,FIND("-",I126)-1)),VALUE(LEFT(J126,FIND("-",J126)-1)),VALUE(MID(J126,FIND("-",J126)+1,99)))))),"")</f>
        <v/>
      </c>
      <c r="C126">
        <f>IF($C$1=0,0,IFERROR(VALUE(SUBSTITUTE(SUBSTITUTE(SUBSTITUTE(INDEX(貼り付け!$A$1:$BZ$3001,125,$C$1)&amp;"",",",""),"¥",""),"￥","")),0))</f>
        <v/>
      </c>
      <c r="D126">
        <f>IF($D$1=0,0,IFERROR(VALUE(SUBSTITUTE(SUBSTITUTE(SUBSTITUTE(INDEX(貼り付け!$A$1:$BZ$3001,125,$D$1)&amp;"",",",""),"¥",""),"￥","")),0))</f>
        <v/>
      </c>
      <c r="E126">
        <f>IF($E$1=0,0,IFERROR(VALUE(SUBSTITUTE(SUBSTITUTE(SUBSTITUTE(INDEX(貼り付け!$A$1:$BZ$3001,125,$E$1)&amp;"",",",""),"¥",""),"￥","")),0))</f>
        <v/>
      </c>
      <c r="F126">
        <f>IF($F$1=0,0,IFERROR(VALUE(SUBSTITUTE(SUBSTITUTE(SUBSTITUTE(INDEX(貼り付け!$A$1:$BZ$3001,125,$F$1)&amp;"",",",""),"¥",""),"￥","")),0))</f>
        <v/>
      </c>
      <c r="G126">
        <f>IF(ISNUMBER(B126),YEAR(B126),"")</f>
        <v/>
      </c>
      <c r="H126">
        <f>IF(ISNUMBER(B126),MONTH(B126),"")</f>
        <v/>
      </c>
      <c r="I126">
        <f>IFERROR(IF($B$1=0,"",IF(ISNUMBER(INDEX(貼り付け!$A$1:$BZ$3001,125,$B$1)),"",SUBSTITUTE(SUBSTITUTE(SUBSTITUTE(SUBSTITUTE(TRIM(LEFT(INDEX(貼り付け!$A$1:$BZ$3001,125,$B$1)&amp;"",FIND(" ",TRIM(INDEX(貼り付け!$A$1:$BZ$3001,125,$B$1)&amp;"")&amp;" ")-1)),"/","-"),"年","-"),"月","-"),"日",""))),"")</f>
        <v/>
      </c>
      <c r="J126">
        <f>IFERROR(MID(I126,FIND("-",I126)+1,99),"")</f>
        <v/>
      </c>
    </row>
    <row r="127">
      <c r="B127">
        <f>IFERROR(IF($B$1=0,"",IF(INDEX(貼り付け!$A$1:$BZ$3001,126,$B$1)="","",IF(ISNUMBER(INDEX(貼り付け!$A$1:$BZ$3001,126,$B$1)),INT(INDEX(貼り付け!$A$1:$BZ$3001,126,$B$1)),DATE(VALUE(LEFT(I127,FIND("-",I127)-1)),VALUE(LEFT(J127,FIND("-",J127)-1)),VALUE(MID(J127,FIND("-",J127)+1,99)))))),"")</f>
        <v/>
      </c>
      <c r="C127">
        <f>IF($C$1=0,0,IFERROR(VALUE(SUBSTITUTE(SUBSTITUTE(SUBSTITUTE(INDEX(貼り付け!$A$1:$BZ$3001,126,$C$1)&amp;"",",",""),"¥",""),"￥","")),0))</f>
        <v/>
      </c>
      <c r="D127">
        <f>IF($D$1=0,0,IFERROR(VALUE(SUBSTITUTE(SUBSTITUTE(SUBSTITUTE(INDEX(貼り付け!$A$1:$BZ$3001,126,$D$1)&amp;"",",",""),"¥",""),"￥","")),0))</f>
        <v/>
      </c>
      <c r="E127">
        <f>IF($E$1=0,0,IFERROR(VALUE(SUBSTITUTE(SUBSTITUTE(SUBSTITUTE(INDEX(貼り付け!$A$1:$BZ$3001,126,$E$1)&amp;"",",",""),"¥",""),"￥","")),0))</f>
        <v/>
      </c>
      <c r="F127">
        <f>IF($F$1=0,0,IFERROR(VALUE(SUBSTITUTE(SUBSTITUTE(SUBSTITUTE(INDEX(貼り付け!$A$1:$BZ$3001,126,$F$1)&amp;"",",",""),"¥",""),"￥","")),0))</f>
        <v/>
      </c>
      <c r="G127">
        <f>IF(ISNUMBER(B127),YEAR(B127),"")</f>
        <v/>
      </c>
      <c r="H127">
        <f>IF(ISNUMBER(B127),MONTH(B127),"")</f>
        <v/>
      </c>
      <c r="I127">
        <f>IFERROR(IF($B$1=0,"",IF(ISNUMBER(INDEX(貼り付け!$A$1:$BZ$3001,126,$B$1)),"",SUBSTITUTE(SUBSTITUTE(SUBSTITUTE(SUBSTITUTE(TRIM(LEFT(INDEX(貼り付け!$A$1:$BZ$3001,126,$B$1)&amp;"",FIND(" ",TRIM(INDEX(貼り付け!$A$1:$BZ$3001,126,$B$1)&amp;"")&amp;" ")-1)),"/","-"),"年","-"),"月","-"),"日",""))),"")</f>
        <v/>
      </c>
      <c r="J127">
        <f>IFERROR(MID(I127,FIND("-",I127)+1,99),"")</f>
        <v/>
      </c>
    </row>
    <row r="128">
      <c r="B128">
        <f>IFERROR(IF($B$1=0,"",IF(INDEX(貼り付け!$A$1:$BZ$3001,127,$B$1)="","",IF(ISNUMBER(INDEX(貼り付け!$A$1:$BZ$3001,127,$B$1)),INT(INDEX(貼り付け!$A$1:$BZ$3001,127,$B$1)),DATE(VALUE(LEFT(I128,FIND("-",I128)-1)),VALUE(LEFT(J128,FIND("-",J128)-1)),VALUE(MID(J128,FIND("-",J128)+1,99)))))),"")</f>
        <v/>
      </c>
      <c r="C128">
        <f>IF($C$1=0,0,IFERROR(VALUE(SUBSTITUTE(SUBSTITUTE(SUBSTITUTE(INDEX(貼り付け!$A$1:$BZ$3001,127,$C$1)&amp;"",",",""),"¥",""),"￥","")),0))</f>
        <v/>
      </c>
      <c r="D128">
        <f>IF($D$1=0,0,IFERROR(VALUE(SUBSTITUTE(SUBSTITUTE(SUBSTITUTE(INDEX(貼り付け!$A$1:$BZ$3001,127,$D$1)&amp;"",",",""),"¥",""),"￥","")),0))</f>
        <v/>
      </c>
      <c r="E128">
        <f>IF($E$1=0,0,IFERROR(VALUE(SUBSTITUTE(SUBSTITUTE(SUBSTITUTE(INDEX(貼り付け!$A$1:$BZ$3001,127,$E$1)&amp;"",",",""),"¥",""),"￥","")),0))</f>
        <v/>
      </c>
      <c r="F128">
        <f>IF($F$1=0,0,IFERROR(VALUE(SUBSTITUTE(SUBSTITUTE(SUBSTITUTE(INDEX(貼り付け!$A$1:$BZ$3001,127,$F$1)&amp;"",",",""),"¥",""),"￥","")),0))</f>
        <v/>
      </c>
      <c r="G128">
        <f>IF(ISNUMBER(B128),YEAR(B128),"")</f>
        <v/>
      </c>
      <c r="H128">
        <f>IF(ISNUMBER(B128),MONTH(B128),"")</f>
        <v/>
      </c>
      <c r="I128">
        <f>IFERROR(IF($B$1=0,"",IF(ISNUMBER(INDEX(貼り付け!$A$1:$BZ$3001,127,$B$1)),"",SUBSTITUTE(SUBSTITUTE(SUBSTITUTE(SUBSTITUTE(TRIM(LEFT(INDEX(貼り付け!$A$1:$BZ$3001,127,$B$1)&amp;"",FIND(" ",TRIM(INDEX(貼り付け!$A$1:$BZ$3001,127,$B$1)&amp;"")&amp;" ")-1)),"/","-"),"年","-"),"月","-"),"日",""))),"")</f>
        <v/>
      </c>
      <c r="J128">
        <f>IFERROR(MID(I128,FIND("-",I128)+1,99),"")</f>
        <v/>
      </c>
    </row>
    <row r="129">
      <c r="B129">
        <f>IFERROR(IF($B$1=0,"",IF(INDEX(貼り付け!$A$1:$BZ$3001,128,$B$1)="","",IF(ISNUMBER(INDEX(貼り付け!$A$1:$BZ$3001,128,$B$1)),INT(INDEX(貼り付け!$A$1:$BZ$3001,128,$B$1)),DATE(VALUE(LEFT(I129,FIND("-",I129)-1)),VALUE(LEFT(J129,FIND("-",J129)-1)),VALUE(MID(J129,FIND("-",J129)+1,99)))))),"")</f>
        <v/>
      </c>
      <c r="C129">
        <f>IF($C$1=0,0,IFERROR(VALUE(SUBSTITUTE(SUBSTITUTE(SUBSTITUTE(INDEX(貼り付け!$A$1:$BZ$3001,128,$C$1)&amp;"",",",""),"¥",""),"￥","")),0))</f>
        <v/>
      </c>
      <c r="D129">
        <f>IF($D$1=0,0,IFERROR(VALUE(SUBSTITUTE(SUBSTITUTE(SUBSTITUTE(INDEX(貼り付け!$A$1:$BZ$3001,128,$D$1)&amp;"",",",""),"¥",""),"￥","")),0))</f>
        <v/>
      </c>
      <c r="E129">
        <f>IF($E$1=0,0,IFERROR(VALUE(SUBSTITUTE(SUBSTITUTE(SUBSTITUTE(INDEX(貼り付け!$A$1:$BZ$3001,128,$E$1)&amp;"",",",""),"¥",""),"￥","")),0))</f>
        <v/>
      </c>
      <c r="F129">
        <f>IF($F$1=0,0,IFERROR(VALUE(SUBSTITUTE(SUBSTITUTE(SUBSTITUTE(INDEX(貼り付け!$A$1:$BZ$3001,128,$F$1)&amp;"",",",""),"¥",""),"￥","")),0))</f>
        <v/>
      </c>
      <c r="G129">
        <f>IF(ISNUMBER(B129),YEAR(B129),"")</f>
        <v/>
      </c>
      <c r="H129">
        <f>IF(ISNUMBER(B129),MONTH(B129),"")</f>
        <v/>
      </c>
      <c r="I129">
        <f>IFERROR(IF($B$1=0,"",IF(ISNUMBER(INDEX(貼り付け!$A$1:$BZ$3001,128,$B$1)),"",SUBSTITUTE(SUBSTITUTE(SUBSTITUTE(SUBSTITUTE(TRIM(LEFT(INDEX(貼り付け!$A$1:$BZ$3001,128,$B$1)&amp;"",FIND(" ",TRIM(INDEX(貼り付け!$A$1:$BZ$3001,128,$B$1)&amp;"")&amp;" ")-1)),"/","-"),"年","-"),"月","-"),"日",""))),"")</f>
        <v/>
      </c>
      <c r="J129">
        <f>IFERROR(MID(I129,FIND("-",I129)+1,99),"")</f>
        <v/>
      </c>
    </row>
    <row r="130">
      <c r="B130">
        <f>IFERROR(IF($B$1=0,"",IF(INDEX(貼り付け!$A$1:$BZ$3001,129,$B$1)="","",IF(ISNUMBER(INDEX(貼り付け!$A$1:$BZ$3001,129,$B$1)),INT(INDEX(貼り付け!$A$1:$BZ$3001,129,$B$1)),DATE(VALUE(LEFT(I130,FIND("-",I130)-1)),VALUE(LEFT(J130,FIND("-",J130)-1)),VALUE(MID(J130,FIND("-",J130)+1,99)))))),"")</f>
        <v/>
      </c>
      <c r="C130">
        <f>IF($C$1=0,0,IFERROR(VALUE(SUBSTITUTE(SUBSTITUTE(SUBSTITUTE(INDEX(貼り付け!$A$1:$BZ$3001,129,$C$1)&amp;"",",",""),"¥",""),"￥","")),0))</f>
        <v/>
      </c>
      <c r="D130">
        <f>IF($D$1=0,0,IFERROR(VALUE(SUBSTITUTE(SUBSTITUTE(SUBSTITUTE(INDEX(貼り付け!$A$1:$BZ$3001,129,$D$1)&amp;"",",",""),"¥",""),"￥","")),0))</f>
        <v/>
      </c>
      <c r="E130">
        <f>IF($E$1=0,0,IFERROR(VALUE(SUBSTITUTE(SUBSTITUTE(SUBSTITUTE(INDEX(貼り付け!$A$1:$BZ$3001,129,$E$1)&amp;"",",",""),"¥",""),"￥","")),0))</f>
        <v/>
      </c>
      <c r="F130">
        <f>IF($F$1=0,0,IFERROR(VALUE(SUBSTITUTE(SUBSTITUTE(SUBSTITUTE(INDEX(貼り付け!$A$1:$BZ$3001,129,$F$1)&amp;"",",",""),"¥",""),"￥","")),0))</f>
        <v/>
      </c>
      <c r="G130">
        <f>IF(ISNUMBER(B130),YEAR(B130),"")</f>
        <v/>
      </c>
      <c r="H130">
        <f>IF(ISNUMBER(B130),MONTH(B130),"")</f>
        <v/>
      </c>
      <c r="I130">
        <f>IFERROR(IF($B$1=0,"",IF(ISNUMBER(INDEX(貼り付け!$A$1:$BZ$3001,129,$B$1)),"",SUBSTITUTE(SUBSTITUTE(SUBSTITUTE(SUBSTITUTE(TRIM(LEFT(INDEX(貼り付け!$A$1:$BZ$3001,129,$B$1)&amp;"",FIND(" ",TRIM(INDEX(貼り付け!$A$1:$BZ$3001,129,$B$1)&amp;"")&amp;" ")-1)),"/","-"),"年","-"),"月","-"),"日",""))),"")</f>
        <v/>
      </c>
      <c r="J130">
        <f>IFERROR(MID(I130,FIND("-",I130)+1,99),"")</f>
        <v/>
      </c>
    </row>
    <row r="131">
      <c r="B131">
        <f>IFERROR(IF($B$1=0,"",IF(INDEX(貼り付け!$A$1:$BZ$3001,130,$B$1)="","",IF(ISNUMBER(INDEX(貼り付け!$A$1:$BZ$3001,130,$B$1)),INT(INDEX(貼り付け!$A$1:$BZ$3001,130,$B$1)),DATE(VALUE(LEFT(I131,FIND("-",I131)-1)),VALUE(LEFT(J131,FIND("-",J131)-1)),VALUE(MID(J131,FIND("-",J131)+1,99)))))),"")</f>
        <v/>
      </c>
      <c r="C131">
        <f>IF($C$1=0,0,IFERROR(VALUE(SUBSTITUTE(SUBSTITUTE(SUBSTITUTE(INDEX(貼り付け!$A$1:$BZ$3001,130,$C$1)&amp;"",",",""),"¥",""),"￥","")),0))</f>
        <v/>
      </c>
      <c r="D131">
        <f>IF($D$1=0,0,IFERROR(VALUE(SUBSTITUTE(SUBSTITUTE(SUBSTITUTE(INDEX(貼り付け!$A$1:$BZ$3001,130,$D$1)&amp;"",",",""),"¥",""),"￥","")),0))</f>
        <v/>
      </c>
      <c r="E131">
        <f>IF($E$1=0,0,IFERROR(VALUE(SUBSTITUTE(SUBSTITUTE(SUBSTITUTE(INDEX(貼り付け!$A$1:$BZ$3001,130,$E$1)&amp;"",",",""),"¥",""),"￥","")),0))</f>
        <v/>
      </c>
      <c r="F131">
        <f>IF($F$1=0,0,IFERROR(VALUE(SUBSTITUTE(SUBSTITUTE(SUBSTITUTE(INDEX(貼り付け!$A$1:$BZ$3001,130,$F$1)&amp;"",",",""),"¥",""),"￥","")),0))</f>
        <v/>
      </c>
      <c r="G131">
        <f>IF(ISNUMBER(B131),YEAR(B131),"")</f>
        <v/>
      </c>
      <c r="H131">
        <f>IF(ISNUMBER(B131),MONTH(B131),"")</f>
        <v/>
      </c>
      <c r="I131">
        <f>IFERROR(IF($B$1=0,"",IF(ISNUMBER(INDEX(貼り付け!$A$1:$BZ$3001,130,$B$1)),"",SUBSTITUTE(SUBSTITUTE(SUBSTITUTE(SUBSTITUTE(TRIM(LEFT(INDEX(貼り付け!$A$1:$BZ$3001,130,$B$1)&amp;"",FIND(" ",TRIM(INDEX(貼り付け!$A$1:$BZ$3001,130,$B$1)&amp;"")&amp;" ")-1)),"/","-"),"年","-"),"月","-"),"日",""))),"")</f>
        <v/>
      </c>
      <c r="J131">
        <f>IFERROR(MID(I131,FIND("-",I131)+1,99),"")</f>
        <v/>
      </c>
    </row>
    <row r="132">
      <c r="B132">
        <f>IFERROR(IF($B$1=0,"",IF(INDEX(貼り付け!$A$1:$BZ$3001,131,$B$1)="","",IF(ISNUMBER(INDEX(貼り付け!$A$1:$BZ$3001,131,$B$1)),INT(INDEX(貼り付け!$A$1:$BZ$3001,131,$B$1)),DATE(VALUE(LEFT(I132,FIND("-",I132)-1)),VALUE(LEFT(J132,FIND("-",J132)-1)),VALUE(MID(J132,FIND("-",J132)+1,99)))))),"")</f>
        <v/>
      </c>
      <c r="C132">
        <f>IF($C$1=0,0,IFERROR(VALUE(SUBSTITUTE(SUBSTITUTE(SUBSTITUTE(INDEX(貼り付け!$A$1:$BZ$3001,131,$C$1)&amp;"",",",""),"¥",""),"￥","")),0))</f>
        <v/>
      </c>
      <c r="D132">
        <f>IF($D$1=0,0,IFERROR(VALUE(SUBSTITUTE(SUBSTITUTE(SUBSTITUTE(INDEX(貼り付け!$A$1:$BZ$3001,131,$D$1)&amp;"",",",""),"¥",""),"￥","")),0))</f>
        <v/>
      </c>
      <c r="E132">
        <f>IF($E$1=0,0,IFERROR(VALUE(SUBSTITUTE(SUBSTITUTE(SUBSTITUTE(INDEX(貼り付け!$A$1:$BZ$3001,131,$E$1)&amp;"",",",""),"¥",""),"￥","")),0))</f>
        <v/>
      </c>
      <c r="F132">
        <f>IF($F$1=0,0,IFERROR(VALUE(SUBSTITUTE(SUBSTITUTE(SUBSTITUTE(INDEX(貼り付け!$A$1:$BZ$3001,131,$F$1)&amp;"",",",""),"¥",""),"￥","")),0))</f>
        <v/>
      </c>
      <c r="G132">
        <f>IF(ISNUMBER(B132),YEAR(B132),"")</f>
        <v/>
      </c>
      <c r="H132">
        <f>IF(ISNUMBER(B132),MONTH(B132),"")</f>
        <v/>
      </c>
      <c r="I132">
        <f>IFERROR(IF($B$1=0,"",IF(ISNUMBER(INDEX(貼り付け!$A$1:$BZ$3001,131,$B$1)),"",SUBSTITUTE(SUBSTITUTE(SUBSTITUTE(SUBSTITUTE(TRIM(LEFT(INDEX(貼り付け!$A$1:$BZ$3001,131,$B$1)&amp;"",FIND(" ",TRIM(INDEX(貼り付け!$A$1:$BZ$3001,131,$B$1)&amp;"")&amp;" ")-1)),"/","-"),"年","-"),"月","-"),"日",""))),"")</f>
        <v/>
      </c>
      <c r="J132">
        <f>IFERROR(MID(I132,FIND("-",I132)+1,99),"")</f>
        <v/>
      </c>
    </row>
    <row r="133">
      <c r="B133">
        <f>IFERROR(IF($B$1=0,"",IF(INDEX(貼り付け!$A$1:$BZ$3001,132,$B$1)="","",IF(ISNUMBER(INDEX(貼り付け!$A$1:$BZ$3001,132,$B$1)),INT(INDEX(貼り付け!$A$1:$BZ$3001,132,$B$1)),DATE(VALUE(LEFT(I133,FIND("-",I133)-1)),VALUE(LEFT(J133,FIND("-",J133)-1)),VALUE(MID(J133,FIND("-",J133)+1,99)))))),"")</f>
        <v/>
      </c>
      <c r="C133">
        <f>IF($C$1=0,0,IFERROR(VALUE(SUBSTITUTE(SUBSTITUTE(SUBSTITUTE(INDEX(貼り付け!$A$1:$BZ$3001,132,$C$1)&amp;"",",",""),"¥",""),"￥","")),0))</f>
        <v/>
      </c>
      <c r="D133">
        <f>IF($D$1=0,0,IFERROR(VALUE(SUBSTITUTE(SUBSTITUTE(SUBSTITUTE(INDEX(貼り付け!$A$1:$BZ$3001,132,$D$1)&amp;"",",",""),"¥",""),"￥","")),0))</f>
        <v/>
      </c>
      <c r="E133">
        <f>IF($E$1=0,0,IFERROR(VALUE(SUBSTITUTE(SUBSTITUTE(SUBSTITUTE(INDEX(貼り付け!$A$1:$BZ$3001,132,$E$1)&amp;"",",",""),"¥",""),"￥","")),0))</f>
        <v/>
      </c>
      <c r="F133">
        <f>IF($F$1=0,0,IFERROR(VALUE(SUBSTITUTE(SUBSTITUTE(SUBSTITUTE(INDEX(貼り付け!$A$1:$BZ$3001,132,$F$1)&amp;"",",",""),"¥",""),"￥","")),0))</f>
        <v/>
      </c>
      <c r="G133">
        <f>IF(ISNUMBER(B133),YEAR(B133),"")</f>
        <v/>
      </c>
      <c r="H133">
        <f>IF(ISNUMBER(B133),MONTH(B133),"")</f>
        <v/>
      </c>
      <c r="I133">
        <f>IFERROR(IF($B$1=0,"",IF(ISNUMBER(INDEX(貼り付け!$A$1:$BZ$3001,132,$B$1)),"",SUBSTITUTE(SUBSTITUTE(SUBSTITUTE(SUBSTITUTE(TRIM(LEFT(INDEX(貼り付け!$A$1:$BZ$3001,132,$B$1)&amp;"",FIND(" ",TRIM(INDEX(貼り付け!$A$1:$BZ$3001,132,$B$1)&amp;"")&amp;" ")-1)),"/","-"),"年","-"),"月","-"),"日",""))),"")</f>
        <v/>
      </c>
      <c r="J133">
        <f>IFERROR(MID(I133,FIND("-",I133)+1,99),"")</f>
        <v/>
      </c>
    </row>
    <row r="134">
      <c r="B134">
        <f>IFERROR(IF($B$1=0,"",IF(INDEX(貼り付け!$A$1:$BZ$3001,133,$B$1)="","",IF(ISNUMBER(INDEX(貼り付け!$A$1:$BZ$3001,133,$B$1)),INT(INDEX(貼り付け!$A$1:$BZ$3001,133,$B$1)),DATE(VALUE(LEFT(I134,FIND("-",I134)-1)),VALUE(LEFT(J134,FIND("-",J134)-1)),VALUE(MID(J134,FIND("-",J134)+1,99)))))),"")</f>
        <v/>
      </c>
      <c r="C134">
        <f>IF($C$1=0,0,IFERROR(VALUE(SUBSTITUTE(SUBSTITUTE(SUBSTITUTE(INDEX(貼り付け!$A$1:$BZ$3001,133,$C$1)&amp;"",",",""),"¥",""),"￥","")),0))</f>
        <v/>
      </c>
      <c r="D134">
        <f>IF($D$1=0,0,IFERROR(VALUE(SUBSTITUTE(SUBSTITUTE(SUBSTITUTE(INDEX(貼り付け!$A$1:$BZ$3001,133,$D$1)&amp;"",",",""),"¥",""),"￥","")),0))</f>
        <v/>
      </c>
      <c r="E134">
        <f>IF($E$1=0,0,IFERROR(VALUE(SUBSTITUTE(SUBSTITUTE(SUBSTITUTE(INDEX(貼り付け!$A$1:$BZ$3001,133,$E$1)&amp;"",",",""),"¥",""),"￥","")),0))</f>
        <v/>
      </c>
      <c r="F134">
        <f>IF($F$1=0,0,IFERROR(VALUE(SUBSTITUTE(SUBSTITUTE(SUBSTITUTE(INDEX(貼り付け!$A$1:$BZ$3001,133,$F$1)&amp;"",",",""),"¥",""),"￥","")),0))</f>
        <v/>
      </c>
      <c r="G134">
        <f>IF(ISNUMBER(B134),YEAR(B134),"")</f>
        <v/>
      </c>
      <c r="H134">
        <f>IF(ISNUMBER(B134),MONTH(B134),"")</f>
        <v/>
      </c>
      <c r="I134">
        <f>IFERROR(IF($B$1=0,"",IF(ISNUMBER(INDEX(貼り付け!$A$1:$BZ$3001,133,$B$1)),"",SUBSTITUTE(SUBSTITUTE(SUBSTITUTE(SUBSTITUTE(TRIM(LEFT(INDEX(貼り付け!$A$1:$BZ$3001,133,$B$1)&amp;"",FIND(" ",TRIM(INDEX(貼り付け!$A$1:$BZ$3001,133,$B$1)&amp;"")&amp;" ")-1)),"/","-"),"年","-"),"月","-"),"日",""))),"")</f>
        <v/>
      </c>
      <c r="J134">
        <f>IFERROR(MID(I134,FIND("-",I134)+1,99),"")</f>
        <v/>
      </c>
    </row>
    <row r="135">
      <c r="B135">
        <f>IFERROR(IF($B$1=0,"",IF(INDEX(貼り付け!$A$1:$BZ$3001,134,$B$1)="","",IF(ISNUMBER(INDEX(貼り付け!$A$1:$BZ$3001,134,$B$1)),INT(INDEX(貼り付け!$A$1:$BZ$3001,134,$B$1)),DATE(VALUE(LEFT(I135,FIND("-",I135)-1)),VALUE(LEFT(J135,FIND("-",J135)-1)),VALUE(MID(J135,FIND("-",J135)+1,99)))))),"")</f>
        <v/>
      </c>
      <c r="C135">
        <f>IF($C$1=0,0,IFERROR(VALUE(SUBSTITUTE(SUBSTITUTE(SUBSTITUTE(INDEX(貼り付け!$A$1:$BZ$3001,134,$C$1)&amp;"",",",""),"¥",""),"￥","")),0))</f>
        <v/>
      </c>
      <c r="D135">
        <f>IF($D$1=0,0,IFERROR(VALUE(SUBSTITUTE(SUBSTITUTE(SUBSTITUTE(INDEX(貼り付け!$A$1:$BZ$3001,134,$D$1)&amp;"",",",""),"¥",""),"￥","")),0))</f>
        <v/>
      </c>
      <c r="E135">
        <f>IF($E$1=0,0,IFERROR(VALUE(SUBSTITUTE(SUBSTITUTE(SUBSTITUTE(INDEX(貼り付け!$A$1:$BZ$3001,134,$E$1)&amp;"",",",""),"¥",""),"￥","")),0))</f>
        <v/>
      </c>
      <c r="F135">
        <f>IF($F$1=0,0,IFERROR(VALUE(SUBSTITUTE(SUBSTITUTE(SUBSTITUTE(INDEX(貼り付け!$A$1:$BZ$3001,134,$F$1)&amp;"",",",""),"¥",""),"￥","")),0))</f>
        <v/>
      </c>
      <c r="G135">
        <f>IF(ISNUMBER(B135),YEAR(B135),"")</f>
        <v/>
      </c>
      <c r="H135">
        <f>IF(ISNUMBER(B135),MONTH(B135),"")</f>
        <v/>
      </c>
      <c r="I135">
        <f>IFERROR(IF($B$1=0,"",IF(ISNUMBER(INDEX(貼り付け!$A$1:$BZ$3001,134,$B$1)),"",SUBSTITUTE(SUBSTITUTE(SUBSTITUTE(SUBSTITUTE(TRIM(LEFT(INDEX(貼り付け!$A$1:$BZ$3001,134,$B$1)&amp;"",FIND(" ",TRIM(INDEX(貼り付け!$A$1:$BZ$3001,134,$B$1)&amp;"")&amp;" ")-1)),"/","-"),"年","-"),"月","-"),"日",""))),"")</f>
        <v/>
      </c>
      <c r="J135">
        <f>IFERROR(MID(I135,FIND("-",I135)+1,99),"")</f>
        <v/>
      </c>
    </row>
    <row r="136">
      <c r="B136">
        <f>IFERROR(IF($B$1=0,"",IF(INDEX(貼り付け!$A$1:$BZ$3001,135,$B$1)="","",IF(ISNUMBER(INDEX(貼り付け!$A$1:$BZ$3001,135,$B$1)),INT(INDEX(貼り付け!$A$1:$BZ$3001,135,$B$1)),DATE(VALUE(LEFT(I136,FIND("-",I136)-1)),VALUE(LEFT(J136,FIND("-",J136)-1)),VALUE(MID(J136,FIND("-",J136)+1,99)))))),"")</f>
        <v/>
      </c>
      <c r="C136">
        <f>IF($C$1=0,0,IFERROR(VALUE(SUBSTITUTE(SUBSTITUTE(SUBSTITUTE(INDEX(貼り付け!$A$1:$BZ$3001,135,$C$1)&amp;"",",",""),"¥",""),"￥","")),0))</f>
        <v/>
      </c>
      <c r="D136">
        <f>IF($D$1=0,0,IFERROR(VALUE(SUBSTITUTE(SUBSTITUTE(SUBSTITUTE(INDEX(貼り付け!$A$1:$BZ$3001,135,$D$1)&amp;"",",",""),"¥",""),"￥","")),0))</f>
        <v/>
      </c>
      <c r="E136">
        <f>IF($E$1=0,0,IFERROR(VALUE(SUBSTITUTE(SUBSTITUTE(SUBSTITUTE(INDEX(貼り付け!$A$1:$BZ$3001,135,$E$1)&amp;"",",",""),"¥",""),"￥","")),0))</f>
        <v/>
      </c>
      <c r="F136">
        <f>IF($F$1=0,0,IFERROR(VALUE(SUBSTITUTE(SUBSTITUTE(SUBSTITUTE(INDEX(貼り付け!$A$1:$BZ$3001,135,$F$1)&amp;"",",",""),"¥",""),"￥","")),0))</f>
        <v/>
      </c>
      <c r="G136">
        <f>IF(ISNUMBER(B136),YEAR(B136),"")</f>
        <v/>
      </c>
      <c r="H136">
        <f>IF(ISNUMBER(B136),MONTH(B136),"")</f>
        <v/>
      </c>
      <c r="I136">
        <f>IFERROR(IF($B$1=0,"",IF(ISNUMBER(INDEX(貼り付け!$A$1:$BZ$3001,135,$B$1)),"",SUBSTITUTE(SUBSTITUTE(SUBSTITUTE(SUBSTITUTE(TRIM(LEFT(INDEX(貼り付け!$A$1:$BZ$3001,135,$B$1)&amp;"",FIND(" ",TRIM(INDEX(貼り付け!$A$1:$BZ$3001,135,$B$1)&amp;"")&amp;" ")-1)),"/","-"),"年","-"),"月","-"),"日",""))),"")</f>
        <v/>
      </c>
      <c r="J136">
        <f>IFERROR(MID(I136,FIND("-",I136)+1,99),"")</f>
        <v/>
      </c>
    </row>
    <row r="137">
      <c r="B137">
        <f>IFERROR(IF($B$1=0,"",IF(INDEX(貼り付け!$A$1:$BZ$3001,136,$B$1)="","",IF(ISNUMBER(INDEX(貼り付け!$A$1:$BZ$3001,136,$B$1)),INT(INDEX(貼り付け!$A$1:$BZ$3001,136,$B$1)),DATE(VALUE(LEFT(I137,FIND("-",I137)-1)),VALUE(LEFT(J137,FIND("-",J137)-1)),VALUE(MID(J137,FIND("-",J137)+1,99)))))),"")</f>
        <v/>
      </c>
      <c r="C137">
        <f>IF($C$1=0,0,IFERROR(VALUE(SUBSTITUTE(SUBSTITUTE(SUBSTITUTE(INDEX(貼り付け!$A$1:$BZ$3001,136,$C$1)&amp;"",",",""),"¥",""),"￥","")),0))</f>
        <v/>
      </c>
      <c r="D137">
        <f>IF($D$1=0,0,IFERROR(VALUE(SUBSTITUTE(SUBSTITUTE(SUBSTITUTE(INDEX(貼り付け!$A$1:$BZ$3001,136,$D$1)&amp;"",",",""),"¥",""),"￥","")),0))</f>
        <v/>
      </c>
      <c r="E137">
        <f>IF($E$1=0,0,IFERROR(VALUE(SUBSTITUTE(SUBSTITUTE(SUBSTITUTE(INDEX(貼り付け!$A$1:$BZ$3001,136,$E$1)&amp;"",",",""),"¥",""),"￥","")),0))</f>
        <v/>
      </c>
      <c r="F137">
        <f>IF($F$1=0,0,IFERROR(VALUE(SUBSTITUTE(SUBSTITUTE(SUBSTITUTE(INDEX(貼り付け!$A$1:$BZ$3001,136,$F$1)&amp;"",",",""),"¥",""),"￥","")),0))</f>
        <v/>
      </c>
      <c r="G137">
        <f>IF(ISNUMBER(B137),YEAR(B137),"")</f>
        <v/>
      </c>
      <c r="H137">
        <f>IF(ISNUMBER(B137),MONTH(B137),"")</f>
        <v/>
      </c>
      <c r="I137">
        <f>IFERROR(IF($B$1=0,"",IF(ISNUMBER(INDEX(貼り付け!$A$1:$BZ$3001,136,$B$1)),"",SUBSTITUTE(SUBSTITUTE(SUBSTITUTE(SUBSTITUTE(TRIM(LEFT(INDEX(貼り付け!$A$1:$BZ$3001,136,$B$1)&amp;"",FIND(" ",TRIM(INDEX(貼り付け!$A$1:$BZ$3001,136,$B$1)&amp;"")&amp;" ")-1)),"/","-"),"年","-"),"月","-"),"日",""))),"")</f>
        <v/>
      </c>
      <c r="J137">
        <f>IFERROR(MID(I137,FIND("-",I137)+1,99),"")</f>
        <v/>
      </c>
    </row>
    <row r="138">
      <c r="B138">
        <f>IFERROR(IF($B$1=0,"",IF(INDEX(貼り付け!$A$1:$BZ$3001,137,$B$1)="","",IF(ISNUMBER(INDEX(貼り付け!$A$1:$BZ$3001,137,$B$1)),INT(INDEX(貼り付け!$A$1:$BZ$3001,137,$B$1)),DATE(VALUE(LEFT(I138,FIND("-",I138)-1)),VALUE(LEFT(J138,FIND("-",J138)-1)),VALUE(MID(J138,FIND("-",J138)+1,99)))))),"")</f>
        <v/>
      </c>
      <c r="C138">
        <f>IF($C$1=0,0,IFERROR(VALUE(SUBSTITUTE(SUBSTITUTE(SUBSTITUTE(INDEX(貼り付け!$A$1:$BZ$3001,137,$C$1)&amp;"",",",""),"¥",""),"￥","")),0))</f>
        <v/>
      </c>
      <c r="D138">
        <f>IF($D$1=0,0,IFERROR(VALUE(SUBSTITUTE(SUBSTITUTE(SUBSTITUTE(INDEX(貼り付け!$A$1:$BZ$3001,137,$D$1)&amp;"",",",""),"¥",""),"￥","")),0))</f>
        <v/>
      </c>
      <c r="E138">
        <f>IF($E$1=0,0,IFERROR(VALUE(SUBSTITUTE(SUBSTITUTE(SUBSTITUTE(INDEX(貼り付け!$A$1:$BZ$3001,137,$E$1)&amp;"",",",""),"¥",""),"￥","")),0))</f>
        <v/>
      </c>
      <c r="F138">
        <f>IF($F$1=0,0,IFERROR(VALUE(SUBSTITUTE(SUBSTITUTE(SUBSTITUTE(INDEX(貼り付け!$A$1:$BZ$3001,137,$F$1)&amp;"",",",""),"¥",""),"￥","")),0))</f>
        <v/>
      </c>
      <c r="G138">
        <f>IF(ISNUMBER(B138),YEAR(B138),"")</f>
        <v/>
      </c>
      <c r="H138">
        <f>IF(ISNUMBER(B138),MONTH(B138),"")</f>
        <v/>
      </c>
      <c r="I138">
        <f>IFERROR(IF($B$1=0,"",IF(ISNUMBER(INDEX(貼り付け!$A$1:$BZ$3001,137,$B$1)),"",SUBSTITUTE(SUBSTITUTE(SUBSTITUTE(SUBSTITUTE(TRIM(LEFT(INDEX(貼り付け!$A$1:$BZ$3001,137,$B$1)&amp;"",FIND(" ",TRIM(INDEX(貼り付け!$A$1:$BZ$3001,137,$B$1)&amp;"")&amp;" ")-1)),"/","-"),"年","-"),"月","-"),"日",""))),"")</f>
        <v/>
      </c>
      <c r="J138">
        <f>IFERROR(MID(I138,FIND("-",I138)+1,99),"")</f>
        <v/>
      </c>
    </row>
    <row r="139">
      <c r="B139">
        <f>IFERROR(IF($B$1=0,"",IF(INDEX(貼り付け!$A$1:$BZ$3001,138,$B$1)="","",IF(ISNUMBER(INDEX(貼り付け!$A$1:$BZ$3001,138,$B$1)),INT(INDEX(貼り付け!$A$1:$BZ$3001,138,$B$1)),DATE(VALUE(LEFT(I139,FIND("-",I139)-1)),VALUE(LEFT(J139,FIND("-",J139)-1)),VALUE(MID(J139,FIND("-",J139)+1,99)))))),"")</f>
        <v/>
      </c>
      <c r="C139">
        <f>IF($C$1=0,0,IFERROR(VALUE(SUBSTITUTE(SUBSTITUTE(SUBSTITUTE(INDEX(貼り付け!$A$1:$BZ$3001,138,$C$1)&amp;"",",",""),"¥",""),"￥","")),0))</f>
        <v/>
      </c>
      <c r="D139">
        <f>IF($D$1=0,0,IFERROR(VALUE(SUBSTITUTE(SUBSTITUTE(SUBSTITUTE(INDEX(貼り付け!$A$1:$BZ$3001,138,$D$1)&amp;"",",",""),"¥",""),"￥","")),0))</f>
        <v/>
      </c>
      <c r="E139">
        <f>IF($E$1=0,0,IFERROR(VALUE(SUBSTITUTE(SUBSTITUTE(SUBSTITUTE(INDEX(貼り付け!$A$1:$BZ$3001,138,$E$1)&amp;"",",",""),"¥",""),"￥","")),0))</f>
        <v/>
      </c>
      <c r="F139">
        <f>IF($F$1=0,0,IFERROR(VALUE(SUBSTITUTE(SUBSTITUTE(SUBSTITUTE(INDEX(貼り付け!$A$1:$BZ$3001,138,$F$1)&amp;"",",",""),"¥",""),"￥","")),0))</f>
        <v/>
      </c>
      <c r="G139">
        <f>IF(ISNUMBER(B139),YEAR(B139),"")</f>
        <v/>
      </c>
      <c r="H139">
        <f>IF(ISNUMBER(B139),MONTH(B139),"")</f>
        <v/>
      </c>
      <c r="I139">
        <f>IFERROR(IF($B$1=0,"",IF(ISNUMBER(INDEX(貼り付け!$A$1:$BZ$3001,138,$B$1)),"",SUBSTITUTE(SUBSTITUTE(SUBSTITUTE(SUBSTITUTE(TRIM(LEFT(INDEX(貼り付け!$A$1:$BZ$3001,138,$B$1)&amp;"",FIND(" ",TRIM(INDEX(貼り付け!$A$1:$BZ$3001,138,$B$1)&amp;"")&amp;" ")-1)),"/","-"),"年","-"),"月","-"),"日",""))),"")</f>
        <v/>
      </c>
      <c r="J139">
        <f>IFERROR(MID(I139,FIND("-",I139)+1,99),"")</f>
        <v/>
      </c>
    </row>
    <row r="140">
      <c r="B140">
        <f>IFERROR(IF($B$1=0,"",IF(INDEX(貼り付け!$A$1:$BZ$3001,139,$B$1)="","",IF(ISNUMBER(INDEX(貼り付け!$A$1:$BZ$3001,139,$B$1)),INT(INDEX(貼り付け!$A$1:$BZ$3001,139,$B$1)),DATE(VALUE(LEFT(I140,FIND("-",I140)-1)),VALUE(LEFT(J140,FIND("-",J140)-1)),VALUE(MID(J140,FIND("-",J140)+1,99)))))),"")</f>
        <v/>
      </c>
      <c r="C140">
        <f>IF($C$1=0,0,IFERROR(VALUE(SUBSTITUTE(SUBSTITUTE(SUBSTITUTE(INDEX(貼り付け!$A$1:$BZ$3001,139,$C$1)&amp;"",",",""),"¥",""),"￥","")),0))</f>
        <v/>
      </c>
      <c r="D140">
        <f>IF($D$1=0,0,IFERROR(VALUE(SUBSTITUTE(SUBSTITUTE(SUBSTITUTE(INDEX(貼り付け!$A$1:$BZ$3001,139,$D$1)&amp;"",",",""),"¥",""),"￥","")),0))</f>
        <v/>
      </c>
      <c r="E140">
        <f>IF($E$1=0,0,IFERROR(VALUE(SUBSTITUTE(SUBSTITUTE(SUBSTITUTE(INDEX(貼り付け!$A$1:$BZ$3001,139,$E$1)&amp;"",",",""),"¥",""),"￥","")),0))</f>
        <v/>
      </c>
      <c r="F140">
        <f>IF($F$1=0,0,IFERROR(VALUE(SUBSTITUTE(SUBSTITUTE(SUBSTITUTE(INDEX(貼り付け!$A$1:$BZ$3001,139,$F$1)&amp;"",",",""),"¥",""),"￥","")),0))</f>
        <v/>
      </c>
      <c r="G140">
        <f>IF(ISNUMBER(B140),YEAR(B140),"")</f>
        <v/>
      </c>
      <c r="H140">
        <f>IF(ISNUMBER(B140),MONTH(B140),"")</f>
        <v/>
      </c>
      <c r="I140">
        <f>IFERROR(IF($B$1=0,"",IF(ISNUMBER(INDEX(貼り付け!$A$1:$BZ$3001,139,$B$1)),"",SUBSTITUTE(SUBSTITUTE(SUBSTITUTE(SUBSTITUTE(TRIM(LEFT(INDEX(貼り付け!$A$1:$BZ$3001,139,$B$1)&amp;"",FIND(" ",TRIM(INDEX(貼り付け!$A$1:$BZ$3001,139,$B$1)&amp;"")&amp;" ")-1)),"/","-"),"年","-"),"月","-"),"日",""))),"")</f>
        <v/>
      </c>
      <c r="J140">
        <f>IFERROR(MID(I140,FIND("-",I140)+1,99),"")</f>
        <v/>
      </c>
    </row>
    <row r="141">
      <c r="B141">
        <f>IFERROR(IF($B$1=0,"",IF(INDEX(貼り付け!$A$1:$BZ$3001,140,$B$1)="","",IF(ISNUMBER(INDEX(貼り付け!$A$1:$BZ$3001,140,$B$1)),INT(INDEX(貼り付け!$A$1:$BZ$3001,140,$B$1)),DATE(VALUE(LEFT(I141,FIND("-",I141)-1)),VALUE(LEFT(J141,FIND("-",J141)-1)),VALUE(MID(J141,FIND("-",J141)+1,99)))))),"")</f>
        <v/>
      </c>
      <c r="C141">
        <f>IF($C$1=0,0,IFERROR(VALUE(SUBSTITUTE(SUBSTITUTE(SUBSTITUTE(INDEX(貼り付け!$A$1:$BZ$3001,140,$C$1)&amp;"",",",""),"¥",""),"￥","")),0))</f>
        <v/>
      </c>
      <c r="D141">
        <f>IF($D$1=0,0,IFERROR(VALUE(SUBSTITUTE(SUBSTITUTE(SUBSTITUTE(INDEX(貼り付け!$A$1:$BZ$3001,140,$D$1)&amp;"",",",""),"¥",""),"￥","")),0))</f>
        <v/>
      </c>
      <c r="E141">
        <f>IF($E$1=0,0,IFERROR(VALUE(SUBSTITUTE(SUBSTITUTE(SUBSTITUTE(INDEX(貼り付け!$A$1:$BZ$3001,140,$E$1)&amp;"",",",""),"¥",""),"￥","")),0))</f>
        <v/>
      </c>
      <c r="F141">
        <f>IF($F$1=0,0,IFERROR(VALUE(SUBSTITUTE(SUBSTITUTE(SUBSTITUTE(INDEX(貼り付け!$A$1:$BZ$3001,140,$F$1)&amp;"",",",""),"¥",""),"￥","")),0))</f>
        <v/>
      </c>
      <c r="G141">
        <f>IF(ISNUMBER(B141),YEAR(B141),"")</f>
        <v/>
      </c>
      <c r="H141">
        <f>IF(ISNUMBER(B141),MONTH(B141),"")</f>
        <v/>
      </c>
      <c r="I141">
        <f>IFERROR(IF($B$1=0,"",IF(ISNUMBER(INDEX(貼り付け!$A$1:$BZ$3001,140,$B$1)),"",SUBSTITUTE(SUBSTITUTE(SUBSTITUTE(SUBSTITUTE(TRIM(LEFT(INDEX(貼り付け!$A$1:$BZ$3001,140,$B$1)&amp;"",FIND(" ",TRIM(INDEX(貼り付け!$A$1:$BZ$3001,140,$B$1)&amp;"")&amp;" ")-1)),"/","-"),"年","-"),"月","-"),"日",""))),"")</f>
        <v/>
      </c>
      <c r="J141">
        <f>IFERROR(MID(I141,FIND("-",I141)+1,99),"")</f>
        <v/>
      </c>
    </row>
    <row r="142">
      <c r="B142">
        <f>IFERROR(IF($B$1=0,"",IF(INDEX(貼り付け!$A$1:$BZ$3001,141,$B$1)="","",IF(ISNUMBER(INDEX(貼り付け!$A$1:$BZ$3001,141,$B$1)),INT(INDEX(貼り付け!$A$1:$BZ$3001,141,$B$1)),DATE(VALUE(LEFT(I142,FIND("-",I142)-1)),VALUE(LEFT(J142,FIND("-",J142)-1)),VALUE(MID(J142,FIND("-",J142)+1,99)))))),"")</f>
        <v/>
      </c>
      <c r="C142">
        <f>IF($C$1=0,0,IFERROR(VALUE(SUBSTITUTE(SUBSTITUTE(SUBSTITUTE(INDEX(貼り付け!$A$1:$BZ$3001,141,$C$1)&amp;"",",",""),"¥",""),"￥","")),0))</f>
        <v/>
      </c>
      <c r="D142">
        <f>IF($D$1=0,0,IFERROR(VALUE(SUBSTITUTE(SUBSTITUTE(SUBSTITUTE(INDEX(貼り付け!$A$1:$BZ$3001,141,$D$1)&amp;"",",",""),"¥",""),"￥","")),0))</f>
        <v/>
      </c>
      <c r="E142">
        <f>IF($E$1=0,0,IFERROR(VALUE(SUBSTITUTE(SUBSTITUTE(SUBSTITUTE(INDEX(貼り付け!$A$1:$BZ$3001,141,$E$1)&amp;"",",",""),"¥",""),"￥","")),0))</f>
        <v/>
      </c>
      <c r="F142">
        <f>IF($F$1=0,0,IFERROR(VALUE(SUBSTITUTE(SUBSTITUTE(SUBSTITUTE(INDEX(貼り付け!$A$1:$BZ$3001,141,$F$1)&amp;"",",",""),"¥",""),"￥","")),0))</f>
        <v/>
      </c>
      <c r="G142">
        <f>IF(ISNUMBER(B142),YEAR(B142),"")</f>
        <v/>
      </c>
      <c r="H142">
        <f>IF(ISNUMBER(B142),MONTH(B142),"")</f>
        <v/>
      </c>
      <c r="I142">
        <f>IFERROR(IF($B$1=0,"",IF(ISNUMBER(INDEX(貼り付け!$A$1:$BZ$3001,141,$B$1)),"",SUBSTITUTE(SUBSTITUTE(SUBSTITUTE(SUBSTITUTE(TRIM(LEFT(INDEX(貼り付け!$A$1:$BZ$3001,141,$B$1)&amp;"",FIND(" ",TRIM(INDEX(貼り付け!$A$1:$BZ$3001,141,$B$1)&amp;"")&amp;" ")-1)),"/","-"),"年","-"),"月","-"),"日",""))),"")</f>
        <v/>
      </c>
      <c r="J142">
        <f>IFERROR(MID(I142,FIND("-",I142)+1,99),"")</f>
        <v/>
      </c>
    </row>
    <row r="143">
      <c r="B143">
        <f>IFERROR(IF($B$1=0,"",IF(INDEX(貼り付け!$A$1:$BZ$3001,142,$B$1)="","",IF(ISNUMBER(INDEX(貼り付け!$A$1:$BZ$3001,142,$B$1)),INT(INDEX(貼り付け!$A$1:$BZ$3001,142,$B$1)),DATE(VALUE(LEFT(I143,FIND("-",I143)-1)),VALUE(LEFT(J143,FIND("-",J143)-1)),VALUE(MID(J143,FIND("-",J143)+1,99)))))),"")</f>
        <v/>
      </c>
      <c r="C143">
        <f>IF($C$1=0,0,IFERROR(VALUE(SUBSTITUTE(SUBSTITUTE(SUBSTITUTE(INDEX(貼り付け!$A$1:$BZ$3001,142,$C$1)&amp;"",",",""),"¥",""),"￥","")),0))</f>
        <v/>
      </c>
      <c r="D143">
        <f>IF($D$1=0,0,IFERROR(VALUE(SUBSTITUTE(SUBSTITUTE(SUBSTITUTE(INDEX(貼り付け!$A$1:$BZ$3001,142,$D$1)&amp;"",",",""),"¥",""),"￥","")),0))</f>
        <v/>
      </c>
      <c r="E143">
        <f>IF($E$1=0,0,IFERROR(VALUE(SUBSTITUTE(SUBSTITUTE(SUBSTITUTE(INDEX(貼り付け!$A$1:$BZ$3001,142,$E$1)&amp;"",",",""),"¥",""),"￥","")),0))</f>
        <v/>
      </c>
      <c r="F143">
        <f>IF($F$1=0,0,IFERROR(VALUE(SUBSTITUTE(SUBSTITUTE(SUBSTITUTE(INDEX(貼り付け!$A$1:$BZ$3001,142,$F$1)&amp;"",",",""),"¥",""),"￥","")),0))</f>
        <v/>
      </c>
      <c r="G143">
        <f>IF(ISNUMBER(B143),YEAR(B143),"")</f>
        <v/>
      </c>
      <c r="H143">
        <f>IF(ISNUMBER(B143),MONTH(B143),"")</f>
        <v/>
      </c>
      <c r="I143">
        <f>IFERROR(IF($B$1=0,"",IF(ISNUMBER(INDEX(貼り付け!$A$1:$BZ$3001,142,$B$1)),"",SUBSTITUTE(SUBSTITUTE(SUBSTITUTE(SUBSTITUTE(TRIM(LEFT(INDEX(貼り付け!$A$1:$BZ$3001,142,$B$1)&amp;"",FIND(" ",TRIM(INDEX(貼り付け!$A$1:$BZ$3001,142,$B$1)&amp;"")&amp;" ")-1)),"/","-"),"年","-"),"月","-"),"日",""))),"")</f>
        <v/>
      </c>
      <c r="J143">
        <f>IFERROR(MID(I143,FIND("-",I143)+1,99),"")</f>
        <v/>
      </c>
    </row>
    <row r="144">
      <c r="B144">
        <f>IFERROR(IF($B$1=0,"",IF(INDEX(貼り付け!$A$1:$BZ$3001,143,$B$1)="","",IF(ISNUMBER(INDEX(貼り付け!$A$1:$BZ$3001,143,$B$1)),INT(INDEX(貼り付け!$A$1:$BZ$3001,143,$B$1)),DATE(VALUE(LEFT(I144,FIND("-",I144)-1)),VALUE(LEFT(J144,FIND("-",J144)-1)),VALUE(MID(J144,FIND("-",J144)+1,99)))))),"")</f>
        <v/>
      </c>
      <c r="C144">
        <f>IF($C$1=0,0,IFERROR(VALUE(SUBSTITUTE(SUBSTITUTE(SUBSTITUTE(INDEX(貼り付け!$A$1:$BZ$3001,143,$C$1)&amp;"",",",""),"¥",""),"￥","")),0))</f>
        <v/>
      </c>
      <c r="D144">
        <f>IF($D$1=0,0,IFERROR(VALUE(SUBSTITUTE(SUBSTITUTE(SUBSTITUTE(INDEX(貼り付け!$A$1:$BZ$3001,143,$D$1)&amp;"",",",""),"¥",""),"￥","")),0))</f>
        <v/>
      </c>
      <c r="E144">
        <f>IF($E$1=0,0,IFERROR(VALUE(SUBSTITUTE(SUBSTITUTE(SUBSTITUTE(INDEX(貼り付け!$A$1:$BZ$3001,143,$E$1)&amp;"",",",""),"¥",""),"￥","")),0))</f>
        <v/>
      </c>
      <c r="F144">
        <f>IF($F$1=0,0,IFERROR(VALUE(SUBSTITUTE(SUBSTITUTE(SUBSTITUTE(INDEX(貼り付け!$A$1:$BZ$3001,143,$F$1)&amp;"",",",""),"¥",""),"￥","")),0))</f>
        <v/>
      </c>
      <c r="G144">
        <f>IF(ISNUMBER(B144),YEAR(B144),"")</f>
        <v/>
      </c>
      <c r="H144">
        <f>IF(ISNUMBER(B144),MONTH(B144),"")</f>
        <v/>
      </c>
      <c r="I144">
        <f>IFERROR(IF($B$1=0,"",IF(ISNUMBER(INDEX(貼り付け!$A$1:$BZ$3001,143,$B$1)),"",SUBSTITUTE(SUBSTITUTE(SUBSTITUTE(SUBSTITUTE(TRIM(LEFT(INDEX(貼り付け!$A$1:$BZ$3001,143,$B$1)&amp;"",FIND(" ",TRIM(INDEX(貼り付け!$A$1:$BZ$3001,143,$B$1)&amp;"")&amp;" ")-1)),"/","-"),"年","-"),"月","-"),"日",""))),"")</f>
        <v/>
      </c>
      <c r="J144">
        <f>IFERROR(MID(I144,FIND("-",I144)+1,99),"")</f>
        <v/>
      </c>
    </row>
    <row r="145">
      <c r="B145">
        <f>IFERROR(IF($B$1=0,"",IF(INDEX(貼り付け!$A$1:$BZ$3001,144,$B$1)="","",IF(ISNUMBER(INDEX(貼り付け!$A$1:$BZ$3001,144,$B$1)),INT(INDEX(貼り付け!$A$1:$BZ$3001,144,$B$1)),DATE(VALUE(LEFT(I145,FIND("-",I145)-1)),VALUE(LEFT(J145,FIND("-",J145)-1)),VALUE(MID(J145,FIND("-",J145)+1,99)))))),"")</f>
        <v/>
      </c>
      <c r="C145">
        <f>IF($C$1=0,0,IFERROR(VALUE(SUBSTITUTE(SUBSTITUTE(SUBSTITUTE(INDEX(貼り付け!$A$1:$BZ$3001,144,$C$1)&amp;"",",",""),"¥",""),"￥","")),0))</f>
        <v/>
      </c>
      <c r="D145">
        <f>IF($D$1=0,0,IFERROR(VALUE(SUBSTITUTE(SUBSTITUTE(SUBSTITUTE(INDEX(貼り付け!$A$1:$BZ$3001,144,$D$1)&amp;"",",",""),"¥",""),"￥","")),0))</f>
        <v/>
      </c>
      <c r="E145">
        <f>IF($E$1=0,0,IFERROR(VALUE(SUBSTITUTE(SUBSTITUTE(SUBSTITUTE(INDEX(貼り付け!$A$1:$BZ$3001,144,$E$1)&amp;"",",",""),"¥",""),"￥","")),0))</f>
        <v/>
      </c>
      <c r="F145">
        <f>IF($F$1=0,0,IFERROR(VALUE(SUBSTITUTE(SUBSTITUTE(SUBSTITUTE(INDEX(貼り付け!$A$1:$BZ$3001,144,$F$1)&amp;"",",",""),"¥",""),"￥","")),0))</f>
        <v/>
      </c>
      <c r="G145">
        <f>IF(ISNUMBER(B145),YEAR(B145),"")</f>
        <v/>
      </c>
      <c r="H145">
        <f>IF(ISNUMBER(B145),MONTH(B145),"")</f>
        <v/>
      </c>
      <c r="I145">
        <f>IFERROR(IF($B$1=0,"",IF(ISNUMBER(INDEX(貼り付け!$A$1:$BZ$3001,144,$B$1)),"",SUBSTITUTE(SUBSTITUTE(SUBSTITUTE(SUBSTITUTE(TRIM(LEFT(INDEX(貼り付け!$A$1:$BZ$3001,144,$B$1)&amp;"",FIND(" ",TRIM(INDEX(貼り付け!$A$1:$BZ$3001,144,$B$1)&amp;"")&amp;" ")-1)),"/","-"),"年","-"),"月","-"),"日",""))),"")</f>
        <v/>
      </c>
      <c r="J145">
        <f>IFERROR(MID(I145,FIND("-",I145)+1,99),"")</f>
        <v/>
      </c>
    </row>
    <row r="146">
      <c r="B146">
        <f>IFERROR(IF($B$1=0,"",IF(INDEX(貼り付け!$A$1:$BZ$3001,145,$B$1)="","",IF(ISNUMBER(INDEX(貼り付け!$A$1:$BZ$3001,145,$B$1)),INT(INDEX(貼り付け!$A$1:$BZ$3001,145,$B$1)),DATE(VALUE(LEFT(I146,FIND("-",I146)-1)),VALUE(LEFT(J146,FIND("-",J146)-1)),VALUE(MID(J146,FIND("-",J146)+1,99)))))),"")</f>
        <v/>
      </c>
      <c r="C146">
        <f>IF($C$1=0,0,IFERROR(VALUE(SUBSTITUTE(SUBSTITUTE(SUBSTITUTE(INDEX(貼り付け!$A$1:$BZ$3001,145,$C$1)&amp;"",",",""),"¥",""),"￥","")),0))</f>
        <v/>
      </c>
      <c r="D146">
        <f>IF($D$1=0,0,IFERROR(VALUE(SUBSTITUTE(SUBSTITUTE(SUBSTITUTE(INDEX(貼り付け!$A$1:$BZ$3001,145,$D$1)&amp;"",",",""),"¥",""),"￥","")),0))</f>
        <v/>
      </c>
      <c r="E146">
        <f>IF($E$1=0,0,IFERROR(VALUE(SUBSTITUTE(SUBSTITUTE(SUBSTITUTE(INDEX(貼り付け!$A$1:$BZ$3001,145,$E$1)&amp;"",",",""),"¥",""),"￥","")),0))</f>
        <v/>
      </c>
      <c r="F146">
        <f>IF($F$1=0,0,IFERROR(VALUE(SUBSTITUTE(SUBSTITUTE(SUBSTITUTE(INDEX(貼り付け!$A$1:$BZ$3001,145,$F$1)&amp;"",",",""),"¥",""),"￥","")),0))</f>
        <v/>
      </c>
      <c r="G146">
        <f>IF(ISNUMBER(B146),YEAR(B146),"")</f>
        <v/>
      </c>
      <c r="H146">
        <f>IF(ISNUMBER(B146),MONTH(B146),"")</f>
        <v/>
      </c>
      <c r="I146">
        <f>IFERROR(IF($B$1=0,"",IF(ISNUMBER(INDEX(貼り付け!$A$1:$BZ$3001,145,$B$1)),"",SUBSTITUTE(SUBSTITUTE(SUBSTITUTE(SUBSTITUTE(TRIM(LEFT(INDEX(貼り付け!$A$1:$BZ$3001,145,$B$1)&amp;"",FIND(" ",TRIM(INDEX(貼り付け!$A$1:$BZ$3001,145,$B$1)&amp;"")&amp;" ")-1)),"/","-"),"年","-"),"月","-"),"日",""))),"")</f>
        <v/>
      </c>
      <c r="J146">
        <f>IFERROR(MID(I146,FIND("-",I146)+1,99),"")</f>
        <v/>
      </c>
    </row>
    <row r="147">
      <c r="B147">
        <f>IFERROR(IF($B$1=0,"",IF(INDEX(貼り付け!$A$1:$BZ$3001,146,$B$1)="","",IF(ISNUMBER(INDEX(貼り付け!$A$1:$BZ$3001,146,$B$1)),INT(INDEX(貼り付け!$A$1:$BZ$3001,146,$B$1)),DATE(VALUE(LEFT(I147,FIND("-",I147)-1)),VALUE(LEFT(J147,FIND("-",J147)-1)),VALUE(MID(J147,FIND("-",J147)+1,99)))))),"")</f>
        <v/>
      </c>
      <c r="C147">
        <f>IF($C$1=0,0,IFERROR(VALUE(SUBSTITUTE(SUBSTITUTE(SUBSTITUTE(INDEX(貼り付け!$A$1:$BZ$3001,146,$C$1)&amp;"",",",""),"¥",""),"￥","")),0))</f>
        <v/>
      </c>
      <c r="D147">
        <f>IF($D$1=0,0,IFERROR(VALUE(SUBSTITUTE(SUBSTITUTE(SUBSTITUTE(INDEX(貼り付け!$A$1:$BZ$3001,146,$D$1)&amp;"",",",""),"¥",""),"￥","")),0))</f>
        <v/>
      </c>
      <c r="E147">
        <f>IF($E$1=0,0,IFERROR(VALUE(SUBSTITUTE(SUBSTITUTE(SUBSTITUTE(INDEX(貼り付け!$A$1:$BZ$3001,146,$E$1)&amp;"",",",""),"¥",""),"￥","")),0))</f>
        <v/>
      </c>
      <c r="F147">
        <f>IF($F$1=0,0,IFERROR(VALUE(SUBSTITUTE(SUBSTITUTE(SUBSTITUTE(INDEX(貼り付け!$A$1:$BZ$3001,146,$F$1)&amp;"",",",""),"¥",""),"￥","")),0))</f>
        <v/>
      </c>
      <c r="G147">
        <f>IF(ISNUMBER(B147),YEAR(B147),"")</f>
        <v/>
      </c>
      <c r="H147">
        <f>IF(ISNUMBER(B147),MONTH(B147),"")</f>
        <v/>
      </c>
      <c r="I147">
        <f>IFERROR(IF($B$1=0,"",IF(ISNUMBER(INDEX(貼り付け!$A$1:$BZ$3001,146,$B$1)),"",SUBSTITUTE(SUBSTITUTE(SUBSTITUTE(SUBSTITUTE(TRIM(LEFT(INDEX(貼り付け!$A$1:$BZ$3001,146,$B$1)&amp;"",FIND(" ",TRIM(INDEX(貼り付け!$A$1:$BZ$3001,146,$B$1)&amp;"")&amp;" ")-1)),"/","-"),"年","-"),"月","-"),"日",""))),"")</f>
        <v/>
      </c>
      <c r="J147">
        <f>IFERROR(MID(I147,FIND("-",I147)+1,99),"")</f>
        <v/>
      </c>
    </row>
    <row r="148">
      <c r="B148">
        <f>IFERROR(IF($B$1=0,"",IF(INDEX(貼り付け!$A$1:$BZ$3001,147,$B$1)="","",IF(ISNUMBER(INDEX(貼り付け!$A$1:$BZ$3001,147,$B$1)),INT(INDEX(貼り付け!$A$1:$BZ$3001,147,$B$1)),DATE(VALUE(LEFT(I148,FIND("-",I148)-1)),VALUE(LEFT(J148,FIND("-",J148)-1)),VALUE(MID(J148,FIND("-",J148)+1,99)))))),"")</f>
        <v/>
      </c>
      <c r="C148">
        <f>IF($C$1=0,0,IFERROR(VALUE(SUBSTITUTE(SUBSTITUTE(SUBSTITUTE(INDEX(貼り付け!$A$1:$BZ$3001,147,$C$1)&amp;"",",",""),"¥",""),"￥","")),0))</f>
        <v/>
      </c>
      <c r="D148">
        <f>IF($D$1=0,0,IFERROR(VALUE(SUBSTITUTE(SUBSTITUTE(SUBSTITUTE(INDEX(貼り付け!$A$1:$BZ$3001,147,$D$1)&amp;"",",",""),"¥",""),"￥","")),0))</f>
        <v/>
      </c>
      <c r="E148">
        <f>IF($E$1=0,0,IFERROR(VALUE(SUBSTITUTE(SUBSTITUTE(SUBSTITUTE(INDEX(貼り付け!$A$1:$BZ$3001,147,$E$1)&amp;"",",",""),"¥",""),"￥","")),0))</f>
        <v/>
      </c>
      <c r="F148">
        <f>IF($F$1=0,0,IFERROR(VALUE(SUBSTITUTE(SUBSTITUTE(SUBSTITUTE(INDEX(貼り付け!$A$1:$BZ$3001,147,$F$1)&amp;"",",",""),"¥",""),"￥","")),0))</f>
        <v/>
      </c>
      <c r="G148">
        <f>IF(ISNUMBER(B148),YEAR(B148),"")</f>
        <v/>
      </c>
      <c r="H148">
        <f>IF(ISNUMBER(B148),MONTH(B148),"")</f>
        <v/>
      </c>
      <c r="I148">
        <f>IFERROR(IF($B$1=0,"",IF(ISNUMBER(INDEX(貼り付け!$A$1:$BZ$3001,147,$B$1)),"",SUBSTITUTE(SUBSTITUTE(SUBSTITUTE(SUBSTITUTE(TRIM(LEFT(INDEX(貼り付け!$A$1:$BZ$3001,147,$B$1)&amp;"",FIND(" ",TRIM(INDEX(貼り付け!$A$1:$BZ$3001,147,$B$1)&amp;"")&amp;" ")-1)),"/","-"),"年","-"),"月","-"),"日",""))),"")</f>
        <v/>
      </c>
      <c r="J148">
        <f>IFERROR(MID(I148,FIND("-",I148)+1,99),"")</f>
        <v/>
      </c>
    </row>
    <row r="149">
      <c r="B149">
        <f>IFERROR(IF($B$1=0,"",IF(INDEX(貼り付け!$A$1:$BZ$3001,148,$B$1)="","",IF(ISNUMBER(INDEX(貼り付け!$A$1:$BZ$3001,148,$B$1)),INT(INDEX(貼り付け!$A$1:$BZ$3001,148,$B$1)),DATE(VALUE(LEFT(I149,FIND("-",I149)-1)),VALUE(LEFT(J149,FIND("-",J149)-1)),VALUE(MID(J149,FIND("-",J149)+1,99)))))),"")</f>
        <v/>
      </c>
      <c r="C149">
        <f>IF($C$1=0,0,IFERROR(VALUE(SUBSTITUTE(SUBSTITUTE(SUBSTITUTE(INDEX(貼り付け!$A$1:$BZ$3001,148,$C$1)&amp;"",",",""),"¥",""),"￥","")),0))</f>
        <v/>
      </c>
      <c r="D149">
        <f>IF($D$1=0,0,IFERROR(VALUE(SUBSTITUTE(SUBSTITUTE(SUBSTITUTE(INDEX(貼り付け!$A$1:$BZ$3001,148,$D$1)&amp;"",",",""),"¥",""),"￥","")),0))</f>
        <v/>
      </c>
      <c r="E149">
        <f>IF($E$1=0,0,IFERROR(VALUE(SUBSTITUTE(SUBSTITUTE(SUBSTITUTE(INDEX(貼り付け!$A$1:$BZ$3001,148,$E$1)&amp;"",",",""),"¥",""),"￥","")),0))</f>
        <v/>
      </c>
      <c r="F149">
        <f>IF($F$1=0,0,IFERROR(VALUE(SUBSTITUTE(SUBSTITUTE(SUBSTITUTE(INDEX(貼り付け!$A$1:$BZ$3001,148,$F$1)&amp;"",",",""),"¥",""),"￥","")),0))</f>
        <v/>
      </c>
      <c r="G149">
        <f>IF(ISNUMBER(B149),YEAR(B149),"")</f>
        <v/>
      </c>
      <c r="H149">
        <f>IF(ISNUMBER(B149),MONTH(B149),"")</f>
        <v/>
      </c>
      <c r="I149">
        <f>IFERROR(IF($B$1=0,"",IF(ISNUMBER(INDEX(貼り付け!$A$1:$BZ$3001,148,$B$1)),"",SUBSTITUTE(SUBSTITUTE(SUBSTITUTE(SUBSTITUTE(TRIM(LEFT(INDEX(貼り付け!$A$1:$BZ$3001,148,$B$1)&amp;"",FIND(" ",TRIM(INDEX(貼り付け!$A$1:$BZ$3001,148,$B$1)&amp;"")&amp;" ")-1)),"/","-"),"年","-"),"月","-"),"日",""))),"")</f>
        <v/>
      </c>
      <c r="J149">
        <f>IFERROR(MID(I149,FIND("-",I149)+1,99),"")</f>
        <v/>
      </c>
    </row>
    <row r="150">
      <c r="B150">
        <f>IFERROR(IF($B$1=0,"",IF(INDEX(貼り付け!$A$1:$BZ$3001,149,$B$1)="","",IF(ISNUMBER(INDEX(貼り付け!$A$1:$BZ$3001,149,$B$1)),INT(INDEX(貼り付け!$A$1:$BZ$3001,149,$B$1)),DATE(VALUE(LEFT(I150,FIND("-",I150)-1)),VALUE(LEFT(J150,FIND("-",J150)-1)),VALUE(MID(J150,FIND("-",J150)+1,99)))))),"")</f>
        <v/>
      </c>
      <c r="C150">
        <f>IF($C$1=0,0,IFERROR(VALUE(SUBSTITUTE(SUBSTITUTE(SUBSTITUTE(INDEX(貼り付け!$A$1:$BZ$3001,149,$C$1)&amp;"",",",""),"¥",""),"￥","")),0))</f>
        <v/>
      </c>
      <c r="D150">
        <f>IF($D$1=0,0,IFERROR(VALUE(SUBSTITUTE(SUBSTITUTE(SUBSTITUTE(INDEX(貼り付け!$A$1:$BZ$3001,149,$D$1)&amp;"",",",""),"¥",""),"￥","")),0))</f>
        <v/>
      </c>
      <c r="E150">
        <f>IF($E$1=0,0,IFERROR(VALUE(SUBSTITUTE(SUBSTITUTE(SUBSTITUTE(INDEX(貼り付け!$A$1:$BZ$3001,149,$E$1)&amp;"",",",""),"¥",""),"￥","")),0))</f>
        <v/>
      </c>
      <c r="F150">
        <f>IF($F$1=0,0,IFERROR(VALUE(SUBSTITUTE(SUBSTITUTE(SUBSTITUTE(INDEX(貼り付け!$A$1:$BZ$3001,149,$F$1)&amp;"",",",""),"¥",""),"￥","")),0))</f>
        <v/>
      </c>
      <c r="G150">
        <f>IF(ISNUMBER(B150),YEAR(B150),"")</f>
        <v/>
      </c>
      <c r="H150">
        <f>IF(ISNUMBER(B150),MONTH(B150),"")</f>
        <v/>
      </c>
      <c r="I150">
        <f>IFERROR(IF($B$1=0,"",IF(ISNUMBER(INDEX(貼り付け!$A$1:$BZ$3001,149,$B$1)),"",SUBSTITUTE(SUBSTITUTE(SUBSTITUTE(SUBSTITUTE(TRIM(LEFT(INDEX(貼り付け!$A$1:$BZ$3001,149,$B$1)&amp;"",FIND(" ",TRIM(INDEX(貼り付け!$A$1:$BZ$3001,149,$B$1)&amp;"")&amp;" ")-1)),"/","-"),"年","-"),"月","-"),"日",""))),"")</f>
        <v/>
      </c>
      <c r="J150">
        <f>IFERROR(MID(I150,FIND("-",I150)+1,99),"")</f>
        <v/>
      </c>
    </row>
    <row r="151">
      <c r="B151">
        <f>IFERROR(IF($B$1=0,"",IF(INDEX(貼り付け!$A$1:$BZ$3001,150,$B$1)="","",IF(ISNUMBER(INDEX(貼り付け!$A$1:$BZ$3001,150,$B$1)),INT(INDEX(貼り付け!$A$1:$BZ$3001,150,$B$1)),DATE(VALUE(LEFT(I151,FIND("-",I151)-1)),VALUE(LEFT(J151,FIND("-",J151)-1)),VALUE(MID(J151,FIND("-",J151)+1,99)))))),"")</f>
        <v/>
      </c>
      <c r="C151">
        <f>IF($C$1=0,0,IFERROR(VALUE(SUBSTITUTE(SUBSTITUTE(SUBSTITUTE(INDEX(貼り付け!$A$1:$BZ$3001,150,$C$1)&amp;"",",",""),"¥",""),"￥","")),0))</f>
        <v/>
      </c>
      <c r="D151">
        <f>IF($D$1=0,0,IFERROR(VALUE(SUBSTITUTE(SUBSTITUTE(SUBSTITUTE(INDEX(貼り付け!$A$1:$BZ$3001,150,$D$1)&amp;"",",",""),"¥",""),"￥","")),0))</f>
        <v/>
      </c>
      <c r="E151">
        <f>IF($E$1=0,0,IFERROR(VALUE(SUBSTITUTE(SUBSTITUTE(SUBSTITUTE(INDEX(貼り付け!$A$1:$BZ$3001,150,$E$1)&amp;"",",",""),"¥",""),"￥","")),0))</f>
        <v/>
      </c>
      <c r="F151">
        <f>IF($F$1=0,0,IFERROR(VALUE(SUBSTITUTE(SUBSTITUTE(SUBSTITUTE(INDEX(貼り付け!$A$1:$BZ$3001,150,$F$1)&amp;"",",",""),"¥",""),"￥","")),0))</f>
        <v/>
      </c>
      <c r="G151">
        <f>IF(ISNUMBER(B151),YEAR(B151),"")</f>
        <v/>
      </c>
      <c r="H151">
        <f>IF(ISNUMBER(B151),MONTH(B151),"")</f>
        <v/>
      </c>
      <c r="I151">
        <f>IFERROR(IF($B$1=0,"",IF(ISNUMBER(INDEX(貼り付け!$A$1:$BZ$3001,150,$B$1)),"",SUBSTITUTE(SUBSTITUTE(SUBSTITUTE(SUBSTITUTE(TRIM(LEFT(INDEX(貼り付け!$A$1:$BZ$3001,150,$B$1)&amp;"",FIND(" ",TRIM(INDEX(貼り付け!$A$1:$BZ$3001,150,$B$1)&amp;"")&amp;" ")-1)),"/","-"),"年","-"),"月","-"),"日",""))),"")</f>
        <v/>
      </c>
      <c r="J151">
        <f>IFERROR(MID(I151,FIND("-",I151)+1,99),"")</f>
        <v/>
      </c>
    </row>
    <row r="152">
      <c r="B152">
        <f>IFERROR(IF($B$1=0,"",IF(INDEX(貼り付け!$A$1:$BZ$3001,151,$B$1)="","",IF(ISNUMBER(INDEX(貼り付け!$A$1:$BZ$3001,151,$B$1)),INT(INDEX(貼り付け!$A$1:$BZ$3001,151,$B$1)),DATE(VALUE(LEFT(I152,FIND("-",I152)-1)),VALUE(LEFT(J152,FIND("-",J152)-1)),VALUE(MID(J152,FIND("-",J152)+1,99)))))),"")</f>
        <v/>
      </c>
      <c r="C152">
        <f>IF($C$1=0,0,IFERROR(VALUE(SUBSTITUTE(SUBSTITUTE(SUBSTITUTE(INDEX(貼り付け!$A$1:$BZ$3001,151,$C$1)&amp;"",",",""),"¥",""),"￥","")),0))</f>
        <v/>
      </c>
      <c r="D152">
        <f>IF($D$1=0,0,IFERROR(VALUE(SUBSTITUTE(SUBSTITUTE(SUBSTITUTE(INDEX(貼り付け!$A$1:$BZ$3001,151,$D$1)&amp;"",",",""),"¥",""),"￥","")),0))</f>
        <v/>
      </c>
      <c r="E152">
        <f>IF($E$1=0,0,IFERROR(VALUE(SUBSTITUTE(SUBSTITUTE(SUBSTITUTE(INDEX(貼り付け!$A$1:$BZ$3001,151,$E$1)&amp;"",",",""),"¥",""),"￥","")),0))</f>
        <v/>
      </c>
      <c r="F152">
        <f>IF($F$1=0,0,IFERROR(VALUE(SUBSTITUTE(SUBSTITUTE(SUBSTITUTE(INDEX(貼り付け!$A$1:$BZ$3001,151,$F$1)&amp;"",",",""),"¥",""),"￥","")),0))</f>
        <v/>
      </c>
      <c r="G152">
        <f>IF(ISNUMBER(B152),YEAR(B152),"")</f>
        <v/>
      </c>
      <c r="H152">
        <f>IF(ISNUMBER(B152),MONTH(B152),"")</f>
        <v/>
      </c>
      <c r="I152">
        <f>IFERROR(IF($B$1=0,"",IF(ISNUMBER(INDEX(貼り付け!$A$1:$BZ$3001,151,$B$1)),"",SUBSTITUTE(SUBSTITUTE(SUBSTITUTE(SUBSTITUTE(TRIM(LEFT(INDEX(貼り付け!$A$1:$BZ$3001,151,$B$1)&amp;"",FIND(" ",TRIM(INDEX(貼り付け!$A$1:$BZ$3001,151,$B$1)&amp;"")&amp;" ")-1)),"/","-"),"年","-"),"月","-"),"日",""))),"")</f>
        <v/>
      </c>
      <c r="J152">
        <f>IFERROR(MID(I152,FIND("-",I152)+1,99),"")</f>
        <v/>
      </c>
    </row>
    <row r="153">
      <c r="B153">
        <f>IFERROR(IF($B$1=0,"",IF(INDEX(貼り付け!$A$1:$BZ$3001,152,$B$1)="","",IF(ISNUMBER(INDEX(貼り付け!$A$1:$BZ$3001,152,$B$1)),INT(INDEX(貼り付け!$A$1:$BZ$3001,152,$B$1)),DATE(VALUE(LEFT(I153,FIND("-",I153)-1)),VALUE(LEFT(J153,FIND("-",J153)-1)),VALUE(MID(J153,FIND("-",J153)+1,99)))))),"")</f>
        <v/>
      </c>
      <c r="C153">
        <f>IF($C$1=0,0,IFERROR(VALUE(SUBSTITUTE(SUBSTITUTE(SUBSTITUTE(INDEX(貼り付け!$A$1:$BZ$3001,152,$C$1)&amp;"",",",""),"¥",""),"￥","")),0))</f>
        <v/>
      </c>
      <c r="D153">
        <f>IF($D$1=0,0,IFERROR(VALUE(SUBSTITUTE(SUBSTITUTE(SUBSTITUTE(INDEX(貼り付け!$A$1:$BZ$3001,152,$D$1)&amp;"",",",""),"¥",""),"￥","")),0))</f>
        <v/>
      </c>
      <c r="E153">
        <f>IF($E$1=0,0,IFERROR(VALUE(SUBSTITUTE(SUBSTITUTE(SUBSTITUTE(INDEX(貼り付け!$A$1:$BZ$3001,152,$E$1)&amp;"",",",""),"¥",""),"￥","")),0))</f>
        <v/>
      </c>
      <c r="F153">
        <f>IF($F$1=0,0,IFERROR(VALUE(SUBSTITUTE(SUBSTITUTE(SUBSTITUTE(INDEX(貼り付け!$A$1:$BZ$3001,152,$F$1)&amp;"",",",""),"¥",""),"￥","")),0))</f>
        <v/>
      </c>
      <c r="G153">
        <f>IF(ISNUMBER(B153),YEAR(B153),"")</f>
        <v/>
      </c>
      <c r="H153">
        <f>IF(ISNUMBER(B153),MONTH(B153),"")</f>
        <v/>
      </c>
      <c r="I153">
        <f>IFERROR(IF($B$1=0,"",IF(ISNUMBER(INDEX(貼り付け!$A$1:$BZ$3001,152,$B$1)),"",SUBSTITUTE(SUBSTITUTE(SUBSTITUTE(SUBSTITUTE(TRIM(LEFT(INDEX(貼り付け!$A$1:$BZ$3001,152,$B$1)&amp;"",FIND(" ",TRIM(INDEX(貼り付け!$A$1:$BZ$3001,152,$B$1)&amp;"")&amp;" ")-1)),"/","-"),"年","-"),"月","-"),"日",""))),"")</f>
        <v/>
      </c>
      <c r="J153">
        <f>IFERROR(MID(I153,FIND("-",I153)+1,99),"")</f>
        <v/>
      </c>
    </row>
    <row r="154">
      <c r="B154">
        <f>IFERROR(IF($B$1=0,"",IF(INDEX(貼り付け!$A$1:$BZ$3001,153,$B$1)="","",IF(ISNUMBER(INDEX(貼り付け!$A$1:$BZ$3001,153,$B$1)),INT(INDEX(貼り付け!$A$1:$BZ$3001,153,$B$1)),DATE(VALUE(LEFT(I154,FIND("-",I154)-1)),VALUE(LEFT(J154,FIND("-",J154)-1)),VALUE(MID(J154,FIND("-",J154)+1,99)))))),"")</f>
        <v/>
      </c>
      <c r="C154">
        <f>IF($C$1=0,0,IFERROR(VALUE(SUBSTITUTE(SUBSTITUTE(SUBSTITUTE(INDEX(貼り付け!$A$1:$BZ$3001,153,$C$1)&amp;"",",",""),"¥",""),"￥","")),0))</f>
        <v/>
      </c>
      <c r="D154">
        <f>IF($D$1=0,0,IFERROR(VALUE(SUBSTITUTE(SUBSTITUTE(SUBSTITUTE(INDEX(貼り付け!$A$1:$BZ$3001,153,$D$1)&amp;"",",",""),"¥",""),"￥","")),0))</f>
        <v/>
      </c>
      <c r="E154">
        <f>IF($E$1=0,0,IFERROR(VALUE(SUBSTITUTE(SUBSTITUTE(SUBSTITUTE(INDEX(貼り付け!$A$1:$BZ$3001,153,$E$1)&amp;"",",",""),"¥",""),"￥","")),0))</f>
        <v/>
      </c>
      <c r="F154">
        <f>IF($F$1=0,0,IFERROR(VALUE(SUBSTITUTE(SUBSTITUTE(SUBSTITUTE(INDEX(貼り付け!$A$1:$BZ$3001,153,$F$1)&amp;"",",",""),"¥",""),"￥","")),0))</f>
        <v/>
      </c>
      <c r="G154">
        <f>IF(ISNUMBER(B154),YEAR(B154),"")</f>
        <v/>
      </c>
      <c r="H154">
        <f>IF(ISNUMBER(B154),MONTH(B154),"")</f>
        <v/>
      </c>
      <c r="I154">
        <f>IFERROR(IF($B$1=0,"",IF(ISNUMBER(INDEX(貼り付け!$A$1:$BZ$3001,153,$B$1)),"",SUBSTITUTE(SUBSTITUTE(SUBSTITUTE(SUBSTITUTE(TRIM(LEFT(INDEX(貼り付け!$A$1:$BZ$3001,153,$B$1)&amp;"",FIND(" ",TRIM(INDEX(貼り付け!$A$1:$BZ$3001,153,$B$1)&amp;"")&amp;" ")-1)),"/","-"),"年","-"),"月","-"),"日",""))),"")</f>
        <v/>
      </c>
      <c r="J154">
        <f>IFERROR(MID(I154,FIND("-",I154)+1,99),"")</f>
        <v/>
      </c>
    </row>
    <row r="155">
      <c r="B155">
        <f>IFERROR(IF($B$1=0,"",IF(INDEX(貼り付け!$A$1:$BZ$3001,154,$B$1)="","",IF(ISNUMBER(INDEX(貼り付け!$A$1:$BZ$3001,154,$B$1)),INT(INDEX(貼り付け!$A$1:$BZ$3001,154,$B$1)),DATE(VALUE(LEFT(I155,FIND("-",I155)-1)),VALUE(LEFT(J155,FIND("-",J155)-1)),VALUE(MID(J155,FIND("-",J155)+1,99)))))),"")</f>
        <v/>
      </c>
      <c r="C155">
        <f>IF($C$1=0,0,IFERROR(VALUE(SUBSTITUTE(SUBSTITUTE(SUBSTITUTE(INDEX(貼り付け!$A$1:$BZ$3001,154,$C$1)&amp;"",",",""),"¥",""),"￥","")),0))</f>
        <v/>
      </c>
      <c r="D155">
        <f>IF($D$1=0,0,IFERROR(VALUE(SUBSTITUTE(SUBSTITUTE(SUBSTITUTE(INDEX(貼り付け!$A$1:$BZ$3001,154,$D$1)&amp;"",",",""),"¥",""),"￥","")),0))</f>
        <v/>
      </c>
      <c r="E155">
        <f>IF($E$1=0,0,IFERROR(VALUE(SUBSTITUTE(SUBSTITUTE(SUBSTITUTE(INDEX(貼り付け!$A$1:$BZ$3001,154,$E$1)&amp;"",",",""),"¥",""),"￥","")),0))</f>
        <v/>
      </c>
      <c r="F155">
        <f>IF($F$1=0,0,IFERROR(VALUE(SUBSTITUTE(SUBSTITUTE(SUBSTITUTE(INDEX(貼り付け!$A$1:$BZ$3001,154,$F$1)&amp;"",",",""),"¥",""),"￥","")),0))</f>
        <v/>
      </c>
      <c r="G155">
        <f>IF(ISNUMBER(B155),YEAR(B155),"")</f>
        <v/>
      </c>
      <c r="H155">
        <f>IF(ISNUMBER(B155),MONTH(B155),"")</f>
        <v/>
      </c>
      <c r="I155">
        <f>IFERROR(IF($B$1=0,"",IF(ISNUMBER(INDEX(貼り付け!$A$1:$BZ$3001,154,$B$1)),"",SUBSTITUTE(SUBSTITUTE(SUBSTITUTE(SUBSTITUTE(TRIM(LEFT(INDEX(貼り付け!$A$1:$BZ$3001,154,$B$1)&amp;"",FIND(" ",TRIM(INDEX(貼り付け!$A$1:$BZ$3001,154,$B$1)&amp;"")&amp;" ")-1)),"/","-"),"年","-"),"月","-"),"日",""))),"")</f>
        <v/>
      </c>
      <c r="J155">
        <f>IFERROR(MID(I155,FIND("-",I155)+1,99),"")</f>
        <v/>
      </c>
    </row>
    <row r="156">
      <c r="B156">
        <f>IFERROR(IF($B$1=0,"",IF(INDEX(貼り付け!$A$1:$BZ$3001,155,$B$1)="","",IF(ISNUMBER(INDEX(貼り付け!$A$1:$BZ$3001,155,$B$1)),INT(INDEX(貼り付け!$A$1:$BZ$3001,155,$B$1)),DATE(VALUE(LEFT(I156,FIND("-",I156)-1)),VALUE(LEFT(J156,FIND("-",J156)-1)),VALUE(MID(J156,FIND("-",J156)+1,99)))))),"")</f>
        <v/>
      </c>
      <c r="C156">
        <f>IF($C$1=0,0,IFERROR(VALUE(SUBSTITUTE(SUBSTITUTE(SUBSTITUTE(INDEX(貼り付け!$A$1:$BZ$3001,155,$C$1)&amp;"",",",""),"¥",""),"￥","")),0))</f>
        <v/>
      </c>
      <c r="D156">
        <f>IF($D$1=0,0,IFERROR(VALUE(SUBSTITUTE(SUBSTITUTE(SUBSTITUTE(INDEX(貼り付け!$A$1:$BZ$3001,155,$D$1)&amp;"",",",""),"¥",""),"￥","")),0))</f>
        <v/>
      </c>
      <c r="E156">
        <f>IF($E$1=0,0,IFERROR(VALUE(SUBSTITUTE(SUBSTITUTE(SUBSTITUTE(INDEX(貼り付け!$A$1:$BZ$3001,155,$E$1)&amp;"",",",""),"¥",""),"￥","")),0))</f>
        <v/>
      </c>
      <c r="F156">
        <f>IF($F$1=0,0,IFERROR(VALUE(SUBSTITUTE(SUBSTITUTE(SUBSTITUTE(INDEX(貼り付け!$A$1:$BZ$3001,155,$F$1)&amp;"",",",""),"¥",""),"￥","")),0))</f>
        <v/>
      </c>
      <c r="G156">
        <f>IF(ISNUMBER(B156),YEAR(B156),"")</f>
        <v/>
      </c>
      <c r="H156">
        <f>IF(ISNUMBER(B156),MONTH(B156),"")</f>
        <v/>
      </c>
      <c r="I156">
        <f>IFERROR(IF($B$1=0,"",IF(ISNUMBER(INDEX(貼り付け!$A$1:$BZ$3001,155,$B$1)),"",SUBSTITUTE(SUBSTITUTE(SUBSTITUTE(SUBSTITUTE(TRIM(LEFT(INDEX(貼り付け!$A$1:$BZ$3001,155,$B$1)&amp;"",FIND(" ",TRIM(INDEX(貼り付け!$A$1:$BZ$3001,155,$B$1)&amp;"")&amp;" ")-1)),"/","-"),"年","-"),"月","-"),"日",""))),"")</f>
        <v/>
      </c>
      <c r="J156">
        <f>IFERROR(MID(I156,FIND("-",I156)+1,99),"")</f>
        <v/>
      </c>
    </row>
    <row r="157">
      <c r="B157">
        <f>IFERROR(IF($B$1=0,"",IF(INDEX(貼り付け!$A$1:$BZ$3001,156,$B$1)="","",IF(ISNUMBER(INDEX(貼り付け!$A$1:$BZ$3001,156,$B$1)),INT(INDEX(貼り付け!$A$1:$BZ$3001,156,$B$1)),DATE(VALUE(LEFT(I157,FIND("-",I157)-1)),VALUE(LEFT(J157,FIND("-",J157)-1)),VALUE(MID(J157,FIND("-",J157)+1,99)))))),"")</f>
        <v/>
      </c>
      <c r="C157">
        <f>IF($C$1=0,0,IFERROR(VALUE(SUBSTITUTE(SUBSTITUTE(SUBSTITUTE(INDEX(貼り付け!$A$1:$BZ$3001,156,$C$1)&amp;"",",",""),"¥",""),"￥","")),0))</f>
        <v/>
      </c>
      <c r="D157">
        <f>IF($D$1=0,0,IFERROR(VALUE(SUBSTITUTE(SUBSTITUTE(SUBSTITUTE(INDEX(貼り付け!$A$1:$BZ$3001,156,$D$1)&amp;"",",",""),"¥",""),"￥","")),0))</f>
        <v/>
      </c>
      <c r="E157">
        <f>IF($E$1=0,0,IFERROR(VALUE(SUBSTITUTE(SUBSTITUTE(SUBSTITUTE(INDEX(貼り付け!$A$1:$BZ$3001,156,$E$1)&amp;"",",",""),"¥",""),"￥","")),0))</f>
        <v/>
      </c>
      <c r="F157">
        <f>IF($F$1=0,0,IFERROR(VALUE(SUBSTITUTE(SUBSTITUTE(SUBSTITUTE(INDEX(貼り付け!$A$1:$BZ$3001,156,$F$1)&amp;"",",",""),"¥",""),"￥","")),0))</f>
        <v/>
      </c>
      <c r="G157">
        <f>IF(ISNUMBER(B157),YEAR(B157),"")</f>
        <v/>
      </c>
      <c r="H157">
        <f>IF(ISNUMBER(B157),MONTH(B157),"")</f>
        <v/>
      </c>
      <c r="I157">
        <f>IFERROR(IF($B$1=0,"",IF(ISNUMBER(INDEX(貼り付け!$A$1:$BZ$3001,156,$B$1)),"",SUBSTITUTE(SUBSTITUTE(SUBSTITUTE(SUBSTITUTE(TRIM(LEFT(INDEX(貼り付け!$A$1:$BZ$3001,156,$B$1)&amp;"",FIND(" ",TRIM(INDEX(貼り付け!$A$1:$BZ$3001,156,$B$1)&amp;"")&amp;" ")-1)),"/","-"),"年","-"),"月","-"),"日",""))),"")</f>
        <v/>
      </c>
      <c r="J157">
        <f>IFERROR(MID(I157,FIND("-",I157)+1,99),"")</f>
        <v/>
      </c>
    </row>
    <row r="158">
      <c r="B158">
        <f>IFERROR(IF($B$1=0,"",IF(INDEX(貼り付け!$A$1:$BZ$3001,157,$B$1)="","",IF(ISNUMBER(INDEX(貼り付け!$A$1:$BZ$3001,157,$B$1)),INT(INDEX(貼り付け!$A$1:$BZ$3001,157,$B$1)),DATE(VALUE(LEFT(I158,FIND("-",I158)-1)),VALUE(LEFT(J158,FIND("-",J158)-1)),VALUE(MID(J158,FIND("-",J158)+1,99)))))),"")</f>
        <v/>
      </c>
      <c r="C158">
        <f>IF($C$1=0,0,IFERROR(VALUE(SUBSTITUTE(SUBSTITUTE(SUBSTITUTE(INDEX(貼り付け!$A$1:$BZ$3001,157,$C$1)&amp;"",",",""),"¥",""),"￥","")),0))</f>
        <v/>
      </c>
      <c r="D158">
        <f>IF($D$1=0,0,IFERROR(VALUE(SUBSTITUTE(SUBSTITUTE(SUBSTITUTE(INDEX(貼り付け!$A$1:$BZ$3001,157,$D$1)&amp;"",",",""),"¥",""),"￥","")),0))</f>
        <v/>
      </c>
      <c r="E158">
        <f>IF($E$1=0,0,IFERROR(VALUE(SUBSTITUTE(SUBSTITUTE(SUBSTITUTE(INDEX(貼り付け!$A$1:$BZ$3001,157,$E$1)&amp;"",",",""),"¥",""),"￥","")),0))</f>
        <v/>
      </c>
      <c r="F158">
        <f>IF($F$1=0,0,IFERROR(VALUE(SUBSTITUTE(SUBSTITUTE(SUBSTITUTE(INDEX(貼り付け!$A$1:$BZ$3001,157,$F$1)&amp;"",",",""),"¥",""),"￥","")),0))</f>
        <v/>
      </c>
      <c r="G158">
        <f>IF(ISNUMBER(B158),YEAR(B158),"")</f>
        <v/>
      </c>
      <c r="H158">
        <f>IF(ISNUMBER(B158),MONTH(B158),"")</f>
        <v/>
      </c>
      <c r="I158">
        <f>IFERROR(IF($B$1=0,"",IF(ISNUMBER(INDEX(貼り付け!$A$1:$BZ$3001,157,$B$1)),"",SUBSTITUTE(SUBSTITUTE(SUBSTITUTE(SUBSTITUTE(TRIM(LEFT(INDEX(貼り付け!$A$1:$BZ$3001,157,$B$1)&amp;"",FIND(" ",TRIM(INDEX(貼り付け!$A$1:$BZ$3001,157,$B$1)&amp;"")&amp;" ")-1)),"/","-"),"年","-"),"月","-"),"日",""))),"")</f>
        <v/>
      </c>
      <c r="J158">
        <f>IFERROR(MID(I158,FIND("-",I158)+1,99),"")</f>
        <v/>
      </c>
    </row>
    <row r="159">
      <c r="B159">
        <f>IFERROR(IF($B$1=0,"",IF(INDEX(貼り付け!$A$1:$BZ$3001,158,$B$1)="","",IF(ISNUMBER(INDEX(貼り付け!$A$1:$BZ$3001,158,$B$1)),INT(INDEX(貼り付け!$A$1:$BZ$3001,158,$B$1)),DATE(VALUE(LEFT(I159,FIND("-",I159)-1)),VALUE(LEFT(J159,FIND("-",J159)-1)),VALUE(MID(J159,FIND("-",J159)+1,99)))))),"")</f>
        <v/>
      </c>
      <c r="C159">
        <f>IF($C$1=0,0,IFERROR(VALUE(SUBSTITUTE(SUBSTITUTE(SUBSTITUTE(INDEX(貼り付け!$A$1:$BZ$3001,158,$C$1)&amp;"",",",""),"¥",""),"￥","")),0))</f>
        <v/>
      </c>
      <c r="D159">
        <f>IF($D$1=0,0,IFERROR(VALUE(SUBSTITUTE(SUBSTITUTE(SUBSTITUTE(INDEX(貼り付け!$A$1:$BZ$3001,158,$D$1)&amp;"",",",""),"¥",""),"￥","")),0))</f>
        <v/>
      </c>
      <c r="E159">
        <f>IF($E$1=0,0,IFERROR(VALUE(SUBSTITUTE(SUBSTITUTE(SUBSTITUTE(INDEX(貼り付け!$A$1:$BZ$3001,158,$E$1)&amp;"",",",""),"¥",""),"￥","")),0))</f>
        <v/>
      </c>
      <c r="F159">
        <f>IF($F$1=0,0,IFERROR(VALUE(SUBSTITUTE(SUBSTITUTE(SUBSTITUTE(INDEX(貼り付け!$A$1:$BZ$3001,158,$F$1)&amp;"",",",""),"¥",""),"￥","")),0))</f>
        <v/>
      </c>
      <c r="G159">
        <f>IF(ISNUMBER(B159),YEAR(B159),"")</f>
        <v/>
      </c>
      <c r="H159">
        <f>IF(ISNUMBER(B159),MONTH(B159),"")</f>
        <v/>
      </c>
      <c r="I159">
        <f>IFERROR(IF($B$1=0,"",IF(ISNUMBER(INDEX(貼り付け!$A$1:$BZ$3001,158,$B$1)),"",SUBSTITUTE(SUBSTITUTE(SUBSTITUTE(SUBSTITUTE(TRIM(LEFT(INDEX(貼り付け!$A$1:$BZ$3001,158,$B$1)&amp;"",FIND(" ",TRIM(INDEX(貼り付け!$A$1:$BZ$3001,158,$B$1)&amp;"")&amp;" ")-1)),"/","-"),"年","-"),"月","-"),"日",""))),"")</f>
        <v/>
      </c>
      <c r="J159">
        <f>IFERROR(MID(I159,FIND("-",I159)+1,99),"")</f>
        <v/>
      </c>
    </row>
    <row r="160">
      <c r="B160">
        <f>IFERROR(IF($B$1=0,"",IF(INDEX(貼り付け!$A$1:$BZ$3001,159,$B$1)="","",IF(ISNUMBER(INDEX(貼り付け!$A$1:$BZ$3001,159,$B$1)),INT(INDEX(貼り付け!$A$1:$BZ$3001,159,$B$1)),DATE(VALUE(LEFT(I160,FIND("-",I160)-1)),VALUE(LEFT(J160,FIND("-",J160)-1)),VALUE(MID(J160,FIND("-",J160)+1,99)))))),"")</f>
        <v/>
      </c>
      <c r="C160">
        <f>IF($C$1=0,0,IFERROR(VALUE(SUBSTITUTE(SUBSTITUTE(SUBSTITUTE(INDEX(貼り付け!$A$1:$BZ$3001,159,$C$1)&amp;"",",",""),"¥",""),"￥","")),0))</f>
        <v/>
      </c>
      <c r="D160">
        <f>IF($D$1=0,0,IFERROR(VALUE(SUBSTITUTE(SUBSTITUTE(SUBSTITUTE(INDEX(貼り付け!$A$1:$BZ$3001,159,$D$1)&amp;"",",",""),"¥",""),"￥","")),0))</f>
        <v/>
      </c>
      <c r="E160">
        <f>IF($E$1=0,0,IFERROR(VALUE(SUBSTITUTE(SUBSTITUTE(SUBSTITUTE(INDEX(貼り付け!$A$1:$BZ$3001,159,$E$1)&amp;"",",",""),"¥",""),"￥","")),0))</f>
        <v/>
      </c>
      <c r="F160">
        <f>IF($F$1=0,0,IFERROR(VALUE(SUBSTITUTE(SUBSTITUTE(SUBSTITUTE(INDEX(貼り付け!$A$1:$BZ$3001,159,$F$1)&amp;"",",",""),"¥",""),"￥","")),0))</f>
        <v/>
      </c>
      <c r="G160">
        <f>IF(ISNUMBER(B160),YEAR(B160),"")</f>
        <v/>
      </c>
      <c r="H160">
        <f>IF(ISNUMBER(B160),MONTH(B160),"")</f>
        <v/>
      </c>
      <c r="I160">
        <f>IFERROR(IF($B$1=0,"",IF(ISNUMBER(INDEX(貼り付け!$A$1:$BZ$3001,159,$B$1)),"",SUBSTITUTE(SUBSTITUTE(SUBSTITUTE(SUBSTITUTE(TRIM(LEFT(INDEX(貼り付け!$A$1:$BZ$3001,159,$B$1)&amp;"",FIND(" ",TRIM(INDEX(貼り付け!$A$1:$BZ$3001,159,$B$1)&amp;"")&amp;" ")-1)),"/","-"),"年","-"),"月","-"),"日",""))),"")</f>
        <v/>
      </c>
      <c r="J160">
        <f>IFERROR(MID(I160,FIND("-",I160)+1,99),"")</f>
        <v/>
      </c>
    </row>
    <row r="161">
      <c r="B161">
        <f>IFERROR(IF($B$1=0,"",IF(INDEX(貼り付け!$A$1:$BZ$3001,160,$B$1)="","",IF(ISNUMBER(INDEX(貼り付け!$A$1:$BZ$3001,160,$B$1)),INT(INDEX(貼り付け!$A$1:$BZ$3001,160,$B$1)),DATE(VALUE(LEFT(I161,FIND("-",I161)-1)),VALUE(LEFT(J161,FIND("-",J161)-1)),VALUE(MID(J161,FIND("-",J161)+1,99)))))),"")</f>
        <v/>
      </c>
      <c r="C161">
        <f>IF($C$1=0,0,IFERROR(VALUE(SUBSTITUTE(SUBSTITUTE(SUBSTITUTE(INDEX(貼り付け!$A$1:$BZ$3001,160,$C$1)&amp;"",",",""),"¥",""),"￥","")),0))</f>
        <v/>
      </c>
      <c r="D161">
        <f>IF($D$1=0,0,IFERROR(VALUE(SUBSTITUTE(SUBSTITUTE(SUBSTITUTE(INDEX(貼り付け!$A$1:$BZ$3001,160,$D$1)&amp;"",",",""),"¥",""),"￥","")),0))</f>
        <v/>
      </c>
      <c r="E161">
        <f>IF($E$1=0,0,IFERROR(VALUE(SUBSTITUTE(SUBSTITUTE(SUBSTITUTE(INDEX(貼り付け!$A$1:$BZ$3001,160,$E$1)&amp;"",",",""),"¥",""),"￥","")),0))</f>
        <v/>
      </c>
      <c r="F161">
        <f>IF($F$1=0,0,IFERROR(VALUE(SUBSTITUTE(SUBSTITUTE(SUBSTITUTE(INDEX(貼り付け!$A$1:$BZ$3001,160,$F$1)&amp;"",",",""),"¥",""),"￥","")),0))</f>
        <v/>
      </c>
      <c r="G161">
        <f>IF(ISNUMBER(B161),YEAR(B161),"")</f>
        <v/>
      </c>
      <c r="H161">
        <f>IF(ISNUMBER(B161),MONTH(B161),"")</f>
        <v/>
      </c>
      <c r="I161">
        <f>IFERROR(IF($B$1=0,"",IF(ISNUMBER(INDEX(貼り付け!$A$1:$BZ$3001,160,$B$1)),"",SUBSTITUTE(SUBSTITUTE(SUBSTITUTE(SUBSTITUTE(TRIM(LEFT(INDEX(貼り付け!$A$1:$BZ$3001,160,$B$1)&amp;"",FIND(" ",TRIM(INDEX(貼り付け!$A$1:$BZ$3001,160,$B$1)&amp;"")&amp;" ")-1)),"/","-"),"年","-"),"月","-"),"日",""))),"")</f>
        <v/>
      </c>
      <c r="J161">
        <f>IFERROR(MID(I161,FIND("-",I161)+1,99),"")</f>
        <v/>
      </c>
    </row>
    <row r="162">
      <c r="B162">
        <f>IFERROR(IF($B$1=0,"",IF(INDEX(貼り付け!$A$1:$BZ$3001,161,$B$1)="","",IF(ISNUMBER(INDEX(貼り付け!$A$1:$BZ$3001,161,$B$1)),INT(INDEX(貼り付け!$A$1:$BZ$3001,161,$B$1)),DATE(VALUE(LEFT(I162,FIND("-",I162)-1)),VALUE(LEFT(J162,FIND("-",J162)-1)),VALUE(MID(J162,FIND("-",J162)+1,99)))))),"")</f>
        <v/>
      </c>
      <c r="C162">
        <f>IF($C$1=0,0,IFERROR(VALUE(SUBSTITUTE(SUBSTITUTE(SUBSTITUTE(INDEX(貼り付け!$A$1:$BZ$3001,161,$C$1)&amp;"",",",""),"¥",""),"￥","")),0))</f>
        <v/>
      </c>
      <c r="D162">
        <f>IF($D$1=0,0,IFERROR(VALUE(SUBSTITUTE(SUBSTITUTE(SUBSTITUTE(INDEX(貼り付け!$A$1:$BZ$3001,161,$D$1)&amp;"",",",""),"¥",""),"￥","")),0))</f>
        <v/>
      </c>
      <c r="E162">
        <f>IF($E$1=0,0,IFERROR(VALUE(SUBSTITUTE(SUBSTITUTE(SUBSTITUTE(INDEX(貼り付け!$A$1:$BZ$3001,161,$E$1)&amp;"",",",""),"¥",""),"￥","")),0))</f>
        <v/>
      </c>
      <c r="F162">
        <f>IF($F$1=0,0,IFERROR(VALUE(SUBSTITUTE(SUBSTITUTE(SUBSTITUTE(INDEX(貼り付け!$A$1:$BZ$3001,161,$F$1)&amp;"",",",""),"¥",""),"￥","")),0))</f>
        <v/>
      </c>
      <c r="G162">
        <f>IF(ISNUMBER(B162),YEAR(B162),"")</f>
        <v/>
      </c>
      <c r="H162">
        <f>IF(ISNUMBER(B162),MONTH(B162),"")</f>
        <v/>
      </c>
      <c r="I162">
        <f>IFERROR(IF($B$1=0,"",IF(ISNUMBER(INDEX(貼り付け!$A$1:$BZ$3001,161,$B$1)),"",SUBSTITUTE(SUBSTITUTE(SUBSTITUTE(SUBSTITUTE(TRIM(LEFT(INDEX(貼り付け!$A$1:$BZ$3001,161,$B$1)&amp;"",FIND(" ",TRIM(INDEX(貼り付け!$A$1:$BZ$3001,161,$B$1)&amp;"")&amp;" ")-1)),"/","-"),"年","-"),"月","-"),"日",""))),"")</f>
        <v/>
      </c>
      <c r="J162">
        <f>IFERROR(MID(I162,FIND("-",I162)+1,99),"")</f>
        <v/>
      </c>
    </row>
    <row r="163">
      <c r="B163">
        <f>IFERROR(IF($B$1=0,"",IF(INDEX(貼り付け!$A$1:$BZ$3001,162,$B$1)="","",IF(ISNUMBER(INDEX(貼り付け!$A$1:$BZ$3001,162,$B$1)),INT(INDEX(貼り付け!$A$1:$BZ$3001,162,$B$1)),DATE(VALUE(LEFT(I163,FIND("-",I163)-1)),VALUE(LEFT(J163,FIND("-",J163)-1)),VALUE(MID(J163,FIND("-",J163)+1,99)))))),"")</f>
        <v/>
      </c>
      <c r="C163">
        <f>IF($C$1=0,0,IFERROR(VALUE(SUBSTITUTE(SUBSTITUTE(SUBSTITUTE(INDEX(貼り付け!$A$1:$BZ$3001,162,$C$1)&amp;"",",",""),"¥",""),"￥","")),0))</f>
        <v/>
      </c>
      <c r="D163">
        <f>IF($D$1=0,0,IFERROR(VALUE(SUBSTITUTE(SUBSTITUTE(SUBSTITUTE(INDEX(貼り付け!$A$1:$BZ$3001,162,$D$1)&amp;"",",",""),"¥",""),"￥","")),0))</f>
        <v/>
      </c>
      <c r="E163">
        <f>IF($E$1=0,0,IFERROR(VALUE(SUBSTITUTE(SUBSTITUTE(SUBSTITUTE(INDEX(貼り付け!$A$1:$BZ$3001,162,$E$1)&amp;"",",",""),"¥",""),"￥","")),0))</f>
        <v/>
      </c>
      <c r="F163">
        <f>IF($F$1=0,0,IFERROR(VALUE(SUBSTITUTE(SUBSTITUTE(SUBSTITUTE(INDEX(貼り付け!$A$1:$BZ$3001,162,$F$1)&amp;"",",",""),"¥",""),"￥","")),0))</f>
        <v/>
      </c>
      <c r="G163">
        <f>IF(ISNUMBER(B163),YEAR(B163),"")</f>
        <v/>
      </c>
      <c r="H163">
        <f>IF(ISNUMBER(B163),MONTH(B163),"")</f>
        <v/>
      </c>
      <c r="I163">
        <f>IFERROR(IF($B$1=0,"",IF(ISNUMBER(INDEX(貼り付け!$A$1:$BZ$3001,162,$B$1)),"",SUBSTITUTE(SUBSTITUTE(SUBSTITUTE(SUBSTITUTE(TRIM(LEFT(INDEX(貼り付け!$A$1:$BZ$3001,162,$B$1)&amp;"",FIND(" ",TRIM(INDEX(貼り付け!$A$1:$BZ$3001,162,$B$1)&amp;"")&amp;" ")-1)),"/","-"),"年","-"),"月","-"),"日",""))),"")</f>
        <v/>
      </c>
      <c r="J163">
        <f>IFERROR(MID(I163,FIND("-",I163)+1,99),"")</f>
        <v/>
      </c>
    </row>
    <row r="164">
      <c r="B164">
        <f>IFERROR(IF($B$1=0,"",IF(INDEX(貼り付け!$A$1:$BZ$3001,163,$B$1)="","",IF(ISNUMBER(INDEX(貼り付け!$A$1:$BZ$3001,163,$B$1)),INT(INDEX(貼り付け!$A$1:$BZ$3001,163,$B$1)),DATE(VALUE(LEFT(I164,FIND("-",I164)-1)),VALUE(LEFT(J164,FIND("-",J164)-1)),VALUE(MID(J164,FIND("-",J164)+1,99)))))),"")</f>
        <v/>
      </c>
      <c r="C164">
        <f>IF($C$1=0,0,IFERROR(VALUE(SUBSTITUTE(SUBSTITUTE(SUBSTITUTE(INDEX(貼り付け!$A$1:$BZ$3001,163,$C$1)&amp;"",",",""),"¥",""),"￥","")),0))</f>
        <v/>
      </c>
      <c r="D164">
        <f>IF($D$1=0,0,IFERROR(VALUE(SUBSTITUTE(SUBSTITUTE(SUBSTITUTE(INDEX(貼り付け!$A$1:$BZ$3001,163,$D$1)&amp;"",",",""),"¥",""),"￥","")),0))</f>
        <v/>
      </c>
      <c r="E164">
        <f>IF($E$1=0,0,IFERROR(VALUE(SUBSTITUTE(SUBSTITUTE(SUBSTITUTE(INDEX(貼り付け!$A$1:$BZ$3001,163,$E$1)&amp;"",",",""),"¥",""),"￥","")),0))</f>
        <v/>
      </c>
      <c r="F164">
        <f>IF($F$1=0,0,IFERROR(VALUE(SUBSTITUTE(SUBSTITUTE(SUBSTITUTE(INDEX(貼り付け!$A$1:$BZ$3001,163,$F$1)&amp;"",",",""),"¥",""),"￥","")),0))</f>
        <v/>
      </c>
      <c r="G164">
        <f>IF(ISNUMBER(B164),YEAR(B164),"")</f>
        <v/>
      </c>
      <c r="H164">
        <f>IF(ISNUMBER(B164),MONTH(B164),"")</f>
        <v/>
      </c>
      <c r="I164">
        <f>IFERROR(IF($B$1=0,"",IF(ISNUMBER(INDEX(貼り付け!$A$1:$BZ$3001,163,$B$1)),"",SUBSTITUTE(SUBSTITUTE(SUBSTITUTE(SUBSTITUTE(TRIM(LEFT(INDEX(貼り付け!$A$1:$BZ$3001,163,$B$1)&amp;"",FIND(" ",TRIM(INDEX(貼り付け!$A$1:$BZ$3001,163,$B$1)&amp;"")&amp;" ")-1)),"/","-"),"年","-"),"月","-"),"日",""))),"")</f>
        <v/>
      </c>
      <c r="J164">
        <f>IFERROR(MID(I164,FIND("-",I164)+1,99),"")</f>
        <v/>
      </c>
    </row>
    <row r="165">
      <c r="B165">
        <f>IFERROR(IF($B$1=0,"",IF(INDEX(貼り付け!$A$1:$BZ$3001,164,$B$1)="","",IF(ISNUMBER(INDEX(貼り付け!$A$1:$BZ$3001,164,$B$1)),INT(INDEX(貼り付け!$A$1:$BZ$3001,164,$B$1)),DATE(VALUE(LEFT(I165,FIND("-",I165)-1)),VALUE(LEFT(J165,FIND("-",J165)-1)),VALUE(MID(J165,FIND("-",J165)+1,99)))))),"")</f>
        <v/>
      </c>
      <c r="C165">
        <f>IF($C$1=0,0,IFERROR(VALUE(SUBSTITUTE(SUBSTITUTE(SUBSTITUTE(INDEX(貼り付け!$A$1:$BZ$3001,164,$C$1)&amp;"",",",""),"¥",""),"￥","")),0))</f>
        <v/>
      </c>
      <c r="D165">
        <f>IF($D$1=0,0,IFERROR(VALUE(SUBSTITUTE(SUBSTITUTE(SUBSTITUTE(INDEX(貼り付け!$A$1:$BZ$3001,164,$D$1)&amp;"",",",""),"¥",""),"￥","")),0))</f>
        <v/>
      </c>
      <c r="E165">
        <f>IF($E$1=0,0,IFERROR(VALUE(SUBSTITUTE(SUBSTITUTE(SUBSTITUTE(INDEX(貼り付け!$A$1:$BZ$3001,164,$E$1)&amp;"",",",""),"¥",""),"￥","")),0))</f>
        <v/>
      </c>
      <c r="F165">
        <f>IF($F$1=0,0,IFERROR(VALUE(SUBSTITUTE(SUBSTITUTE(SUBSTITUTE(INDEX(貼り付け!$A$1:$BZ$3001,164,$F$1)&amp;"",",",""),"¥",""),"￥","")),0))</f>
        <v/>
      </c>
      <c r="G165">
        <f>IF(ISNUMBER(B165),YEAR(B165),"")</f>
        <v/>
      </c>
      <c r="H165">
        <f>IF(ISNUMBER(B165),MONTH(B165),"")</f>
        <v/>
      </c>
      <c r="I165">
        <f>IFERROR(IF($B$1=0,"",IF(ISNUMBER(INDEX(貼り付け!$A$1:$BZ$3001,164,$B$1)),"",SUBSTITUTE(SUBSTITUTE(SUBSTITUTE(SUBSTITUTE(TRIM(LEFT(INDEX(貼り付け!$A$1:$BZ$3001,164,$B$1)&amp;"",FIND(" ",TRIM(INDEX(貼り付け!$A$1:$BZ$3001,164,$B$1)&amp;"")&amp;" ")-1)),"/","-"),"年","-"),"月","-"),"日",""))),"")</f>
        <v/>
      </c>
      <c r="J165">
        <f>IFERROR(MID(I165,FIND("-",I165)+1,99),"")</f>
        <v/>
      </c>
    </row>
    <row r="166">
      <c r="B166">
        <f>IFERROR(IF($B$1=0,"",IF(INDEX(貼り付け!$A$1:$BZ$3001,165,$B$1)="","",IF(ISNUMBER(INDEX(貼り付け!$A$1:$BZ$3001,165,$B$1)),INT(INDEX(貼り付け!$A$1:$BZ$3001,165,$B$1)),DATE(VALUE(LEFT(I166,FIND("-",I166)-1)),VALUE(LEFT(J166,FIND("-",J166)-1)),VALUE(MID(J166,FIND("-",J166)+1,99)))))),"")</f>
        <v/>
      </c>
      <c r="C166">
        <f>IF($C$1=0,0,IFERROR(VALUE(SUBSTITUTE(SUBSTITUTE(SUBSTITUTE(INDEX(貼り付け!$A$1:$BZ$3001,165,$C$1)&amp;"",",",""),"¥",""),"￥","")),0))</f>
        <v/>
      </c>
      <c r="D166">
        <f>IF($D$1=0,0,IFERROR(VALUE(SUBSTITUTE(SUBSTITUTE(SUBSTITUTE(INDEX(貼り付け!$A$1:$BZ$3001,165,$D$1)&amp;"",",",""),"¥",""),"￥","")),0))</f>
        <v/>
      </c>
      <c r="E166">
        <f>IF($E$1=0,0,IFERROR(VALUE(SUBSTITUTE(SUBSTITUTE(SUBSTITUTE(INDEX(貼り付け!$A$1:$BZ$3001,165,$E$1)&amp;"",",",""),"¥",""),"￥","")),0))</f>
        <v/>
      </c>
      <c r="F166">
        <f>IF($F$1=0,0,IFERROR(VALUE(SUBSTITUTE(SUBSTITUTE(SUBSTITUTE(INDEX(貼り付け!$A$1:$BZ$3001,165,$F$1)&amp;"",",",""),"¥",""),"￥","")),0))</f>
        <v/>
      </c>
      <c r="G166">
        <f>IF(ISNUMBER(B166),YEAR(B166),"")</f>
        <v/>
      </c>
      <c r="H166">
        <f>IF(ISNUMBER(B166),MONTH(B166),"")</f>
        <v/>
      </c>
      <c r="I166">
        <f>IFERROR(IF($B$1=0,"",IF(ISNUMBER(INDEX(貼り付け!$A$1:$BZ$3001,165,$B$1)),"",SUBSTITUTE(SUBSTITUTE(SUBSTITUTE(SUBSTITUTE(TRIM(LEFT(INDEX(貼り付け!$A$1:$BZ$3001,165,$B$1)&amp;"",FIND(" ",TRIM(INDEX(貼り付け!$A$1:$BZ$3001,165,$B$1)&amp;"")&amp;" ")-1)),"/","-"),"年","-"),"月","-"),"日",""))),"")</f>
        <v/>
      </c>
      <c r="J166">
        <f>IFERROR(MID(I166,FIND("-",I166)+1,99),"")</f>
        <v/>
      </c>
    </row>
    <row r="167">
      <c r="B167">
        <f>IFERROR(IF($B$1=0,"",IF(INDEX(貼り付け!$A$1:$BZ$3001,166,$B$1)="","",IF(ISNUMBER(INDEX(貼り付け!$A$1:$BZ$3001,166,$B$1)),INT(INDEX(貼り付け!$A$1:$BZ$3001,166,$B$1)),DATE(VALUE(LEFT(I167,FIND("-",I167)-1)),VALUE(LEFT(J167,FIND("-",J167)-1)),VALUE(MID(J167,FIND("-",J167)+1,99)))))),"")</f>
        <v/>
      </c>
      <c r="C167">
        <f>IF($C$1=0,0,IFERROR(VALUE(SUBSTITUTE(SUBSTITUTE(SUBSTITUTE(INDEX(貼り付け!$A$1:$BZ$3001,166,$C$1)&amp;"",",",""),"¥",""),"￥","")),0))</f>
        <v/>
      </c>
      <c r="D167">
        <f>IF($D$1=0,0,IFERROR(VALUE(SUBSTITUTE(SUBSTITUTE(SUBSTITUTE(INDEX(貼り付け!$A$1:$BZ$3001,166,$D$1)&amp;"",",",""),"¥",""),"￥","")),0))</f>
        <v/>
      </c>
      <c r="E167">
        <f>IF($E$1=0,0,IFERROR(VALUE(SUBSTITUTE(SUBSTITUTE(SUBSTITUTE(INDEX(貼り付け!$A$1:$BZ$3001,166,$E$1)&amp;"",",",""),"¥",""),"￥","")),0))</f>
        <v/>
      </c>
      <c r="F167">
        <f>IF($F$1=0,0,IFERROR(VALUE(SUBSTITUTE(SUBSTITUTE(SUBSTITUTE(INDEX(貼り付け!$A$1:$BZ$3001,166,$F$1)&amp;"",",",""),"¥",""),"￥","")),0))</f>
        <v/>
      </c>
      <c r="G167">
        <f>IF(ISNUMBER(B167),YEAR(B167),"")</f>
        <v/>
      </c>
      <c r="H167">
        <f>IF(ISNUMBER(B167),MONTH(B167),"")</f>
        <v/>
      </c>
      <c r="I167">
        <f>IFERROR(IF($B$1=0,"",IF(ISNUMBER(INDEX(貼り付け!$A$1:$BZ$3001,166,$B$1)),"",SUBSTITUTE(SUBSTITUTE(SUBSTITUTE(SUBSTITUTE(TRIM(LEFT(INDEX(貼り付け!$A$1:$BZ$3001,166,$B$1)&amp;"",FIND(" ",TRIM(INDEX(貼り付け!$A$1:$BZ$3001,166,$B$1)&amp;"")&amp;" ")-1)),"/","-"),"年","-"),"月","-"),"日",""))),"")</f>
        <v/>
      </c>
      <c r="J167">
        <f>IFERROR(MID(I167,FIND("-",I167)+1,99),"")</f>
        <v/>
      </c>
    </row>
    <row r="168">
      <c r="B168">
        <f>IFERROR(IF($B$1=0,"",IF(INDEX(貼り付け!$A$1:$BZ$3001,167,$B$1)="","",IF(ISNUMBER(INDEX(貼り付け!$A$1:$BZ$3001,167,$B$1)),INT(INDEX(貼り付け!$A$1:$BZ$3001,167,$B$1)),DATE(VALUE(LEFT(I168,FIND("-",I168)-1)),VALUE(LEFT(J168,FIND("-",J168)-1)),VALUE(MID(J168,FIND("-",J168)+1,99)))))),"")</f>
        <v/>
      </c>
      <c r="C168">
        <f>IF($C$1=0,0,IFERROR(VALUE(SUBSTITUTE(SUBSTITUTE(SUBSTITUTE(INDEX(貼り付け!$A$1:$BZ$3001,167,$C$1)&amp;"",",",""),"¥",""),"￥","")),0))</f>
        <v/>
      </c>
      <c r="D168">
        <f>IF($D$1=0,0,IFERROR(VALUE(SUBSTITUTE(SUBSTITUTE(SUBSTITUTE(INDEX(貼り付け!$A$1:$BZ$3001,167,$D$1)&amp;"",",",""),"¥",""),"￥","")),0))</f>
        <v/>
      </c>
      <c r="E168">
        <f>IF($E$1=0,0,IFERROR(VALUE(SUBSTITUTE(SUBSTITUTE(SUBSTITUTE(INDEX(貼り付け!$A$1:$BZ$3001,167,$E$1)&amp;"",",",""),"¥",""),"￥","")),0))</f>
        <v/>
      </c>
      <c r="F168">
        <f>IF($F$1=0,0,IFERROR(VALUE(SUBSTITUTE(SUBSTITUTE(SUBSTITUTE(INDEX(貼り付け!$A$1:$BZ$3001,167,$F$1)&amp;"",",",""),"¥",""),"￥","")),0))</f>
        <v/>
      </c>
      <c r="G168">
        <f>IF(ISNUMBER(B168),YEAR(B168),"")</f>
        <v/>
      </c>
      <c r="H168">
        <f>IF(ISNUMBER(B168),MONTH(B168),"")</f>
        <v/>
      </c>
      <c r="I168">
        <f>IFERROR(IF($B$1=0,"",IF(ISNUMBER(INDEX(貼り付け!$A$1:$BZ$3001,167,$B$1)),"",SUBSTITUTE(SUBSTITUTE(SUBSTITUTE(SUBSTITUTE(TRIM(LEFT(INDEX(貼り付け!$A$1:$BZ$3001,167,$B$1)&amp;"",FIND(" ",TRIM(INDEX(貼り付け!$A$1:$BZ$3001,167,$B$1)&amp;"")&amp;" ")-1)),"/","-"),"年","-"),"月","-"),"日",""))),"")</f>
        <v/>
      </c>
      <c r="J168">
        <f>IFERROR(MID(I168,FIND("-",I168)+1,99),"")</f>
        <v/>
      </c>
    </row>
    <row r="169">
      <c r="B169">
        <f>IFERROR(IF($B$1=0,"",IF(INDEX(貼り付け!$A$1:$BZ$3001,168,$B$1)="","",IF(ISNUMBER(INDEX(貼り付け!$A$1:$BZ$3001,168,$B$1)),INT(INDEX(貼り付け!$A$1:$BZ$3001,168,$B$1)),DATE(VALUE(LEFT(I169,FIND("-",I169)-1)),VALUE(LEFT(J169,FIND("-",J169)-1)),VALUE(MID(J169,FIND("-",J169)+1,99)))))),"")</f>
        <v/>
      </c>
      <c r="C169">
        <f>IF($C$1=0,0,IFERROR(VALUE(SUBSTITUTE(SUBSTITUTE(SUBSTITUTE(INDEX(貼り付け!$A$1:$BZ$3001,168,$C$1)&amp;"",",",""),"¥",""),"￥","")),0))</f>
        <v/>
      </c>
      <c r="D169">
        <f>IF($D$1=0,0,IFERROR(VALUE(SUBSTITUTE(SUBSTITUTE(SUBSTITUTE(INDEX(貼り付け!$A$1:$BZ$3001,168,$D$1)&amp;"",",",""),"¥",""),"￥","")),0))</f>
        <v/>
      </c>
      <c r="E169">
        <f>IF($E$1=0,0,IFERROR(VALUE(SUBSTITUTE(SUBSTITUTE(SUBSTITUTE(INDEX(貼り付け!$A$1:$BZ$3001,168,$E$1)&amp;"",",",""),"¥",""),"￥","")),0))</f>
        <v/>
      </c>
      <c r="F169">
        <f>IF($F$1=0,0,IFERROR(VALUE(SUBSTITUTE(SUBSTITUTE(SUBSTITUTE(INDEX(貼り付け!$A$1:$BZ$3001,168,$F$1)&amp;"",",",""),"¥",""),"￥","")),0))</f>
        <v/>
      </c>
      <c r="G169">
        <f>IF(ISNUMBER(B169),YEAR(B169),"")</f>
        <v/>
      </c>
      <c r="H169">
        <f>IF(ISNUMBER(B169),MONTH(B169),"")</f>
        <v/>
      </c>
      <c r="I169">
        <f>IFERROR(IF($B$1=0,"",IF(ISNUMBER(INDEX(貼り付け!$A$1:$BZ$3001,168,$B$1)),"",SUBSTITUTE(SUBSTITUTE(SUBSTITUTE(SUBSTITUTE(TRIM(LEFT(INDEX(貼り付け!$A$1:$BZ$3001,168,$B$1)&amp;"",FIND(" ",TRIM(INDEX(貼り付け!$A$1:$BZ$3001,168,$B$1)&amp;"")&amp;" ")-1)),"/","-"),"年","-"),"月","-"),"日",""))),"")</f>
        <v/>
      </c>
      <c r="J169">
        <f>IFERROR(MID(I169,FIND("-",I169)+1,99),"")</f>
        <v/>
      </c>
    </row>
    <row r="170">
      <c r="B170">
        <f>IFERROR(IF($B$1=0,"",IF(INDEX(貼り付け!$A$1:$BZ$3001,169,$B$1)="","",IF(ISNUMBER(INDEX(貼り付け!$A$1:$BZ$3001,169,$B$1)),INT(INDEX(貼り付け!$A$1:$BZ$3001,169,$B$1)),DATE(VALUE(LEFT(I170,FIND("-",I170)-1)),VALUE(LEFT(J170,FIND("-",J170)-1)),VALUE(MID(J170,FIND("-",J170)+1,99)))))),"")</f>
        <v/>
      </c>
      <c r="C170">
        <f>IF($C$1=0,0,IFERROR(VALUE(SUBSTITUTE(SUBSTITUTE(SUBSTITUTE(INDEX(貼り付け!$A$1:$BZ$3001,169,$C$1)&amp;"",",",""),"¥",""),"￥","")),0))</f>
        <v/>
      </c>
      <c r="D170">
        <f>IF($D$1=0,0,IFERROR(VALUE(SUBSTITUTE(SUBSTITUTE(SUBSTITUTE(INDEX(貼り付け!$A$1:$BZ$3001,169,$D$1)&amp;"",",",""),"¥",""),"￥","")),0))</f>
        <v/>
      </c>
      <c r="E170">
        <f>IF($E$1=0,0,IFERROR(VALUE(SUBSTITUTE(SUBSTITUTE(SUBSTITUTE(INDEX(貼り付け!$A$1:$BZ$3001,169,$E$1)&amp;"",",",""),"¥",""),"￥","")),0))</f>
        <v/>
      </c>
      <c r="F170">
        <f>IF($F$1=0,0,IFERROR(VALUE(SUBSTITUTE(SUBSTITUTE(SUBSTITUTE(INDEX(貼り付け!$A$1:$BZ$3001,169,$F$1)&amp;"",",",""),"¥",""),"￥","")),0))</f>
        <v/>
      </c>
      <c r="G170">
        <f>IF(ISNUMBER(B170),YEAR(B170),"")</f>
        <v/>
      </c>
      <c r="H170">
        <f>IF(ISNUMBER(B170),MONTH(B170),"")</f>
        <v/>
      </c>
      <c r="I170">
        <f>IFERROR(IF($B$1=0,"",IF(ISNUMBER(INDEX(貼り付け!$A$1:$BZ$3001,169,$B$1)),"",SUBSTITUTE(SUBSTITUTE(SUBSTITUTE(SUBSTITUTE(TRIM(LEFT(INDEX(貼り付け!$A$1:$BZ$3001,169,$B$1)&amp;"",FIND(" ",TRIM(INDEX(貼り付け!$A$1:$BZ$3001,169,$B$1)&amp;"")&amp;" ")-1)),"/","-"),"年","-"),"月","-"),"日",""))),"")</f>
        <v/>
      </c>
      <c r="J170">
        <f>IFERROR(MID(I170,FIND("-",I170)+1,99),"")</f>
        <v/>
      </c>
    </row>
    <row r="171">
      <c r="B171">
        <f>IFERROR(IF($B$1=0,"",IF(INDEX(貼り付け!$A$1:$BZ$3001,170,$B$1)="","",IF(ISNUMBER(INDEX(貼り付け!$A$1:$BZ$3001,170,$B$1)),INT(INDEX(貼り付け!$A$1:$BZ$3001,170,$B$1)),DATE(VALUE(LEFT(I171,FIND("-",I171)-1)),VALUE(LEFT(J171,FIND("-",J171)-1)),VALUE(MID(J171,FIND("-",J171)+1,99)))))),"")</f>
        <v/>
      </c>
      <c r="C171">
        <f>IF($C$1=0,0,IFERROR(VALUE(SUBSTITUTE(SUBSTITUTE(SUBSTITUTE(INDEX(貼り付け!$A$1:$BZ$3001,170,$C$1)&amp;"",",",""),"¥",""),"￥","")),0))</f>
        <v/>
      </c>
      <c r="D171">
        <f>IF($D$1=0,0,IFERROR(VALUE(SUBSTITUTE(SUBSTITUTE(SUBSTITUTE(INDEX(貼り付け!$A$1:$BZ$3001,170,$D$1)&amp;"",",",""),"¥",""),"￥","")),0))</f>
        <v/>
      </c>
      <c r="E171">
        <f>IF($E$1=0,0,IFERROR(VALUE(SUBSTITUTE(SUBSTITUTE(SUBSTITUTE(INDEX(貼り付け!$A$1:$BZ$3001,170,$E$1)&amp;"",",",""),"¥",""),"￥","")),0))</f>
        <v/>
      </c>
      <c r="F171">
        <f>IF($F$1=0,0,IFERROR(VALUE(SUBSTITUTE(SUBSTITUTE(SUBSTITUTE(INDEX(貼り付け!$A$1:$BZ$3001,170,$F$1)&amp;"",",",""),"¥",""),"￥","")),0))</f>
        <v/>
      </c>
      <c r="G171">
        <f>IF(ISNUMBER(B171),YEAR(B171),"")</f>
        <v/>
      </c>
      <c r="H171">
        <f>IF(ISNUMBER(B171),MONTH(B171),"")</f>
        <v/>
      </c>
      <c r="I171">
        <f>IFERROR(IF($B$1=0,"",IF(ISNUMBER(INDEX(貼り付け!$A$1:$BZ$3001,170,$B$1)),"",SUBSTITUTE(SUBSTITUTE(SUBSTITUTE(SUBSTITUTE(TRIM(LEFT(INDEX(貼り付け!$A$1:$BZ$3001,170,$B$1)&amp;"",FIND(" ",TRIM(INDEX(貼り付け!$A$1:$BZ$3001,170,$B$1)&amp;"")&amp;" ")-1)),"/","-"),"年","-"),"月","-"),"日",""))),"")</f>
        <v/>
      </c>
      <c r="J171">
        <f>IFERROR(MID(I171,FIND("-",I171)+1,99),"")</f>
        <v/>
      </c>
    </row>
    <row r="172">
      <c r="B172">
        <f>IFERROR(IF($B$1=0,"",IF(INDEX(貼り付け!$A$1:$BZ$3001,171,$B$1)="","",IF(ISNUMBER(INDEX(貼り付け!$A$1:$BZ$3001,171,$B$1)),INT(INDEX(貼り付け!$A$1:$BZ$3001,171,$B$1)),DATE(VALUE(LEFT(I172,FIND("-",I172)-1)),VALUE(LEFT(J172,FIND("-",J172)-1)),VALUE(MID(J172,FIND("-",J172)+1,99)))))),"")</f>
        <v/>
      </c>
      <c r="C172">
        <f>IF($C$1=0,0,IFERROR(VALUE(SUBSTITUTE(SUBSTITUTE(SUBSTITUTE(INDEX(貼り付け!$A$1:$BZ$3001,171,$C$1)&amp;"",",",""),"¥",""),"￥","")),0))</f>
        <v/>
      </c>
      <c r="D172">
        <f>IF($D$1=0,0,IFERROR(VALUE(SUBSTITUTE(SUBSTITUTE(SUBSTITUTE(INDEX(貼り付け!$A$1:$BZ$3001,171,$D$1)&amp;"",",",""),"¥",""),"￥","")),0))</f>
        <v/>
      </c>
      <c r="E172">
        <f>IF($E$1=0,0,IFERROR(VALUE(SUBSTITUTE(SUBSTITUTE(SUBSTITUTE(INDEX(貼り付け!$A$1:$BZ$3001,171,$E$1)&amp;"",",",""),"¥",""),"￥","")),0))</f>
        <v/>
      </c>
      <c r="F172">
        <f>IF($F$1=0,0,IFERROR(VALUE(SUBSTITUTE(SUBSTITUTE(SUBSTITUTE(INDEX(貼り付け!$A$1:$BZ$3001,171,$F$1)&amp;"",",",""),"¥",""),"￥","")),0))</f>
        <v/>
      </c>
      <c r="G172">
        <f>IF(ISNUMBER(B172),YEAR(B172),"")</f>
        <v/>
      </c>
      <c r="H172">
        <f>IF(ISNUMBER(B172),MONTH(B172),"")</f>
        <v/>
      </c>
      <c r="I172">
        <f>IFERROR(IF($B$1=0,"",IF(ISNUMBER(INDEX(貼り付け!$A$1:$BZ$3001,171,$B$1)),"",SUBSTITUTE(SUBSTITUTE(SUBSTITUTE(SUBSTITUTE(TRIM(LEFT(INDEX(貼り付け!$A$1:$BZ$3001,171,$B$1)&amp;"",FIND(" ",TRIM(INDEX(貼り付け!$A$1:$BZ$3001,171,$B$1)&amp;"")&amp;" ")-1)),"/","-"),"年","-"),"月","-"),"日",""))),"")</f>
        <v/>
      </c>
      <c r="J172">
        <f>IFERROR(MID(I172,FIND("-",I172)+1,99),"")</f>
        <v/>
      </c>
    </row>
    <row r="173">
      <c r="B173">
        <f>IFERROR(IF($B$1=0,"",IF(INDEX(貼り付け!$A$1:$BZ$3001,172,$B$1)="","",IF(ISNUMBER(INDEX(貼り付け!$A$1:$BZ$3001,172,$B$1)),INT(INDEX(貼り付け!$A$1:$BZ$3001,172,$B$1)),DATE(VALUE(LEFT(I173,FIND("-",I173)-1)),VALUE(LEFT(J173,FIND("-",J173)-1)),VALUE(MID(J173,FIND("-",J173)+1,99)))))),"")</f>
        <v/>
      </c>
      <c r="C173">
        <f>IF($C$1=0,0,IFERROR(VALUE(SUBSTITUTE(SUBSTITUTE(SUBSTITUTE(INDEX(貼り付け!$A$1:$BZ$3001,172,$C$1)&amp;"",",",""),"¥",""),"￥","")),0))</f>
        <v/>
      </c>
      <c r="D173">
        <f>IF($D$1=0,0,IFERROR(VALUE(SUBSTITUTE(SUBSTITUTE(SUBSTITUTE(INDEX(貼り付け!$A$1:$BZ$3001,172,$D$1)&amp;"",",",""),"¥",""),"￥","")),0))</f>
        <v/>
      </c>
      <c r="E173">
        <f>IF($E$1=0,0,IFERROR(VALUE(SUBSTITUTE(SUBSTITUTE(SUBSTITUTE(INDEX(貼り付け!$A$1:$BZ$3001,172,$E$1)&amp;"",",",""),"¥",""),"￥","")),0))</f>
        <v/>
      </c>
      <c r="F173">
        <f>IF($F$1=0,0,IFERROR(VALUE(SUBSTITUTE(SUBSTITUTE(SUBSTITUTE(INDEX(貼り付け!$A$1:$BZ$3001,172,$F$1)&amp;"",",",""),"¥",""),"￥","")),0))</f>
        <v/>
      </c>
      <c r="G173">
        <f>IF(ISNUMBER(B173),YEAR(B173),"")</f>
        <v/>
      </c>
      <c r="H173">
        <f>IF(ISNUMBER(B173),MONTH(B173),"")</f>
        <v/>
      </c>
      <c r="I173">
        <f>IFERROR(IF($B$1=0,"",IF(ISNUMBER(INDEX(貼り付け!$A$1:$BZ$3001,172,$B$1)),"",SUBSTITUTE(SUBSTITUTE(SUBSTITUTE(SUBSTITUTE(TRIM(LEFT(INDEX(貼り付け!$A$1:$BZ$3001,172,$B$1)&amp;"",FIND(" ",TRIM(INDEX(貼り付け!$A$1:$BZ$3001,172,$B$1)&amp;"")&amp;" ")-1)),"/","-"),"年","-"),"月","-"),"日",""))),"")</f>
        <v/>
      </c>
      <c r="J173">
        <f>IFERROR(MID(I173,FIND("-",I173)+1,99),"")</f>
        <v/>
      </c>
    </row>
    <row r="174">
      <c r="B174">
        <f>IFERROR(IF($B$1=0,"",IF(INDEX(貼り付け!$A$1:$BZ$3001,173,$B$1)="","",IF(ISNUMBER(INDEX(貼り付け!$A$1:$BZ$3001,173,$B$1)),INT(INDEX(貼り付け!$A$1:$BZ$3001,173,$B$1)),DATE(VALUE(LEFT(I174,FIND("-",I174)-1)),VALUE(LEFT(J174,FIND("-",J174)-1)),VALUE(MID(J174,FIND("-",J174)+1,99)))))),"")</f>
        <v/>
      </c>
      <c r="C174">
        <f>IF($C$1=0,0,IFERROR(VALUE(SUBSTITUTE(SUBSTITUTE(SUBSTITUTE(INDEX(貼り付け!$A$1:$BZ$3001,173,$C$1)&amp;"",",",""),"¥",""),"￥","")),0))</f>
        <v/>
      </c>
      <c r="D174">
        <f>IF($D$1=0,0,IFERROR(VALUE(SUBSTITUTE(SUBSTITUTE(SUBSTITUTE(INDEX(貼り付け!$A$1:$BZ$3001,173,$D$1)&amp;"",",",""),"¥",""),"￥","")),0))</f>
        <v/>
      </c>
      <c r="E174">
        <f>IF($E$1=0,0,IFERROR(VALUE(SUBSTITUTE(SUBSTITUTE(SUBSTITUTE(INDEX(貼り付け!$A$1:$BZ$3001,173,$E$1)&amp;"",",",""),"¥",""),"￥","")),0))</f>
        <v/>
      </c>
      <c r="F174">
        <f>IF($F$1=0,0,IFERROR(VALUE(SUBSTITUTE(SUBSTITUTE(SUBSTITUTE(INDEX(貼り付け!$A$1:$BZ$3001,173,$F$1)&amp;"",",",""),"¥",""),"￥","")),0))</f>
        <v/>
      </c>
      <c r="G174">
        <f>IF(ISNUMBER(B174),YEAR(B174),"")</f>
        <v/>
      </c>
      <c r="H174">
        <f>IF(ISNUMBER(B174),MONTH(B174),"")</f>
        <v/>
      </c>
      <c r="I174">
        <f>IFERROR(IF($B$1=0,"",IF(ISNUMBER(INDEX(貼り付け!$A$1:$BZ$3001,173,$B$1)),"",SUBSTITUTE(SUBSTITUTE(SUBSTITUTE(SUBSTITUTE(TRIM(LEFT(INDEX(貼り付け!$A$1:$BZ$3001,173,$B$1)&amp;"",FIND(" ",TRIM(INDEX(貼り付け!$A$1:$BZ$3001,173,$B$1)&amp;"")&amp;" ")-1)),"/","-"),"年","-"),"月","-"),"日",""))),"")</f>
        <v/>
      </c>
      <c r="J174">
        <f>IFERROR(MID(I174,FIND("-",I174)+1,99),"")</f>
        <v/>
      </c>
    </row>
    <row r="175">
      <c r="B175">
        <f>IFERROR(IF($B$1=0,"",IF(INDEX(貼り付け!$A$1:$BZ$3001,174,$B$1)="","",IF(ISNUMBER(INDEX(貼り付け!$A$1:$BZ$3001,174,$B$1)),INT(INDEX(貼り付け!$A$1:$BZ$3001,174,$B$1)),DATE(VALUE(LEFT(I175,FIND("-",I175)-1)),VALUE(LEFT(J175,FIND("-",J175)-1)),VALUE(MID(J175,FIND("-",J175)+1,99)))))),"")</f>
        <v/>
      </c>
      <c r="C175">
        <f>IF($C$1=0,0,IFERROR(VALUE(SUBSTITUTE(SUBSTITUTE(SUBSTITUTE(INDEX(貼り付け!$A$1:$BZ$3001,174,$C$1)&amp;"",",",""),"¥",""),"￥","")),0))</f>
        <v/>
      </c>
      <c r="D175">
        <f>IF($D$1=0,0,IFERROR(VALUE(SUBSTITUTE(SUBSTITUTE(SUBSTITUTE(INDEX(貼り付け!$A$1:$BZ$3001,174,$D$1)&amp;"",",",""),"¥",""),"￥","")),0))</f>
        <v/>
      </c>
      <c r="E175">
        <f>IF($E$1=0,0,IFERROR(VALUE(SUBSTITUTE(SUBSTITUTE(SUBSTITUTE(INDEX(貼り付け!$A$1:$BZ$3001,174,$E$1)&amp;"",",",""),"¥",""),"￥","")),0))</f>
        <v/>
      </c>
      <c r="F175">
        <f>IF($F$1=0,0,IFERROR(VALUE(SUBSTITUTE(SUBSTITUTE(SUBSTITUTE(INDEX(貼り付け!$A$1:$BZ$3001,174,$F$1)&amp;"",",",""),"¥",""),"￥","")),0))</f>
        <v/>
      </c>
      <c r="G175">
        <f>IF(ISNUMBER(B175),YEAR(B175),"")</f>
        <v/>
      </c>
      <c r="H175">
        <f>IF(ISNUMBER(B175),MONTH(B175),"")</f>
        <v/>
      </c>
      <c r="I175">
        <f>IFERROR(IF($B$1=0,"",IF(ISNUMBER(INDEX(貼り付け!$A$1:$BZ$3001,174,$B$1)),"",SUBSTITUTE(SUBSTITUTE(SUBSTITUTE(SUBSTITUTE(TRIM(LEFT(INDEX(貼り付け!$A$1:$BZ$3001,174,$B$1)&amp;"",FIND(" ",TRIM(INDEX(貼り付け!$A$1:$BZ$3001,174,$B$1)&amp;"")&amp;" ")-1)),"/","-"),"年","-"),"月","-"),"日",""))),"")</f>
        <v/>
      </c>
      <c r="J175">
        <f>IFERROR(MID(I175,FIND("-",I175)+1,99),"")</f>
        <v/>
      </c>
    </row>
    <row r="176">
      <c r="B176">
        <f>IFERROR(IF($B$1=0,"",IF(INDEX(貼り付け!$A$1:$BZ$3001,175,$B$1)="","",IF(ISNUMBER(INDEX(貼り付け!$A$1:$BZ$3001,175,$B$1)),INT(INDEX(貼り付け!$A$1:$BZ$3001,175,$B$1)),DATE(VALUE(LEFT(I176,FIND("-",I176)-1)),VALUE(LEFT(J176,FIND("-",J176)-1)),VALUE(MID(J176,FIND("-",J176)+1,99)))))),"")</f>
        <v/>
      </c>
      <c r="C176">
        <f>IF($C$1=0,0,IFERROR(VALUE(SUBSTITUTE(SUBSTITUTE(SUBSTITUTE(INDEX(貼り付け!$A$1:$BZ$3001,175,$C$1)&amp;"",",",""),"¥",""),"￥","")),0))</f>
        <v/>
      </c>
      <c r="D176">
        <f>IF($D$1=0,0,IFERROR(VALUE(SUBSTITUTE(SUBSTITUTE(SUBSTITUTE(INDEX(貼り付け!$A$1:$BZ$3001,175,$D$1)&amp;"",",",""),"¥",""),"￥","")),0))</f>
        <v/>
      </c>
      <c r="E176">
        <f>IF($E$1=0,0,IFERROR(VALUE(SUBSTITUTE(SUBSTITUTE(SUBSTITUTE(INDEX(貼り付け!$A$1:$BZ$3001,175,$E$1)&amp;"",",",""),"¥",""),"￥","")),0))</f>
        <v/>
      </c>
      <c r="F176">
        <f>IF($F$1=0,0,IFERROR(VALUE(SUBSTITUTE(SUBSTITUTE(SUBSTITUTE(INDEX(貼り付け!$A$1:$BZ$3001,175,$F$1)&amp;"",",",""),"¥",""),"￥","")),0))</f>
        <v/>
      </c>
      <c r="G176">
        <f>IF(ISNUMBER(B176),YEAR(B176),"")</f>
        <v/>
      </c>
      <c r="H176">
        <f>IF(ISNUMBER(B176),MONTH(B176),"")</f>
        <v/>
      </c>
      <c r="I176">
        <f>IFERROR(IF($B$1=0,"",IF(ISNUMBER(INDEX(貼り付け!$A$1:$BZ$3001,175,$B$1)),"",SUBSTITUTE(SUBSTITUTE(SUBSTITUTE(SUBSTITUTE(TRIM(LEFT(INDEX(貼り付け!$A$1:$BZ$3001,175,$B$1)&amp;"",FIND(" ",TRIM(INDEX(貼り付け!$A$1:$BZ$3001,175,$B$1)&amp;"")&amp;" ")-1)),"/","-"),"年","-"),"月","-"),"日",""))),"")</f>
        <v/>
      </c>
      <c r="J176">
        <f>IFERROR(MID(I176,FIND("-",I176)+1,99),"")</f>
        <v/>
      </c>
    </row>
    <row r="177">
      <c r="B177">
        <f>IFERROR(IF($B$1=0,"",IF(INDEX(貼り付け!$A$1:$BZ$3001,176,$B$1)="","",IF(ISNUMBER(INDEX(貼り付け!$A$1:$BZ$3001,176,$B$1)),INT(INDEX(貼り付け!$A$1:$BZ$3001,176,$B$1)),DATE(VALUE(LEFT(I177,FIND("-",I177)-1)),VALUE(LEFT(J177,FIND("-",J177)-1)),VALUE(MID(J177,FIND("-",J177)+1,99)))))),"")</f>
        <v/>
      </c>
      <c r="C177">
        <f>IF($C$1=0,0,IFERROR(VALUE(SUBSTITUTE(SUBSTITUTE(SUBSTITUTE(INDEX(貼り付け!$A$1:$BZ$3001,176,$C$1)&amp;"",",",""),"¥",""),"￥","")),0))</f>
        <v/>
      </c>
      <c r="D177">
        <f>IF($D$1=0,0,IFERROR(VALUE(SUBSTITUTE(SUBSTITUTE(SUBSTITUTE(INDEX(貼り付け!$A$1:$BZ$3001,176,$D$1)&amp;"",",",""),"¥",""),"￥","")),0))</f>
        <v/>
      </c>
      <c r="E177">
        <f>IF($E$1=0,0,IFERROR(VALUE(SUBSTITUTE(SUBSTITUTE(SUBSTITUTE(INDEX(貼り付け!$A$1:$BZ$3001,176,$E$1)&amp;"",",",""),"¥",""),"￥","")),0))</f>
        <v/>
      </c>
      <c r="F177">
        <f>IF($F$1=0,0,IFERROR(VALUE(SUBSTITUTE(SUBSTITUTE(SUBSTITUTE(INDEX(貼り付け!$A$1:$BZ$3001,176,$F$1)&amp;"",",",""),"¥",""),"￥","")),0))</f>
        <v/>
      </c>
      <c r="G177">
        <f>IF(ISNUMBER(B177),YEAR(B177),"")</f>
        <v/>
      </c>
      <c r="H177">
        <f>IF(ISNUMBER(B177),MONTH(B177),"")</f>
        <v/>
      </c>
      <c r="I177">
        <f>IFERROR(IF($B$1=0,"",IF(ISNUMBER(INDEX(貼り付け!$A$1:$BZ$3001,176,$B$1)),"",SUBSTITUTE(SUBSTITUTE(SUBSTITUTE(SUBSTITUTE(TRIM(LEFT(INDEX(貼り付け!$A$1:$BZ$3001,176,$B$1)&amp;"",FIND(" ",TRIM(INDEX(貼り付け!$A$1:$BZ$3001,176,$B$1)&amp;"")&amp;" ")-1)),"/","-"),"年","-"),"月","-"),"日",""))),"")</f>
        <v/>
      </c>
      <c r="J177">
        <f>IFERROR(MID(I177,FIND("-",I177)+1,99),"")</f>
        <v/>
      </c>
    </row>
    <row r="178">
      <c r="B178">
        <f>IFERROR(IF($B$1=0,"",IF(INDEX(貼り付け!$A$1:$BZ$3001,177,$B$1)="","",IF(ISNUMBER(INDEX(貼り付け!$A$1:$BZ$3001,177,$B$1)),INT(INDEX(貼り付け!$A$1:$BZ$3001,177,$B$1)),DATE(VALUE(LEFT(I178,FIND("-",I178)-1)),VALUE(LEFT(J178,FIND("-",J178)-1)),VALUE(MID(J178,FIND("-",J178)+1,99)))))),"")</f>
        <v/>
      </c>
      <c r="C178">
        <f>IF($C$1=0,0,IFERROR(VALUE(SUBSTITUTE(SUBSTITUTE(SUBSTITUTE(INDEX(貼り付け!$A$1:$BZ$3001,177,$C$1)&amp;"",",",""),"¥",""),"￥","")),0))</f>
        <v/>
      </c>
      <c r="D178">
        <f>IF($D$1=0,0,IFERROR(VALUE(SUBSTITUTE(SUBSTITUTE(SUBSTITUTE(INDEX(貼り付け!$A$1:$BZ$3001,177,$D$1)&amp;"",",",""),"¥",""),"￥","")),0))</f>
        <v/>
      </c>
      <c r="E178">
        <f>IF($E$1=0,0,IFERROR(VALUE(SUBSTITUTE(SUBSTITUTE(SUBSTITUTE(INDEX(貼り付け!$A$1:$BZ$3001,177,$E$1)&amp;"",",",""),"¥",""),"￥","")),0))</f>
        <v/>
      </c>
      <c r="F178">
        <f>IF($F$1=0,0,IFERROR(VALUE(SUBSTITUTE(SUBSTITUTE(SUBSTITUTE(INDEX(貼り付け!$A$1:$BZ$3001,177,$F$1)&amp;"",",",""),"¥",""),"￥","")),0))</f>
        <v/>
      </c>
      <c r="G178">
        <f>IF(ISNUMBER(B178),YEAR(B178),"")</f>
        <v/>
      </c>
      <c r="H178">
        <f>IF(ISNUMBER(B178),MONTH(B178),"")</f>
        <v/>
      </c>
      <c r="I178">
        <f>IFERROR(IF($B$1=0,"",IF(ISNUMBER(INDEX(貼り付け!$A$1:$BZ$3001,177,$B$1)),"",SUBSTITUTE(SUBSTITUTE(SUBSTITUTE(SUBSTITUTE(TRIM(LEFT(INDEX(貼り付け!$A$1:$BZ$3001,177,$B$1)&amp;"",FIND(" ",TRIM(INDEX(貼り付け!$A$1:$BZ$3001,177,$B$1)&amp;"")&amp;" ")-1)),"/","-"),"年","-"),"月","-"),"日",""))),"")</f>
        <v/>
      </c>
      <c r="J178">
        <f>IFERROR(MID(I178,FIND("-",I178)+1,99),"")</f>
        <v/>
      </c>
    </row>
    <row r="179">
      <c r="B179">
        <f>IFERROR(IF($B$1=0,"",IF(INDEX(貼り付け!$A$1:$BZ$3001,178,$B$1)="","",IF(ISNUMBER(INDEX(貼り付け!$A$1:$BZ$3001,178,$B$1)),INT(INDEX(貼り付け!$A$1:$BZ$3001,178,$B$1)),DATE(VALUE(LEFT(I179,FIND("-",I179)-1)),VALUE(LEFT(J179,FIND("-",J179)-1)),VALUE(MID(J179,FIND("-",J179)+1,99)))))),"")</f>
        <v/>
      </c>
      <c r="C179">
        <f>IF($C$1=0,0,IFERROR(VALUE(SUBSTITUTE(SUBSTITUTE(SUBSTITUTE(INDEX(貼り付け!$A$1:$BZ$3001,178,$C$1)&amp;"",",",""),"¥",""),"￥","")),0))</f>
        <v/>
      </c>
      <c r="D179">
        <f>IF($D$1=0,0,IFERROR(VALUE(SUBSTITUTE(SUBSTITUTE(SUBSTITUTE(INDEX(貼り付け!$A$1:$BZ$3001,178,$D$1)&amp;"",",",""),"¥",""),"￥","")),0))</f>
        <v/>
      </c>
      <c r="E179">
        <f>IF($E$1=0,0,IFERROR(VALUE(SUBSTITUTE(SUBSTITUTE(SUBSTITUTE(INDEX(貼り付け!$A$1:$BZ$3001,178,$E$1)&amp;"",",",""),"¥",""),"￥","")),0))</f>
        <v/>
      </c>
      <c r="F179">
        <f>IF($F$1=0,0,IFERROR(VALUE(SUBSTITUTE(SUBSTITUTE(SUBSTITUTE(INDEX(貼り付け!$A$1:$BZ$3001,178,$F$1)&amp;"",",",""),"¥",""),"￥","")),0))</f>
        <v/>
      </c>
      <c r="G179">
        <f>IF(ISNUMBER(B179),YEAR(B179),"")</f>
        <v/>
      </c>
      <c r="H179">
        <f>IF(ISNUMBER(B179),MONTH(B179),"")</f>
        <v/>
      </c>
      <c r="I179">
        <f>IFERROR(IF($B$1=0,"",IF(ISNUMBER(INDEX(貼り付け!$A$1:$BZ$3001,178,$B$1)),"",SUBSTITUTE(SUBSTITUTE(SUBSTITUTE(SUBSTITUTE(TRIM(LEFT(INDEX(貼り付け!$A$1:$BZ$3001,178,$B$1)&amp;"",FIND(" ",TRIM(INDEX(貼り付け!$A$1:$BZ$3001,178,$B$1)&amp;"")&amp;" ")-1)),"/","-"),"年","-"),"月","-"),"日",""))),"")</f>
        <v/>
      </c>
      <c r="J179">
        <f>IFERROR(MID(I179,FIND("-",I179)+1,99),"")</f>
        <v/>
      </c>
    </row>
    <row r="180">
      <c r="B180">
        <f>IFERROR(IF($B$1=0,"",IF(INDEX(貼り付け!$A$1:$BZ$3001,179,$B$1)="","",IF(ISNUMBER(INDEX(貼り付け!$A$1:$BZ$3001,179,$B$1)),INT(INDEX(貼り付け!$A$1:$BZ$3001,179,$B$1)),DATE(VALUE(LEFT(I180,FIND("-",I180)-1)),VALUE(LEFT(J180,FIND("-",J180)-1)),VALUE(MID(J180,FIND("-",J180)+1,99)))))),"")</f>
        <v/>
      </c>
      <c r="C180">
        <f>IF($C$1=0,0,IFERROR(VALUE(SUBSTITUTE(SUBSTITUTE(SUBSTITUTE(INDEX(貼り付け!$A$1:$BZ$3001,179,$C$1)&amp;"",",",""),"¥",""),"￥","")),0))</f>
        <v/>
      </c>
      <c r="D180">
        <f>IF($D$1=0,0,IFERROR(VALUE(SUBSTITUTE(SUBSTITUTE(SUBSTITUTE(INDEX(貼り付け!$A$1:$BZ$3001,179,$D$1)&amp;"",",",""),"¥",""),"￥","")),0))</f>
        <v/>
      </c>
      <c r="E180">
        <f>IF($E$1=0,0,IFERROR(VALUE(SUBSTITUTE(SUBSTITUTE(SUBSTITUTE(INDEX(貼り付け!$A$1:$BZ$3001,179,$E$1)&amp;"",",",""),"¥",""),"￥","")),0))</f>
        <v/>
      </c>
      <c r="F180">
        <f>IF($F$1=0,0,IFERROR(VALUE(SUBSTITUTE(SUBSTITUTE(SUBSTITUTE(INDEX(貼り付け!$A$1:$BZ$3001,179,$F$1)&amp;"",",",""),"¥",""),"￥","")),0))</f>
        <v/>
      </c>
      <c r="G180">
        <f>IF(ISNUMBER(B180),YEAR(B180),"")</f>
        <v/>
      </c>
      <c r="H180">
        <f>IF(ISNUMBER(B180),MONTH(B180),"")</f>
        <v/>
      </c>
      <c r="I180">
        <f>IFERROR(IF($B$1=0,"",IF(ISNUMBER(INDEX(貼り付け!$A$1:$BZ$3001,179,$B$1)),"",SUBSTITUTE(SUBSTITUTE(SUBSTITUTE(SUBSTITUTE(TRIM(LEFT(INDEX(貼り付け!$A$1:$BZ$3001,179,$B$1)&amp;"",FIND(" ",TRIM(INDEX(貼り付け!$A$1:$BZ$3001,179,$B$1)&amp;"")&amp;" ")-1)),"/","-"),"年","-"),"月","-"),"日",""))),"")</f>
        <v/>
      </c>
      <c r="J180">
        <f>IFERROR(MID(I180,FIND("-",I180)+1,99),"")</f>
        <v/>
      </c>
    </row>
    <row r="181">
      <c r="B181">
        <f>IFERROR(IF($B$1=0,"",IF(INDEX(貼り付け!$A$1:$BZ$3001,180,$B$1)="","",IF(ISNUMBER(INDEX(貼り付け!$A$1:$BZ$3001,180,$B$1)),INT(INDEX(貼り付け!$A$1:$BZ$3001,180,$B$1)),DATE(VALUE(LEFT(I181,FIND("-",I181)-1)),VALUE(LEFT(J181,FIND("-",J181)-1)),VALUE(MID(J181,FIND("-",J181)+1,99)))))),"")</f>
        <v/>
      </c>
      <c r="C181">
        <f>IF($C$1=0,0,IFERROR(VALUE(SUBSTITUTE(SUBSTITUTE(SUBSTITUTE(INDEX(貼り付け!$A$1:$BZ$3001,180,$C$1)&amp;"",",",""),"¥",""),"￥","")),0))</f>
        <v/>
      </c>
      <c r="D181">
        <f>IF($D$1=0,0,IFERROR(VALUE(SUBSTITUTE(SUBSTITUTE(SUBSTITUTE(INDEX(貼り付け!$A$1:$BZ$3001,180,$D$1)&amp;"",",",""),"¥",""),"￥","")),0))</f>
        <v/>
      </c>
      <c r="E181">
        <f>IF($E$1=0,0,IFERROR(VALUE(SUBSTITUTE(SUBSTITUTE(SUBSTITUTE(INDEX(貼り付け!$A$1:$BZ$3001,180,$E$1)&amp;"",",",""),"¥",""),"￥","")),0))</f>
        <v/>
      </c>
      <c r="F181">
        <f>IF($F$1=0,0,IFERROR(VALUE(SUBSTITUTE(SUBSTITUTE(SUBSTITUTE(INDEX(貼り付け!$A$1:$BZ$3001,180,$F$1)&amp;"",",",""),"¥",""),"￥","")),0))</f>
        <v/>
      </c>
      <c r="G181">
        <f>IF(ISNUMBER(B181),YEAR(B181),"")</f>
        <v/>
      </c>
      <c r="H181">
        <f>IF(ISNUMBER(B181),MONTH(B181),"")</f>
        <v/>
      </c>
      <c r="I181">
        <f>IFERROR(IF($B$1=0,"",IF(ISNUMBER(INDEX(貼り付け!$A$1:$BZ$3001,180,$B$1)),"",SUBSTITUTE(SUBSTITUTE(SUBSTITUTE(SUBSTITUTE(TRIM(LEFT(INDEX(貼り付け!$A$1:$BZ$3001,180,$B$1)&amp;"",FIND(" ",TRIM(INDEX(貼り付け!$A$1:$BZ$3001,180,$B$1)&amp;"")&amp;" ")-1)),"/","-"),"年","-"),"月","-"),"日",""))),"")</f>
        <v/>
      </c>
      <c r="J181">
        <f>IFERROR(MID(I181,FIND("-",I181)+1,99),"")</f>
        <v/>
      </c>
    </row>
    <row r="182">
      <c r="B182">
        <f>IFERROR(IF($B$1=0,"",IF(INDEX(貼り付け!$A$1:$BZ$3001,181,$B$1)="","",IF(ISNUMBER(INDEX(貼り付け!$A$1:$BZ$3001,181,$B$1)),INT(INDEX(貼り付け!$A$1:$BZ$3001,181,$B$1)),DATE(VALUE(LEFT(I182,FIND("-",I182)-1)),VALUE(LEFT(J182,FIND("-",J182)-1)),VALUE(MID(J182,FIND("-",J182)+1,99)))))),"")</f>
        <v/>
      </c>
      <c r="C182">
        <f>IF($C$1=0,0,IFERROR(VALUE(SUBSTITUTE(SUBSTITUTE(SUBSTITUTE(INDEX(貼り付け!$A$1:$BZ$3001,181,$C$1)&amp;"",",",""),"¥",""),"￥","")),0))</f>
        <v/>
      </c>
      <c r="D182">
        <f>IF($D$1=0,0,IFERROR(VALUE(SUBSTITUTE(SUBSTITUTE(SUBSTITUTE(INDEX(貼り付け!$A$1:$BZ$3001,181,$D$1)&amp;"",",",""),"¥",""),"￥","")),0))</f>
        <v/>
      </c>
      <c r="E182">
        <f>IF($E$1=0,0,IFERROR(VALUE(SUBSTITUTE(SUBSTITUTE(SUBSTITUTE(INDEX(貼り付け!$A$1:$BZ$3001,181,$E$1)&amp;"",",",""),"¥",""),"￥","")),0))</f>
        <v/>
      </c>
      <c r="F182">
        <f>IF($F$1=0,0,IFERROR(VALUE(SUBSTITUTE(SUBSTITUTE(SUBSTITUTE(INDEX(貼り付け!$A$1:$BZ$3001,181,$F$1)&amp;"",",",""),"¥",""),"￥","")),0))</f>
        <v/>
      </c>
      <c r="G182">
        <f>IF(ISNUMBER(B182),YEAR(B182),"")</f>
        <v/>
      </c>
      <c r="H182">
        <f>IF(ISNUMBER(B182),MONTH(B182),"")</f>
        <v/>
      </c>
      <c r="I182">
        <f>IFERROR(IF($B$1=0,"",IF(ISNUMBER(INDEX(貼り付け!$A$1:$BZ$3001,181,$B$1)),"",SUBSTITUTE(SUBSTITUTE(SUBSTITUTE(SUBSTITUTE(TRIM(LEFT(INDEX(貼り付け!$A$1:$BZ$3001,181,$B$1)&amp;"",FIND(" ",TRIM(INDEX(貼り付け!$A$1:$BZ$3001,181,$B$1)&amp;"")&amp;" ")-1)),"/","-"),"年","-"),"月","-"),"日",""))),"")</f>
        <v/>
      </c>
      <c r="J182">
        <f>IFERROR(MID(I182,FIND("-",I182)+1,99),"")</f>
        <v/>
      </c>
    </row>
    <row r="183">
      <c r="B183">
        <f>IFERROR(IF($B$1=0,"",IF(INDEX(貼り付け!$A$1:$BZ$3001,182,$B$1)="","",IF(ISNUMBER(INDEX(貼り付け!$A$1:$BZ$3001,182,$B$1)),INT(INDEX(貼り付け!$A$1:$BZ$3001,182,$B$1)),DATE(VALUE(LEFT(I183,FIND("-",I183)-1)),VALUE(LEFT(J183,FIND("-",J183)-1)),VALUE(MID(J183,FIND("-",J183)+1,99)))))),"")</f>
        <v/>
      </c>
      <c r="C183">
        <f>IF($C$1=0,0,IFERROR(VALUE(SUBSTITUTE(SUBSTITUTE(SUBSTITUTE(INDEX(貼り付け!$A$1:$BZ$3001,182,$C$1)&amp;"",",",""),"¥",""),"￥","")),0))</f>
        <v/>
      </c>
      <c r="D183">
        <f>IF($D$1=0,0,IFERROR(VALUE(SUBSTITUTE(SUBSTITUTE(SUBSTITUTE(INDEX(貼り付け!$A$1:$BZ$3001,182,$D$1)&amp;"",",",""),"¥",""),"￥","")),0))</f>
        <v/>
      </c>
      <c r="E183">
        <f>IF($E$1=0,0,IFERROR(VALUE(SUBSTITUTE(SUBSTITUTE(SUBSTITUTE(INDEX(貼り付け!$A$1:$BZ$3001,182,$E$1)&amp;"",",",""),"¥",""),"￥","")),0))</f>
        <v/>
      </c>
      <c r="F183">
        <f>IF($F$1=0,0,IFERROR(VALUE(SUBSTITUTE(SUBSTITUTE(SUBSTITUTE(INDEX(貼り付け!$A$1:$BZ$3001,182,$F$1)&amp;"",",",""),"¥",""),"￥","")),0))</f>
        <v/>
      </c>
      <c r="G183">
        <f>IF(ISNUMBER(B183),YEAR(B183),"")</f>
        <v/>
      </c>
      <c r="H183">
        <f>IF(ISNUMBER(B183),MONTH(B183),"")</f>
        <v/>
      </c>
      <c r="I183">
        <f>IFERROR(IF($B$1=0,"",IF(ISNUMBER(INDEX(貼り付け!$A$1:$BZ$3001,182,$B$1)),"",SUBSTITUTE(SUBSTITUTE(SUBSTITUTE(SUBSTITUTE(TRIM(LEFT(INDEX(貼り付け!$A$1:$BZ$3001,182,$B$1)&amp;"",FIND(" ",TRIM(INDEX(貼り付け!$A$1:$BZ$3001,182,$B$1)&amp;"")&amp;" ")-1)),"/","-"),"年","-"),"月","-"),"日",""))),"")</f>
        <v/>
      </c>
      <c r="J183">
        <f>IFERROR(MID(I183,FIND("-",I183)+1,99),"")</f>
        <v/>
      </c>
    </row>
    <row r="184">
      <c r="B184">
        <f>IFERROR(IF($B$1=0,"",IF(INDEX(貼り付け!$A$1:$BZ$3001,183,$B$1)="","",IF(ISNUMBER(INDEX(貼り付け!$A$1:$BZ$3001,183,$B$1)),INT(INDEX(貼り付け!$A$1:$BZ$3001,183,$B$1)),DATE(VALUE(LEFT(I184,FIND("-",I184)-1)),VALUE(LEFT(J184,FIND("-",J184)-1)),VALUE(MID(J184,FIND("-",J184)+1,99)))))),"")</f>
        <v/>
      </c>
      <c r="C184">
        <f>IF($C$1=0,0,IFERROR(VALUE(SUBSTITUTE(SUBSTITUTE(SUBSTITUTE(INDEX(貼り付け!$A$1:$BZ$3001,183,$C$1)&amp;"",",",""),"¥",""),"￥","")),0))</f>
        <v/>
      </c>
      <c r="D184">
        <f>IF($D$1=0,0,IFERROR(VALUE(SUBSTITUTE(SUBSTITUTE(SUBSTITUTE(INDEX(貼り付け!$A$1:$BZ$3001,183,$D$1)&amp;"",",",""),"¥",""),"￥","")),0))</f>
        <v/>
      </c>
      <c r="E184">
        <f>IF($E$1=0,0,IFERROR(VALUE(SUBSTITUTE(SUBSTITUTE(SUBSTITUTE(INDEX(貼り付け!$A$1:$BZ$3001,183,$E$1)&amp;"",",",""),"¥",""),"￥","")),0))</f>
        <v/>
      </c>
      <c r="F184">
        <f>IF($F$1=0,0,IFERROR(VALUE(SUBSTITUTE(SUBSTITUTE(SUBSTITUTE(INDEX(貼り付け!$A$1:$BZ$3001,183,$F$1)&amp;"",",",""),"¥",""),"￥","")),0))</f>
        <v/>
      </c>
      <c r="G184">
        <f>IF(ISNUMBER(B184),YEAR(B184),"")</f>
        <v/>
      </c>
      <c r="H184">
        <f>IF(ISNUMBER(B184),MONTH(B184),"")</f>
        <v/>
      </c>
      <c r="I184">
        <f>IFERROR(IF($B$1=0,"",IF(ISNUMBER(INDEX(貼り付け!$A$1:$BZ$3001,183,$B$1)),"",SUBSTITUTE(SUBSTITUTE(SUBSTITUTE(SUBSTITUTE(TRIM(LEFT(INDEX(貼り付け!$A$1:$BZ$3001,183,$B$1)&amp;"",FIND(" ",TRIM(INDEX(貼り付け!$A$1:$BZ$3001,183,$B$1)&amp;"")&amp;" ")-1)),"/","-"),"年","-"),"月","-"),"日",""))),"")</f>
        <v/>
      </c>
      <c r="J184">
        <f>IFERROR(MID(I184,FIND("-",I184)+1,99),"")</f>
        <v/>
      </c>
    </row>
    <row r="185">
      <c r="B185">
        <f>IFERROR(IF($B$1=0,"",IF(INDEX(貼り付け!$A$1:$BZ$3001,184,$B$1)="","",IF(ISNUMBER(INDEX(貼り付け!$A$1:$BZ$3001,184,$B$1)),INT(INDEX(貼り付け!$A$1:$BZ$3001,184,$B$1)),DATE(VALUE(LEFT(I185,FIND("-",I185)-1)),VALUE(LEFT(J185,FIND("-",J185)-1)),VALUE(MID(J185,FIND("-",J185)+1,99)))))),"")</f>
        <v/>
      </c>
      <c r="C185">
        <f>IF($C$1=0,0,IFERROR(VALUE(SUBSTITUTE(SUBSTITUTE(SUBSTITUTE(INDEX(貼り付け!$A$1:$BZ$3001,184,$C$1)&amp;"",",",""),"¥",""),"￥","")),0))</f>
        <v/>
      </c>
      <c r="D185">
        <f>IF($D$1=0,0,IFERROR(VALUE(SUBSTITUTE(SUBSTITUTE(SUBSTITUTE(INDEX(貼り付け!$A$1:$BZ$3001,184,$D$1)&amp;"",",",""),"¥",""),"￥","")),0))</f>
        <v/>
      </c>
      <c r="E185">
        <f>IF($E$1=0,0,IFERROR(VALUE(SUBSTITUTE(SUBSTITUTE(SUBSTITUTE(INDEX(貼り付け!$A$1:$BZ$3001,184,$E$1)&amp;"",",",""),"¥",""),"￥","")),0))</f>
        <v/>
      </c>
      <c r="F185">
        <f>IF($F$1=0,0,IFERROR(VALUE(SUBSTITUTE(SUBSTITUTE(SUBSTITUTE(INDEX(貼り付け!$A$1:$BZ$3001,184,$F$1)&amp;"",",",""),"¥",""),"￥","")),0))</f>
        <v/>
      </c>
      <c r="G185">
        <f>IF(ISNUMBER(B185),YEAR(B185),"")</f>
        <v/>
      </c>
      <c r="H185">
        <f>IF(ISNUMBER(B185),MONTH(B185),"")</f>
        <v/>
      </c>
      <c r="I185">
        <f>IFERROR(IF($B$1=0,"",IF(ISNUMBER(INDEX(貼り付け!$A$1:$BZ$3001,184,$B$1)),"",SUBSTITUTE(SUBSTITUTE(SUBSTITUTE(SUBSTITUTE(TRIM(LEFT(INDEX(貼り付け!$A$1:$BZ$3001,184,$B$1)&amp;"",FIND(" ",TRIM(INDEX(貼り付け!$A$1:$BZ$3001,184,$B$1)&amp;"")&amp;" ")-1)),"/","-"),"年","-"),"月","-"),"日",""))),"")</f>
        <v/>
      </c>
      <c r="J185">
        <f>IFERROR(MID(I185,FIND("-",I185)+1,99),"")</f>
        <v/>
      </c>
    </row>
    <row r="186">
      <c r="B186">
        <f>IFERROR(IF($B$1=0,"",IF(INDEX(貼り付け!$A$1:$BZ$3001,185,$B$1)="","",IF(ISNUMBER(INDEX(貼り付け!$A$1:$BZ$3001,185,$B$1)),INT(INDEX(貼り付け!$A$1:$BZ$3001,185,$B$1)),DATE(VALUE(LEFT(I186,FIND("-",I186)-1)),VALUE(LEFT(J186,FIND("-",J186)-1)),VALUE(MID(J186,FIND("-",J186)+1,99)))))),"")</f>
        <v/>
      </c>
      <c r="C186">
        <f>IF($C$1=0,0,IFERROR(VALUE(SUBSTITUTE(SUBSTITUTE(SUBSTITUTE(INDEX(貼り付け!$A$1:$BZ$3001,185,$C$1)&amp;"",",",""),"¥",""),"￥","")),0))</f>
        <v/>
      </c>
      <c r="D186">
        <f>IF($D$1=0,0,IFERROR(VALUE(SUBSTITUTE(SUBSTITUTE(SUBSTITUTE(INDEX(貼り付け!$A$1:$BZ$3001,185,$D$1)&amp;"",",",""),"¥",""),"￥","")),0))</f>
        <v/>
      </c>
      <c r="E186">
        <f>IF($E$1=0,0,IFERROR(VALUE(SUBSTITUTE(SUBSTITUTE(SUBSTITUTE(INDEX(貼り付け!$A$1:$BZ$3001,185,$E$1)&amp;"",",",""),"¥",""),"￥","")),0))</f>
        <v/>
      </c>
      <c r="F186">
        <f>IF($F$1=0,0,IFERROR(VALUE(SUBSTITUTE(SUBSTITUTE(SUBSTITUTE(INDEX(貼り付け!$A$1:$BZ$3001,185,$F$1)&amp;"",",",""),"¥",""),"￥","")),0))</f>
        <v/>
      </c>
      <c r="G186">
        <f>IF(ISNUMBER(B186),YEAR(B186),"")</f>
        <v/>
      </c>
      <c r="H186">
        <f>IF(ISNUMBER(B186),MONTH(B186),"")</f>
        <v/>
      </c>
      <c r="I186">
        <f>IFERROR(IF($B$1=0,"",IF(ISNUMBER(INDEX(貼り付け!$A$1:$BZ$3001,185,$B$1)),"",SUBSTITUTE(SUBSTITUTE(SUBSTITUTE(SUBSTITUTE(TRIM(LEFT(INDEX(貼り付け!$A$1:$BZ$3001,185,$B$1)&amp;"",FIND(" ",TRIM(INDEX(貼り付け!$A$1:$BZ$3001,185,$B$1)&amp;"")&amp;" ")-1)),"/","-"),"年","-"),"月","-"),"日",""))),"")</f>
        <v/>
      </c>
      <c r="J186">
        <f>IFERROR(MID(I186,FIND("-",I186)+1,99),"")</f>
        <v/>
      </c>
    </row>
    <row r="187">
      <c r="B187">
        <f>IFERROR(IF($B$1=0,"",IF(INDEX(貼り付け!$A$1:$BZ$3001,186,$B$1)="","",IF(ISNUMBER(INDEX(貼り付け!$A$1:$BZ$3001,186,$B$1)),INT(INDEX(貼り付け!$A$1:$BZ$3001,186,$B$1)),DATE(VALUE(LEFT(I187,FIND("-",I187)-1)),VALUE(LEFT(J187,FIND("-",J187)-1)),VALUE(MID(J187,FIND("-",J187)+1,99)))))),"")</f>
        <v/>
      </c>
      <c r="C187">
        <f>IF($C$1=0,0,IFERROR(VALUE(SUBSTITUTE(SUBSTITUTE(SUBSTITUTE(INDEX(貼り付け!$A$1:$BZ$3001,186,$C$1)&amp;"",",",""),"¥",""),"￥","")),0))</f>
        <v/>
      </c>
      <c r="D187">
        <f>IF($D$1=0,0,IFERROR(VALUE(SUBSTITUTE(SUBSTITUTE(SUBSTITUTE(INDEX(貼り付け!$A$1:$BZ$3001,186,$D$1)&amp;"",",",""),"¥",""),"￥","")),0))</f>
        <v/>
      </c>
      <c r="E187">
        <f>IF($E$1=0,0,IFERROR(VALUE(SUBSTITUTE(SUBSTITUTE(SUBSTITUTE(INDEX(貼り付け!$A$1:$BZ$3001,186,$E$1)&amp;"",",",""),"¥",""),"￥","")),0))</f>
        <v/>
      </c>
      <c r="F187">
        <f>IF($F$1=0,0,IFERROR(VALUE(SUBSTITUTE(SUBSTITUTE(SUBSTITUTE(INDEX(貼り付け!$A$1:$BZ$3001,186,$F$1)&amp;"",",",""),"¥",""),"￥","")),0))</f>
        <v/>
      </c>
      <c r="G187">
        <f>IF(ISNUMBER(B187),YEAR(B187),"")</f>
        <v/>
      </c>
      <c r="H187">
        <f>IF(ISNUMBER(B187),MONTH(B187),"")</f>
        <v/>
      </c>
      <c r="I187">
        <f>IFERROR(IF($B$1=0,"",IF(ISNUMBER(INDEX(貼り付け!$A$1:$BZ$3001,186,$B$1)),"",SUBSTITUTE(SUBSTITUTE(SUBSTITUTE(SUBSTITUTE(TRIM(LEFT(INDEX(貼り付け!$A$1:$BZ$3001,186,$B$1)&amp;"",FIND(" ",TRIM(INDEX(貼り付け!$A$1:$BZ$3001,186,$B$1)&amp;"")&amp;" ")-1)),"/","-"),"年","-"),"月","-"),"日",""))),"")</f>
        <v/>
      </c>
      <c r="J187">
        <f>IFERROR(MID(I187,FIND("-",I187)+1,99),"")</f>
        <v/>
      </c>
    </row>
    <row r="188">
      <c r="B188">
        <f>IFERROR(IF($B$1=0,"",IF(INDEX(貼り付け!$A$1:$BZ$3001,187,$B$1)="","",IF(ISNUMBER(INDEX(貼り付け!$A$1:$BZ$3001,187,$B$1)),INT(INDEX(貼り付け!$A$1:$BZ$3001,187,$B$1)),DATE(VALUE(LEFT(I188,FIND("-",I188)-1)),VALUE(LEFT(J188,FIND("-",J188)-1)),VALUE(MID(J188,FIND("-",J188)+1,99)))))),"")</f>
        <v/>
      </c>
      <c r="C188">
        <f>IF($C$1=0,0,IFERROR(VALUE(SUBSTITUTE(SUBSTITUTE(SUBSTITUTE(INDEX(貼り付け!$A$1:$BZ$3001,187,$C$1)&amp;"",",",""),"¥",""),"￥","")),0))</f>
        <v/>
      </c>
      <c r="D188">
        <f>IF($D$1=0,0,IFERROR(VALUE(SUBSTITUTE(SUBSTITUTE(SUBSTITUTE(INDEX(貼り付け!$A$1:$BZ$3001,187,$D$1)&amp;"",",",""),"¥",""),"￥","")),0))</f>
        <v/>
      </c>
      <c r="E188">
        <f>IF($E$1=0,0,IFERROR(VALUE(SUBSTITUTE(SUBSTITUTE(SUBSTITUTE(INDEX(貼り付け!$A$1:$BZ$3001,187,$E$1)&amp;"",",",""),"¥",""),"￥","")),0))</f>
        <v/>
      </c>
      <c r="F188">
        <f>IF($F$1=0,0,IFERROR(VALUE(SUBSTITUTE(SUBSTITUTE(SUBSTITUTE(INDEX(貼り付け!$A$1:$BZ$3001,187,$F$1)&amp;"",",",""),"¥",""),"￥","")),0))</f>
        <v/>
      </c>
      <c r="G188">
        <f>IF(ISNUMBER(B188),YEAR(B188),"")</f>
        <v/>
      </c>
      <c r="H188">
        <f>IF(ISNUMBER(B188),MONTH(B188),"")</f>
        <v/>
      </c>
      <c r="I188">
        <f>IFERROR(IF($B$1=0,"",IF(ISNUMBER(INDEX(貼り付け!$A$1:$BZ$3001,187,$B$1)),"",SUBSTITUTE(SUBSTITUTE(SUBSTITUTE(SUBSTITUTE(TRIM(LEFT(INDEX(貼り付け!$A$1:$BZ$3001,187,$B$1)&amp;"",FIND(" ",TRIM(INDEX(貼り付け!$A$1:$BZ$3001,187,$B$1)&amp;"")&amp;" ")-1)),"/","-"),"年","-"),"月","-"),"日",""))),"")</f>
        <v/>
      </c>
      <c r="J188">
        <f>IFERROR(MID(I188,FIND("-",I188)+1,99),"")</f>
        <v/>
      </c>
    </row>
    <row r="189">
      <c r="B189">
        <f>IFERROR(IF($B$1=0,"",IF(INDEX(貼り付け!$A$1:$BZ$3001,188,$B$1)="","",IF(ISNUMBER(INDEX(貼り付け!$A$1:$BZ$3001,188,$B$1)),INT(INDEX(貼り付け!$A$1:$BZ$3001,188,$B$1)),DATE(VALUE(LEFT(I189,FIND("-",I189)-1)),VALUE(LEFT(J189,FIND("-",J189)-1)),VALUE(MID(J189,FIND("-",J189)+1,99)))))),"")</f>
        <v/>
      </c>
      <c r="C189">
        <f>IF($C$1=0,0,IFERROR(VALUE(SUBSTITUTE(SUBSTITUTE(SUBSTITUTE(INDEX(貼り付け!$A$1:$BZ$3001,188,$C$1)&amp;"",",",""),"¥",""),"￥","")),0))</f>
        <v/>
      </c>
      <c r="D189">
        <f>IF($D$1=0,0,IFERROR(VALUE(SUBSTITUTE(SUBSTITUTE(SUBSTITUTE(INDEX(貼り付け!$A$1:$BZ$3001,188,$D$1)&amp;"",",",""),"¥",""),"￥","")),0))</f>
        <v/>
      </c>
      <c r="E189">
        <f>IF($E$1=0,0,IFERROR(VALUE(SUBSTITUTE(SUBSTITUTE(SUBSTITUTE(INDEX(貼り付け!$A$1:$BZ$3001,188,$E$1)&amp;"",",",""),"¥",""),"￥","")),0))</f>
        <v/>
      </c>
      <c r="F189">
        <f>IF($F$1=0,0,IFERROR(VALUE(SUBSTITUTE(SUBSTITUTE(SUBSTITUTE(INDEX(貼り付け!$A$1:$BZ$3001,188,$F$1)&amp;"",",",""),"¥",""),"￥","")),0))</f>
        <v/>
      </c>
      <c r="G189">
        <f>IF(ISNUMBER(B189),YEAR(B189),"")</f>
        <v/>
      </c>
      <c r="H189">
        <f>IF(ISNUMBER(B189),MONTH(B189),"")</f>
        <v/>
      </c>
      <c r="I189">
        <f>IFERROR(IF($B$1=0,"",IF(ISNUMBER(INDEX(貼り付け!$A$1:$BZ$3001,188,$B$1)),"",SUBSTITUTE(SUBSTITUTE(SUBSTITUTE(SUBSTITUTE(TRIM(LEFT(INDEX(貼り付け!$A$1:$BZ$3001,188,$B$1)&amp;"",FIND(" ",TRIM(INDEX(貼り付け!$A$1:$BZ$3001,188,$B$1)&amp;"")&amp;" ")-1)),"/","-"),"年","-"),"月","-"),"日",""))),"")</f>
        <v/>
      </c>
      <c r="J189">
        <f>IFERROR(MID(I189,FIND("-",I189)+1,99),"")</f>
        <v/>
      </c>
    </row>
    <row r="190">
      <c r="B190">
        <f>IFERROR(IF($B$1=0,"",IF(INDEX(貼り付け!$A$1:$BZ$3001,189,$B$1)="","",IF(ISNUMBER(INDEX(貼り付け!$A$1:$BZ$3001,189,$B$1)),INT(INDEX(貼り付け!$A$1:$BZ$3001,189,$B$1)),DATE(VALUE(LEFT(I190,FIND("-",I190)-1)),VALUE(LEFT(J190,FIND("-",J190)-1)),VALUE(MID(J190,FIND("-",J190)+1,99)))))),"")</f>
        <v/>
      </c>
      <c r="C190">
        <f>IF($C$1=0,0,IFERROR(VALUE(SUBSTITUTE(SUBSTITUTE(SUBSTITUTE(INDEX(貼り付け!$A$1:$BZ$3001,189,$C$1)&amp;"",",",""),"¥",""),"￥","")),0))</f>
        <v/>
      </c>
      <c r="D190">
        <f>IF($D$1=0,0,IFERROR(VALUE(SUBSTITUTE(SUBSTITUTE(SUBSTITUTE(INDEX(貼り付け!$A$1:$BZ$3001,189,$D$1)&amp;"",",",""),"¥",""),"￥","")),0))</f>
        <v/>
      </c>
      <c r="E190">
        <f>IF($E$1=0,0,IFERROR(VALUE(SUBSTITUTE(SUBSTITUTE(SUBSTITUTE(INDEX(貼り付け!$A$1:$BZ$3001,189,$E$1)&amp;"",",",""),"¥",""),"￥","")),0))</f>
        <v/>
      </c>
      <c r="F190">
        <f>IF($F$1=0,0,IFERROR(VALUE(SUBSTITUTE(SUBSTITUTE(SUBSTITUTE(INDEX(貼り付け!$A$1:$BZ$3001,189,$F$1)&amp;"",",",""),"¥",""),"￥","")),0))</f>
        <v/>
      </c>
      <c r="G190">
        <f>IF(ISNUMBER(B190),YEAR(B190),"")</f>
        <v/>
      </c>
      <c r="H190">
        <f>IF(ISNUMBER(B190),MONTH(B190),"")</f>
        <v/>
      </c>
      <c r="I190">
        <f>IFERROR(IF($B$1=0,"",IF(ISNUMBER(INDEX(貼り付け!$A$1:$BZ$3001,189,$B$1)),"",SUBSTITUTE(SUBSTITUTE(SUBSTITUTE(SUBSTITUTE(TRIM(LEFT(INDEX(貼り付け!$A$1:$BZ$3001,189,$B$1)&amp;"",FIND(" ",TRIM(INDEX(貼り付け!$A$1:$BZ$3001,189,$B$1)&amp;"")&amp;" ")-1)),"/","-"),"年","-"),"月","-"),"日",""))),"")</f>
        <v/>
      </c>
      <c r="J190">
        <f>IFERROR(MID(I190,FIND("-",I190)+1,99),"")</f>
        <v/>
      </c>
    </row>
    <row r="191">
      <c r="B191">
        <f>IFERROR(IF($B$1=0,"",IF(INDEX(貼り付け!$A$1:$BZ$3001,190,$B$1)="","",IF(ISNUMBER(INDEX(貼り付け!$A$1:$BZ$3001,190,$B$1)),INT(INDEX(貼り付け!$A$1:$BZ$3001,190,$B$1)),DATE(VALUE(LEFT(I191,FIND("-",I191)-1)),VALUE(LEFT(J191,FIND("-",J191)-1)),VALUE(MID(J191,FIND("-",J191)+1,99)))))),"")</f>
        <v/>
      </c>
      <c r="C191">
        <f>IF($C$1=0,0,IFERROR(VALUE(SUBSTITUTE(SUBSTITUTE(SUBSTITUTE(INDEX(貼り付け!$A$1:$BZ$3001,190,$C$1)&amp;"",",",""),"¥",""),"￥","")),0))</f>
        <v/>
      </c>
      <c r="D191">
        <f>IF($D$1=0,0,IFERROR(VALUE(SUBSTITUTE(SUBSTITUTE(SUBSTITUTE(INDEX(貼り付け!$A$1:$BZ$3001,190,$D$1)&amp;"",",",""),"¥",""),"￥","")),0))</f>
        <v/>
      </c>
      <c r="E191">
        <f>IF($E$1=0,0,IFERROR(VALUE(SUBSTITUTE(SUBSTITUTE(SUBSTITUTE(INDEX(貼り付け!$A$1:$BZ$3001,190,$E$1)&amp;"",",",""),"¥",""),"￥","")),0))</f>
        <v/>
      </c>
      <c r="F191">
        <f>IF($F$1=0,0,IFERROR(VALUE(SUBSTITUTE(SUBSTITUTE(SUBSTITUTE(INDEX(貼り付け!$A$1:$BZ$3001,190,$F$1)&amp;"",",",""),"¥",""),"￥","")),0))</f>
        <v/>
      </c>
      <c r="G191">
        <f>IF(ISNUMBER(B191),YEAR(B191),"")</f>
        <v/>
      </c>
      <c r="H191">
        <f>IF(ISNUMBER(B191),MONTH(B191),"")</f>
        <v/>
      </c>
      <c r="I191">
        <f>IFERROR(IF($B$1=0,"",IF(ISNUMBER(INDEX(貼り付け!$A$1:$BZ$3001,190,$B$1)),"",SUBSTITUTE(SUBSTITUTE(SUBSTITUTE(SUBSTITUTE(TRIM(LEFT(INDEX(貼り付け!$A$1:$BZ$3001,190,$B$1)&amp;"",FIND(" ",TRIM(INDEX(貼り付け!$A$1:$BZ$3001,190,$B$1)&amp;"")&amp;" ")-1)),"/","-"),"年","-"),"月","-"),"日",""))),"")</f>
        <v/>
      </c>
      <c r="J191">
        <f>IFERROR(MID(I191,FIND("-",I191)+1,99),"")</f>
        <v/>
      </c>
    </row>
    <row r="192">
      <c r="B192">
        <f>IFERROR(IF($B$1=0,"",IF(INDEX(貼り付け!$A$1:$BZ$3001,191,$B$1)="","",IF(ISNUMBER(INDEX(貼り付け!$A$1:$BZ$3001,191,$B$1)),INT(INDEX(貼り付け!$A$1:$BZ$3001,191,$B$1)),DATE(VALUE(LEFT(I192,FIND("-",I192)-1)),VALUE(LEFT(J192,FIND("-",J192)-1)),VALUE(MID(J192,FIND("-",J192)+1,99)))))),"")</f>
        <v/>
      </c>
      <c r="C192">
        <f>IF($C$1=0,0,IFERROR(VALUE(SUBSTITUTE(SUBSTITUTE(SUBSTITUTE(INDEX(貼り付け!$A$1:$BZ$3001,191,$C$1)&amp;"",",",""),"¥",""),"￥","")),0))</f>
        <v/>
      </c>
      <c r="D192">
        <f>IF($D$1=0,0,IFERROR(VALUE(SUBSTITUTE(SUBSTITUTE(SUBSTITUTE(INDEX(貼り付け!$A$1:$BZ$3001,191,$D$1)&amp;"",",",""),"¥",""),"￥","")),0))</f>
        <v/>
      </c>
      <c r="E192">
        <f>IF($E$1=0,0,IFERROR(VALUE(SUBSTITUTE(SUBSTITUTE(SUBSTITUTE(INDEX(貼り付け!$A$1:$BZ$3001,191,$E$1)&amp;"",",",""),"¥",""),"￥","")),0))</f>
        <v/>
      </c>
      <c r="F192">
        <f>IF($F$1=0,0,IFERROR(VALUE(SUBSTITUTE(SUBSTITUTE(SUBSTITUTE(INDEX(貼り付け!$A$1:$BZ$3001,191,$F$1)&amp;"",",",""),"¥",""),"￥","")),0))</f>
        <v/>
      </c>
      <c r="G192">
        <f>IF(ISNUMBER(B192),YEAR(B192),"")</f>
        <v/>
      </c>
      <c r="H192">
        <f>IF(ISNUMBER(B192),MONTH(B192),"")</f>
        <v/>
      </c>
      <c r="I192">
        <f>IFERROR(IF($B$1=0,"",IF(ISNUMBER(INDEX(貼り付け!$A$1:$BZ$3001,191,$B$1)),"",SUBSTITUTE(SUBSTITUTE(SUBSTITUTE(SUBSTITUTE(TRIM(LEFT(INDEX(貼り付け!$A$1:$BZ$3001,191,$B$1)&amp;"",FIND(" ",TRIM(INDEX(貼り付け!$A$1:$BZ$3001,191,$B$1)&amp;"")&amp;" ")-1)),"/","-"),"年","-"),"月","-"),"日",""))),"")</f>
        <v/>
      </c>
      <c r="J192">
        <f>IFERROR(MID(I192,FIND("-",I192)+1,99),"")</f>
        <v/>
      </c>
    </row>
    <row r="193">
      <c r="B193">
        <f>IFERROR(IF($B$1=0,"",IF(INDEX(貼り付け!$A$1:$BZ$3001,192,$B$1)="","",IF(ISNUMBER(INDEX(貼り付け!$A$1:$BZ$3001,192,$B$1)),INT(INDEX(貼り付け!$A$1:$BZ$3001,192,$B$1)),DATE(VALUE(LEFT(I193,FIND("-",I193)-1)),VALUE(LEFT(J193,FIND("-",J193)-1)),VALUE(MID(J193,FIND("-",J193)+1,99)))))),"")</f>
        <v/>
      </c>
      <c r="C193">
        <f>IF($C$1=0,0,IFERROR(VALUE(SUBSTITUTE(SUBSTITUTE(SUBSTITUTE(INDEX(貼り付け!$A$1:$BZ$3001,192,$C$1)&amp;"",",",""),"¥",""),"￥","")),0))</f>
        <v/>
      </c>
      <c r="D193">
        <f>IF($D$1=0,0,IFERROR(VALUE(SUBSTITUTE(SUBSTITUTE(SUBSTITUTE(INDEX(貼り付け!$A$1:$BZ$3001,192,$D$1)&amp;"",",",""),"¥",""),"￥","")),0))</f>
        <v/>
      </c>
      <c r="E193">
        <f>IF($E$1=0,0,IFERROR(VALUE(SUBSTITUTE(SUBSTITUTE(SUBSTITUTE(INDEX(貼り付け!$A$1:$BZ$3001,192,$E$1)&amp;"",",",""),"¥",""),"￥","")),0))</f>
        <v/>
      </c>
      <c r="F193">
        <f>IF($F$1=0,0,IFERROR(VALUE(SUBSTITUTE(SUBSTITUTE(SUBSTITUTE(INDEX(貼り付け!$A$1:$BZ$3001,192,$F$1)&amp;"",",",""),"¥",""),"￥","")),0))</f>
        <v/>
      </c>
      <c r="G193">
        <f>IF(ISNUMBER(B193),YEAR(B193),"")</f>
        <v/>
      </c>
      <c r="H193">
        <f>IF(ISNUMBER(B193),MONTH(B193),"")</f>
        <v/>
      </c>
      <c r="I193">
        <f>IFERROR(IF($B$1=0,"",IF(ISNUMBER(INDEX(貼り付け!$A$1:$BZ$3001,192,$B$1)),"",SUBSTITUTE(SUBSTITUTE(SUBSTITUTE(SUBSTITUTE(TRIM(LEFT(INDEX(貼り付け!$A$1:$BZ$3001,192,$B$1)&amp;"",FIND(" ",TRIM(INDEX(貼り付け!$A$1:$BZ$3001,192,$B$1)&amp;"")&amp;" ")-1)),"/","-"),"年","-"),"月","-"),"日",""))),"")</f>
        <v/>
      </c>
      <c r="J193">
        <f>IFERROR(MID(I193,FIND("-",I193)+1,99),"")</f>
        <v/>
      </c>
    </row>
    <row r="194">
      <c r="B194">
        <f>IFERROR(IF($B$1=0,"",IF(INDEX(貼り付け!$A$1:$BZ$3001,193,$B$1)="","",IF(ISNUMBER(INDEX(貼り付け!$A$1:$BZ$3001,193,$B$1)),INT(INDEX(貼り付け!$A$1:$BZ$3001,193,$B$1)),DATE(VALUE(LEFT(I194,FIND("-",I194)-1)),VALUE(LEFT(J194,FIND("-",J194)-1)),VALUE(MID(J194,FIND("-",J194)+1,99)))))),"")</f>
        <v/>
      </c>
      <c r="C194">
        <f>IF($C$1=0,0,IFERROR(VALUE(SUBSTITUTE(SUBSTITUTE(SUBSTITUTE(INDEX(貼り付け!$A$1:$BZ$3001,193,$C$1)&amp;"",",",""),"¥",""),"￥","")),0))</f>
        <v/>
      </c>
      <c r="D194">
        <f>IF($D$1=0,0,IFERROR(VALUE(SUBSTITUTE(SUBSTITUTE(SUBSTITUTE(INDEX(貼り付け!$A$1:$BZ$3001,193,$D$1)&amp;"",",",""),"¥",""),"￥","")),0))</f>
        <v/>
      </c>
      <c r="E194">
        <f>IF($E$1=0,0,IFERROR(VALUE(SUBSTITUTE(SUBSTITUTE(SUBSTITUTE(INDEX(貼り付け!$A$1:$BZ$3001,193,$E$1)&amp;"",",",""),"¥",""),"￥","")),0))</f>
        <v/>
      </c>
      <c r="F194">
        <f>IF($F$1=0,0,IFERROR(VALUE(SUBSTITUTE(SUBSTITUTE(SUBSTITUTE(INDEX(貼り付け!$A$1:$BZ$3001,193,$F$1)&amp;"",",",""),"¥",""),"￥","")),0))</f>
        <v/>
      </c>
      <c r="G194">
        <f>IF(ISNUMBER(B194),YEAR(B194),"")</f>
        <v/>
      </c>
      <c r="H194">
        <f>IF(ISNUMBER(B194),MONTH(B194),"")</f>
        <v/>
      </c>
      <c r="I194">
        <f>IFERROR(IF($B$1=0,"",IF(ISNUMBER(INDEX(貼り付け!$A$1:$BZ$3001,193,$B$1)),"",SUBSTITUTE(SUBSTITUTE(SUBSTITUTE(SUBSTITUTE(TRIM(LEFT(INDEX(貼り付け!$A$1:$BZ$3001,193,$B$1)&amp;"",FIND(" ",TRIM(INDEX(貼り付け!$A$1:$BZ$3001,193,$B$1)&amp;"")&amp;" ")-1)),"/","-"),"年","-"),"月","-"),"日",""))),"")</f>
        <v/>
      </c>
      <c r="J194">
        <f>IFERROR(MID(I194,FIND("-",I194)+1,99),"")</f>
        <v/>
      </c>
    </row>
    <row r="195">
      <c r="B195">
        <f>IFERROR(IF($B$1=0,"",IF(INDEX(貼り付け!$A$1:$BZ$3001,194,$B$1)="","",IF(ISNUMBER(INDEX(貼り付け!$A$1:$BZ$3001,194,$B$1)),INT(INDEX(貼り付け!$A$1:$BZ$3001,194,$B$1)),DATE(VALUE(LEFT(I195,FIND("-",I195)-1)),VALUE(LEFT(J195,FIND("-",J195)-1)),VALUE(MID(J195,FIND("-",J195)+1,99)))))),"")</f>
        <v/>
      </c>
      <c r="C195">
        <f>IF($C$1=0,0,IFERROR(VALUE(SUBSTITUTE(SUBSTITUTE(SUBSTITUTE(INDEX(貼り付け!$A$1:$BZ$3001,194,$C$1)&amp;"",",",""),"¥",""),"￥","")),0))</f>
        <v/>
      </c>
      <c r="D195">
        <f>IF($D$1=0,0,IFERROR(VALUE(SUBSTITUTE(SUBSTITUTE(SUBSTITUTE(INDEX(貼り付け!$A$1:$BZ$3001,194,$D$1)&amp;"",",",""),"¥",""),"￥","")),0))</f>
        <v/>
      </c>
      <c r="E195">
        <f>IF($E$1=0,0,IFERROR(VALUE(SUBSTITUTE(SUBSTITUTE(SUBSTITUTE(INDEX(貼り付け!$A$1:$BZ$3001,194,$E$1)&amp;"",",",""),"¥",""),"￥","")),0))</f>
        <v/>
      </c>
      <c r="F195">
        <f>IF($F$1=0,0,IFERROR(VALUE(SUBSTITUTE(SUBSTITUTE(SUBSTITUTE(INDEX(貼り付け!$A$1:$BZ$3001,194,$F$1)&amp;"",",",""),"¥",""),"￥","")),0))</f>
        <v/>
      </c>
      <c r="G195">
        <f>IF(ISNUMBER(B195),YEAR(B195),"")</f>
        <v/>
      </c>
      <c r="H195">
        <f>IF(ISNUMBER(B195),MONTH(B195),"")</f>
        <v/>
      </c>
      <c r="I195">
        <f>IFERROR(IF($B$1=0,"",IF(ISNUMBER(INDEX(貼り付け!$A$1:$BZ$3001,194,$B$1)),"",SUBSTITUTE(SUBSTITUTE(SUBSTITUTE(SUBSTITUTE(TRIM(LEFT(INDEX(貼り付け!$A$1:$BZ$3001,194,$B$1)&amp;"",FIND(" ",TRIM(INDEX(貼り付け!$A$1:$BZ$3001,194,$B$1)&amp;"")&amp;" ")-1)),"/","-"),"年","-"),"月","-"),"日",""))),"")</f>
        <v/>
      </c>
      <c r="J195">
        <f>IFERROR(MID(I195,FIND("-",I195)+1,99),"")</f>
        <v/>
      </c>
    </row>
    <row r="196">
      <c r="B196">
        <f>IFERROR(IF($B$1=0,"",IF(INDEX(貼り付け!$A$1:$BZ$3001,195,$B$1)="","",IF(ISNUMBER(INDEX(貼り付け!$A$1:$BZ$3001,195,$B$1)),INT(INDEX(貼り付け!$A$1:$BZ$3001,195,$B$1)),DATE(VALUE(LEFT(I196,FIND("-",I196)-1)),VALUE(LEFT(J196,FIND("-",J196)-1)),VALUE(MID(J196,FIND("-",J196)+1,99)))))),"")</f>
        <v/>
      </c>
      <c r="C196">
        <f>IF($C$1=0,0,IFERROR(VALUE(SUBSTITUTE(SUBSTITUTE(SUBSTITUTE(INDEX(貼り付け!$A$1:$BZ$3001,195,$C$1)&amp;"",",",""),"¥",""),"￥","")),0))</f>
        <v/>
      </c>
      <c r="D196">
        <f>IF($D$1=0,0,IFERROR(VALUE(SUBSTITUTE(SUBSTITUTE(SUBSTITUTE(INDEX(貼り付け!$A$1:$BZ$3001,195,$D$1)&amp;"",",",""),"¥",""),"￥","")),0))</f>
        <v/>
      </c>
      <c r="E196">
        <f>IF($E$1=0,0,IFERROR(VALUE(SUBSTITUTE(SUBSTITUTE(SUBSTITUTE(INDEX(貼り付け!$A$1:$BZ$3001,195,$E$1)&amp;"",",",""),"¥",""),"￥","")),0))</f>
        <v/>
      </c>
      <c r="F196">
        <f>IF($F$1=0,0,IFERROR(VALUE(SUBSTITUTE(SUBSTITUTE(SUBSTITUTE(INDEX(貼り付け!$A$1:$BZ$3001,195,$F$1)&amp;"",",",""),"¥",""),"￥","")),0))</f>
        <v/>
      </c>
      <c r="G196">
        <f>IF(ISNUMBER(B196),YEAR(B196),"")</f>
        <v/>
      </c>
      <c r="H196">
        <f>IF(ISNUMBER(B196),MONTH(B196),"")</f>
        <v/>
      </c>
      <c r="I196">
        <f>IFERROR(IF($B$1=0,"",IF(ISNUMBER(INDEX(貼り付け!$A$1:$BZ$3001,195,$B$1)),"",SUBSTITUTE(SUBSTITUTE(SUBSTITUTE(SUBSTITUTE(TRIM(LEFT(INDEX(貼り付け!$A$1:$BZ$3001,195,$B$1)&amp;"",FIND(" ",TRIM(INDEX(貼り付け!$A$1:$BZ$3001,195,$B$1)&amp;"")&amp;" ")-1)),"/","-"),"年","-"),"月","-"),"日",""))),"")</f>
        <v/>
      </c>
      <c r="J196">
        <f>IFERROR(MID(I196,FIND("-",I196)+1,99),"")</f>
        <v/>
      </c>
    </row>
    <row r="197">
      <c r="B197">
        <f>IFERROR(IF($B$1=0,"",IF(INDEX(貼り付け!$A$1:$BZ$3001,196,$B$1)="","",IF(ISNUMBER(INDEX(貼り付け!$A$1:$BZ$3001,196,$B$1)),INT(INDEX(貼り付け!$A$1:$BZ$3001,196,$B$1)),DATE(VALUE(LEFT(I197,FIND("-",I197)-1)),VALUE(LEFT(J197,FIND("-",J197)-1)),VALUE(MID(J197,FIND("-",J197)+1,99)))))),"")</f>
        <v/>
      </c>
      <c r="C197">
        <f>IF($C$1=0,0,IFERROR(VALUE(SUBSTITUTE(SUBSTITUTE(SUBSTITUTE(INDEX(貼り付け!$A$1:$BZ$3001,196,$C$1)&amp;"",",",""),"¥",""),"￥","")),0))</f>
        <v/>
      </c>
      <c r="D197">
        <f>IF($D$1=0,0,IFERROR(VALUE(SUBSTITUTE(SUBSTITUTE(SUBSTITUTE(INDEX(貼り付け!$A$1:$BZ$3001,196,$D$1)&amp;"",",",""),"¥",""),"￥","")),0))</f>
        <v/>
      </c>
      <c r="E197">
        <f>IF($E$1=0,0,IFERROR(VALUE(SUBSTITUTE(SUBSTITUTE(SUBSTITUTE(INDEX(貼り付け!$A$1:$BZ$3001,196,$E$1)&amp;"",",",""),"¥",""),"￥","")),0))</f>
        <v/>
      </c>
      <c r="F197">
        <f>IF($F$1=0,0,IFERROR(VALUE(SUBSTITUTE(SUBSTITUTE(SUBSTITUTE(INDEX(貼り付け!$A$1:$BZ$3001,196,$F$1)&amp;"",",",""),"¥",""),"￥","")),0))</f>
        <v/>
      </c>
      <c r="G197">
        <f>IF(ISNUMBER(B197),YEAR(B197),"")</f>
        <v/>
      </c>
      <c r="H197">
        <f>IF(ISNUMBER(B197),MONTH(B197),"")</f>
        <v/>
      </c>
      <c r="I197">
        <f>IFERROR(IF($B$1=0,"",IF(ISNUMBER(INDEX(貼り付け!$A$1:$BZ$3001,196,$B$1)),"",SUBSTITUTE(SUBSTITUTE(SUBSTITUTE(SUBSTITUTE(TRIM(LEFT(INDEX(貼り付け!$A$1:$BZ$3001,196,$B$1)&amp;"",FIND(" ",TRIM(INDEX(貼り付け!$A$1:$BZ$3001,196,$B$1)&amp;"")&amp;" ")-1)),"/","-"),"年","-"),"月","-"),"日",""))),"")</f>
        <v/>
      </c>
      <c r="J197">
        <f>IFERROR(MID(I197,FIND("-",I197)+1,99),"")</f>
        <v/>
      </c>
    </row>
    <row r="198">
      <c r="B198">
        <f>IFERROR(IF($B$1=0,"",IF(INDEX(貼り付け!$A$1:$BZ$3001,197,$B$1)="","",IF(ISNUMBER(INDEX(貼り付け!$A$1:$BZ$3001,197,$B$1)),INT(INDEX(貼り付け!$A$1:$BZ$3001,197,$B$1)),DATE(VALUE(LEFT(I198,FIND("-",I198)-1)),VALUE(LEFT(J198,FIND("-",J198)-1)),VALUE(MID(J198,FIND("-",J198)+1,99)))))),"")</f>
        <v/>
      </c>
      <c r="C198">
        <f>IF($C$1=0,0,IFERROR(VALUE(SUBSTITUTE(SUBSTITUTE(SUBSTITUTE(INDEX(貼り付け!$A$1:$BZ$3001,197,$C$1)&amp;"",",",""),"¥",""),"￥","")),0))</f>
        <v/>
      </c>
      <c r="D198">
        <f>IF($D$1=0,0,IFERROR(VALUE(SUBSTITUTE(SUBSTITUTE(SUBSTITUTE(INDEX(貼り付け!$A$1:$BZ$3001,197,$D$1)&amp;"",",",""),"¥",""),"￥","")),0))</f>
        <v/>
      </c>
      <c r="E198">
        <f>IF($E$1=0,0,IFERROR(VALUE(SUBSTITUTE(SUBSTITUTE(SUBSTITUTE(INDEX(貼り付け!$A$1:$BZ$3001,197,$E$1)&amp;"",",",""),"¥",""),"￥","")),0))</f>
        <v/>
      </c>
      <c r="F198">
        <f>IF($F$1=0,0,IFERROR(VALUE(SUBSTITUTE(SUBSTITUTE(SUBSTITUTE(INDEX(貼り付け!$A$1:$BZ$3001,197,$F$1)&amp;"",",",""),"¥",""),"￥","")),0))</f>
        <v/>
      </c>
      <c r="G198">
        <f>IF(ISNUMBER(B198),YEAR(B198),"")</f>
        <v/>
      </c>
      <c r="H198">
        <f>IF(ISNUMBER(B198),MONTH(B198),"")</f>
        <v/>
      </c>
      <c r="I198">
        <f>IFERROR(IF($B$1=0,"",IF(ISNUMBER(INDEX(貼り付け!$A$1:$BZ$3001,197,$B$1)),"",SUBSTITUTE(SUBSTITUTE(SUBSTITUTE(SUBSTITUTE(TRIM(LEFT(INDEX(貼り付け!$A$1:$BZ$3001,197,$B$1)&amp;"",FIND(" ",TRIM(INDEX(貼り付け!$A$1:$BZ$3001,197,$B$1)&amp;"")&amp;" ")-1)),"/","-"),"年","-"),"月","-"),"日",""))),"")</f>
        <v/>
      </c>
      <c r="J198">
        <f>IFERROR(MID(I198,FIND("-",I198)+1,99),"")</f>
        <v/>
      </c>
    </row>
    <row r="199">
      <c r="B199">
        <f>IFERROR(IF($B$1=0,"",IF(INDEX(貼り付け!$A$1:$BZ$3001,198,$B$1)="","",IF(ISNUMBER(INDEX(貼り付け!$A$1:$BZ$3001,198,$B$1)),INT(INDEX(貼り付け!$A$1:$BZ$3001,198,$B$1)),DATE(VALUE(LEFT(I199,FIND("-",I199)-1)),VALUE(LEFT(J199,FIND("-",J199)-1)),VALUE(MID(J199,FIND("-",J199)+1,99)))))),"")</f>
        <v/>
      </c>
      <c r="C199">
        <f>IF($C$1=0,0,IFERROR(VALUE(SUBSTITUTE(SUBSTITUTE(SUBSTITUTE(INDEX(貼り付け!$A$1:$BZ$3001,198,$C$1)&amp;"",",",""),"¥",""),"￥","")),0))</f>
        <v/>
      </c>
      <c r="D199">
        <f>IF($D$1=0,0,IFERROR(VALUE(SUBSTITUTE(SUBSTITUTE(SUBSTITUTE(INDEX(貼り付け!$A$1:$BZ$3001,198,$D$1)&amp;"",",",""),"¥",""),"￥","")),0))</f>
        <v/>
      </c>
      <c r="E199">
        <f>IF($E$1=0,0,IFERROR(VALUE(SUBSTITUTE(SUBSTITUTE(SUBSTITUTE(INDEX(貼り付け!$A$1:$BZ$3001,198,$E$1)&amp;"",",",""),"¥",""),"￥","")),0))</f>
        <v/>
      </c>
      <c r="F199">
        <f>IF($F$1=0,0,IFERROR(VALUE(SUBSTITUTE(SUBSTITUTE(SUBSTITUTE(INDEX(貼り付け!$A$1:$BZ$3001,198,$F$1)&amp;"",",",""),"¥",""),"￥","")),0))</f>
        <v/>
      </c>
      <c r="G199">
        <f>IF(ISNUMBER(B199),YEAR(B199),"")</f>
        <v/>
      </c>
      <c r="H199">
        <f>IF(ISNUMBER(B199),MONTH(B199),"")</f>
        <v/>
      </c>
      <c r="I199">
        <f>IFERROR(IF($B$1=0,"",IF(ISNUMBER(INDEX(貼り付け!$A$1:$BZ$3001,198,$B$1)),"",SUBSTITUTE(SUBSTITUTE(SUBSTITUTE(SUBSTITUTE(TRIM(LEFT(INDEX(貼り付け!$A$1:$BZ$3001,198,$B$1)&amp;"",FIND(" ",TRIM(INDEX(貼り付け!$A$1:$BZ$3001,198,$B$1)&amp;"")&amp;" ")-1)),"/","-"),"年","-"),"月","-"),"日",""))),"")</f>
        <v/>
      </c>
      <c r="J199">
        <f>IFERROR(MID(I199,FIND("-",I199)+1,99),"")</f>
        <v/>
      </c>
    </row>
    <row r="200">
      <c r="B200">
        <f>IFERROR(IF($B$1=0,"",IF(INDEX(貼り付け!$A$1:$BZ$3001,199,$B$1)="","",IF(ISNUMBER(INDEX(貼り付け!$A$1:$BZ$3001,199,$B$1)),INT(INDEX(貼り付け!$A$1:$BZ$3001,199,$B$1)),DATE(VALUE(LEFT(I200,FIND("-",I200)-1)),VALUE(LEFT(J200,FIND("-",J200)-1)),VALUE(MID(J200,FIND("-",J200)+1,99)))))),"")</f>
        <v/>
      </c>
      <c r="C200">
        <f>IF($C$1=0,0,IFERROR(VALUE(SUBSTITUTE(SUBSTITUTE(SUBSTITUTE(INDEX(貼り付け!$A$1:$BZ$3001,199,$C$1)&amp;"",",",""),"¥",""),"￥","")),0))</f>
        <v/>
      </c>
      <c r="D200">
        <f>IF($D$1=0,0,IFERROR(VALUE(SUBSTITUTE(SUBSTITUTE(SUBSTITUTE(INDEX(貼り付け!$A$1:$BZ$3001,199,$D$1)&amp;"",",",""),"¥",""),"￥","")),0))</f>
        <v/>
      </c>
      <c r="E200">
        <f>IF($E$1=0,0,IFERROR(VALUE(SUBSTITUTE(SUBSTITUTE(SUBSTITUTE(INDEX(貼り付け!$A$1:$BZ$3001,199,$E$1)&amp;"",",",""),"¥",""),"￥","")),0))</f>
        <v/>
      </c>
      <c r="F200">
        <f>IF($F$1=0,0,IFERROR(VALUE(SUBSTITUTE(SUBSTITUTE(SUBSTITUTE(INDEX(貼り付け!$A$1:$BZ$3001,199,$F$1)&amp;"",",",""),"¥",""),"￥","")),0))</f>
        <v/>
      </c>
      <c r="G200">
        <f>IF(ISNUMBER(B200),YEAR(B200),"")</f>
        <v/>
      </c>
      <c r="H200">
        <f>IF(ISNUMBER(B200),MONTH(B200),"")</f>
        <v/>
      </c>
      <c r="I200">
        <f>IFERROR(IF($B$1=0,"",IF(ISNUMBER(INDEX(貼り付け!$A$1:$BZ$3001,199,$B$1)),"",SUBSTITUTE(SUBSTITUTE(SUBSTITUTE(SUBSTITUTE(TRIM(LEFT(INDEX(貼り付け!$A$1:$BZ$3001,199,$B$1)&amp;"",FIND(" ",TRIM(INDEX(貼り付け!$A$1:$BZ$3001,199,$B$1)&amp;"")&amp;" ")-1)),"/","-"),"年","-"),"月","-"),"日",""))),"")</f>
        <v/>
      </c>
      <c r="J200">
        <f>IFERROR(MID(I200,FIND("-",I200)+1,99),"")</f>
        <v/>
      </c>
    </row>
    <row r="201">
      <c r="B201">
        <f>IFERROR(IF($B$1=0,"",IF(INDEX(貼り付け!$A$1:$BZ$3001,200,$B$1)="","",IF(ISNUMBER(INDEX(貼り付け!$A$1:$BZ$3001,200,$B$1)),INT(INDEX(貼り付け!$A$1:$BZ$3001,200,$B$1)),DATE(VALUE(LEFT(I201,FIND("-",I201)-1)),VALUE(LEFT(J201,FIND("-",J201)-1)),VALUE(MID(J201,FIND("-",J201)+1,99)))))),"")</f>
        <v/>
      </c>
      <c r="C201">
        <f>IF($C$1=0,0,IFERROR(VALUE(SUBSTITUTE(SUBSTITUTE(SUBSTITUTE(INDEX(貼り付け!$A$1:$BZ$3001,200,$C$1)&amp;"",",",""),"¥",""),"￥","")),0))</f>
        <v/>
      </c>
      <c r="D201">
        <f>IF($D$1=0,0,IFERROR(VALUE(SUBSTITUTE(SUBSTITUTE(SUBSTITUTE(INDEX(貼り付け!$A$1:$BZ$3001,200,$D$1)&amp;"",",",""),"¥",""),"￥","")),0))</f>
        <v/>
      </c>
      <c r="E201">
        <f>IF($E$1=0,0,IFERROR(VALUE(SUBSTITUTE(SUBSTITUTE(SUBSTITUTE(INDEX(貼り付け!$A$1:$BZ$3001,200,$E$1)&amp;"",",",""),"¥",""),"￥","")),0))</f>
        <v/>
      </c>
      <c r="F201">
        <f>IF($F$1=0,0,IFERROR(VALUE(SUBSTITUTE(SUBSTITUTE(SUBSTITUTE(INDEX(貼り付け!$A$1:$BZ$3001,200,$F$1)&amp;"",",",""),"¥",""),"￥","")),0))</f>
        <v/>
      </c>
      <c r="G201">
        <f>IF(ISNUMBER(B201),YEAR(B201),"")</f>
        <v/>
      </c>
      <c r="H201">
        <f>IF(ISNUMBER(B201),MONTH(B201),"")</f>
        <v/>
      </c>
      <c r="I201">
        <f>IFERROR(IF($B$1=0,"",IF(ISNUMBER(INDEX(貼り付け!$A$1:$BZ$3001,200,$B$1)),"",SUBSTITUTE(SUBSTITUTE(SUBSTITUTE(SUBSTITUTE(TRIM(LEFT(INDEX(貼り付け!$A$1:$BZ$3001,200,$B$1)&amp;"",FIND(" ",TRIM(INDEX(貼り付け!$A$1:$BZ$3001,200,$B$1)&amp;"")&amp;" ")-1)),"/","-"),"年","-"),"月","-"),"日",""))),"")</f>
        <v/>
      </c>
      <c r="J201">
        <f>IFERROR(MID(I201,FIND("-",I201)+1,99),"")</f>
        <v/>
      </c>
    </row>
    <row r="202">
      <c r="B202">
        <f>IFERROR(IF($B$1=0,"",IF(INDEX(貼り付け!$A$1:$BZ$3001,201,$B$1)="","",IF(ISNUMBER(INDEX(貼り付け!$A$1:$BZ$3001,201,$B$1)),INT(INDEX(貼り付け!$A$1:$BZ$3001,201,$B$1)),DATE(VALUE(LEFT(I202,FIND("-",I202)-1)),VALUE(LEFT(J202,FIND("-",J202)-1)),VALUE(MID(J202,FIND("-",J202)+1,99)))))),"")</f>
        <v/>
      </c>
      <c r="C202">
        <f>IF($C$1=0,0,IFERROR(VALUE(SUBSTITUTE(SUBSTITUTE(SUBSTITUTE(INDEX(貼り付け!$A$1:$BZ$3001,201,$C$1)&amp;"",",",""),"¥",""),"￥","")),0))</f>
        <v/>
      </c>
      <c r="D202">
        <f>IF($D$1=0,0,IFERROR(VALUE(SUBSTITUTE(SUBSTITUTE(SUBSTITUTE(INDEX(貼り付け!$A$1:$BZ$3001,201,$D$1)&amp;"",",",""),"¥",""),"￥","")),0))</f>
        <v/>
      </c>
      <c r="E202">
        <f>IF($E$1=0,0,IFERROR(VALUE(SUBSTITUTE(SUBSTITUTE(SUBSTITUTE(INDEX(貼り付け!$A$1:$BZ$3001,201,$E$1)&amp;"",",",""),"¥",""),"￥","")),0))</f>
        <v/>
      </c>
      <c r="F202">
        <f>IF($F$1=0,0,IFERROR(VALUE(SUBSTITUTE(SUBSTITUTE(SUBSTITUTE(INDEX(貼り付け!$A$1:$BZ$3001,201,$F$1)&amp;"",",",""),"¥",""),"￥","")),0))</f>
        <v/>
      </c>
      <c r="G202">
        <f>IF(ISNUMBER(B202),YEAR(B202),"")</f>
        <v/>
      </c>
      <c r="H202">
        <f>IF(ISNUMBER(B202),MONTH(B202),"")</f>
        <v/>
      </c>
      <c r="I202">
        <f>IFERROR(IF($B$1=0,"",IF(ISNUMBER(INDEX(貼り付け!$A$1:$BZ$3001,201,$B$1)),"",SUBSTITUTE(SUBSTITUTE(SUBSTITUTE(SUBSTITUTE(TRIM(LEFT(INDEX(貼り付け!$A$1:$BZ$3001,201,$B$1)&amp;"",FIND(" ",TRIM(INDEX(貼り付け!$A$1:$BZ$3001,201,$B$1)&amp;"")&amp;" ")-1)),"/","-"),"年","-"),"月","-"),"日",""))),"")</f>
        <v/>
      </c>
      <c r="J202">
        <f>IFERROR(MID(I202,FIND("-",I202)+1,99),"")</f>
        <v/>
      </c>
    </row>
    <row r="203">
      <c r="B203">
        <f>IFERROR(IF($B$1=0,"",IF(INDEX(貼り付け!$A$1:$BZ$3001,202,$B$1)="","",IF(ISNUMBER(INDEX(貼り付け!$A$1:$BZ$3001,202,$B$1)),INT(INDEX(貼り付け!$A$1:$BZ$3001,202,$B$1)),DATE(VALUE(LEFT(I203,FIND("-",I203)-1)),VALUE(LEFT(J203,FIND("-",J203)-1)),VALUE(MID(J203,FIND("-",J203)+1,99)))))),"")</f>
        <v/>
      </c>
      <c r="C203">
        <f>IF($C$1=0,0,IFERROR(VALUE(SUBSTITUTE(SUBSTITUTE(SUBSTITUTE(INDEX(貼り付け!$A$1:$BZ$3001,202,$C$1)&amp;"",",",""),"¥",""),"￥","")),0))</f>
        <v/>
      </c>
      <c r="D203">
        <f>IF($D$1=0,0,IFERROR(VALUE(SUBSTITUTE(SUBSTITUTE(SUBSTITUTE(INDEX(貼り付け!$A$1:$BZ$3001,202,$D$1)&amp;"",",",""),"¥",""),"￥","")),0))</f>
        <v/>
      </c>
      <c r="E203">
        <f>IF($E$1=0,0,IFERROR(VALUE(SUBSTITUTE(SUBSTITUTE(SUBSTITUTE(INDEX(貼り付け!$A$1:$BZ$3001,202,$E$1)&amp;"",",",""),"¥",""),"￥","")),0))</f>
        <v/>
      </c>
      <c r="F203">
        <f>IF($F$1=0,0,IFERROR(VALUE(SUBSTITUTE(SUBSTITUTE(SUBSTITUTE(INDEX(貼り付け!$A$1:$BZ$3001,202,$F$1)&amp;"",",",""),"¥",""),"￥","")),0))</f>
        <v/>
      </c>
      <c r="G203">
        <f>IF(ISNUMBER(B203),YEAR(B203),"")</f>
        <v/>
      </c>
      <c r="H203">
        <f>IF(ISNUMBER(B203),MONTH(B203),"")</f>
        <v/>
      </c>
      <c r="I203">
        <f>IFERROR(IF($B$1=0,"",IF(ISNUMBER(INDEX(貼り付け!$A$1:$BZ$3001,202,$B$1)),"",SUBSTITUTE(SUBSTITUTE(SUBSTITUTE(SUBSTITUTE(TRIM(LEFT(INDEX(貼り付け!$A$1:$BZ$3001,202,$B$1)&amp;"",FIND(" ",TRIM(INDEX(貼り付け!$A$1:$BZ$3001,202,$B$1)&amp;"")&amp;" ")-1)),"/","-"),"年","-"),"月","-"),"日",""))),"")</f>
        <v/>
      </c>
      <c r="J203">
        <f>IFERROR(MID(I203,FIND("-",I203)+1,99),"")</f>
        <v/>
      </c>
    </row>
    <row r="204">
      <c r="B204">
        <f>IFERROR(IF($B$1=0,"",IF(INDEX(貼り付け!$A$1:$BZ$3001,203,$B$1)="","",IF(ISNUMBER(INDEX(貼り付け!$A$1:$BZ$3001,203,$B$1)),INT(INDEX(貼り付け!$A$1:$BZ$3001,203,$B$1)),DATE(VALUE(LEFT(I204,FIND("-",I204)-1)),VALUE(LEFT(J204,FIND("-",J204)-1)),VALUE(MID(J204,FIND("-",J204)+1,99)))))),"")</f>
        <v/>
      </c>
      <c r="C204">
        <f>IF($C$1=0,0,IFERROR(VALUE(SUBSTITUTE(SUBSTITUTE(SUBSTITUTE(INDEX(貼り付け!$A$1:$BZ$3001,203,$C$1)&amp;"",",",""),"¥",""),"￥","")),0))</f>
        <v/>
      </c>
      <c r="D204">
        <f>IF($D$1=0,0,IFERROR(VALUE(SUBSTITUTE(SUBSTITUTE(SUBSTITUTE(INDEX(貼り付け!$A$1:$BZ$3001,203,$D$1)&amp;"",",",""),"¥",""),"￥","")),0))</f>
        <v/>
      </c>
      <c r="E204">
        <f>IF($E$1=0,0,IFERROR(VALUE(SUBSTITUTE(SUBSTITUTE(SUBSTITUTE(INDEX(貼り付け!$A$1:$BZ$3001,203,$E$1)&amp;"",",",""),"¥",""),"￥","")),0))</f>
        <v/>
      </c>
      <c r="F204">
        <f>IF($F$1=0,0,IFERROR(VALUE(SUBSTITUTE(SUBSTITUTE(SUBSTITUTE(INDEX(貼り付け!$A$1:$BZ$3001,203,$F$1)&amp;"",",",""),"¥",""),"￥","")),0))</f>
        <v/>
      </c>
      <c r="G204">
        <f>IF(ISNUMBER(B204),YEAR(B204),"")</f>
        <v/>
      </c>
      <c r="H204">
        <f>IF(ISNUMBER(B204),MONTH(B204),"")</f>
        <v/>
      </c>
      <c r="I204">
        <f>IFERROR(IF($B$1=0,"",IF(ISNUMBER(INDEX(貼り付け!$A$1:$BZ$3001,203,$B$1)),"",SUBSTITUTE(SUBSTITUTE(SUBSTITUTE(SUBSTITUTE(TRIM(LEFT(INDEX(貼り付け!$A$1:$BZ$3001,203,$B$1)&amp;"",FIND(" ",TRIM(INDEX(貼り付け!$A$1:$BZ$3001,203,$B$1)&amp;"")&amp;" ")-1)),"/","-"),"年","-"),"月","-"),"日",""))),"")</f>
        <v/>
      </c>
      <c r="J204">
        <f>IFERROR(MID(I204,FIND("-",I204)+1,99),"")</f>
        <v/>
      </c>
    </row>
    <row r="205">
      <c r="B205">
        <f>IFERROR(IF($B$1=0,"",IF(INDEX(貼り付け!$A$1:$BZ$3001,204,$B$1)="","",IF(ISNUMBER(INDEX(貼り付け!$A$1:$BZ$3001,204,$B$1)),INT(INDEX(貼り付け!$A$1:$BZ$3001,204,$B$1)),DATE(VALUE(LEFT(I205,FIND("-",I205)-1)),VALUE(LEFT(J205,FIND("-",J205)-1)),VALUE(MID(J205,FIND("-",J205)+1,99)))))),"")</f>
        <v/>
      </c>
      <c r="C205">
        <f>IF($C$1=0,0,IFERROR(VALUE(SUBSTITUTE(SUBSTITUTE(SUBSTITUTE(INDEX(貼り付け!$A$1:$BZ$3001,204,$C$1)&amp;"",",",""),"¥",""),"￥","")),0))</f>
        <v/>
      </c>
      <c r="D205">
        <f>IF($D$1=0,0,IFERROR(VALUE(SUBSTITUTE(SUBSTITUTE(SUBSTITUTE(INDEX(貼り付け!$A$1:$BZ$3001,204,$D$1)&amp;"",",",""),"¥",""),"￥","")),0))</f>
        <v/>
      </c>
      <c r="E205">
        <f>IF($E$1=0,0,IFERROR(VALUE(SUBSTITUTE(SUBSTITUTE(SUBSTITUTE(INDEX(貼り付け!$A$1:$BZ$3001,204,$E$1)&amp;"",",",""),"¥",""),"￥","")),0))</f>
        <v/>
      </c>
      <c r="F205">
        <f>IF($F$1=0,0,IFERROR(VALUE(SUBSTITUTE(SUBSTITUTE(SUBSTITUTE(INDEX(貼り付け!$A$1:$BZ$3001,204,$F$1)&amp;"",",",""),"¥",""),"￥","")),0))</f>
        <v/>
      </c>
      <c r="G205">
        <f>IF(ISNUMBER(B205),YEAR(B205),"")</f>
        <v/>
      </c>
      <c r="H205">
        <f>IF(ISNUMBER(B205),MONTH(B205),"")</f>
        <v/>
      </c>
      <c r="I205">
        <f>IFERROR(IF($B$1=0,"",IF(ISNUMBER(INDEX(貼り付け!$A$1:$BZ$3001,204,$B$1)),"",SUBSTITUTE(SUBSTITUTE(SUBSTITUTE(SUBSTITUTE(TRIM(LEFT(INDEX(貼り付け!$A$1:$BZ$3001,204,$B$1)&amp;"",FIND(" ",TRIM(INDEX(貼り付け!$A$1:$BZ$3001,204,$B$1)&amp;"")&amp;" ")-1)),"/","-"),"年","-"),"月","-"),"日",""))),"")</f>
        <v/>
      </c>
      <c r="J205">
        <f>IFERROR(MID(I205,FIND("-",I205)+1,99),"")</f>
        <v/>
      </c>
    </row>
    <row r="206">
      <c r="B206">
        <f>IFERROR(IF($B$1=0,"",IF(INDEX(貼り付け!$A$1:$BZ$3001,205,$B$1)="","",IF(ISNUMBER(INDEX(貼り付け!$A$1:$BZ$3001,205,$B$1)),INT(INDEX(貼り付け!$A$1:$BZ$3001,205,$B$1)),DATE(VALUE(LEFT(I206,FIND("-",I206)-1)),VALUE(LEFT(J206,FIND("-",J206)-1)),VALUE(MID(J206,FIND("-",J206)+1,99)))))),"")</f>
        <v/>
      </c>
      <c r="C206">
        <f>IF($C$1=0,0,IFERROR(VALUE(SUBSTITUTE(SUBSTITUTE(SUBSTITUTE(INDEX(貼り付け!$A$1:$BZ$3001,205,$C$1)&amp;"",",",""),"¥",""),"￥","")),0))</f>
        <v/>
      </c>
      <c r="D206">
        <f>IF($D$1=0,0,IFERROR(VALUE(SUBSTITUTE(SUBSTITUTE(SUBSTITUTE(INDEX(貼り付け!$A$1:$BZ$3001,205,$D$1)&amp;"",",",""),"¥",""),"￥","")),0))</f>
        <v/>
      </c>
      <c r="E206">
        <f>IF($E$1=0,0,IFERROR(VALUE(SUBSTITUTE(SUBSTITUTE(SUBSTITUTE(INDEX(貼り付け!$A$1:$BZ$3001,205,$E$1)&amp;"",",",""),"¥",""),"￥","")),0))</f>
        <v/>
      </c>
      <c r="F206">
        <f>IF($F$1=0,0,IFERROR(VALUE(SUBSTITUTE(SUBSTITUTE(SUBSTITUTE(INDEX(貼り付け!$A$1:$BZ$3001,205,$F$1)&amp;"",",",""),"¥",""),"￥","")),0))</f>
        <v/>
      </c>
      <c r="G206">
        <f>IF(ISNUMBER(B206),YEAR(B206),"")</f>
        <v/>
      </c>
      <c r="H206">
        <f>IF(ISNUMBER(B206),MONTH(B206),"")</f>
        <v/>
      </c>
      <c r="I206">
        <f>IFERROR(IF($B$1=0,"",IF(ISNUMBER(INDEX(貼り付け!$A$1:$BZ$3001,205,$B$1)),"",SUBSTITUTE(SUBSTITUTE(SUBSTITUTE(SUBSTITUTE(TRIM(LEFT(INDEX(貼り付け!$A$1:$BZ$3001,205,$B$1)&amp;"",FIND(" ",TRIM(INDEX(貼り付け!$A$1:$BZ$3001,205,$B$1)&amp;"")&amp;" ")-1)),"/","-"),"年","-"),"月","-"),"日",""))),"")</f>
        <v/>
      </c>
      <c r="J206">
        <f>IFERROR(MID(I206,FIND("-",I206)+1,99),"")</f>
        <v/>
      </c>
    </row>
    <row r="207">
      <c r="B207">
        <f>IFERROR(IF($B$1=0,"",IF(INDEX(貼り付け!$A$1:$BZ$3001,206,$B$1)="","",IF(ISNUMBER(INDEX(貼り付け!$A$1:$BZ$3001,206,$B$1)),INT(INDEX(貼り付け!$A$1:$BZ$3001,206,$B$1)),DATE(VALUE(LEFT(I207,FIND("-",I207)-1)),VALUE(LEFT(J207,FIND("-",J207)-1)),VALUE(MID(J207,FIND("-",J207)+1,99)))))),"")</f>
        <v/>
      </c>
      <c r="C207">
        <f>IF($C$1=0,0,IFERROR(VALUE(SUBSTITUTE(SUBSTITUTE(SUBSTITUTE(INDEX(貼り付け!$A$1:$BZ$3001,206,$C$1)&amp;"",",",""),"¥",""),"￥","")),0))</f>
        <v/>
      </c>
      <c r="D207">
        <f>IF($D$1=0,0,IFERROR(VALUE(SUBSTITUTE(SUBSTITUTE(SUBSTITUTE(INDEX(貼り付け!$A$1:$BZ$3001,206,$D$1)&amp;"",",",""),"¥",""),"￥","")),0))</f>
        <v/>
      </c>
      <c r="E207">
        <f>IF($E$1=0,0,IFERROR(VALUE(SUBSTITUTE(SUBSTITUTE(SUBSTITUTE(INDEX(貼り付け!$A$1:$BZ$3001,206,$E$1)&amp;"",",",""),"¥",""),"￥","")),0))</f>
        <v/>
      </c>
      <c r="F207">
        <f>IF($F$1=0,0,IFERROR(VALUE(SUBSTITUTE(SUBSTITUTE(SUBSTITUTE(INDEX(貼り付け!$A$1:$BZ$3001,206,$F$1)&amp;"",",",""),"¥",""),"￥","")),0))</f>
        <v/>
      </c>
      <c r="G207">
        <f>IF(ISNUMBER(B207),YEAR(B207),"")</f>
        <v/>
      </c>
      <c r="H207">
        <f>IF(ISNUMBER(B207),MONTH(B207),"")</f>
        <v/>
      </c>
      <c r="I207">
        <f>IFERROR(IF($B$1=0,"",IF(ISNUMBER(INDEX(貼り付け!$A$1:$BZ$3001,206,$B$1)),"",SUBSTITUTE(SUBSTITUTE(SUBSTITUTE(SUBSTITUTE(TRIM(LEFT(INDEX(貼り付け!$A$1:$BZ$3001,206,$B$1)&amp;"",FIND(" ",TRIM(INDEX(貼り付け!$A$1:$BZ$3001,206,$B$1)&amp;"")&amp;" ")-1)),"/","-"),"年","-"),"月","-"),"日",""))),"")</f>
        <v/>
      </c>
      <c r="J207">
        <f>IFERROR(MID(I207,FIND("-",I207)+1,99),"")</f>
        <v/>
      </c>
    </row>
    <row r="208">
      <c r="B208">
        <f>IFERROR(IF($B$1=0,"",IF(INDEX(貼り付け!$A$1:$BZ$3001,207,$B$1)="","",IF(ISNUMBER(INDEX(貼り付け!$A$1:$BZ$3001,207,$B$1)),INT(INDEX(貼り付け!$A$1:$BZ$3001,207,$B$1)),DATE(VALUE(LEFT(I208,FIND("-",I208)-1)),VALUE(LEFT(J208,FIND("-",J208)-1)),VALUE(MID(J208,FIND("-",J208)+1,99)))))),"")</f>
        <v/>
      </c>
      <c r="C208">
        <f>IF($C$1=0,0,IFERROR(VALUE(SUBSTITUTE(SUBSTITUTE(SUBSTITUTE(INDEX(貼り付け!$A$1:$BZ$3001,207,$C$1)&amp;"",",",""),"¥",""),"￥","")),0))</f>
        <v/>
      </c>
      <c r="D208">
        <f>IF($D$1=0,0,IFERROR(VALUE(SUBSTITUTE(SUBSTITUTE(SUBSTITUTE(INDEX(貼り付け!$A$1:$BZ$3001,207,$D$1)&amp;"",",",""),"¥",""),"￥","")),0))</f>
        <v/>
      </c>
      <c r="E208">
        <f>IF($E$1=0,0,IFERROR(VALUE(SUBSTITUTE(SUBSTITUTE(SUBSTITUTE(INDEX(貼り付け!$A$1:$BZ$3001,207,$E$1)&amp;"",",",""),"¥",""),"￥","")),0))</f>
        <v/>
      </c>
      <c r="F208">
        <f>IF($F$1=0,0,IFERROR(VALUE(SUBSTITUTE(SUBSTITUTE(SUBSTITUTE(INDEX(貼り付け!$A$1:$BZ$3001,207,$F$1)&amp;"",",",""),"¥",""),"￥","")),0))</f>
        <v/>
      </c>
      <c r="G208">
        <f>IF(ISNUMBER(B208),YEAR(B208),"")</f>
        <v/>
      </c>
      <c r="H208">
        <f>IF(ISNUMBER(B208),MONTH(B208),"")</f>
        <v/>
      </c>
      <c r="I208">
        <f>IFERROR(IF($B$1=0,"",IF(ISNUMBER(INDEX(貼り付け!$A$1:$BZ$3001,207,$B$1)),"",SUBSTITUTE(SUBSTITUTE(SUBSTITUTE(SUBSTITUTE(TRIM(LEFT(INDEX(貼り付け!$A$1:$BZ$3001,207,$B$1)&amp;"",FIND(" ",TRIM(INDEX(貼り付け!$A$1:$BZ$3001,207,$B$1)&amp;"")&amp;" ")-1)),"/","-"),"年","-"),"月","-"),"日",""))),"")</f>
        <v/>
      </c>
      <c r="J208">
        <f>IFERROR(MID(I208,FIND("-",I208)+1,99),"")</f>
        <v/>
      </c>
    </row>
    <row r="209">
      <c r="B209">
        <f>IFERROR(IF($B$1=0,"",IF(INDEX(貼り付け!$A$1:$BZ$3001,208,$B$1)="","",IF(ISNUMBER(INDEX(貼り付け!$A$1:$BZ$3001,208,$B$1)),INT(INDEX(貼り付け!$A$1:$BZ$3001,208,$B$1)),DATE(VALUE(LEFT(I209,FIND("-",I209)-1)),VALUE(LEFT(J209,FIND("-",J209)-1)),VALUE(MID(J209,FIND("-",J209)+1,99)))))),"")</f>
        <v/>
      </c>
      <c r="C209">
        <f>IF($C$1=0,0,IFERROR(VALUE(SUBSTITUTE(SUBSTITUTE(SUBSTITUTE(INDEX(貼り付け!$A$1:$BZ$3001,208,$C$1)&amp;"",",",""),"¥",""),"￥","")),0))</f>
        <v/>
      </c>
      <c r="D209">
        <f>IF($D$1=0,0,IFERROR(VALUE(SUBSTITUTE(SUBSTITUTE(SUBSTITUTE(INDEX(貼り付け!$A$1:$BZ$3001,208,$D$1)&amp;"",",",""),"¥",""),"￥","")),0))</f>
        <v/>
      </c>
      <c r="E209">
        <f>IF($E$1=0,0,IFERROR(VALUE(SUBSTITUTE(SUBSTITUTE(SUBSTITUTE(INDEX(貼り付け!$A$1:$BZ$3001,208,$E$1)&amp;"",",",""),"¥",""),"￥","")),0))</f>
        <v/>
      </c>
      <c r="F209">
        <f>IF($F$1=0,0,IFERROR(VALUE(SUBSTITUTE(SUBSTITUTE(SUBSTITUTE(INDEX(貼り付け!$A$1:$BZ$3001,208,$F$1)&amp;"",",",""),"¥",""),"￥","")),0))</f>
        <v/>
      </c>
      <c r="G209">
        <f>IF(ISNUMBER(B209),YEAR(B209),"")</f>
        <v/>
      </c>
      <c r="H209">
        <f>IF(ISNUMBER(B209),MONTH(B209),"")</f>
        <v/>
      </c>
      <c r="I209">
        <f>IFERROR(IF($B$1=0,"",IF(ISNUMBER(INDEX(貼り付け!$A$1:$BZ$3001,208,$B$1)),"",SUBSTITUTE(SUBSTITUTE(SUBSTITUTE(SUBSTITUTE(TRIM(LEFT(INDEX(貼り付け!$A$1:$BZ$3001,208,$B$1)&amp;"",FIND(" ",TRIM(INDEX(貼り付け!$A$1:$BZ$3001,208,$B$1)&amp;"")&amp;" ")-1)),"/","-"),"年","-"),"月","-"),"日",""))),"")</f>
        <v/>
      </c>
      <c r="J209">
        <f>IFERROR(MID(I209,FIND("-",I209)+1,99),"")</f>
        <v/>
      </c>
    </row>
    <row r="210">
      <c r="B210">
        <f>IFERROR(IF($B$1=0,"",IF(INDEX(貼り付け!$A$1:$BZ$3001,209,$B$1)="","",IF(ISNUMBER(INDEX(貼り付け!$A$1:$BZ$3001,209,$B$1)),INT(INDEX(貼り付け!$A$1:$BZ$3001,209,$B$1)),DATE(VALUE(LEFT(I210,FIND("-",I210)-1)),VALUE(LEFT(J210,FIND("-",J210)-1)),VALUE(MID(J210,FIND("-",J210)+1,99)))))),"")</f>
        <v/>
      </c>
      <c r="C210">
        <f>IF($C$1=0,0,IFERROR(VALUE(SUBSTITUTE(SUBSTITUTE(SUBSTITUTE(INDEX(貼り付け!$A$1:$BZ$3001,209,$C$1)&amp;"",",",""),"¥",""),"￥","")),0))</f>
        <v/>
      </c>
      <c r="D210">
        <f>IF($D$1=0,0,IFERROR(VALUE(SUBSTITUTE(SUBSTITUTE(SUBSTITUTE(INDEX(貼り付け!$A$1:$BZ$3001,209,$D$1)&amp;"",",",""),"¥",""),"￥","")),0))</f>
        <v/>
      </c>
      <c r="E210">
        <f>IF($E$1=0,0,IFERROR(VALUE(SUBSTITUTE(SUBSTITUTE(SUBSTITUTE(INDEX(貼り付け!$A$1:$BZ$3001,209,$E$1)&amp;"",",",""),"¥",""),"￥","")),0))</f>
        <v/>
      </c>
      <c r="F210">
        <f>IF($F$1=0,0,IFERROR(VALUE(SUBSTITUTE(SUBSTITUTE(SUBSTITUTE(INDEX(貼り付け!$A$1:$BZ$3001,209,$F$1)&amp;"",",",""),"¥",""),"￥","")),0))</f>
        <v/>
      </c>
      <c r="G210">
        <f>IF(ISNUMBER(B210),YEAR(B210),"")</f>
        <v/>
      </c>
      <c r="H210">
        <f>IF(ISNUMBER(B210),MONTH(B210),"")</f>
        <v/>
      </c>
      <c r="I210">
        <f>IFERROR(IF($B$1=0,"",IF(ISNUMBER(INDEX(貼り付け!$A$1:$BZ$3001,209,$B$1)),"",SUBSTITUTE(SUBSTITUTE(SUBSTITUTE(SUBSTITUTE(TRIM(LEFT(INDEX(貼り付け!$A$1:$BZ$3001,209,$B$1)&amp;"",FIND(" ",TRIM(INDEX(貼り付け!$A$1:$BZ$3001,209,$B$1)&amp;"")&amp;" ")-1)),"/","-"),"年","-"),"月","-"),"日",""))),"")</f>
        <v/>
      </c>
      <c r="J210">
        <f>IFERROR(MID(I210,FIND("-",I210)+1,99),"")</f>
        <v/>
      </c>
    </row>
    <row r="211">
      <c r="B211">
        <f>IFERROR(IF($B$1=0,"",IF(INDEX(貼り付け!$A$1:$BZ$3001,210,$B$1)="","",IF(ISNUMBER(INDEX(貼り付け!$A$1:$BZ$3001,210,$B$1)),INT(INDEX(貼り付け!$A$1:$BZ$3001,210,$B$1)),DATE(VALUE(LEFT(I211,FIND("-",I211)-1)),VALUE(LEFT(J211,FIND("-",J211)-1)),VALUE(MID(J211,FIND("-",J211)+1,99)))))),"")</f>
        <v/>
      </c>
      <c r="C211">
        <f>IF($C$1=0,0,IFERROR(VALUE(SUBSTITUTE(SUBSTITUTE(SUBSTITUTE(INDEX(貼り付け!$A$1:$BZ$3001,210,$C$1)&amp;"",",",""),"¥",""),"￥","")),0))</f>
        <v/>
      </c>
      <c r="D211">
        <f>IF($D$1=0,0,IFERROR(VALUE(SUBSTITUTE(SUBSTITUTE(SUBSTITUTE(INDEX(貼り付け!$A$1:$BZ$3001,210,$D$1)&amp;"",",",""),"¥",""),"￥","")),0))</f>
        <v/>
      </c>
      <c r="E211">
        <f>IF($E$1=0,0,IFERROR(VALUE(SUBSTITUTE(SUBSTITUTE(SUBSTITUTE(INDEX(貼り付け!$A$1:$BZ$3001,210,$E$1)&amp;"",",",""),"¥",""),"￥","")),0))</f>
        <v/>
      </c>
      <c r="F211">
        <f>IF($F$1=0,0,IFERROR(VALUE(SUBSTITUTE(SUBSTITUTE(SUBSTITUTE(INDEX(貼り付け!$A$1:$BZ$3001,210,$F$1)&amp;"",",",""),"¥",""),"￥","")),0))</f>
        <v/>
      </c>
      <c r="G211">
        <f>IF(ISNUMBER(B211),YEAR(B211),"")</f>
        <v/>
      </c>
      <c r="H211">
        <f>IF(ISNUMBER(B211),MONTH(B211),"")</f>
        <v/>
      </c>
      <c r="I211">
        <f>IFERROR(IF($B$1=0,"",IF(ISNUMBER(INDEX(貼り付け!$A$1:$BZ$3001,210,$B$1)),"",SUBSTITUTE(SUBSTITUTE(SUBSTITUTE(SUBSTITUTE(TRIM(LEFT(INDEX(貼り付け!$A$1:$BZ$3001,210,$B$1)&amp;"",FIND(" ",TRIM(INDEX(貼り付け!$A$1:$BZ$3001,210,$B$1)&amp;"")&amp;" ")-1)),"/","-"),"年","-"),"月","-"),"日",""))),"")</f>
        <v/>
      </c>
      <c r="J211">
        <f>IFERROR(MID(I211,FIND("-",I211)+1,99),"")</f>
        <v/>
      </c>
    </row>
    <row r="212">
      <c r="B212">
        <f>IFERROR(IF($B$1=0,"",IF(INDEX(貼り付け!$A$1:$BZ$3001,211,$B$1)="","",IF(ISNUMBER(INDEX(貼り付け!$A$1:$BZ$3001,211,$B$1)),INT(INDEX(貼り付け!$A$1:$BZ$3001,211,$B$1)),DATE(VALUE(LEFT(I212,FIND("-",I212)-1)),VALUE(LEFT(J212,FIND("-",J212)-1)),VALUE(MID(J212,FIND("-",J212)+1,99)))))),"")</f>
        <v/>
      </c>
      <c r="C212">
        <f>IF($C$1=0,0,IFERROR(VALUE(SUBSTITUTE(SUBSTITUTE(SUBSTITUTE(INDEX(貼り付け!$A$1:$BZ$3001,211,$C$1)&amp;"",",",""),"¥",""),"￥","")),0))</f>
        <v/>
      </c>
      <c r="D212">
        <f>IF($D$1=0,0,IFERROR(VALUE(SUBSTITUTE(SUBSTITUTE(SUBSTITUTE(INDEX(貼り付け!$A$1:$BZ$3001,211,$D$1)&amp;"",",",""),"¥",""),"￥","")),0))</f>
        <v/>
      </c>
      <c r="E212">
        <f>IF($E$1=0,0,IFERROR(VALUE(SUBSTITUTE(SUBSTITUTE(SUBSTITUTE(INDEX(貼り付け!$A$1:$BZ$3001,211,$E$1)&amp;"",",",""),"¥",""),"￥","")),0))</f>
        <v/>
      </c>
      <c r="F212">
        <f>IF($F$1=0,0,IFERROR(VALUE(SUBSTITUTE(SUBSTITUTE(SUBSTITUTE(INDEX(貼り付け!$A$1:$BZ$3001,211,$F$1)&amp;"",",",""),"¥",""),"￥","")),0))</f>
        <v/>
      </c>
      <c r="G212">
        <f>IF(ISNUMBER(B212),YEAR(B212),"")</f>
        <v/>
      </c>
      <c r="H212">
        <f>IF(ISNUMBER(B212),MONTH(B212),"")</f>
        <v/>
      </c>
      <c r="I212">
        <f>IFERROR(IF($B$1=0,"",IF(ISNUMBER(INDEX(貼り付け!$A$1:$BZ$3001,211,$B$1)),"",SUBSTITUTE(SUBSTITUTE(SUBSTITUTE(SUBSTITUTE(TRIM(LEFT(INDEX(貼り付け!$A$1:$BZ$3001,211,$B$1)&amp;"",FIND(" ",TRIM(INDEX(貼り付け!$A$1:$BZ$3001,211,$B$1)&amp;"")&amp;" ")-1)),"/","-"),"年","-"),"月","-"),"日",""))),"")</f>
        <v/>
      </c>
      <c r="J212">
        <f>IFERROR(MID(I212,FIND("-",I212)+1,99),"")</f>
        <v/>
      </c>
    </row>
    <row r="213">
      <c r="B213">
        <f>IFERROR(IF($B$1=0,"",IF(INDEX(貼り付け!$A$1:$BZ$3001,212,$B$1)="","",IF(ISNUMBER(INDEX(貼り付け!$A$1:$BZ$3001,212,$B$1)),INT(INDEX(貼り付け!$A$1:$BZ$3001,212,$B$1)),DATE(VALUE(LEFT(I213,FIND("-",I213)-1)),VALUE(LEFT(J213,FIND("-",J213)-1)),VALUE(MID(J213,FIND("-",J213)+1,99)))))),"")</f>
        <v/>
      </c>
      <c r="C213">
        <f>IF($C$1=0,0,IFERROR(VALUE(SUBSTITUTE(SUBSTITUTE(SUBSTITUTE(INDEX(貼り付け!$A$1:$BZ$3001,212,$C$1)&amp;"",",",""),"¥",""),"￥","")),0))</f>
        <v/>
      </c>
      <c r="D213">
        <f>IF($D$1=0,0,IFERROR(VALUE(SUBSTITUTE(SUBSTITUTE(SUBSTITUTE(INDEX(貼り付け!$A$1:$BZ$3001,212,$D$1)&amp;"",",",""),"¥",""),"￥","")),0))</f>
        <v/>
      </c>
      <c r="E213">
        <f>IF($E$1=0,0,IFERROR(VALUE(SUBSTITUTE(SUBSTITUTE(SUBSTITUTE(INDEX(貼り付け!$A$1:$BZ$3001,212,$E$1)&amp;"",",",""),"¥",""),"￥","")),0))</f>
        <v/>
      </c>
      <c r="F213">
        <f>IF($F$1=0,0,IFERROR(VALUE(SUBSTITUTE(SUBSTITUTE(SUBSTITUTE(INDEX(貼り付け!$A$1:$BZ$3001,212,$F$1)&amp;"",",",""),"¥",""),"￥","")),0))</f>
        <v/>
      </c>
      <c r="G213">
        <f>IF(ISNUMBER(B213),YEAR(B213),"")</f>
        <v/>
      </c>
      <c r="H213">
        <f>IF(ISNUMBER(B213),MONTH(B213),"")</f>
        <v/>
      </c>
      <c r="I213">
        <f>IFERROR(IF($B$1=0,"",IF(ISNUMBER(INDEX(貼り付け!$A$1:$BZ$3001,212,$B$1)),"",SUBSTITUTE(SUBSTITUTE(SUBSTITUTE(SUBSTITUTE(TRIM(LEFT(INDEX(貼り付け!$A$1:$BZ$3001,212,$B$1)&amp;"",FIND(" ",TRIM(INDEX(貼り付け!$A$1:$BZ$3001,212,$B$1)&amp;"")&amp;" ")-1)),"/","-"),"年","-"),"月","-"),"日",""))),"")</f>
        <v/>
      </c>
      <c r="J213">
        <f>IFERROR(MID(I213,FIND("-",I213)+1,99),"")</f>
        <v/>
      </c>
    </row>
    <row r="214">
      <c r="B214">
        <f>IFERROR(IF($B$1=0,"",IF(INDEX(貼り付け!$A$1:$BZ$3001,213,$B$1)="","",IF(ISNUMBER(INDEX(貼り付け!$A$1:$BZ$3001,213,$B$1)),INT(INDEX(貼り付け!$A$1:$BZ$3001,213,$B$1)),DATE(VALUE(LEFT(I214,FIND("-",I214)-1)),VALUE(LEFT(J214,FIND("-",J214)-1)),VALUE(MID(J214,FIND("-",J214)+1,99)))))),"")</f>
        <v/>
      </c>
      <c r="C214">
        <f>IF($C$1=0,0,IFERROR(VALUE(SUBSTITUTE(SUBSTITUTE(SUBSTITUTE(INDEX(貼り付け!$A$1:$BZ$3001,213,$C$1)&amp;"",",",""),"¥",""),"￥","")),0))</f>
        <v/>
      </c>
      <c r="D214">
        <f>IF($D$1=0,0,IFERROR(VALUE(SUBSTITUTE(SUBSTITUTE(SUBSTITUTE(INDEX(貼り付け!$A$1:$BZ$3001,213,$D$1)&amp;"",",",""),"¥",""),"￥","")),0))</f>
        <v/>
      </c>
      <c r="E214">
        <f>IF($E$1=0,0,IFERROR(VALUE(SUBSTITUTE(SUBSTITUTE(SUBSTITUTE(INDEX(貼り付け!$A$1:$BZ$3001,213,$E$1)&amp;"",",",""),"¥",""),"￥","")),0))</f>
        <v/>
      </c>
      <c r="F214">
        <f>IF($F$1=0,0,IFERROR(VALUE(SUBSTITUTE(SUBSTITUTE(SUBSTITUTE(INDEX(貼り付け!$A$1:$BZ$3001,213,$F$1)&amp;"",",",""),"¥",""),"￥","")),0))</f>
        <v/>
      </c>
      <c r="G214">
        <f>IF(ISNUMBER(B214),YEAR(B214),"")</f>
        <v/>
      </c>
      <c r="H214">
        <f>IF(ISNUMBER(B214),MONTH(B214),"")</f>
        <v/>
      </c>
      <c r="I214">
        <f>IFERROR(IF($B$1=0,"",IF(ISNUMBER(INDEX(貼り付け!$A$1:$BZ$3001,213,$B$1)),"",SUBSTITUTE(SUBSTITUTE(SUBSTITUTE(SUBSTITUTE(TRIM(LEFT(INDEX(貼り付け!$A$1:$BZ$3001,213,$B$1)&amp;"",FIND(" ",TRIM(INDEX(貼り付け!$A$1:$BZ$3001,213,$B$1)&amp;"")&amp;" ")-1)),"/","-"),"年","-"),"月","-"),"日",""))),"")</f>
        <v/>
      </c>
      <c r="J214">
        <f>IFERROR(MID(I214,FIND("-",I214)+1,99),"")</f>
        <v/>
      </c>
    </row>
    <row r="215">
      <c r="B215">
        <f>IFERROR(IF($B$1=0,"",IF(INDEX(貼り付け!$A$1:$BZ$3001,214,$B$1)="","",IF(ISNUMBER(INDEX(貼り付け!$A$1:$BZ$3001,214,$B$1)),INT(INDEX(貼り付け!$A$1:$BZ$3001,214,$B$1)),DATE(VALUE(LEFT(I215,FIND("-",I215)-1)),VALUE(LEFT(J215,FIND("-",J215)-1)),VALUE(MID(J215,FIND("-",J215)+1,99)))))),"")</f>
        <v/>
      </c>
      <c r="C215">
        <f>IF($C$1=0,0,IFERROR(VALUE(SUBSTITUTE(SUBSTITUTE(SUBSTITUTE(INDEX(貼り付け!$A$1:$BZ$3001,214,$C$1)&amp;"",",",""),"¥",""),"￥","")),0))</f>
        <v/>
      </c>
      <c r="D215">
        <f>IF($D$1=0,0,IFERROR(VALUE(SUBSTITUTE(SUBSTITUTE(SUBSTITUTE(INDEX(貼り付け!$A$1:$BZ$3001,214,$D$1)&amp;"",",",""),"¥",""),"￥","")),0))</f>
        <v/>
      </c>
      <c r="E215">
        <f>IF($E$1=0,0,IFERROR(VALUE(SUBSTITUTE(SUBSTITUTE(SUBSTITUTE(INDEX(貼り付け!$A$1:$BZ$3001,214,$E$1)&amp;"",",",""),"¥",""),"￥","")),0))</f>
        <v/>
      </c>
      <c r="F215">
        <f>IF($F$1=0,0,IFERROR(VALUE(SUBSTITUTE(SUBSTITUTE(SUBSTITUTE(INDEX(貼り付け!$A$1:$BZ$3001,214,$F$1)&amp;"",",",""),"¥",""),"￥","")),0))</f>
        <v/>
      </c>
      <c r="G215">
        <f>IF(ISNUMBER(B215),YEAR(B215),"")</f>
        <v/>
      </c>
      <c r="H215">
        <f>IF(ISNUMBER(B215),MONTH(B215),"")</f>
        <v/>
      </c>
      <c r="I215">
        <f>IFERROR(IF($B$1=0,"",IF(ISNUMBER(INDEX(貼り付け!$A$1:$BZ$3001,214,$B$1)),"",SUBSTITUTE(SUBSTITUTE(SUBSTITUTE(SUBSTITUTE(TRIM(LEFT(INDEX(貼り付け!$A$1:$BZ$3001,214,$B$1)&amp;"",FIND(" ",TRIM(INDEX(貼り付け!$A$1:$BZ$3001,214,$B$1)&amp;"")&amp;" ")-1)),"/","-"),"年","-"),"月","-"),"日",""))),"")</f>
        <v/>
      </c>
      <c r="J215">
        <f>IFERROR(MID(I215,FIND("-",I215)+1,99),"")</f>
        <v/>
      </c>
    </row>
    <row r="216">
      <c r="B216">
        <f>IFERROR(IF($B$1=0,"",IF(INDEX(貼り付け!$A$1:$BZ$3001,215,$B$1)="","",IF(ISNUMBER(INDEX(貼り付け!$A$1:$BZ$3001,215,$B$1)),INT(INDEX(貼り付け!$A$1:$BZ$3001,215,$B$1)),DATE(VALUE(LEFT(I216,FIND("-",I216)-1)),VALUE(LEFT(J216,FIND("-",J216)-1)),VALUE(MID(J216,FIND("-",J216)+1,99)))))),"")</f>
        <v/>
      </c>
      <c r="C216">
        <f>IF($C$1=0,0,IFERROR(VALUE(SUBSTITUTE(SUBSTITUTE(SUBSTITUTE(INDEX(貼り付け!$A$1:$BZ$3001,215,$C$1)&amp;"",",",""),"¥",""),"￥","")),0))</f>
        <v/>
      </c>
      <c r="D216">
        <f>IF($D$1=0,0,IFERROR(VALUE(SUBSTITUTE(SUBSTITUTE(SUBSTITUTE(INDEX(貼り付け!$A$1:$BZ$3001,215,$D$1)&amp;"",",",""),"¥",""),"￥","")),0))</f>
        <v/>
      </c>
      <c r="E216">
        <f>IF($E$1=0,0,IFERROR(VALUE(SUBSTITUTE(SUBSTITUTE(SUBSTITUTE(INDEX(貼り付け!$A$1:$BZ$3001,215,$E$1)&amp;"",",",""),"¥",""),"￥","")),0))</f>
        <v/>
      </c>
      <c r="F216">
        <f>IF($F$1=0,0,IFERROR(VALUE(SUBSTITUTE(SUBSTITUTE(SUBSTITUTE(INDEX(貼り付け!$A$1:$BZ$3001,215,$F$1)&amp;"",",",""),"¥",""),"￥","")),0))</f>
        <v/>
      </c>
      <c r="G216">
        <f>IF(ISNUMBER(B216),YEAR(B216),"")</f>
        <v/>
      </c>
      <c r="H216">
        <f>IF(ISNUMBER(B216),MONTH(B216),"")</f>
        <v/>
      </c>
      <c r="I216">
        <f>IFERROR(IF($B$1=0,"",IF(ISNUMBER(INDEX(貼り付け!$A$1:$BZ$3001,215,$B$1)),"",SUBSTITUTE(SUBSTITUTE(SUBSTITUTE(SUBSTITUTE(TRIM(LEFT(INDEX(貼り付け!$A$1:$BZ$3001,215,$B$1)&amp;"",FIND(" ",TRIM(INDEX(貼り付け!$A$1:$BZ$3001,215,$B$1)&amp;"")&amp;" ")-1)),"/","-"),"年","-"),"月","-"),"日",""))),"")</f>
        <v/>
      </c>
      <c r="J216">
        <f>IFERROR(MID(I216,FIND("-",I216)+1,99),"")</f>
        <v/>
      </c>
    </row>
    <row r="217">
      <c r="B217">
        <f>IFERROR(IF($B$1=0,"",IF(INDEX(貼り付け!$A$1:$BZ$3001,216,$B$1)="","",IF(ISNUMBER(INDEX(貼り付け!$A$1:$BZ$3001,216,$B$1)),INT(INDEX(貼り付け!$A$1:$BZ$3001,216,$B$1)),DATE(VALUE(LEFT(I217,FIND("-",I217)-1)),VALUE(LEFT(J217,FIND("-",J217)-1)),VALUE(MID(J217,FIND("-",J217)+1,99)))))),"")</f>
        <v/>
      </c>
      <c r="C217">
        <f>IF($C$1=0,0,IFERROR(VALUE(SUBSTITUTE(SUBSTITUTE(SUBSTITUTE(INDEX(貼り付け!$A$1:$BZ$3001,216,$C$1)&amp;"",",",""),"¥",""),"￥","")),0))</f>
        <v/>
      </c>
      <c r="D217">
        <f>IF($D$1=0,0,IFERROR(VALUE(SUBSTITUTE(SUBSTITUTE(SUBSTITUTE(INDEX(貼り付け!$A$1:$BZ$3001,216,$D$1)&amp;"",",",""),"¥",""),"￥","")),0))</f>
        <v/>
      </c>
      <c r="E217">
        <f>IF($E$1=0,0,IFERROR(VALUE(SUBSTITUTE(SUBSTITUTE(SUBSTITUTE(INDEX(貼り付け!$A$1:$BZ$3001,216,$E$1)&amp;"",",",""),"¥",""),"￥","")),0))</f>
        <v/>
      </c>
      <c r="F217">
        <f>IF($F$1=0,0,IFERROR(VALUE(SUBSTITUTE(SUBSTITUTE(SUBSTITUTE(INDEX(貼り付け!$A$1:$BZ$3001,216,$F$1)&amp;"",",",""),"¥",""),"￥","")),0))</f>
        <v/>
      </c>
      <c r="G217">
        <f>IF(ISNUMBER(B217),YEAR(B217),"")</f>
        <v/>
      </c>
      <c r="H217">
        <f>IF(ISNUMBER(B217),MONTH(B217),"")</f>
        <v/>
      </c>
      <c r="I217">
        <f>IFERROR(IF($B$1=0,"",IF(ISNUMBER(INDEX(貼り付け!$A$1:$BZ$3001,216,$B$1)),"",SUBSTITUTE(SUBSTITUTE(SUBSTITUTE(SUBSTITUTE(TRIM(LEFT(INDEX(貼り付け!$A$1:$BZ$3001,216,$B$1)&amp;"",FIND(" ",TRIM(INDEX(貼り付け!$A$1:$BZ$3001,216,$B$1)&amp;"")&amp;" ")-1)),"/","-"),"年","-"),"月","-"),"日",""))),"")</f>
        <v/>
      </c>
      <c r="J217">
        <f>IFERROR(MID(I217,FIND("-",I217)+1,99),"")</f>
        <v/>
      </c>
    </row>
    <row r="218">
      <c r="B218">
        <f>IFERROR(IF($B$1=0,"",IF(INDEX(貼り付け!$A$1:$BZ$3001,217,$B$1)="","",IF(ISNUMBER(INDEX(貼り付け!$A$1:$BZ$3001,217,$B$1)),INT(INDEX(貼り付け!$A$1:$BZ$3001,217,$B$1)),DATE(VALUE(LEFT(I218,FIND("-",I218)-1)),VALUE(LEFT(J218,FIND("-",J218)-1)),VALUE(MID(J218,FIND("-",J218)+1,99)))))),"")</f>
        <v/>
      </c>
      <c r="C218">
        <f>IF($C$1=0,0,IFERROR(VALUE(SUBSTITUTE(SUBSTITUTE(SUBSTITUTE(INDEX(貼り付け!$A$1:$BZ$3001,217,$C$1)&amp;"",",",""),"¥",""),"￥","")),0))</f>
        <v/>
      </c>
      <c r="D218">
        <f>IF($D$1=0,0,IFERROR(VALUE(SUBSTITUTE(SUBSTITUTE(SUBSTITUTE(INDEX(貼り付け!$A$1:$BZ$3001,217,$D$1)&amp;"",",",""),"¥",""),"￥","")),0))</f>
        <v/>
      </c>
      <c r="E218">
        <f>IF($E$1=0,0,IFERROR(VALUE(SUBSTITUTE(SUBSTITUTE(SUBSTITUTE(INDEX(貼り付け!$A$1:$BZ$3001,217,$E$1)&amp;"",",",""),"¥",""),"￥","")),0))</f>
        <v/>
      </c>
      <c r="F218">
        <f>IF($F$1=0,0,IFERROR(VALUE(SUBSTITUTE(SUBSTITUTE(SUBSTITUTE(INDEX(貼り付け!$A$1:$BZ$3001,217,$F$1)&amp;"",",",""),"¥",""),"￥","")),0))</f>
        <v/>
      </c>
      <c r="G218">
        <f>IF(ISNUMBER(B218),YEAR(B218),"")</f>
        <v/>
      </c>
      <c r="H218">
        <f>IF(ISNUMBER(B218),MONTH(B218),"")</f>
        <v/>
      </c>
      <c r="I218">
        <f>IFERROR(IF($B$1=0,"",IF(ISNUMBER(INDEX(貼り付け!$A$1:$BZ$3001,217,$B$1)),"",SUBSTITUTE(SUBSTITUTE(SUBSTITUTE(SUBSTITUTE(TRIM(LEFT(INDEX(貼り付け!$A$1:$BZ$3001,217,$B$1)&amp;"",FIND(" ",TRIM(INDEX(貼り付け!$A$1:$BZ$3001,217,$B$1)&amp;"")&amp;" ")-1)),"/","-"),"年","-"),"月","-"),"日",""))),"")</f>
        <v/>
      </c>
      <c r="J218">
        <f>IFERROR(MID(I218,FIND("-",I218)+1,99),"")</f>
        <v/>
      </c>
    </row>
    <row r="219">
      <c r="B219">
        <f>IFERROR(IF($B$1=0,"",IF(INDEX(貼り付け!$A$1:$BZ$3001,218,$B$1)="","",IF(ISNUMBER(INDEX(貼り付け!$A$1:$BZ$3001,218,$B$1)),INT(INDEX(貼り付け!$A$1:$BZ$3001,218,$B$1)),DATE(VALUE(LEFT(I219,FIND("-",I219)-1)),VALUE(LEFT(J219,FIND("-",J219)-1)),VALUE(MID(J219,FIND("-",J219)+1,99)))))),"")</f>
        <v/>
      </c>
      <c r="C219">
        <f>IF($C$1=0,0,IFERROR(VALUE(SUBSTITUTE(SUBSTITUTE(SUBSTITUTE(INDEX(貼り付け!$A$1:$BZ$3001,218,$C$1)&amp;"",",",""),"¥",""),"￥","")),0))</f>
        <v/>
      </c>
      <c r="D219">
        <f>IF($D$1=0,0,IFERROR(VALUE(SUBSTITUTE(SUBSTITUTE(SUBSTITUTE(INDEX(貼り付け!$A$1:$BZ$3001,218,$D$1)&amp;"",",",""),"¥",""),"￥","")),0))</f>
        <v/>
      </c>
      <c r="E219">
        <f>IF($E$1=0,0,IFERROR(VALUE(SUBSTITUTE(SUBSTITUTE(SUBSTITUTE(INDEX(貼り付け!$A$1:$BZ$3001,218,$E$1)&amp;"",",",""),"¥",""),"￥","")),0))</f>
        <v/>
      </c>
      <c r="F219">
        <f>IF($F$1=0,0,IFERROR(VALUE(SUBSTITUTE(SUBSTITUTE(SUBSTITUTE(INDEX(貼り付け!$A$1:$BZ$3001,218,$F$1)&amp;"",",",""),"¥",""),"￥","")),0))</f>
        <v/>
      </c>
      <c r="G219">
        <f>IF(ISNUMBER(B219),YEAR(B219),"")</f>
        <v/>
      </c>
      <c r="H219">
        <f>IF(ISNUMBER(B219),MONTH(B219),"")</f>
        <v/>
      </c>
      <c r="I219">
        <f>IFERROR(IF($B$1=0,"",IF(ISNUMBER(INDEX(貼り付け!$A$1:$BZ$3001,218,$B$1)),"",SUBSTITUTE(SUBSTITUTE(SUBSTITUTE(SUBSTITUTE(TRIM(LEFT(INDEX(貼り付け!$A$1:$BZ$3001,218,$B$1)&amp;"",FIND(" ",TRIM(INDEX(貼り付け!$A$1:$BZ$3001,218,$B$1)&amp;"")&amp;" ")-1)),"/","-"),"年","-"),"月","-"),"日",""))),"")</f>
        <v/>
      </c>
      <c r="J219">
        <f>IFERROR(MID(I219,FIND("-",I219)+1,99),"")</f>
        <v/>
      </c>
    </row>
    <row r="220">
      <c r="B220">
        <f>IFERROR(IF($B$1=0,"",IF(INDEX(貼り付け!$A$1:$BZ$3001,219,$B$1)="","",IF(ISNUMBER(INDEX(貼り付け!$A$1:$BZ$3001,219,$B$1)),INT(INDEX(貼り付け!$A$1:$BZ$3001,219,$B$1)),DATE(VALUE(LEFT(I220,FIND("-",I220)-1)),VALUE(LEFT(J220,FIND("-",J220)-1)),VALUE(MID(J220,FIND("-",J220)+1,99)))))),"")</f>
        <v/>
      </c>
      <c r="C220">
        <f>IF($C$1=0,0,IFERROR(VALUE(SUBSTITUTE(SUBSTITUTE(SUBSTITUTE(INDEX(貼り付け!$A$1:$BZ$3001,219,$C$1)&amp;"",",",""),"¥",""),"￥","")),0))</f>
        <v/>
      </c>
      <c r="D220">
        <f>IF($D$1=0,0,IFERROR(VALUE(SUBSTITUTE(SUBSTITUTE(SUBSTITUTE(INDEX(貼り付け!$A$1:$BZ$3001,219,$D$1)&amp;"",",",""),"¥",""),"￥","")),0))</f>
        <v/>
      </c>
      <c r="E220">
        <f>IF($E$1=0,0,IFERROR(VALUE(SUBSTITUTE(SUBSTITUTE(SUBSTITUTE(INDEX(貼り付け!$A$1:$BZ$3001,219,$E$1)&amp;"",",",""),"¥",""),"￥","")),0))</f>
        <v/>
      </c>
      <c r="F220">
        <f>IF($F$1=0,0,IFERROR(VALUE(SUBSTITUTE(SUBSTITUTE(SUBSTITUTE(INDEX(貼り付け!$A$1:$BZ$3001,219,$F$1)&amp;"",",",""),"¥",""),"￥","")),0))</f>
        <v/>
      </c>
      <c r="G220">
        <f>IF(ISNUMBER(B220),YEAR(B220),"")</f>
        <v/>
      </c>
      <c r="H220">
        <f>IF(ISNUMBER(B220),MONTH(B220),"")</f>
        <v/>
      </c>
      <c r="I220">
        <f>IFERROR(IF($B$1=0,"",IF(ISNUMBER(INDEX(貼り付け!$A$1:$BZ$3001,219,$B$1)),"",SUBSTITUTE(SUBSTITUTE(SUBSTITUTE(SUBSTITUTE(TRIM(LEFT(INDEX(貼り付け!$A$1:$BZ$3001,219,$B$1)&amp;"",FIND(" ",TRIM(INDEX(貼り付け!$A$1:$BZ$3001,219,$B$1)&amp;"")&amp;" ")-1)),"/","-"),"年","-"),"月","-"),"日",""))),"")</f>
        <v/>
      </c>
      <c r="J220">
        <f>IFERROR(MID(I220,FIND("-",I220)+1,99),"")</f>
        <v/>
      </c>
    </row>
    <row r="221">
      <c r="B221">
        <f>IFERROR(IF($B$1=0,"",IF(INDEX(貼り付け!$A$1:$BZ$3001,220,$B$1)="","",IF(ISNUMBER(INDEX(貼り付け!$A$1:$BZ$3001,220,$B$1)),INT(INDEX(貼り付け!$A$1:$BZ$3001,220,$B$1)),DATE(VALUE(LEFT(I221,FIND("-",I221)-1)),VALUE(LEFT(J221,FIND("-",J221)-1)),VALUE(MID(J221,FIND("-",J221)+1,99)))))),"")</f>
        <v/>
      </c>
      <c r="C221">
        <f>IF($C$1=0,0,IFERROR(VALUE(SUBSTITUTE(SUBSTITUTE(SUBSTITUTE(INDEX(貼り付け!$A$1:$BZ$3001,220,$C$1)&amp;"",",",""),"¥",""),"￥","")),0))</f>
        <v/>
      </c>
      <c r="D221">
        <f>IF($D$1=0,0,IFERROR(VALUE(SUBSTITUTE(SUBSTITUTE(SUBSTITUTE(INDEX(貼り付け!$A$1:$BZ$3001,220,$D$1)&amp;"",",",""),"¥",""),"￥","")),0))</f>
        <v/>
      </c>
      <c r="E221">
        <f>IF($E$1=0,0,IFERROR(VALUE(SUBSTITUTE(SUBSTITUTE(SUBSTITUTE(INDEX(貼り付け!$A$1:$BZ$3001,220,$E$1)&amp;"",",",""),"¥",""),"￥","")),0))</f>
        <v/>
      </c>
      <c r="F221">
        <f>IF($F$1=0,0,IFERROR(VALUE(SUBSTITUTE(SUBSTITUTE(SUBSTITUTE(INDEX(貼り付け!$A$1:$BZ$3001,220,$F$1)&amp;"",",",""),"¥",""),"￥","")),0))</f>
        <v/>
      </c>
      <c r="G221">
        <f>IF(ISNUMBER(B221),YEAR(B221),"")</f>
        <v/>
      </c>
      <c r="H221">
        <f>IF(ISNUMBER(B221),MONTH(B221),"")</f>
        <v/>
      </c>
      <c r="I221">
        <f>IFERROR(IF($B$1=0,"",IF(ISNUMBER(INDEX(貼り付け!$A$1:$BZ$3001,220,$B$1)),"",SUBSTITUTE(SUBSTITUTE(SUBSTITUTE(SUBSTITUTE(TRIM(LEFT(INDEX(貼り付け!$A$1:$BZ$3001,220,$B$1)&amp;"",FIND(" ",TRIM(INDEX(貼り付け!$A$1:$BZ$3001,220,$B$1)&amp;"")&amp;" ")-1)),"/","-"),"年","-"),"月","-"),"日",""))),"")</f>
        <v/>
      </c>
      <c r="J221">
        <f>IFERROR(MID(I221,FIND("-",I221)+1,99),"")</f>
        <v/>
      </c>
    </row>
    <row r="222">
      <c r="B222">
        <f>IFERROR(IF($B$1=0,"",IF(INDEX(貼り付け!$A$1:$BZ$3001,221,$B$1)="","",IF(ISNUMBER(INDEX(貼り付け!$A$1:$BZ$3001,221,$B$1)),INT(INDEX(貼り付け!$A$1:$BZ$3001,221,$B$1)),DATE(VALUE(LEFT(I222,FIND("-",I222)-1)),VALUE(LEFT(J222,FIND("-",J222)-1)),VALUE(MID(J222,FIND("-",J222)+1,99)))))),"")</f>
        <v/>
      </c>
      <c r="C222">
        <f>IF($C$1=0,0,IFERROR(VALUE(SUBSTITUTE(SUBSTITUTE(SUBSTITUTE(INDEX(貼り付け!$A$1:$BZ$3001,221,$C$1)&amp;"",",",""),"¥",""),"￥","")),0))</f>
        <v/>
      </c>
      <c r="D222">
        <f>IF($D$1=0,0,IFERROR(VALUE(SUBSTITUTE(SUBSTITUTE(SUBSTITUTE(INDEX(貼り付け!$A$1:$BZ$3001,221,$D$1)&amp;"",",",""),"¥",""),"￥","")),0))</f>
        <v/>
      </c>
      <c r="E222">
        <f>IF($E$1=0,0,IFERROR(VALUE(SUBSTITUTE(SUBSTITUTE(SUBSTITUTE(INDEX(貼り付け!$A$1:$BZ$3001,221,$E$1)&amp;"",",",""),"¥",""),"￥","")),0))</f>
        <v/>
      </c>
      <c r="F222">
        <f>IF($F$1=0,0,IFERROR(VALUE(SUBSTITUTE(SUBSTITUTE(SUBSTITUTE(INDEX(貼り付け!$A$1:$BZ$3001,221,$F$1)&amp;"",",",""),"¥",""),"￥","")),0))</f>
        <v/>
      </c>
      <c r="G222">
        <f>IF(ISNUMBER(B222),YEAR(B222),"")</f>
        <v/>
      </c>
      <c r="H222">
        <f>IF(ISNUMBER(B222),MONTH(B222),"")</f>
        <v/>
      </c>
      <c r="I222">
        <f>IFERROR(IF($B$1=0,"",IF(ISNUMBER(INDEX(貼り付け!$A$1:$BZ$3001,221,$B$1)),"",SUBSTITUTE(SUBSTITUTE(SUBSTITUTE(SUBSTITUTE(TRIM(LEFT(INDEX(貼り付け!$A$1:$BZ$3001,221,$B$1)&amp;"",FIND(" ",TRIM(INDEX(貼り付け!$A$1:$BZ$3001,221,$B$1)&amp;"")&amp;" ")-1)),"/","-"),"年","-"),"月","-"),"日",""))),"")</f>
        <v/>
      </c>
      <c r="J222">
        <f>IFERROR(MID(I222,FIND("-",I222)+1,99),"")</f>
        <v/>
      </c>
    </row>
    <row r="223">
      <c r="B223">
        <f>IFERROR(IF($B$1=0,"",IF(INDEX(貼り付け!$A$1:$BZ$3001,222,$B$1)="","",IF(ISNUMBER(INDEX(貼り付け!$A$1:$BZ$3001,222,$B$1)),INT(INDEX(貼り付け!$A$1:$BZ$3001,222,$B$1)),DATE(VALUE(LEFT(I223,FIND("-",I223)-1)),VALUE(LEFT(J223,FIND("-",J223)-1)),VALUE(MID(J223,FIND("-",J223)+1,99)))))),"")</f>
        <v/>
      </c>
      <c r="C223">
        <f>IF($C$1=0,0,IFERROR(VALUE(SUBSTITUTE(SUBSTITUTE(SUBSTITUTE(INDEX(貼り付け!$A$1:$BZ$3001,222,$C$1)&amp;"",",",""),"¥",""),"￥","")),0))</f>
        <v/>
      </c>
      <c r="D223">
        <f>IF($D$1=0,0,IFERROR(VALUE(SUBSTITUTE(SUBSTITUTE(SUBSTITUTE(INDEX(貼り付け!$A$1:$BZ$3001,222,$D$1)&amp;"",",",""),"¥",""),"￥","")),0))</f>
        <v/>
      </c>
      <c r="E223">
        <f>IF($E$1=0,0,IFERROR(VALUE(SUBSTITUTE(SUBSTITUTE(SUBSTITUTE(INDEX(貼り付け!$A$1:$BZ$3001,222,$E$1)&amp;"",",",""),"¥",""),"￥","")),0))</f>
        <v/>
      </c>
      <c r="F223">
        <f>IF($F$1=0,0,IFERROR(VALUE(SUBSTITUTE(SUBSTITUTE(SUBSTITUTE(INDEX(貼り付け!$A$1:$BZ$3001,222,$F$1)&amp;"",",",""),"¥",""),"￥","")),0))</f>
        <v/>
      </c>
      <c r="G223">
        <f>IF(ISNUMBER(B223),YEAR(B223),"")</f>
        <v/>
      </c>
      <c r="H223">
        <f>IF(ISNUMBER(B223),MONTH(B223),"")</f>
        <v/>
      </c>
      <c r="I223">
        <f>IFERROR(IF($B$1=0,"",IF(ISNUMBER(INDEX(貼り付け!$A$1:$BZ$3001,222,$B$1)),"",SUBSTITUTE(SUBSTITUTE(SUBSTITUTE(SUBSTITUTE(TRIM(LEFT(INDEX(貼り付け!$A$1:$BZ$3001,222,$B$1)&amp;"",FIND(" ",TRIM(INDEX(貼り付け!$A$1:$BZ$3001,222,$B$1)&amp;"")&amp;" ")-1)),"/","-"),"年","-"),"月","-"),"日",""))),"")</f>
        <v/>
      </c>
      <c r="J223">
        <f>IFERROR(MID(I223,FIND("-",I223)+1,99),"")</f>
        <v/>
      </c>
    </row>
    <row r="224">
      <c r="B224">
        <f>IFERROR(IF($B$1=0,"",IF(INDEX(貼り付け!$A$1:$BZ$3001,223,$B$1)="","",IF(ISNUMBER(INDEX(貼り付け!$A$1:$BZ$3001,223,$B$1)),INT(INDEX(貼り付け!$A$1:$BZ$3001,223,$B$1)),DATE(VALUE(LEFT(I224,FIND("-",I224)-1)),VALUE(LEFT(J224,FIND("-",J224)-1)),VALUE(MID(J224,FIND("-",J224)+1,99)))))),"")</f>
        <v/>
      </c>
      <c r="C224">
        <f>IF($C$1=0,0,IFERROR(VALUE(SUBSTITUTE(SUBSTITUTE(SUBSTITUTE(INDEX(貼り付け!$A$1:$BZ$3001,223,$C$1)&amp;"",",",""),"¥",""),"￥","")),0))</f>
        <v/>
      </c>
      <c r="D224">
        <f>IF($D$1=0,0,IFERROR(VALUE(SUBSTITUTE(SUBSTITUTE(SUBSTITUTE(INDEX(貼り付け!$A$1:$BZ$3001,223,$D$1)&amp;"",",",""),"¥",""),"￥","")),0))</f>
        <v/>
      </c>
      <c r="E224">
        <f>IF($E$1=0,0,IFERROR(VALUE(SUBSTITUTE(SUBSTITUTE(SUBSTITUTE(INDEX(貼り付け!$A$1:$BZ$3001,223,$E$1)&amp;"",",",""),"¥",""),"￥","")),0))</f>
        <v/>
      </c>
      <c r="F224">
        <f>IF($F$1=0,0,IFERROR(VALUE(SUBSTITUTE(SUBSTITUTE(SUBSTITUTE(INDEX(貼り付け!$A$1:$BZ$3001,223,$F$1)&amp;"",",",""),"¥",""),"￥","")),0))</f>
        <v/>
      </c>
      <c r="G224">
        <f>IF(ISNUMBER(B224),YEAR(B224),"")</f>
        <v/>
      </c>
      <c r="H224">
        <f>IF(ISNUMBER(B224),MONTH(B224),"")</f>
        <v/>
      </c>
      <c r="I224">
        <f>IFERROR(IF($B$1=0,"",IF(ISNUMBER(INDEX(貼り付け!$A$1:$BZ$3001,223,$B$1)),"",SUBSTITUTE(SUBSTITUTE(SUBSTITUTE(SUBSTITUTE(TRIM(LEFT(INDEX(貼り付け!$A$1:$BZ$3001,223,$B$1)&amp;"",FIND(" ",TRIM(INDEX(貼り付け!$A$1:$BZ$3001,223,$B$1)&amp;"")&amp;" ")-1)),"/","-"),"年","-"),"月","-"),"日",""))),"")</f>
        <v/>
      </c>
      <c r="J224">
        <f>IFERROR(MID(I224,FIND("-",I224)+1,99),"")</f>
        <v/>
      </c>
    </row>
    <row r="225">
      <c r="B225">
        <f>IFERROR(IF($B$1=0,"",IF(INDEX(貼り付け!$A$1:$BZ$3001,224,$B$1)="","",IF(ISNUMBER(INDEX(貼り付け!$A$1:$BZ$3001,224,$B$1)),INT(INDEX(貼り付け!$A$1:$BZ$3001,224,$B$1)),DATE(VALUE(LEFT(I225,FIND("-",I225)-1)),VALUE(LEFT(J225,FIND("-",J225)-1)),VALUE(MID(J225,FIND("-",J225)+1,99)))))),"")</f>
        <v/>
      </c>
      <c r="C225">
        <f>IF($C$1=0,0,IFERROR(VALUE(SUBSTITUTE(SUBSTITUTE(SUBSTITUTE(INDEX(貼り付け!$A$1:$BZ$3001,224,$C$1)&amp;"",",",""),"¥",""),"￥","")),0))</f>
        <v/>
      </c>
      <c r="D225">
        <f>IF($D$1=0,0,IFERROR(VALUE(SUBSTITUTE(SUBSTITUTE(SUBSTITUTE(INDEX(貼り付け!$A$1:$BZ$3001,224,$D$1)&amp;"",",",""),"¥",""),"￥","")),0))</f>
        <v/>
      </c>
      <c r="E225">
        <f>IF($E$1=0,0,IFERROR(VALUE(SUBSTITUTE(SUBSTITUTE(SUBSTITUTE(INDEX(貼り付け!$A$1:$BZ$3001,224,$E$1)&amp;"",",",""),"¥",""),"￥","")),0))</f>
        <v/>
      </c>
      <c r="F225">
        <f>IF($F$1=0,0,IFERROR(VALUE(SUBSTITUTE(SUBSTITUTE(SUBSTITUTE(INDEX(貼り付け!$A$1:$BZ$3001,224,$F$1)&amp;"",",",""),"¥",""),"￥","")),0))</f>
        <v/>
      </c>
      <c r="G225">
        <f>IF(ISNUMBER(B225),YEAR(B225),"")</f>
        <v/>
      </c>
      <c r="H225">
        <f>IF(ISNUMBER(B225),MONTH(B225),"")</f>
        <v/>
      </c>
      <c r="I225">
        <f>IFERROR(IF($B$1=0,"",IF(ISNUMBER(INDEX(貼り付け!$A$1:$BZ$3001,224,$B$1)),"",SUBSTITUTE(SUBSTITUTE(SUBSTITUTE(SUBSTITUTE(TRIM(LEFT(INDEX(貼り付け!$A$1:$BZ$3001,224,$B$1)&amp;"",FIND(" ",TRIM(INDEX(貼り付け!$A$1:$BZ$3001,224,$B$1)&amp;"")&amp;" ")-1)),"/","-"),"年","-"),"月","-"),"日",""))),"")</f>
        <v/>
      </c>
      <c r="J225">
        <f>IFERROR(MID(I225,FIND("-",I225)+1,99),"")</f>
        <v/>
      </c>
    </row>
    <row r="226">
      <c r="B226">
        <f>IFERROR(IF($B$1=0,"",IF(INDEX(貼り付け!$A$1:$BZ$3001,225,$B$1)="","",IF(ISNUMBER(INDEX(貼り付け!$A$1:$BZ$3001,225,$B$1)),INT(INDEX(貼り付け!$A$1:$BZ$3001,225,$B$1)),DATE(VALUE(LEFT(I226,FIND("-",I226)-1)),VALUE(LEFT(J226,FIND("-",J226)-1)),VALUE(MID(J226,FIND("-",J226)+1,99)))))),"")</f>
        <v/>
      </c>
      <c r="C226">
        <f>IF($C$1=0,0,IFERROR(VALUE(SUBSTITUTE(SUBSTITUTE(SUBSTITUTE(INDEX(貼り付け!$A$1:$BZ$3001,225,$C$1)&amp;"",",",""),"¥",""),"￥","")),0))</f>
        <v/>
      </c>
      <c r="D226">
        <f>IF($D$1=0,0,IFERROR(VALUE(SUBSTITUTE(SUBSTITUTE(SUBSTITUTE(INDEX(貼り付け!$A$1:$BZ$3001,225,$D$1)&amp;"",",",""),"¥",""),"￥","")),0))</f>
        <v/>
      </c>
      <c r="E226">
        <f>IF($E$1=0,0,IFERROR(VALUE(SUBSTITUTE(SUBSTITUTE(SUBSTITUTE(INDEX(貼り付け!$A$1:$BZ$3001,225,$E$1)&amp;"",",",""),"¥",""),"￥","")),0))</f>
        <v/>
      </c>
      <c r="F226">
        <f>IF($F$1=0,0,IFERROR(VALUE(SUBSTITUTE(SUBSTITUTE(SUBSTITUTE(INDEX(貼り付け!$A$1:$BZ$3001,225,$F$1)&amp;"",",",""),"¥",""),"￥","")),0))</f>
        <v/>
      </c>
      <c r="G226">
        <f>IF(ISNUMBER(B226),YEAR(B226),"")</f>
        <v/>
      </c>
      <c r="H226">
        <f>IF(ISNUMBER(B226),MONTH(B226),"")</f>
        <v/>
      </c>
      <c r="I226">
        <f>IFERROR(IF($B$1=0,"",IF(ISNUMBER(INDEX(貼り付け!$A$1:$BZ$3001,225,$B$1)),"",SUBSTITUTE(SUBSTITUTE(SUBSTITUTE(SUBSTITUTE(TRIM(LEFT(INDEX(貼り付け!$A$1:$BZ$3001,225,$B$1)&amp;"",FIND(" ",TRIM(INDEX(貼り付け!$A$1:$BZ$3001,225,$B$1)&amp;"")&amp;" ")-1)),"/","-"),"年","-"),"月","-"),"日",""))),"")</f>
        <v/>
      </c>
      <c r="J226">
        <f>IFERROR(MID(I226,FIND("-",I226)+1,99),"")</f>
        <v/>
      </c>
    </row>
    <row r="227">
      <c r="B227">
        <f>IFERROR(IF($B$1=0,"",IF(INDEX(貼り付け!$A$1:$BZ$3001,226,$B$1)="","",IF(ISNUMBER(INDEX(貼り付け!$A$1:$BZ$3001,226,$B$1)),INT(INDEX(貼り付け!$A$1:$BZ$3001,226,$B$1)),DATE(VALUE(LEFT(I227,FIND("-",I227)-1)),VALUE(LEFT(J227,FIND("-",J227)-1)),VALUE(MID(J227,FIND("-",J227)+1,99)))))),"")</f>
        <v/>
      </c>
      <c r="C227">
        <f>IF($C$1=0,0,IFERROR(VALUE(SUBSTITUTE(SUBSTITUTE(SUBSTITUTE(INDEX(貼り付け!$A$1:$BZ$3001,226,$C$1)&amp;"",",",""),"¥",""),"￥","")),0))</f>
        <v/>
      </c>
      <c r="D227">
        <f>IF($D$1=0,0,IFERROR(VALUE(SUBSTITUTE(SUBSTITUTE(SUBSTITUTE(INDEX(貼り付け!$A$1:$BZ$3001,226,$D$1)&amp;"",",",""),"¥",""),"￥","")),0))</f>
        <v/>
      </c>
      <c r="E227">
        <f>IF($E$1=0,0,IFERROR(VALUE(SUBSTITUTE(SUBSTITUTE(SUBSTITUTE(INDEX(貼り付け!$A$1:$BZ$3001,226,$E$1)&amp;"",",",""),"¥",""),"￥","")),0))</f>
        <v/>
      </c>
      <c r="F227">
        <f>IF($F$1=0,0,IFERROR(VALUE(SUBSTITUTE(SUBSTITUTE(SUBSTITUTE(INDEX(貼り付け!$A$1:$BZ$3001,226,$F$1)&amp;"",",",""),"¥",""),"￥","")),0))</f>
        <v/>
      </c>
      <c r="G227">
        <f>IF(ISNUMBER(B227),YEAR(B227),"")</f>
        <v/>
      </c>
      <c r="H227">
        <f>IF(ISNUMBER(B227),MONTH(B227),"")</f>
        <v/>
      </c>
      <c r="I227">
        <f>IFERROR(IF($B$1=0,"",IF(ISNUMBER(INDEX(貼り付け!$A$1:$BZ$3001,226,$B$1)),"",SUBSTITUTE(SUBSTITUTE(SUBSTITUTE(SUBSTITUTE(TRIM(LEFT(INDEX(貼り付け!$A$1:$BZ$3001,226,$B$1)&amp;"",FIND(" ",TRIM(INDEX(貼り付け!$A$1:$BZ$3001,226,$B$1)&amp;"")&amp;" ")-1)),"/","-"),"年","-"),"月","-"),"日",""))),"")</f>
        <v/>
      </c>
      <c r="J227">
        <f>IFERROR(MID(I227,FIND("-",I227)+1,99),"")</f>
        <v/>
      </c>
    </row>
    <row r="228">
      <c r="B228">
        <f>IFERROR(IF($B$1=0,"",IF(INDEX(貼り付け!$A$1:$BZ$3001,227,$B$1)="","",IF(ISNUMBER(INDEX(貼り付け!$A$1:$BZ$3001,227,$B$1)),INT(INDEX(貼り付け!$A$1:$BZ$3001,227,$B$1)),DATE(VALUE(LEFT(I228,FIND("-",I228)-1)),VALUE(LEFT(J228,FIND("-",J228)-1)),VALUE(MID(J228,FIND("-",J228)+1,99)))))),"")</f>
        <v/>
      </c>
      <c r="C228">
        <f>IF($C$1=0,0,IFERROR(VALUE(SUBSTITUTE(SUBSTITUTE(SUBSTITUTE(INDEX(貼り付け!$A$1:$BZ$3001,227,$C$1)&amp;"",",",""),"¥",""),"￥","")),0))</f>
        <v/>
      </c>
      <c r="D228">
        <f>IF($D$1=0,0,IFERROR(VALUE(SUBSTITUTE(SUBSTITUTE(SUBSTITUTE(INDEX(貼り付け!$A$1:$BZ$3001,227,$D$1)&amp;"",",",""),"¥",""),"￥","")),0))</f>
        <v/>
      </c>
      <c r="E228">
        <f>IF($E$1=0,0,IFERROR(VALUE(SUBSTITUTE(SUBSTITUTE(SUBSTITUTE(INDEX(貼り付け!$A$1:$BZ$3001,227,$E$1)&amp;"",",",""),"¥",""),"￥","")),0))</f>
        <v/>
      </c>
      <c r="F228">
        <f>IF($F$1=0,0,IFERROR(VALUE(SUBSTITUTE(SUBSTITUTE(SUBSTITUTE(INDEX(貼り付け!$A$1:$BZ$3001,227,$F$1)&amp;"",",",""),"¥",""),"￥","")),0))</f>
        <v/>
      </c>
      <c r="G228">
        <f>IF(ISNUMBER(B228),YEAR(B228),"")</f>
        <v/>
      </c>
      <c r="H228">
        <f>IF(ISNUMBER(B228),MONTH(B228),"")</f>
        <v/>
      </c>
      <c r="I228">
        <f>IFERROR(IF($B$1=0,"",IF(ISNUMBER(INDEX(貼り付け!$A$1:$BZ$3001,227,$B$1)),"",SUBSTITUTE(SUBSTITUTE(SUBSTITUTE(SUBSTITUTE(TRIM(LEFT(INDEX(貼り付け!$A$1:$BZ$3001,227,$B$1)&amp;"",FIND(" ",TRIM(INDEX(貼り付け!$A$1:$BZ$3001,227,$B$1)&amp;"")&amp;" ")-1)),"/","-"),"年","-"),"月","-"),"日",""))),"")</f>
        <v/>
      </c>
      <c r="J228">
        <f>IFERROR(MID(I228,FIND("-",I228)+1,99),"")</f>
        <v/>
      </c>
    </row>
    <row r="229">
      <c r="B229">
        <f>IFERROR(IF($B$1=0,"",IF(INDEX(貼り付け!$A$1:$BZ$3001,228,$B$1)="","",IF(ISNUMBER(INDEX(貼り付け!$A$1:$BZ$3001,228,$B$1)),INT(INDEX(貼り付け!$A$1:$BZ$3001,228,$B$1)),DATE(VALUE(LEFT(I229,FIND("-",I229)-1)),VALUE(LEFT(J229,FIND("-",J229)-1)),VALUE(MID(J229,FIND("-",J229)+1,99)))))),"")</f>
        <v/>
      </c>
      <c r="C229">
        <f>IF($C$1=0,0,IFERROR(VALUE(SUBSTITUTE(SUBSTITUTE(SUBSTITUTE(INDEX(貼り付け!$A$1:$BZ$3001,228,$C$1)&amp;"",",",""),"¥",""),"￥","")),0))</f>
        <v/>
      </c>
      <c r="D229">
        <f>IF($D$1=0,0,IFERROR(VALUE(SUBSTITUTE(SUBSTITUTE(SUBSTITUTE(INDEX(貼り付け!$A$1:$BZ$3001,228,$D$1)&amp;"",",",""),"¥",""),"￥","")),0))</f>
        <v/>
      </c>
      <c r="E229">
        <f>IF($E$1=0,0,IFERROR(VALUE(SUBSTITUTE(SUBSTITUTE(SUBSTITUTE(INDEX(貼り付け!$A$1:$BZ$3001,228,$E$1)&amp;"",",",""),"¥",""),"￥","")),0))</f>
        <v/>
      </c>
      <c r="F229">
        <f>IF($F$1=0,0,IFERROR(VALUE(SUBSTITUTE(SUBSTITUTE(SUBSTITUTE(INDEX(貼り付け!$A$1:$BZ$3001,228,$F$1)&amp;"",",",""),"¥",""),"￥","")),0))</f>
        <v/>
      </c>
      <c r="G229">
        <f>IF(ISNUMBER(B229),YEAR(B229),"")</f>
        <v/>
      </c>
      <c r="H229">
        <f>IF(ISNUMBER(B229),MONTH(B229),"")</f>
        <v/>
      </c>
      <c r="I229">
        <f>IFERROR(IF($B$1=0,"",IF(ISNUMBER(INDEX(貼り付け!$A$1:$BZ$3001,228,$B$1)),"",SUBSTITUTE(SUBSTITUTE(SUBSTITUTE(SUBSTITUTE(TRIM(LEFT(INDEX(貼り付け!$A$1:$BZ$3001,228,$B$1)&amp;"",FIND(" ",TRIM(INDEX(貼り付け!$A$1:$BZ$3001,228,$B$1)&amp;"")&amp;" ")-1)),"/","-"),"年","-"),"月","-"),"日",""))),"")</f>
        <v/>
      </c>
      <c r="J229">
        <f>IFERROR(MID(I229,FIND("-",I229)+1,99),"")</f>
        <v/>
      </c>
    </row>
    <row r="230">
      <c r="B230">
        <f>IFERROR(IF($B$1=0,"",IF(INDEX(貼り付け!$A$1:$BZ$3001,229,$B$1)="","",IF(ISNUMBER(INDEX(貼り付け!$A$1:$BZ$3001,229,$B$1)),INT(INDEX(貼り付け!$A$1:$BZ$3001,229,$B$1)),DATE(VALUE(LEFT(I230,FIND("-",I230)-1)),VALUE(LEFT(J230,FIND("-",J230)-1)),VALUE(MID(J230,FIND("-",J230)+1,99)))))),"")</f>
        <v/>
      </c>
      <c r="C230">
        <f>IF($C$1=0,0,IFERROR(VALUE(SUBSTITUTE(SUBSTITUTE(SUBSTITUTE(INDEX(貼り付け!$A$1:$BZ$3001,229,$C$1)&amp;"",",",""),"¥",""),"￥","")),0))</f>
        <v/>
      </c>
      <c r="D230">
        <f>IF($D$1=0,0,IFERROR(VALUE(SUBSTITUTE(SUBSTITUTE(SUBSTITUTE(INDEX(貼り付け!$A$1:$BZ$3001,229,$D$1)&amp;"",",",""),"¥",""),"￥","")),0))</f>
        <v/>
      </c>
      <c r="E230">
        <f>IF($E$1=0,0,IFERROR(VALUE(SUBSTITUTE(SUBSTITUTE(SUBSTITUTE(INDEX(貼り付け!$A$1:$BZ$3001,229,$E$1)&amp;"",",",""),"¥",""),"￥","")),0))</f>
        <v/>
      </c>
      <c r="F230">
        <f>IF($F$1=0,0,IFERROR(VALUE(SUBSTITUTE(SUBSTITUTE(SUBSTITUTE(INDEX(貼り付け!$A$1:$BZ$3001,229,$F$1)&amp;"",",",""),"¥",""),"￥","")),0))</f>
        <v/>
      </c>
      <c r="G230">
        <f>IF(ISNUMBER(B230),YEAR(B230),"")</f>
        <v/>
      </c>
      <c r="H230">
        <f>IF(ISNUMBER(B230),MONTH(B230),"")</f>
        <v/>
      </c>
      <c r="I230">
        <f>IFERROR(IF($B$1=0,"",IF(ISNUMBER(INDEX(貼り付け!$A$1:$BZ$3001,229,$B$1)),"",SUBSTITUTE(SUBSTITUTE(SUBSTITUTE(SUBSTITUTE(TRIM(LEFT(INDEX(貼り付け!$A$1:$BZ$3001,229,$B$1)&amp;"",FIND(" ",TRIM(INDEX(貼り付け!$A$1:$BZ$3001,229,$B$1)&amp;"")&amp;" ")-1)),"/","-"),"年","-"),"月","-"),"日",""))),"")</f>
        <v/>
      </c>
      <c r="J230">
        <f>IFERROR(MID(I230,FIND("-",I230)+1,99),"")</f>
        <v/>
      </c>
    </row>
    <row r="231">
      <c r="B231">
        <f>IFERROR(IF($B$1=0,"",IF(INDEX(貼り付け!$A$1:$BZ$3001,230,$B$1)="","",IF(ISNUMBER(INDEX(貼り付け!$A$1:$BZ$3001,230,$B$1)),INT(INDEX(貼り付け!$A$1:$BZ$3001,230,$B$1)),DATE(VALUE(LEFT(I231,FIND("-",I231)-1)),VALUE(LEFT(J231,FIND("-",J231)-1)),VALUE(MID(J231,FIND("-",J231)+1,99)))))),"")</f>
        <v/>
      </c>
      <c r="C231">
        <f>IF($C$1=0,0,IFERROR(VALUE(SUBSTITUTE(SUBSTITUTE(SUBSTITUTE(INDEX(貼り付け!$A$1:$BZ$3001,230,$C$1)&amp;"",",",""),"¥",""),"￥","")),0))</f>
        <v/>
      </c>
      <c r="D231">
        <f>IF($D$1=0,0,IFERROR(VALUE(SUBSTITUTE(SUBSTITUTE(SUBSTITUTE(INDEX(貼り付け!$A$1:$BZ$3001,230,$D$1)&amp;"",",",""),"¥",""),"￥","")),0))</f>
        <v/>
      </c>
      <c r="E231">
        <f>IF($E$1=0,0,IFERROR(VALUE(SUBSTITUTE(SUBSTITUTE(SUBSTITUTE(INDEX(貼り付け!$A$1:$BZ$3001,230,$E$1)&amp;"",",",""),"¥",""),"￥","")),0))</f>
        <v/>
      </c>
      <c r="F231">
        <f>IF($F$1=0,0,IFERROR(VALUE(SUBSTITUTE(SUBSTITUTE(SUBSTITUTE(INDEX(貼り付け!$A$1:$BZ$3001,230,$F$1)&amp;"",",",""),"¥",""),"￥","")),0))</f>
        <v/>
      </c>
      <c r="G231">
        <f>IF(ISNUMBER(B231),YEAR(B231),"")</f>
        <v/>
      </c>
      <c r="H231">
        <f>IF(ISNUMBER(B231),MONTH(B231),"")</f>
        <v/>
      </c>
      <c r="I231">
        <f>IFERROR(IF($B$1=0,"",IF(ISNUMBER(INDEX(貼り付け!$A$1:$BZ$3001,230,$B$1)),"",SUBSTITUTE(SUBSTITUTE(SUBSTITUTE(SUBSTITUTE(TRIM(LEFT(INDEX(貼り付け!$A$1:$BZ$3001,230,$B$1)&amp;"",FIND(" ",TRIM(INDEX(貼り付け!$A$1:$BZ$3001,230,$B$1)&amp;"")&amp;" ")-1)),"/","-"),"年","-"),"月","-"),"日",""))),"")</f>
        <v/>
      </c>
      <c r="J231">
        <f>IFERROR(MID(I231,FIND("-",I231)+1,99),"")</f>
        <v/>
      </c>
    </row>
    <row r="232">
      <c r="B232">
        <f>IFERROR(IF($B$1=0,"",IF(INDEX(貼り付け!$A$1:$BZ$3001,231,$B$1)="","",IF(ISNUMBER(INDEX(貼り付け!$A$1:$BZ$3001,231,$B$1)),INT(INDEX(貼り付け!$A$1:$BZ$3001,231,$B$1)),DATE(VALUE(LEFT(I232,FIND("-",I232)-1)),VALUE(LEFT(J232,FIND("-",J232)-1)),VALUE(MID(J232,FIND("-",J232)+1,99)))))),"")</f>
        <v/>
      </c>
      <c r="C232">
        <f>IF($C$1=0,0,IFERROR(VALUE(SUBSTITUTE(SUBSTITUTE(SUBSTITUTE(INDEX(貼り付け!$A$1:$BZ$3001,231,$C$1)&amp;"",",",""),"¥",""),"￥","")),0))</f>
        <v/>
      </c>
      <c r="D232">
        <f>IF($D$1=0,0,IFERROR(VALUE(SUBSTITUTE(SUBSTITUTE(SUBSTITUTE(INDEX(貼り付け!$A$1:$BZ$3001,231,$D$1)&amp;"",",",""),"¥",""),"￥","")),0))</f>
        <v/>
      </c>
      <c r="E232">
        <f>IF($E$1=0,0,IFERROR(VALUE(SUBSTITUTE(SUBSTITUTE(SUBSTITUTE(INDEX(貼り付け!$A$1:$BZ$3001,231,$E$1)&amp;"",",",""),"¥",""),"￥","")),0))</f>
        <v/>
      </c>
      <c r="F232">
        <f>IF($F$1=0,0,IFERROR(VALUE(SUBSTITUTE(SUBSTITUTE(SUBSTITUTE(INDEX(貼り付け!$A$1:$BZ$3001,231,$F$1)&amp;"",",",""),"¥",""),"￥","")),0))</f>
        <v/>
      </c>
      <c r="G232">
        <f>IF(ISNUMBER(B232),YEAR(B232),"")</f>
        <v/>
      </c>
      <c r="H232">
        <f>IF(ISNUMBER(B232),MONTH(B232),"")</f>
        <v/>
      </c>
      <c r="I232">
        <f>IFERROR(IF($B$1=0,"",IF(ISNUMBER(INDEX(貼り付け!$A$1:$BZ$3001,231,$B$1)),"",SUBSTITUTE(SUBSTITUTE(SUBSTITUTE(SUBSTITUTE(TRIM(LEFT(INDEX(貼り付け!$A$1:$BZ$3001,231,$B$1)&amp;"",FIND(" ",TRIM(INDEX(貼り付け!$A$1:$BZ$3001,231,$B$1)&amp;"")&amp;" ")-1)),"/","-"),"年","-"),"月","-"),"日",""))),"")</f>
        <v/>
      </c>
      <c r="J232">
        <f>IFERROR(MID(I232,FIND("-",I232)+1,99),"")</f>
        <v/>
      </c>
    </row>
    <row r="233">
      <c r="B233">
        <f>IFERROR(IF($B$1=0,"",IF(INDEX(貼り付け!$A$1:$BZ$3001,232,$B$1)="","",IF(ISNUMBER(INDEX(貼り付け!$A$1:$BZ$3001,232,$B$1)),INT(INDEX(貼り付け!$A$1:$BZ$3001,232,$B$1)),DATE(VALUE(LEFT(I233,FIND("-",I233)-1)),VALUE(LEFT(J233,FIND("-",J233)-1)),VALUE(MID(J233,FIND("-",J233)+1,99)))))),"")</f>
        <v/>
      </c>
      <c r="C233">
        <f>IF($C$1=0,0,IFERROR(VALUE(SUBSTITUTE(SUBSTITUTE(SUBSTITUTE(INDEX(貼り付け!$A$1:$BZ$3001,232,$C$1)&amp;"",",",""),"¥",""),"￥","")),0))</f>
        <v/>
      </c>
      <c r="D233">
        <f>IF($D$1=0,0,IFERROR(VALUE(SUBSTITUTE(SUBSTITUTE(SUBSTITUTE(INDEX(貼り付け!$A$1:$BZ$3001,232,$D$1)&amp;"",",",""),"¥",""),"￥","")),0))</f>
        <v/>
      </c>
      <c r="E233">
        <f>IF($E$1=0,0,IFERROR(VALUE(SUBSTITUTE(SUBSTITUTE(SUBSTITUTE(INDEX(貼り付け!$A$1:$BZ$3001,232,$E$1)&amp;"",",",""),"¥",""),"￥","")),0))</f>
        <v/>
      </c>
      <c r="F233">
        <f>IF($F$1=0,0,IFERROR(VALUE(SUBSTITUTE(SUBSTITUTE(SUBSTITUTE(INDEX(貼り付け!$A$1:$BZ$3001,232,$F$1)&amp;"",",",""),"¥",""),"￥","")),0))</f>
        <v/>
      </c>
      <c r="G233">
        <f>IF(ISNUMBER(B233),YEAR(B233),"")</f>
        <v/>
      </c>
      <c r="H233">
        <f>IF(ISNUMBER(B233),MONTH(B233),"")</f>
        <v/>
      </c>
      <c r="I233">
        <f>IFERROR(IF($B$1=0,"",IF(ISNUMBER(INDEX(貼り付け!$A$1:$BZ$3001,232,$B$1)),"",SUBSTITUTE(SUBSTITUTE(SUBSTITUTE(SUBSTITUTE(TRIM(LEFT(INDEX(貼り付け!$A$1:$BZ$3001,232,$B$1)&amp;"",FIND(" ",TRIM(INDEX(貼り付け!$A$1:$BZ$3001,232,$B$1)&amp;"")&amp;" ")-1)),"/","-"),"年","-"),"月","-"),"日",""))),"")</f>
        <v/>
      </c>
      <c r="J233">
        <f>IFERROR(MID(I233,FIND("-",I233)+1,99),"")</f>
        <v/>
      </c>
    </row>
    <row r="234">
      <c r="B234">
        <f>IFERROR(IF($B$1=0,"",IF(INDEX(貼り付け!$A$1:$BZ$3001,233,$B$1)="","",IF(ISNUMBER(INDEX(貼り付け!$A$1:$BZ$3001,233,$B$1)),INT(INDEX(貼り付け!$A$1:$BZ$3001,233,$B$1)),DATE(VALUE(LEFT(I234,FIND("-",I234)-1)),VALUE(LEFT(J234,FIND("-",J234)-1)),VALUE(MID(J234,FIND("-",J234)+1,99)))))),"")</f>
        <v/>
      </c>
      <c r="C234">
        <f>IF($C$1=0,0,IFERROR(VALUE(SUBSTITUTE(SUBSTITUTE(SUBSTITUTE(INDEX(貼り付け!$A$1:$BZ$3001,233,$C$1)&amp;"",",",""),"¥",""),"￥","")),0))</f>
        <v/>
      </c>
      <c r="D234">
        <f>IF($D$1=0,0,IFERROR(VALUE(SUBSTITUTE(SUBSTITUTE(SUBSTITUTE(INDEX(貼り付け!$A$1:$BZ$3001,233,$D$1)&amp;"",",",""),"¥",""),"￥","")),0))</f>
        <v/>
      </c>
      <c r="E234">
        <f>IF($E$1=0,0,IFERROR(VALUE(SUBSTITUTE(SUBSTITUTE(SUBSTITUTE(INDEX(貼り付け!$A$1:$BZ$3001,233,$E$1)&amp;"",",",""),"¥",""),"￥","")),0))</f>
        <v/>
      </c>
      <c r="F234">
        <f>IF($F$1=0,0,IFERROR(VALUE(SUBSTITUTE(SUBSTITUTE(SUBSTITUTE(INDEX(貼り付け!$A$1:$BZ$3001,233,$F$1)&amp;"",",",""),"¥",""),"￥","")),0))</f>
        <v/>
      </c>
      <c r="G234">
        <f>IF(ISNUMBER(B234),YEAR(B234),"")</f>
        <v/>
      </c>
      <c r="H234">
        <f>IF(ISNUMBER(B234),MONTH(B234),"")</f>
        <v/>
      </c>
      <c r="I234">
        <f>IFERROR(IF($B$1=0,"",IF(ISNUMBER(INDEX(貼り付け!$A$1:$BZ$3001,233,$B$1)),"",SUBSTITUTE(SUBSTITUTE(SUBSTITUTE(SUBSTITUTE(TRIM(LEFT(INDEX(貼り付け!$A$1:$BZ$3001,233,$B$1)&amp;"",FIND(" ",TRIM(INDEX(貼り付け!$A$1:$BZ$3001,233,$B$1)&amp;"")&amp;" ")-1)),"/","-"),"年","-"),"月","-"),"日",""))),"")</f>
        <v/>
      </c>
      <c r="J234">
        <f>IFERROR(MID(I234,FIND("-",I234)+1,99),"")</f>
        <v/>
      </c>
    </row>
    <row r="235">
      <c r="B235">
        <f>IFERROR(IF($B$1=0,"",IF(INDEX(貼り付け!$A$1:$BZ$3001,234,$B$1)="","",IF(ISNUMBER(INDEX(貼り付け!$A$1:$BZ$3001,234,$B$1)),INT(INDEX(貼り付け!$A$1:$BZ$3001,234,$B$1)),DATE(VALUE(LEFT(I235,FIND("-",I235)-1)),VALUE(LEFT(J235,FIND("-",J235)-1)),VALUE(MID(J235,FIND("-",J235)+1,99)))))),"")</f>
        <v/>
      </c>
      <c r="C235">
        <f>IF($C$1=0,0,IFERROR(VALUE(SUBSTITUTE(SUBSTITUTE(SUBSTITUTE(INDEX(貼り付け!$A$1:$BZ$3001,234,$C$1)&amp;"",",",""),"¥",""),"￥","")),0))</f>
        <v/>
      </c>
      <c r="D235">
        <f>IF($D$1=0,0,IFERROR(VALUE(SUBSTITUTE(SUBSTITUTE(SUBSTITUTE(INDEX(貼り付け!$A$1:$BZ$3001,234,$D$1)&amp;"",",",""),"¥",""),"￥","")),0))</f>
        <v/>
      </c>
      <c r="E235">
        <f>IF($E$1=0,0,IFERROR(VALUE(SUBSTITUTE(SUBSTITUTE(SUBSTITUTE(INDEX(貼り付け!$A$1:$BZ$3001,234,$E$1)&amp;"",",",""),"¥",""),"￥","")),0))</f>
        <v/>
      </c>
      <c r="F235">
        <f>IF($F$1=0,0,IFERROR(VALUE(SUBSTITUTE(SUBSTITUTE(SUBSTITUTE(INDEX(貼り付け!$A$1:$BZ$3001,234,$F$1)&amp;"",",",""),"¥",""),"￥","")),0))</f>
        <v/>
      </c>
      <c r="G235">
        <f>IF(ISNUMBER(B235),YEAR(B235),"")</f>
        <v/>
      </c>
      <c r="H235">
        <f>IF(ISNUMBER(B235),MONTH(B235),"")</f>
        <v/>
      </c>
      <c r="I235">
        <f>IFERROR(IF($B$1=0,"",IF(ISNUMBER(INDEX(貼り付け!$A$1:$BZ$3001,234,$B$1)),"",SUBSTITUTE(SUBSTITUTE(SUBSTITUTE(SUBSTITUTE(TRIM(LEFT(INDEX(貼り付け!$A$1:$BZ$3001,234,$B$1)&amp;"",FIND(" ",TRIM(INDEX(貼り付け!$A$1:$BZ$3001,234,$B$1)&amp;"")&amp;" ")-1)),"/","-"),"年","-"),"月","-"),"日",""))),"")</f>
        <v/>
      </c>
      <c r="J235">
        <f>IFERROR(MID(I235,FIND("-",I235)+1,99),"")</f>
        <v/>
      </c>
    </row>
    <row r="236">
      <c r="B236">
        <f>IFERROR(IF($B$1=0,"",IF(INDEX(貼り付け!$A$1:$BZ$3001,235,$B$1)="","",IF(ISNUMBER(INDEX(貼り付け!$A$1:$BZ$3001,235,$B$1)),INT(INDEX(貼り付け!$A$1:$BZ$3001,235,$B$1)),DATE(VALUE(LEFT(I236,FIND("-",I236)-1)),VALUE(LEFT(J236,FIND("-",J236)-1)),VALUE(MID(J236,FIND("-",J236)+1,99)))))),"")</f>
        <v/>
      </c>
      <c r="C236">
        <f>IF($C$1=0,0,IFERROR(VALUE(SUBSTITUTE(SUBSTITUTE(SUBSTITUTE(INDEX(貼り付け!$A$1:$BZ$3001,235,$C$1)&amp;"",",",""),"¥",""),"￥","")),0))</f>
        <v/>
      </c>
      <c r="D236">
        <f>IF($D$1=0,0,IFERROR(VALUE(SUBSTITUTE(SUBSTITUTE(SUBSTITUTE(INDEX(貼り付け!$A$1:$BZ$3001,235,$D$1)&amp;"",",",""),"¥",""),"￥","")),0))</f>
        <v/>
      </c>
      <c r="E236">
        <f>IF($E$1=0,0,IFERROR(VALUE(SUBSTITUTE(SUBSTITUTE(SUBSTITUTE(INDEX(貼り付け!$A$1:$BZ$3001,235,$E$1)&amp;"",",",""),"¥",""),"￥","")),0))</f>
        <v/>
      </c>
      <c r="F236">
        <f>IF($F$1=0,0,IFERROR(VALUE(SUBSTITUTE(SUBSTITUTE(SUBSTITUTE(INDEX(貼り付け!$A$1:$BZ$3001,235,$F$1)&amp;"",",",""),"¥",""),"￥","")),0))</f>
        <v/>
      </c>
      <c r="G236">
        <f>IF(ISNUMBER(B236),YEAR(B236),"")</f>
        <v/>
      </c>
      <c r="H236">
        <f>IF(ISNUMBER(B236),MONTH(B236),"")</f>
        <v/>
      </c>
      <c r="I236">
        <f>IFERROR(IF($B$1=0,"",IF(ISNUMBER(INDEX(貼り付け!$A$1:$BZ$3001,235,$B$1)),"",SUBSTITUTE(SUBSTITUTE(SUBSTITUTE(SUBSTITUTE(TRIM(LEFT(INDEX(貼り付け!$A$1:$BZ$3001,235,$B$1)&amp;"",FIND(" ",TRIM(INDEX(貼り付け!$A$1:$BZ$3001,235,$B$1)&amp;"")&amp;" ")-1)),"/","-"),"年","-"),"月","-"),"日",""))),"")</f>
        <v/>
      </c>
      <c r="J236">
        <f>IFERROR(MID(I236,FIND("-",I236)+1,99),"")</f>
        <v/>
      </c>
    </row>
    <row r="237">
      <c r="B237">
        <f>IFERROR(IF($B$1=0,"",IF(INDEX(貼り付け!$A$1:$BZ$3001,236,$B$1)="","",IF(ISNUMBER(INDEX(貼り付け!$A$1:$BZ$3001,236,$B$1)),INT(INDEX(貼り付け!$A$1:$BZ$3001,236,$B$1)),DATE(VALUE(LEFT(I237,FIND("-",I237)-1)),VALUE(LEFT(J237,FIND("-",J237)-1)),VALUE(MID(J237,FIND("-",J237)+1,99)))))),"")</f>
        <v/>
      </c>
      <c r="C237">
        <f>IF($C$1=0,0,IFERROR(VALUE(SUBSTITUTE(SUBSTITUTE(SUBSTITUTE(INDEX(貼り付け!$A$1:$BZ$3001,236,$C$1)&amp;"",",",""),"¥",""),"￥","")),0))</f>
        <v/>
      </c>
      <c r="D237">
        <f>IF($D$1=0,0,IFERROR(VALUE(SUBSTITUTE(SUBSTITUTE(SUBSTITUTE(INDEX(貼り付け!$A$1:$BZ$3001,236,$D$1)&amp;"",",",""),"¥",""),"￥","")),0))</f>
        <v/>
      </c>
      <c r="E237">
        <f>IF($E$1=0,0,IFERROR(VALUE(SUBSTITUTE(SUBSTITUTE(SUBSTITUTE(INDEX(貼り付け!$A$1:$BZ$3001,236,$E$1)&amp;"",",",""),"¥",""),"￥","")),0))</f>
        <v/>
      </c>
      <c r="F237">
        <f>IF($F$1=0,0,IFERROR(VALUE(SUBSTITUTE(SUBSTITUTE(SUBSTITUTE(INDEX(貼り付け!$A$1:$BZ$3001,236,$F$1)&amp;"",",",""),"¥",""),"￥","")),0))</f>
        <v/>
      </c>
      <c r="G237">
        <f>IF(ISNUMBER(B237),YEAR(B237),"")</f>
        <v/>
      </c>
      <c r="H237">
        <f>IF(ISNUMBER(B237),MONTH(B237),"")</f>
        <v/>
      </c>
      <c r="I237">
        <f>IFERROR(IF($B$1=0,"",IF(ISNUMBER(INDEX(貼り付け!$A$1:$BZ$3001,236,$B$1)),"",SUBSTITUTE(SUBSTITUTE(SUBSTITUTE(SUBSTITUTE(TRIM(LEFT(INDEX(貼り付け!$A$1:$BZ$3001,236,$B$1)&amp;"",FIND(" ",TRIM(INDEX(貼り付け!$A$1:$BZ$3001,236,$B$1)&amp;"")&amp;" ")-1)),"/","-"),"年","-"),"月","-"),"日",""))),"")</f>
        <v/>
      </c>
      <c r="J237">
        <f>IFERROR(MID(I237,FIND("-",I237)+1,99),"")</f>
        <v/>
      </c>
    </row>
    <row r="238">
      <c r="B238">
        <f>IFERROR(IF($B$1=0,"",IF(INDEX(貼り付け!$A$1:$BZ$3001,237,$B$1)="","",IF(ISNUMBER(INDEX(貼り付け!$A$1:$BZ$3001,237,$B$1)),INT(INDEX(貼り付け!$A$1:$BZ$3001,237,$B$1)),DATE(VALUE(LEFT(I238,FIND("-",I238)-1)),VALUE(LEFT(J238,FIND("-",J238)-1)),VALUE(MID(J238,FIND("-",J238)+1,99)))))),"")</f>
        <v/>
      </c>
      <c r="C238">
        <f>IF($C$1=0,0,IFERROR(VALUE(SUBSTITUTE(SUBSTITUTE(SUBSTITUTE(INDEX(貼り付け!$A$1:$BZ$3001,237,$C$1)&amp;"",",",""),"¥",""),"￥","")),0))</f>
        <v/>
      </c>
      <c r="D238">
        <f>IF($D$1=0,0,IFERROR(VALUE(SUBSTITUTE(SUBSTITUTE(SUBSTITUTE(INDEX(貼り付け!$A$1:$BZ$3001,237,$D$1)&amp;"",",",""),"¥",""),"￥","")),0))</f>
        <v/>
      </c>
      <c r="E238">
        <f>IF($E$1=0,0,IFERROR(VALUE(SUBSTITUTE(SUBSTITUTE(SUBSTITUTE(INDEX(貼り付け!$A$1:$BZ$3001,237,$E$1)&amp;"",",",""),"¥",""),"￥","")),0))</f>
        <v/>
      </c>
      <c r="F238">
        <f>IF($F$1=0,0,IFERROR(VALUE(SUBSTITUTE(SUBSTITUTE(SUBSTITUTE(INDEX(貼り付け!$A$1:$BZ$3001,237,$F$1)&amp;"",",",""),"¥",""),"￥","")),0))</f>
        <v/>
      </c>
      <c r="G238">
        <f>IF(ISNUMBER(B238),YEAR(B238),"")</f>
        <v/>
      </c>
      <c r="H238">
        <f>IF(ISNUMBER(B238),MONTH(B238),"")</f>
        <v/>
      </c>
      <c r="I238">
        <f>IFERROR(IF($B$1=0,"",IF(ISNUMBER(INDEX(貼り付け!$A$1:$BZ$3001,237,$B$1)),"",SUBSTITUTE(SUBSTITUTE(SUBSTITUTE(SUBSTITUTE(TRIM(LEFT(INDEX(貼り付け!$A$1:$BZ$3001,237,$B$1)&amp;"",FIND(" ",TRIM(INDEX(貼り付け!$A$1:$BZ$3001,237,$B$1)&amp;"")&amp;" ")-1)),"/","-"),"年","-"),"月","-"),"日",""))),"")</f>
        <v/>
      </c>
      <c r="J238">
        <f>IFERROR(MID(I238,FIND("-",I238)+1,99),"")</f>
        <v/>
      </c>
    </row>
    <row r="239">
      <c r="B239">
        <f>IFERROR(IF($B$1=0,"",IF(INDEX(貼り付け!$A$1:$BZ$3001,238,$B$1)="","",IF(ISNUMBER(INDEX(貼り付け!$A$1:$BZ$3001,238,$B$1)),INT(INDEX(貼り付け!$A$1:$BZ$3001,238,$B$1)),DATE(VALUE(LEFT(I239,FIND("-",I239)-1)),VALUE(LEFT(J239,FIND("-",J239)-1)),VALUE(MID(J239,FIND("-",J239)+1,99)))))),"")</f>
        <v/>
      </c>
      <c r="C239">
        <f>IF($C$1=0,0,IFERROR(VALUE(SUBSTITUTE(SUBSTITUTE(SUBSTITUTE(INDEX(貼り付け!$A$1:$BZ$3001,238,$C$1)&amp;"",",",""),"¥",""),"￥","")),0))</f>
        <v/>
      </c>
      <c r="D239">
        <f>IF($D$1=0,0,IFERROR(VALUE(SUBSTITUTE(SUBSTITUTE(SUBSTITUTE(INDEX(貼り付け!$A$1:$BZ$3001,238,$D$1)&amp;"",",",""),"¥",""),"￥","")),0))</f>
        <v/>
      </c>
      <c r="E239">
        <f>IF($E$1=0,0,IFERROR(VALUE(SUBSTITUTE(SUBSTITUTE(SUBSTITUTE(INDEX(貼り付け!$A$1:$BZ$3001,238,$E$1)&amp;"",",",""),"¥",""),"￥","")),0))</f>
        <v/>
      </c>
      <c r="F239">
        <f>IF($F$1=0,0,IFERROR(VALUE(SUBSTITUTE(SUBSTITUTE(SUBSTITUTE(INDEX(貼り付け!$A$1:$BZ$3001,238,$F$1)&amp;"",",",""),"¥",""),"￥","")),0))</f>
        <v/>
      </c>
      <c r="G239">
        <f>IF(ISNUMBER(B239),YEAR(B239),"")</f>
        <v/>
      </c>
      <c r="H239">
        <f>IF(ISNUMBER(B239),MONTH(B239),"")</f>
        <v/>
      </c>
      <c r="I239">
        <f>IFERROR(IF($B$1=0,"",IF(ISNUMBER(INDEX(貼り付け!$A$1:$BZ$3001,238,$B$1)),"",SUBSTITUTE(SUBSTITUTE(SUBSTITUTE(SUBSTITUTE(TRIM(LEFT(INDEX(貼り付け!$A$1:$BZ$3001,238,$B$1)&amp;"",FIND(" ",TRIM(INDEX(貼り付け!$A$1:$BZ$3001,238,$B$1)&amp;"")&amp;" ")-1)),"/","-"),"年","-"),"月","-"),"日",""))),"")</f>
        <v/>
      </c>
      <c r="J239">
        <f>IFERROR(MID(I239,FIND("-",I239)+1,99),"")</f>
        <v/>
      </c>
    </row>
    <row r="240">
      <c r="B240">
        <f>IFERROR(IF($B$1=0,"",IF(INDEX(貼り付け!$A$1:$BZ$3001,239,$B$1)="","",IF(ISNUMBER(INDEX(貼り付け!$A$1:$BZ$3001,239,$B$1)),INT(INDEX(貼り付け!$A$1:$BZ$3001,239,$B$1)),DATE(VALUE(LEFT(I240,FIND("-",I240)-1)),VALUE(LEFT(J240,FIND("-",J240)-1)),VALUE(MID(J240,FIND("-",J240)+1,99)))))),"")</f>
        <v/>
      </c>
      <c r="C240">
        <f>IF($C$1=0,0,IFERROR(VALUE(SUBSTITUTE(SUBSTITUTE(SUBSTITUTE(INDEX(貼り付け!$A$1:$BZ$3001,239,$C$1)&amp;"",",",""),"¥",""),"￥","")),0))</f>
        <v/>
      </c>
      <c r="D240">
        <f>IF($D$1=0,0,IFERROR(VALUE(SUBSTITUTE(SUBSTITUTE(SUBSTITUTE(INDEX(貼り付け!$A$1:$BZ$3001,239,$D$1)&amp;"",",",""),"¥",""),"￥","")),0))</f>
        <v/>
      </c>
      <c r="E240">
        <f>IF($E$1=0,0,IFERROR(VALUE(SUBSTITUTE(SUBSTITUTE(SUBSTITUTE(INDEX(貼り付け!$A$1:$BZ$3001,239,$E$1)&amp;"",",",""),"¥",""),"￥","")),0))</f>
        <v/>
      </c>
      <c r="F240">
        <f>IF($F$1=0,0,IFERROR(VALUE(SUBSTITUTE(SUBSTITUTE(SUBSTITUTE(INDEX(貼り付け!$A$1:$BZ$3001,239,$F$1)&amp;"",",",""),"¥",""),"￥","")),0))</f>
        <v/>
      </c>
      <c r="G240">
        <f>IF(ISNUMBER(B240),YEAR(B240),"")</f>
        <v/>
      </c>
      <c r="H240">
        <f>IF(ISNUMBER(B240),MONTH(B240),"")</f>
        <v/>
      </c>
      <c r="I240">
        <f>IFERROR(IF($B$1=0,"",IF(ISNUMBER(INDEX(貼り付け!$A$1:$BZ$3001,239,$B$1)),"",SUBSTITUTE(SUBSTITUTE(SUBSTITUTE(SUBSTITUTE(TRIM(LEFT(INDEX(貼り付け!$A$1:$BZ$3001,239,$B$1)&amp;"",FIND(" ",TRIM(INDEX(貼り付け!$A$1:$BZ$3001,239,$B$1)&amp;"")&amp;" ")-1)),"/","-"),"年","-"),"月","-"),"日",""))),"")</f>
        <v/>
      </c>
      <c r="J240">
        <f>IFERROR(MID(I240,FIND("-",I240)+1,99),"")</f>
        <v/>
      </c>
    </row>
    <row r="241">
      <c r="B241">
        <f>IFERROR(IF($B$1=0,"",IF(INDEX(貼り付け!$A$1:$BZ$3001,240,$B$1)="","",IF(ISNUMBER(INDEX(貼り付け!$A$1:$BZ$3001,240,$B$1)),INT(INDEX(貼り付け!$A$1:$BZ$3001,240,$B$1)),DATE(VALUE(LEFT(I241,FIND("-",I241)-1)),VALUE(LEFT(J241,FIND("-",J241)-1)),VALUE(MID(J241,FIND("-",J241)+1,99)))))),"")</f>
        <v/>
      </c>
      <c r="C241">
        <f>IF($C$1=0,0,IFERROR(VALUE(SUBSTITUTE(SUBSTITUTE(SUBSTITUTE(INDEX(貼り付け!$A$1:$BZ$3001,240,$C$1)&amp;"",",",""),"¥",""),"￥","")),0))</f>
        <v/>
      </c>
      <c r="D241">
        <f>IF($D$1=0,0,IFERROR(VALUE(SUBSTITUTE(SUBSTITUTE(SUBSTITUTE(INDEX(貼り付け!$A$1:$BZ$3001,240,$D$1)&amp;"",",",""),"¥",""),"￥","")),0))</f>
        <v/>
      </c>
      <c r="E241">
        <f>IF($E$1=0,0,IFERROR(VALUE(SUBSTITUTE(SUBSTITUTE(SUBSTITUTE(INDEX(貼り付け!$A$1:$BZ$3001,240,$E$1)&amp;"",",",""),"¥",""),"￥","")),0))</f>
        <v/>
      </c>
      <c r="F241">
        <f>IF($F$1=0,0,IFERROR(VALUE(SUBSTITUTE(SUBSTITUTE(SUBSTITUTE(INDEX(貼り付け!$A$1:$BZ$3001,240,$F$1)&amp;"",",",""),"¥",""),"￥","")),0))</f>
        <v/>
      </c>
      <c r="G241">
        <f>IF(ISNUMBER(B241),YEAR(B241),"")</f>
        <v/>
      </c>
      <c r="H241">
        <f>IF(ISNUMBER(B241),MONTH(B241),"")</f>
        <v/>
      </c>
      <c r="I241">
        <f>IFERROR(IF($B$1=0,"",IF(ISNUMBER(INDEX(貼り付け!$A$1:$BZ$3001,240,$B$1)),"",SUBSTITUTE(SUBSTITUTE(SUBSTITUTE(SUBSTITUTE(TRIM(LEFT(INDEX(貼り付け!$A$1:$BZ$3001,240,$B$1)&amp;"",FIND(" ",TRIM(INDEX(貼り付け!$A$1:$BZ$3001,240,$B$1)&amp;"")&amp;" ")-1)),"/","-"),"年","-"),"月","-"),"日",""))),"")</f>
        <v/>
      </c>
      <c r="J241">
        <f>IFERROR(MID(I241,FIND("-",I241)+1,99),"")</f>
        <v/>
      </c>
    </row>
    <row r="242">
      <c r="B242">
        <f>IFERROR(IF($B$1=0,"",IF(INDEX(貼り付け!$A$1:$BZ$3001,241,$B$1)="","",IF(ISNUMBER(INDEX(貼り付け!$A$1:$BZ$3001,241,$B$1)),INT(INDEX(貼り付け!$A$1:$BZ$3001,241,$B$1)),DATE(VALUE(LEFT(I242,FIND("-",I242)-1)),VALUE(LEFT(J242,FIND("-",J242)-1)),VALUE(MID(J242,FIND("-",J242)+1,99)))))),"")</f>
        <v/>
      </c>
      <c r="C242">
        <f>IF($C$1=0,0,IFERROR(VALUE(SUBSTITUTE(SUBSTITUTE(SUBSTITUTE(INDEX(貼り付け!$A$1:$BZ$3001,241,$C$1)&amp;"",",",""),"¥",""),"￥","")),0))</f>
        <v/>
      </c>
      <c r="D242">
        <f>IF($D$1=0,0,IFERROR(VALUE(SUBSTITUTE(SUBSTITUTE(SUBSTITUTE(INDEX(貼り付け!$A$1:$BZ$3001,241,$D$1)&amp;"",",",""),"¥",""),"￥","")),0))</f>
        <v/>
      </c>
      <c r="E242">
        <f>IF($E$1=0,0,IFERROR(VALUE(SUBSTITUTE(SUBSTITUTE(SUBSTITUTE(INDEX(貼り付け!$A$1:$BZ$3001,241,$E$1)&amp;"",",",""),"¥",""),"￥","")),0))</f>
        <v/>
      </c>
      <c r="F242">
        <f>IF($F$1=0,0,IFERROR(VALUE(SUBSTITUTE(SUBSTITUTE(SUBSTITUTE(INDEX(貼り付け!$A$1:$BZ$3001,241,$F$1)&amp;"",",",""),"¥",""),"￥","")),0))</f>
        <v/>
      </c>
      <c r="G242">
        <f>IF(ISNUMBER(B242),YEAR(B242),"")</f>
        <v/>
      </c>
      <c r="H242">
        <f>IF(ISNUMBER(B242),MONTH(B242),"")</f>
        <v/>
      </c>
      <c r="I242">
        <f>IFERROR(IF($B$1=0,"",IF(ISNUMBER(INDEX(貼り付け!$A$1:$BZ$3001,241,$B$1)),"",SUBSTITUTE(SUBSTITUTE(SUBSTITUTE(SUBSTITUTE(TRIM(LEFT(INDEX(貼り付け!$A$1:$BZ$3001,241,$B$1)&amp;"",FIND(" ",TRIM(INDEX(貼り付け!$A$1:$BZ$3001,241,$B$1)&amp;"")&amp;" ")-1)),"/","-"),"年","-"),"月","-"),"日",""))),"")</f>
        <v/>
      </c>
      <c r="J242">
        <f>IFERROR(MID(I242,FIND("-",I242)+1,99),"")</f>
        <v/>
      </c>
    </row>
    <row r="243">
      <c r="B243">
        <f>IFERROR(IF($B$1=0,"",IF(INDEX(貼り付け!$A$1:$BZ$3001,242,$B$1)="","",IF(ISNUMBER(INDEX(貼り付け!$A$1:$BZ$3001,242,$B$1)),INT(INDEX(貼り付け!$A$1:$BZ$3001,242,$B$1)),DATE(VALUE(LEFT(I243,FIND("-",I243)-1)),VALUE(LEFT(J243,FIND("-",J243)-1)),VALUE(MID(J243,FIND("-",J243)+1,99)))))),"")</f>
        <v/>
      </c>
      <c r="C243">
        <f>IF($C$1=0,0,IFERROR(VALUE(SUBSTITUTE(SUBSTITUTE(SUBSTITUTE(INDEX(貼り付け!$A$1:$BZ$3001,242,$C$1)&amp;"",",",""),"¥",""),"￥","")),0))</f>
        <v/>
      </c>
      <c r="D243">
        <f>IF($D$1=0,0,IFERROR(VALUE(SUBSTITUTE(SUBSTITUTE(SUBSTITUTE(INDEX(貼り付け!$A$1:$BZ$3001,242,$D$1)&amp;"",",",""),"¥",""),"￥","")),0))</f>
        <v/>
      </c>
      <c r="E243">
        <f>IF($E$1=0,0,IFERROR(VALUE(SUBSTITUTE(SUBSTITUTE(SUBSTITUTE(INDEX(貼り付け!$A$1:$BZ$3001,242,$E$1)&amp;"",",",""),"¥",""),"￥","")),0))</f>
        <v/>
      </c>
      <c r="F243">
        <f>IF($F$1=0,0,IFERROR(VALUE(SUBSTITUTE(SUBSTITUTE(SUBSTITUTE(INDEX(貼り付け!$A$1:$BZ$3001,242,$F$1)&amp;"",",",""),"¥",""),"￥","")),0))</f>
        <v/>
      </c>
      <c r="G243">
        <f>IF(ISNUMBER(B243),YEAR(B243),"")</f>
        <v/>
      </c>
      <c r="H243">
        <f>IF(ISNUMBER(B243),MONTH(B243),"")</f>
        <v/>
      </c>
      <c r="I243">
        <f>IFERROR(IF($B$1=0,"",IF(ISNUMBER(INDEX(貼り付け!$A$1:$BZ$3001,242,$B$1)),"",SUBSTITUTE(SUBSTITUTE(SUBSTITUTE(SUBSTITUTE(TRIM(LEFT(INDEX(貼り付け!$A$1:$BZ$3001,242,$B$1)&amp;"",FIND(" ",TRIM(INDEX(貼り付け!$A$1:$BZ$3001,242,$B$1)&amp;"")&amp;" ")-1)),"/","-"),"年","-"),"月","-"),"日",""))),"")</f>
        <v/>
      </c>
      <c r="J243">
        <f>IFERROR(MID(I243,FIND("-",I243)+1,99),"")</f>
        <v/>
      </c>
    </row>
    <row r="244">
      <c r="B244">
        <f>IFERROR(IF($B$1=0,"",IF(INDEX(貼り付け!$A$1:$BZ$3001,243,$B$1)="","",IF(ISNUMBER(INDEX(貼り付け!$A$1:$BZ$3001,243,$B$1)),INT(INDEX(貼り付け!$A$1:$BZ$3001,243,$B$1)),DATE(VALUE(LEFT(I244,FIND("-",I244)-1)),VALUE(LEFT(J244,FIND("-",J244)-1)),VALUE(MID(J244,FIND("-",J244)+1,99)))))),"")</f>
        <v/>
      </c>
      <c r="C244">
        <f>IF($C$1=0,0,IFERROR(VALUE(SUBSTITUTE(SUBSTITUTE(SUBSTITUTE(INDEX(貼り付け!$A$1:$BZ$3001,243,$C$1)&amp;"",",",""),"¥",""),"￥","")),0))</f>
        <v/>
      </c>
      <c r="D244">
        <f>IF($D$1=0,0,IFERROR(VALUE(SUBSTITUTE(SUBSTITUTE(SUBSTITUTE(INDEX(貼り付け!$A$1:$BZ$3001,243,$D$1)&amp;"",",",""),"¥",""),"￥","")),0))</f>
        <v/>
      </c>
      <c r="E244">
        <f>IF($E$1=0,0,IFERROR(VALUE(SUBSTITUTE(SUBSTITUTE(SUBSTITUTE(INDEX(貼り付け!$A$1:$BZ$3001,243,$E$1)&amp;"",",",""),"¥",""),"￥","")),0))</f>
        <v/>
      </c>
      <c r="F244">
        <f>IF($F$1=0,0,IFERROR(VALUE(SUBSTITUTE(SUBSTITUTE(SUBSTITUTE(INDEX(貼り付け!$A$1:$BZ$3001,243,$F$1)&amp;"",",",""),"¥",""),"￥","")),0))</f>
        <v/>
      </c>
      <c r="G244">
        <f>IF(ISNUMBER(B244),YEAR(B244),"")</f>
        <v/>
      </c>
      <c r="H244">
        <f>IF(ISNUMBER(B244),MONTH(B244),"")</f>
        <v/>
      </c>
      <c r="I244">
        <f>IFERROR(IF($B$1=0,"",IF(ISNUMBER(INDEX(貼り付け!$A$1:$BZ$3001,243,$B$1)),"",SUBSTITUTE(SUBSTITUTE(SUBSTITUTE(SUBSTITUTE(TRIM(LEFT(INDEX(貼り付け!$A$1:$BZ$3001,243,$B$1)&amp;"",FIND(" ",TRIM(INDEX(貼り付け!$A$1:$BZ$3001,243,$B$1)&amp;"")&amp;" ")-1)),"/","-"),"年","-"),"月","-"),"日",""))),"")</f>
        <v/>
      </c>
      <c r="J244">
        <f>IFERROR(MID(I244,FIND("-",I244)+1,99),"")</f>
        <v/>
      </c>
    </row>
    <row r="245">
      <c r="B245">
        <f>IFERROR(IF($B$1=0,"",IF(INDEX(貼り付け!$A$1:$BZ$3001,244,$B$1)="","",IF(ISNUMBER(INDEX(貼り付け!$A$1:$BZ$3001,244,$B$1)),INT(INDEX(貼り付け!$A$1:$BZ$3001,244,$B$1)),DATE(VALUE(LEFT(I245,FIND("-",I245)-1)),VALUE(LEFT(J245,FIND("-",J245)-1)),VALUE(MID(J245,FIND("-",J245)+1,99)))))),"")</f>
        <v/>
      </c>
      <c r="C245">
        <f>IF($C$1=0,0,IFERROR(VALUE(SUBSTITUTE(SUBSTITUTE(SUBSTITUTE(INDEX(貼り付け!$A$1:$BZ$3001,244,$C$1)&amp;"",",",""),"¥",""),"￥","")),0))</f>
        <v/>
      </c>
      <c r="D245">
        <f>IF($D$1=0,0,IFERROR(VALUE(SUBSTITUTE(SUBSTITUTE(SUBSTITUTE(INDEX(貼り付け!$A$1:$BZ$3001,244,$D$1)&amp;"",",",""),"¥",""),"￥","")),0))</f>
        <v/>
      </c>
      <c r="E245">
        <f>IF($E$1=0,0,IFERROR(VALUE(SUBSTITUTE(SUBSTITUTE(SUBSTITUTE(INDEX(貼り付け!$A$1:$BZ$3001,244,$E$1)&amp;"",",",""),"¥",""),"￥","")),0))</f>
        <v/>
      </c>
      <c r="F245">
        <f>IF($F$1=0,0,IFERROR(VALUE(SUBSTITUTE(SUBSTITUTE(SUBSTITUTE(INDEX(貼り付け!$A$1:$BZ$3001,244,$F$1)&amp;"",",",""),"¥",""),"￥","")),0))</f>
        <v/>
      </c>
      <c r="G245">
        <f>IF(ISNUMBER(B245),YEAR(B245),"")</f>
        <v/>
      </c>
      <c r="H245">
        <f>IF(ISNUMBER(B245),MONTH(B245),"")</f>
        <v/>
      </c>
      <c r="I245">
        <f>IFERROR(IF($B$1=0,"",IF(ISNUMBER(INDEX(貼り付け!$A$1:$BZ$3001,244,$B$1)),"",SUBSTITUTE(SUBSTITUTE(SUBSTITUTE(SUBSTITUTE(TRIM(LEFT(INDEX(貼り付け!$A$1:$BZ$3001,244,$B$1)&amp;"",FIND(" ",TRIM(INDEX(貼り付け!$A$1:$BZ$3001,244,$B$1)&amp;"")&amp;" ")-1)),"/","-"),"年","-"),"月","-"),"日",""))),"")</f>
        <v/>
      </c>
      <c r="J245">
        <f>IFERROR(MID(I245,FIND("-",I245)+1,99),"")</f>
        <v/>
      </c>
    </row>
    <row r="246">
      <c r="B246">
        <f>IFERROR(IF($B$1=0,"",IF(INDEX(貼り付け!$A$1:$BZ$3001,245,$B$1)="","",IF(ISNUMBER(INDEX(貼り付け!$A$1:$BZ$3001,245,$B$1)),INT(INDEX(貼り付け!$A$1:$BZ$3001,245,$B$1)),DATE(VALUE(LEFT(I246,FIND("-",I246)-1)),VALUE(LEFT(J246,FIND("-",J246)-1)),VALUE(MID(J246,FIND("-",J246)+1,99)))))),"")</f>
        <v/>
      </c>
      <c r="C246">
        <f>IF($C$1=0,0,IFERROR(VALUE(SUBSTITUTE(SUBSTITUTE(SUBSTITUTE(INDEX(貼り付け!$A$1:$BZ$3001,245,$C$1)&amp;"",",",""),"¥",""),"￥","")),0))</f>
        <v/>
      </c>
      <c r="D246">
        <f>IF($D$1=0,0,IFERROR(VALUE(SUBSTITUTE(SUBSTITUTE(SUBSTITUTE(INDEX(貼り付け!$A$1:$BZ$3001,245,$D$1)&amp;"",",",""),"¥",""),"￥","")),0))</f>
        <v/>
      </c>
      <c r="E246">
        <f>IF($E$1=0,0,IFERROR(VALUE(SUBSTITUTE(SUBSTITUTE(SUBSTITUTE(INDEX(貼り付け!$A$1:$BZ$3001,245,$E$1)&amp;"",",",""),"¥",""),"￥","")),0))</f>
        <v/>
      </c>
      <c r="F246">
        <f>IF($F$1=0,0,IFERROR(VALUE(SUBSTITUTE(SUBSTITUTE(SUBSTITUTE(INDEX(貼り付け!$A$1:$BZ$3001,245,$F$1)&amp;"",",",""),"¥",""),"￥","")),0))</f>
        <v/>
      </c>
      <c r="G246">
        <f>IF(ISNUMBER(B246),YEAR(B246),"")</f>
        <v/>
      </c>
      <c r="H246">
        <f>IF(ISNUMBER(B246),MONTH(B246),"")</f>
        <v/>
      </c>
      <c r="I246">
        <f>IFERROR(IF($B$1=0,"",IF(ISNUMBER(INDEX(貼り付け!$A$1:$BZ$3001,245,$B$1)),"",SUBSTITUTE(SUBSTITUTE(SUBSTITUTE(SUBSTITUTE(TRIM(LEFT(INDEX(貼り付け!$A$1:$BZ$3001,245,$B$1)&amp;"",FIND(" ",TRIM(INDEX(貼り付け!$A$1:$BZ$3001,245,$B$1)&amp;"")&amp;" ")-1)),"/","-"),"年","-"),"月","-"),"日",""))),"")</f>
        <v/>
      </c>
      <c r="J246">
        <f>IFERROR(MID(I246,FIND("-",I246)+1,99),"")</f>
        <v/>
      </c>
    </row>
    <row r="247">
      <c r="B247">
        <f>IFERROR(IF($B$1=0,"",IF(INDEX(貼り付け!$A$1:$BZ$3001,246,$B$1)="","",IF(ISNUMBER(INDEX(貼り付け!$A$1:$BZ$3001,246,$B$1)),INT(INDEX(貼り付け!$A$1:$BZ$3001,246,$B$1)),DATE(VALUE(LEFT(I247,FIND("-",I247)-1)),VALUE(LEFT(J247,FIND("-",J247)-1)),VALUE(MID(J247,FIND("-",J247)+1,99)))))),"")</f>
        <v/>
      </c>
      <c r="C247">
        <f>IF($C$1=0,0,IFERROR(VALUE(SUBSTITUTE(SUBSTITUTE(SUBSTITUTE(INDEX(貼り付け!$A$1:$BZ$3001,246,$C$1)&amp;"",",",""),"¥",""),"￥","")),0))</f>
        <v/>
      </c>
      <c r="D247">
        <f>IF($D$1=0,0,IFERROR(VALUE(SUBSTITUTE(SUBSTITUTE(SUBSTITUTE(INDEX(貼り付け!$A$1:$BZ$3001,246,$D$1)&amp;"",",",""),"¥",""),"￥","")),0))</f>
        <v/>
      </c>
      <c r="E247">
        <f>IF($E$1=0,0,IFERROR(VALUE(SUBSTITUTE(SUBSTITUTE(SUBSTITUTE(INDEX(貼り付け!$A$1:$BZ$3001,246,$E$1)&amp;"",",",""),"¥",""),"￥","")),0))</f>
        <v/>
      </c>
      <c r="F247">
        <f>IF($F$1=0,0,IFERROR(VALUE(SUBSTITUTE(SUBSTITUTE(SUBSTITUTE(INDEX(貼り付け!$A$1:$BZ$3001,246,$F$1)&amp;"",",",""),"¥",""),"￥","")),0))</f>
        <v/>
      </c>
      <c r="G247">
        <f>IF(ISNUMBER(B247),YEAR(B247),"")</f>
        <v/>
      </c>
      <c r="H247">
        <f>IF(ISNUMBER(B247),MONTH(B247),"")</f>
        <v/>
      </c>
      <c r="I247">
        <f>IFERROR(IF($B$1=0,"",IF(ISNUMBER(INDEX(貼り付け!$A$1:$BZ$3001,246,$B$1)),"",SUBSTITUTE(SUBSTITUTE(SUBSTITUTE(SUBSTITUTE(TRIM(LEFT(INDEX(貼り付け!$A$1:$BZ$3001,246,$B$1)&amp;"",FIND(" ",TRIM(INDEX(貼り付け!$A$1:$BZ$3001,246,$B$1)&amp;"")&amp;" ")-1)),"/","-"),"年","-"),"月","-"),"日",""))),"")</f>
        <v/>
      </c>
      <c r="J247">
        <f>IFERROR(MID(I247,FIND("-",I247)+1,99),"")</f>
        <v/>
      </c>
    </row>
    <row r="248">
      <c r="B248">
        <f>IFERROR(IF($B$1=0,"",IF(INDEX(貼り付け!$A$1:$BZ$3001,247,$B$1)="","",IF(ISNUMBER(INDEX(貼り付け!$A$1:$BZ$3001,247,$B$1)),INT(INDEX(貼り付け!$A$1:$BZ$3001,247,$B$1)),DATE(VALUE(LEFT(I248,FIND("-",I248)-1)),VALUE(LEFT(J248,FIND("-",J248)-1)),VALUE(MID(J248,FIND("-",J248)+1,99)))))),"")</f>
        <v/>
      </c>
      <c r="C248">
        <f>IF($C$1=0,0,IFERROR(VALUE(SUBSTITUTE(SUBSTITUTE(SUBSTITUTE(INDEX(貼り付け!$A$1:$BZ$3001,247,$C$1)&amp;"",",",""),"¥",""),"￥","")),0))</f>
        <v/>
      </c>
      <c r="D248">
        <f>IF($D$1=0,0,IFERROR(VALUE(SUBSTITUTE(SUBSTITUTE(SUBSTITUTE(INDEX(貼り付け!$A$1:$BZ$3001,247,$D$1)&amp;"",",",""),"¥",""),"￥","")),0))</f>
        <v/>
      </c>
      <c r="E248">
        <f>IF($E$1=0,0,IFERROR(VALUE(SUBSTITUTE(SUBSTITUTE(SUBSTITUTE(INDEX(貼り付け!$A$1:$BZ$3001,247,$E$1)&amp;"",",",""),"¥",""),"￥","")),0))</f>
        <v/>
      </c>
      <c r="F248">
        <f>IF($F$1=0,0,IFERROR(VALUE(SUBSTITUTE(SUBSTITUTE(SUBSTITUTE(INDEX(貼り付け!$A$1:$BZ$3001,247,$F$1)&amp;"",",",""),"¥",""),"￥","")),0))</f>
        <v/>
      </c>
      <c r="G248">
        <f>IF(ISNUMBER(B248),YEAR(B248),"")</f>
        <v/>
      </c>
      <c r="H248">
        <f>IF(ISNUMBER(B248),MONTH(B248),"")</f>
        <v/>
      </c>
      <c r="I248">
        <f>IFERROR(IF($B$1=0,"",IF(ISNUMBER(INDEX(貼り付け!$A$1:$BZ$3001,247,$B$1)),"",SUBSTITUTE(SUBSTITUTE(SUBSTITUTE(SUBSTITUTE(TRIM(LEFT(INDEX(貼り付け!$A$1:$BZ$3001,247,$B$1)&amp;"",FIND(" ",TRIM(INDEX(貼り付け!$A$1:$BZ$3001,247,$B$1)&amp;"")&amp;" ")-1)),"/","-"),"年","-"),"月","-"),"日",""))),"")</f>
        <v/>
      </c>
      <c r="J248">
        <f>IFERROR(MID(I248,FIND("-",I248)+1,99),"")</f>
        <v/>
      </c>
    </row>
    <row r="249">
      <c r="B249">
        <f>IFERROR(IF($B$1=0,"",IF(INDEX(貼り付け!$A$1:$BZ$3001,248,$B$1)="","",IF(ISNUMBER(INDEX(貼り付け!$A$1:$BZ$3001,248,$B$1)),INT(INDEX(貼り付け!$A$1:$BZ$3001,248,$B$1)),DATE(VALUE(LEFT(I249,FIND("-",I249)-1)),VALUE(LEFT(J249,FIND("-",J249)-1)),VALUE(MID(J249,FIND("-",J249)+1,99)))))),"")</f>
        <v/>
      </c>
      <c r="C249">
        <f>IF($C$1=0,0,IFERROR(VALUE(SUBSTITUTE(SUBSTITUTE(SUBSTITUTE(INDEX(貼り付け!$A$1:$BZ$3001,248,$C$1)&amp;"",",",""),"¥",""),"￥","")),0))</f>
        <v/>
      </c>
      <c r="D249">
        <f>IF($D$1=0,0,IFERROR(VALUE(SUBSTITUTE(SUBSTITUTE(SUBSTITUTE(INDEX(貼り付け!$A$1:$BZ$3001,248,$D$1)&amp;"",",",""),"¥",""),"￥","")),0))</f>
        <v/>
      </c>
      <c r="E249">
        <f>IF($E$1=0,0,IFERROR(VALUE(SUBSTITUTE(SUBSTITUTE(SUBSTITUTE(INDEX(貼り付け!$A$1:$BZ$3001,248,$E$1)&amp;"",",",""),"¥",""),"￥","")),0))</f>
        <v/>
      </c>
      <c r="F249">
        <f>IF($F$1=0,0,IFERROR(VALUE(SUBSTITUTE(SUBSTITUTE(SUBSTITUTE(INDEX(貼り付け!$A$1:$BZ$3001,248,$F$1)&amp;"",",",""),"¥",""),"￥","")),0))</f>
        <v/>
      </c>
      <c r="G249">
        <f>IF(ISNUMBER(B249),YEAR(B249),"")</f>
        <v/>
      </c>
      <c r="H249">
        <f>IF(ISNUMBER(B249),MONTH(B249),"")</f>
        <v/>
      </c>
      <c r="I249">
        <f>IFERROR(IF($B$1=0,"",IF(ISNUMBER(INDEX(貼り付け!$A$1:$BZ$3001,248,$B$1)),"",SUBSTITUTE(SUBSTITUTE(SUBSTITUTE(SUBSTITUTE(TRIM(LEFT(INDEX(貼り付け!$A$1:$BZ$3001,248,$B$1)&amp;"",FIND(" ",TRIM(INDEX(貼り付け!$A$1:$BZ$3001,248,$B$1)&amp;"")&amp;" ")-1)),"/","-"),"年","-"),"月","-"),"日",""))),"")</f>
        <v/>
      </c>
      <c r="J249">
        <f>IFERROR(MID(I249,FIND("-",I249)+1,99),"")</f>
        <v/>
      </c>
    </row>
    <row r="250">
      <c r="B250">
        <f>IFERROR(IF($B$1=0,"",IF(INDEX(貼り付け!$A$1:$BZ$3001,249,$B$1)="","",IF(ISNUMBER(INDEX(貼り付け!$A$1:$BZ$3001,249,$B$1)),INT(INDEX(貼り付け!$A$1:$BZ$3001,249,$B$1)),DATE(VALUE(LEFT(I250,FIND("-",I250)-1)),VALUE(LEFT(J250,FIND("-",J250)-1)),VALUE(MID(J250,FIND("-",J250)+1,99)))))),"")</f>
        <v/>
      </c>
      <c r="C250">
        <f>IF($C$1=0,0,IFERROR(VALUE(SUBSTITUTE(SUBSTITUTE(SUBSTITUTE(INDEX(貼り付け!$A$1:$BZ$3001,249,$C$1)&amp;"",",",""),"¥",""),"￥","")),0))</f>
        <v/>
      </c>
      <c r="D250">
        <f>IF($D$1=0,0,IFERROR(VALUE(SUBSTITUTE(SUBSTITUTE(SUBSTITUTE(INDEX(貼り付け!$A$1:$BZ$3001,249,$D$1)&amp;"",",",""),"¥",""),"￥","")),0))</f>
        <v/>
      </c>
      <c r="E250">
        <f>IF($E$1=0,0,IFERROR(VALUE(SUBSTITUTE(SUBSTITUTE(SUBSTITUTE(INDEX(貼り付け!$A$1:$BZ$3001,249,$E$1)&amp;"",",",""),"¥",""),"￥","")),0))</f>
        <v/>
      </c>
      <c r="F250">
        <f>IF($F$1=0,0,IFERROR(VALUE(SUBSTITUTE(SUBSTITUTE(SUBSTITUTE(INDEX(貼り付け!$A$1:$BZ$3001,249,$F$1)&amp;"",",",""),"¥",""),"￥","")),0))</f>
        <v/>
      </c>
      <c r="G250">
        <f>IF(ISNUMBER(B250),YEAR(B250),"")</f>
        <v/>
      </c>
      <c r="H250">
        <f>IF(ISNUMBER(B250),MONTH(B250),"")</f>
        <v/>
      </c>
      <c r="I250">
        <f>IFERROR(IF($B$1=0,"",IF(ISNUMBER(INDEX(貼り付け!$A$1:$BZ$3001,249,$B$1)),"",SUBSTITUTE(SUBSTITUTE(SUBSTITUTE(SUBSTITUTE(TRIM(LEFT(INDEX(貼り付け!$A$1:$BZ$3001,249,$B$1)&amp;"",FIND(" ",TRIM(INDEX(貼り付け!$A$1:$BZ$3001,249,$B$1)&amp;"")&amp;" ")-1)),"/","-"),"年","-"),"月","-"),"日",""))),"")</f>
        <v/>
      </c>
      <c r="J250">
        <f>IFERROR(MID(I250,FIND("-",I250)+1,99),"")</f>
        <v/>
      </c>
    </row>
    <row r="251">
      <c r="B251">
        <f>IFERROR(IF($B$1=0,"",IF(INDEX(貼り付け!$A$1:$BZ$3001,250,$B$1)="","",IF(ISNUMBER(INDEX(貼り付け!$A$1:$BZ$3001,250,$B$1)),INT(INDEX(貼り付け!$A$1:$BZ$3001,250,$B$1)),DATE(VALUE(LEFT(I251,FIND("-",I251)-1)),VALUE(LEFT(J251,FIND("-",J251)-1)),VALUE(MID(J251,FIND("-",J251)+1,99)))))),"")</f>
        <v/>
      </c>
      <c r="C251">
        <f>IF($C$1=0,0,IFERROR(VALUE(SUBSTITUTE(SUBSTITUTE(SUBSTITUTE(INDEX(貼り付け!$A$1:$BZ$3001,250,$C$1)&amp;"",",",""),"¥",""),"￥","")),0))</f>
        <v/>
      </c>
      <c r="D251">
        <f>IF($D$1=0,0,IFERROR(VALUE(SUBSTITUTE(SUBSTITUTE(SUBSTITUTE(INDEX(貼り付け!$A$1:$BZ$3001,250,$D$1)&amp;"",",",""),"¥",""),"￥","")),0))</f>
        <v/>
      </c>
      <c r="E251">
        <f>IF($E$1=0,0,IFERROR(VALUE(SUBSTITUTE(SUBSTITUTE(SUBSTITUTE(INDEX(貼り付け!$A$1:$BZ$3001,250,$E$1)&amp;"",",",""),"¥",""),"￥","")),0))</f>
        <v/>
      </c>
      <c r="F251">
        <f>IF($F$1=0,0,IFERROR(VALUE(SUBSTITUTE(SUBSTITUTE(SUBSTITUTE(INDEX(貼り付け!$A$1:$BZ$3001,250,$F$1)&amp;"",",",""),"¥",""),"￥","")),0))</f>
        <v/>
      </c>
      <c r="G251">
        <f>IF(ISNUMBER(B251),YEAR(B251),"")</f>
        <v/>
      </c>
      <c r="H251">
        <f>IF(ISNUMBER(B251),MONTH(B251),"")</f>
        <v/>
      </c>
      <c r="I251">
        <f>IFERROR(IF($B$1=0,"",IF(ISNUMBER(INDEX(貼り付け!$A$1:$BZ$3001,250,$B$1)),"",SUBSTITUTE(SUBSTITUTE(SUBSTITUTE(SUBSTITUTE(TRIM(LEFT(INDEX(貼り付け!$A$1:$BZ$3001,250,$B$1)&amp;"",FIND(" ",TRIM(INDEX(貼り付け!$A$1:$BZ$3001,250,$B$1)&amp;"")&amp;" ")-1)),"/","-"),"年","-"),"月","-"),"日",""))),"")</f>
        <v/>
      </c>
      <c r="J251">
        <f>IFERROR(MID(I251,FIND("-",I251)+1,99),"")</f>
        <v/>
      </c>
    </row>
    <row r="252">
      <c r="B252">
        <f>IFERROR(IF($B$1=0,"",IF(INDEX(貼り付け!$A$1:$BZ$3001,251,$B$1)="","",IF(ISNUMBER(INDEX(貼り付け!$A$1:$BZ$3001,251,$B$1)),INT(INDEX(貼り付け!$A$1:$BZ$3001,251,$B$1)),DATE(VALUE(LEFT(I252,FIND("-",I252)-1)),VALUE(LEFT(J252,FIND("-",J252)-1)),VALUE(MID(J252,FIND("-",J252)+1,99)))))),"")</f>
        <v/>
      </c>
      <c r="C252">
        <f>IF($C$1=0,0,IFERROR(VALUE(SUBSTITUTE(SUBSTITUTE(SUBSTITUTE(INDEX(貼り付け!$A$1:$BZ$3001,251,$C$1)&amp;"",",",""),"¥",""),"￥","")),0))</f>
        <v/>
      </c>
      <c r="D252">
        <f>IF($D$1=0,0,IFERROR(VALUE(SUBSTITUTE(SUBSTITUTE(SUBSTITUTE(INDEX(貼り付け!$A$1:$BZ$3001,251,$D$1)&amp;"",",",""),"¥",""),"￥","")),0))</f>
        <v/>
      </c>
      <c r="E252">
        <f>IF($E$1=0,0,IFERROR(VALUE(SUBSTITUTE(SUBSTITUTE(SUBSTITUTE(INDEX(貼り付け!$A$1:$BZ$3001,251,$E$1)&amp;"",",",""),"¥",""),"￥","")),0))</f>
        <v/>
      </c>
      <c r="F252">
        <f>IF($F$1=0,0,IFERROR(VALUE(SUBSTITUTE(SUBSTITUTE(SUBSTITUTE(INDEX(貼り付け!$A$1:$BZ$3001,251,$F$1)&amp;"",",",""),"¥",""),"￥","")),0))</f>
        <v/>
      </c>
      <c r="G252">
        <f>IF(ISNUMBER(B252),YEAR(B252),"")</f>
        <v/>
      </c>
      <c r="H252">
        <f>IF(ISNUMBER(B252),MONTH(B252),"")</f>
        <v/>
      </c>
      <c r="I252">
        <f>IFERROR(IF($B$1=0,"",IF(ISNUMBER(INDEX(貼り付け!$A$1:$BZ$3001,251,$B$1)),"",SUBSTITUTE(SUBSTITUTE(SUBSTITUTE(SUBSTITUTE(TRIM(LEFT(INDEX(貼り付け!$A$1:$BZ$3001,251,$B$1)&amp;"",FIND(" ",TRIM(INDEX(貼り付け!$A$1:$BZ$3001,251,$B$1)&amp;"")&amp;" ")-1)),"/","-"),"年","-"),"月","-"),"日",""))),"")</f>
        <v/>
      </c>
      <c r="J252">
        <f>IFERROR(MID(I252,FIND("-",I252)+1,99),"")</f>
        <v/>
      </c>
    </row>
    <row r="253">
      <c r="B253">
        <f>IFERROR(IF($B$1=0,"",IF(INDEX(貼り付け!$A$1:$BZ$3001,252,$B$1)="","",IF(ISNUMBER(INDEX(貼り付け!$A$1:$BZ$3001,252,$B$1)),INT(INDEX(貼り付け!$A$1:$BZ$3001,252,$B$1)),DATE(VALUE(LEFT(I253,FIND("-",I253)-1)),VALUE(LEFT(J253,FIND("-",J253)-1)),VALUE(MID(J253,FIND("-",J253)+1,99)))))),"")</f>
        <v/>
      </c>
      <c r="C253">
        <f>IF($C$1=0,0,IFERROR(VALUE(SUBSTITUTE(SUBSTITUTE(SUBSTITUTE(INDEX(貼り付け!$A$1:$BZ$3001,252,$C$1)&amp;"",",",""),"¥",""),"￥","")),0))</f>
        <v/>
      </c>
      <c r="D253">
        <f>IF($D$1=0,0,IFERROR(VALUE(SUBSTITUTE(SUBSTITUTE(SUBSTITUTE(INDEX(貼り付け!$A$1:$BZ$3001,252,$D$1)&amp;"",",",""),"¥",""),"￥","")),0))</f>
        <v/>
      </c>
      <c r="E253">
        <f>IF($E$1=0,0,IFERROR(VALUE(SUBSTITUTE(SUBSTITUTE(SUBSTITUTE(INDEX(貼り付け!$A$1:$BZ$3001,252,$E$1)&amp;"",",",""),"¥",""),"￥","")),0))</f>
        <v/>
      </c>
      <c r="F253">
        <f>IF($F$1=0,0,IFERROR(VALUE(SUBSTITUTE(SUBSTITUTE(SUBSTITUTE(INDEX(貼り付け!$A$1:$BZ$3001,252,$F$1)&amp;"",",",""),"¥",""),"￥","")),0))</f>
        <v/>
      </c>
      <c r="G253">
        <f>IF(ISNUMBER(B253),YEAR(B253),"")</f>
        <v/>
      </c>
      <c r="H253">
        <f>IF(ISNUMBER(B253),MONTH(B253),"")</f>
        <v/>
      </c>
      <c r="I253">
        <f>IFERROR(IF($B$1=0,"",IF(ISNUMBER(INDEX(貼り付け!$A$1:$BZ$3001,252,$B$1)),"",SUBSTITUTE(SUBSTITUTE(SUBSTITUTE(SUBSTITUTE(TRIM(LEFT(INDEX(貼り付け!$A$1:$BZ$3001,252,$B$1)&amp;"",FIND(" ",TRIM(INDEX(貼り付け!$A$1:$BZ$3001,252,$B$1)&amp;"")&amp;" ")-1)),"/","-"),"年","-"),"月","-"),"日",""))),"")</f>
        <v/>
      </c>
      <c r="J253">
        <f>IFERROR(MID(I253,FIND("-",I253)+1,99),"")</f>
        <v/>
      </c>
    </row>
    <row r="254">
      <c r="B254">
        <f>IFERROR(IF($B$1=0,"",IF(INDEX(貼り付け!$A$1:$BZ$3001,253,$B$1)="","",IF(ISNUMBER(INDEX(貼り付け!$A$1:$BZ$3001,253,$B$1)),INT(INDEX(貼り付け!$A$1:$BZ$3001,253,$B$1)),DATE(VALUE(LEFT(I254,FIND("-",I254)-1)),VALUE(LEFT(J254,FIND("-",J254)-1)),VALUE(MID(J254,FIND("-",J254)+1,99)))))),"")</f>
        <v/>
      </c>
      <c r="C254">
        <f>IF($C$1=0,0,IFERROR(VALUE(SUBSTITUTE(SUBSTITUTE(SUBSTITUTE(INDEX(貼り付け!$A$1:$BZ$3001,253,$C$1)&amp;"",",",""),"¥",""),"￥","")),0))</f>
        <v/>
      </c>
      <c r="D254">
        <f>IF($D$1=0,0,IFERROR(VALUE(SUBSTITUTE(SUBSTITUTE(SUBSTITUTE(INDEX(貼り付け!$A$1:$BZ$3001,253,$D$1)&amp;"",",",""),"¥",""),"￥","")),0))</f>
        <v/>
      </c>
      <c r="E254">
        <f>IF($E$1=0,0,IFERROR(VALUE(SUBSTITUTE(SUBSTITUTE(SUBSTITUTE(INDEX(貼り付け!$A$1:$BZ$3001,253,$E$1)&amp;"",",",""),"¥",""),"￥","")),0))</f>
        <v/>
      </c>
      <c r="F254">
        <f>IF($F$1=0,0,IFERROR(VALUE(SUBSTITUTE(SUBSTITUTE(SUBSTITUTE(INDEX(貼り付け!$A$1:$BZ$3001,253,$F$1)&amp;"",",",""),"¥",""),"￥","")),0))</f>
        <v/>
      </c>
      <c r="G254">
        <f>IF(ISNUMBER(B254),YEAR(B254),"")</f>
        <v/>
      </c>
      <c r="H254">
        <f>IF(ISNUMBER(B254),MONTH(B254),"")</f>
        <v/>
      </c>
      <c r="I254">
        <f>IFERROR(IF($B$1=0,"",IF(ISNUMBER(INDEX(貼り付け!$A$1:$BZ$3001,253,$B$1)),"",SUBSTITUTE(SUBSTITUTE(SUBSTITUTE(SUBSTITUTE(TRIM(LEFT(INDEX(貼り付け!$A$1:$BZ$3001,253,$B$1)&amp;"",FIND(" ",TRIM(INDEX(貼り付け!$A$1:$BZ$3001,253,$B$1)&amp;"")&amp;" ")-1)),"/","-"),"年","-"),"月","-"),"日",""))),"")</f>
        <v/>
      </c>
      <c r="J254">
        <f>IFERROR(MID(I254,FIND("-",I254)+1,99),"")</f>
        <v/>
      </c>
    </row>
    <row r="255">
      <c r="B255">
        <f>IFERROR(IF($B$1=0,"",IF(INDEX(貼り付け!$A$1:$BZ$3001,254,$B$1)="","",IF(ISNUMBER(INDEX(貼り付け!$A$1:$BZ$3001,254,$B$1)),INT(INDEX(貼り付け!$A$1:$BZ$3001,254,$B$1)),DATE(VALUE(LEFT(I255,FIND("-",I255)-1)),VALUE(LEFT(J255,FIND("-",J255)-1)),VALUE(MID(J255,FIND("-",J255)+1,99)))))),"")</f>
        <v/>
      </c>
      <c r="C255">
        <f>IF($C$1=0,0,IFERROR(VALUE(SUBSTITUTE(SUBSTITUTE(SUBSTITUTE(INDEX(貼り付け!$A$1:$BZ$3001,254,$C$1)&amp;"",",",""),"¥",""),"￥","")),0))</f>
        <v/>
      </c>
      <c r="D255">
        <f>IF($D$1=0,0,IFERROR(VALUE(SUBSTITUTE(SUBSTITUTE(SUBSTITUTE(INDEX(貼り付け!$A$1:$BZ$3001,254,$D$1)&amp;"",",",""),"¥",""),"￥","")),0))</f>
        <v/>
      </c>
      <c r="E255">
        <f>IF($E$1=0,0,IFERROR(VALUE(SUBSTITUTE(SUBSTITUTE(SUBSTITUTE(INDEX(貼り付け!$A$1:$BZ$3001,254,$E$1)&amp;"",",",""),"¥",""),"￥","")),0))</f>
        <v/>
      </c>
      <c r="F255">
        <f>IF($F$1=0,0,IFERROR(VALUE(SUBSTITUTE(SUBSTITUTE(SUBSTITUTE(INDEX(貼り付け!$A$1:$BZ$3001,254,$F$1)&amp;"",",",""),"¥",""),"￥","")),0))</f>
        <v/>
      </c>
      <c r="G255">
        <f>IF(ISNUMBER(B255),YEAR(B255),"")</f>
        <v/>
      </c>
      <c r="H255">
        <f>IF(ISNUMBER(B255),MONTH(B255),"")</f>
        <v/>
      </c>
      <c r="I255">
        <f>IFERROR(IF($B$1=0,"",IF(ISNUMBER(INDEX(貼り付け!$A$1:$BZ$3001,254,$B$1)),"",SUBSTITUTE(SUBSTITUTE(SUBSTITUTE(SUBSTITUTE(TRIM(LEFT(INDEX(貼り付け!$A$1:$BZ$3001,254,$B$1)&amp;"",FIND(" ",TRIM(INDEX(貼り付け!$A$1:$BZ$3001,254,$B$1)&amp;"")&amp;" ")-1)),"/","-"),"年","-"),"月","-"),"日",""))),"")</f>
        <v/>
      </c>
      <c r="J255">
        <f>IFERROR(MID(I255,FIND("-",I255)+1,99),"")</f>
        <v/>
      </c>
    </row>
    <row r="256">
      <c r="B256">
        <f>IFERROR(IF($B$1=0,"",IF(INDEX(貼り付け!$A$1:$BZ$3001,255,$B$1)="","",IF(ISNUMBER(INDEX(貼り付け!$A$1:$BZ$3001,255,$B$1)),INT(INDEX(貼り付け!$A$1:$BZ$3001,255,$B$1)),DATE(VALUE(LEFT(I256,FIND("-",I256)-1)),VALUE(LEFT(J256,FIND("-",J256)-1)),VALUE(MID(J256,FIND("-",J256)+1,99)))))),"")</f>
        <v/>
      </c>
      <c r="C256">
        <f>IF($C$1=0,0,IFERROR(VALUE(SUBSTITUTE(SUBSTITUTE(SUBSTITUTE(INDEX(貼り付け!$A$1:$BZ$3001,255,$C$1)&amp;"",",",""),"¥",""),"￥","")),0))</f>
        <v/>
      </c>
      <c r="D256">
        <f>IF($D$1=0,0,IFERROR(VALUE(SUBSTITUTE(SUBSTITUTE(SUBSTITUTE(INDEX(貼り付け!$A$1:$BZ$3001,255,$D$1)&amp;"",",",""),"¥",""),"￥","")),0))</f>
        <v/>
      </c>
      <c r="E256">
        <f>IF($E$1=0,0,IFERROR(VALUE(SUBSTITUTE(SUBSTITUTE(SUBSTITUTE(INDEX(貼り付け!$A$1:$BZ$3001,255,$E$1)&amp;"",",",""),"¥",""),"￥","")),0))</f>
        <v/>
      </c>
      <c r="F256">
        <f>IF($F$1=0,0,IFERROR(VALUE(SUBSTITUTE(SUBSTITUTE(SUBSTITUTE(INDEX(貼り付け!$A$1:$BZ$3001,255,$F$1)&amp;"",",",""),"¥",""),"￥","")),0))</f>
        <v/>
      </c>
      <c r="G256">
        <f>IF(ISNUMBER(B256),YEAR(B256),"")</f>
        <v/>
      </c>
      <c r="H256">
        <f>IF(ISNUMBER(B256),MONTH(B256),"")</f>
        <v/>
      </c>
      <c r="I256">
        <f>IFERROR(IF($B$1=0,"",IF(ISNUMBER(INDEX(貼り付け!$A$1:$BZ$3001,255,$B$1)),"",SUBSTITUTE(SUBSTITUTE(SUBSTITUTE(SUBSTITUTE(TRIM(LEFT(INDEX(貼り付け!$A$1:$BZ$3001,255,$B$1)&amp;"",FIND(" ",TRIM(INDEX(貼り付け!$A$1:$BZ$3001,255,$B$1)&amp;"")&amp;" ")-1)),"/","-"),"年","-"),"月","-"),"日",""))),"")</f>
        <v/>
      </c>
      <c r="J256">
        <f>IFERROR(MID(I256,FIND("-",I256)+1,99),"")</f>
        <v/>
      </c>
    </row>
    <row r="257">
      <c r="B257">
        <f>IFERROR(IF($B$1=0,"",IF(INDEX(貼り付け!$A$1:$BZ$3001,256,$B$1)="","",IF(ISNUMBER(INDEX(貼り付け!$A$1:$BZ$3001,256,$B$1)),INT(INDEX(貼り付け!$A$1:$BZ$3001,256,$B$1)),DATE(VALUE(LEFT(I257,FIND("-",I257)-1)),VALUE(LEFT(J257,FIND("-",J257)-1)),VALUE(MID(J257,FIND("-",J257)+1,99)))))),"")</f>
        <v/>
      </c>
      <c r="C257">
        <f>IF($C$1=0,0,IFERROR(VALUE(SUBSTITUTE(SUBSTITUTE(SUBSTITUTE(INDEX(貼り付け!$A$1:$BZ$3001,256,$C$1)&amp;"",",",""),"¥",""),"￥","")),0))</f>
        <v/>
      </c>
      <c r="D257">
        <f>IF($D$1=0,0,IFERROR(VALUE(SUBSTITUTE(SUBSTITUTE(SUBSTITUTE(INDEX(貼り付け!$A$1:$BZ$3001,256,$D$1)&amp;"",",",""),"¥",""),"￥","")),0))</f>
        <v/>
      </c>
      <c r="E257">
        <f>IF($E$1=0,0,IFERROR(VALUE(SUBSTITUTE(SUBSTITUTE(SUBSTITUTE(INDEX(貼り付け!$A$1:$BZ$3001,256,$E$1)&amp;"",",",""),"¥",""),"￥","")),0))</f>
        <v/>
      </c>
      <c r="F257">
        <f>IF($F$1=0,0,IFERROR(VALUE(SUBSTITUTE(SUBSTITUTE(SUBSTITUTE(INDEX(貼り付け!$A$1:$BZ$3001,256,$F$1)&amp;"",",",""),"¥",""),"￥","")),0))</f>
        <v/>
      </c>
      <c r="G257">
        <f>IF(ISNUMBER(B257),YEAR(B257),"")</f>
        <v/>
      </c>
      <c r="H257">
        <f>IF(ISNUMBER(B257),MONTH(B257),"")</f>
        <v/>
      </c>
      <c r="I257">
        <f>IFERROR(IF($B$1=0,"",IF(ISNUMBER(INDEX(貼り付け!$A$1:$BZ$3001,256,$B$1)),"",SUBSTITUTE(SUBSTITUTE(SUBSTITUTE(SUBSTITUTE(TRIM(LEFT(INDEX(貼り付け!$A$1:$BZ$3001,256,$B$1)&amp;"",FIND(" ",TRIM(INDEX(貼り付け!$A$1:$BZ$3001,256,$B$1)&amp;"")&amp;" ")-1)),"/","-"),"年","-"),"月","-"),"日",""))),"")</f>
        <v/>
      </c>
      <c r="J257">
        <f>IFERROR(MID(I257,FIND("-",I257)+1,99),"")</f>
        <v/>
      </c>
    </row>
    <row r="258">
      <c r="B258">
        <f>IFERROR(IF($B$1=0,"",IF(INDEX(貼り付け!$A$1:$BZ$3001,257,$B$1)="","",IF(ISNUMBER(INDEX(貼り付け!$A$1:$BZ$3001,257,$B$1)),INT(INDEX(貼り付け!$A$1:$BZ$3001,257,$B$1)),DATE(VALUE(LEFT(I258,FIND("-",I258)-1)),VALUE(LEFT(J258,FIND("-",J258)-1)),VALUE(MID(J258,FIND("-",J258)+1,99)))))),"")</f>
        <v/>
      </c>
      <c r="C258">
        <f>IF($C$1=0,0,IFERROR(VALUE(SUBSTITUTE(SUBSTITUTE(SUBSTITUTE(INDEX(貼り付け!$A$1:$BZ$3001,257,$C$1)&amp;"",",",""),"¥",""),"￥","")),0))</f>
        <v/>
      </c>
      <c r="D258">
        <f>IF($D$1=0,0,IFERROR(VALUE(SUBSTITUTE(SUBSTITUTE(SUBSTITUTE(INDEX(貼り付け!$A$1:$BZ$3001,257,$D$1)&amp;"",",",""),"¥",""),"￥","")),0))</f>
        <v/>
      </c>
      <c r="E258">
        <f>IF($E$1=0,0,IFERROR(VALUE(SUBSTITUTE(SUBSTITUTE(SUBSTITUTE(INDEX(貼り付け!$A$1:$BZ$3001,257,$E$1)&amp;"",",",""),"¥",""),"￥","")),0))</f>
        <v/>
      </c>
      <c r="F258">
        <f>IF($F$1=0,0,IFERROR(VALUE(SUBSTITUTE(SUBSTITUTE(SUBSTITUTE(INDEX(貼り付け!$A$1:$BZ$3001,257,$F$1)&amp;"",",",""),"¥",""),"￥","")),0))</f>
        <v/>
      </c>
      <c r="G258">
        <f>IF(ISNUMBER(B258),YEAR(B258),"")</f>
        <v/>
      </c>
      <c r="H258">
        <f>IF(ISNUMBER(B258),MONTH(B258),"")</f>
        <v/>
      </c>
      <c r="I258">
        <f>IFERROR(IF($B$1=0,"",IF(ISNUMBER(INDEX(貼り付け!$A$1:$BZ$3001,257,$B$1)),"",SUBSTITUTE(SUBSTITUTE(SUBSTITUTE(SUBSTITUTE(TRIM(LEFT(INDEX(貼り付け!$A$1:$BZ$3001,257,$B$1)&amp;"",FIND(" ",TRIM(INDEX(貼り付け!$A$1:$BZ$3001,257,$B$1)&amp;"")&amp;" ")-1)),"/","-"),"年","-"),"月","-"),"日",""))),"")</f>
        <v/>
      </c>
      <c r="J258">
        <f>IFERROR(MID(I258,FIND("-",I258)+1,99),"")</f>
        <v/>
      </c>
    </row>
    <row r="259">
      <c r="B259">
        <f>IFERROR(IF($B$1=0,"",IF(INDEX(貼り付け!$A$1:$BZ$3001,258,$B$1)="","",IF(ISNUMBER(INDEX(貼り付け!$A$1:$BZ$3001,258,$B$1)),INT(INDEX(貼り付け!$A$1:$BZ$3001,258,$B$1)),DATE(VALUE(LEFT(I259,FIND("-",I259)-1)),VALUE(LEFT(J259,FIND("-",J259)-1)),VALUE(MID(J259,FIND("-",J259)+1,99)))))),"")</f>
        <v/>
      </c>
      <c r="C259">
        <f>IF($C$1=0,0,IFERROR(VALUE(SUBSTITUTE(SUBSTITUTE(SUBSTITUTE(INDEX(貼り付け!$A$1:$BZ$3001,258,$C$1)&amp;"",",",""),"¥",""),"￥","")),0))</f>
        <v/>
      </c>
      <c r="D259">
        <f>IF($D$1=0,0,IFERROR(VALUE(SUBSTITUTE(SUBSTITUTE(SUBSTITUTE(INDEX(貼り付け!$A$1:$BZ$3001,258,$D$1)&amp;"",",",""),"¥",""),"￥","")),0))</f>
        <v/>
      </c>
      <c r="E259">
        <f>IF($E$1=0,0,IFERROR(VALUE(SUBSTITUTE(SUBSTITUTE(SUBSTITUTE(INDEX(貼り付け!$A$1:$BZ$3001,258,$E$1)&amp;"",",",""),"¥",""),"￥","")),0))</f>
        <v/>
      </c>
      <c r="F259">
        <f>IF($F$1=0,0,IFERROR(VALUE(SUBSTITUTE(SUBSTITUTE(SUBSTITUTE(INDEX(貼り付け!$A$1:$BZ$3001,258,$F$1)&amp;"",",",""),"¥",""),"￥","")),0))</f>
        <v/>
      </c>
      <c r="G259">
        <f>IF(ISNUMBER(B259),YEAR(B259),"")</f>
        <v/>
      </c>
      <c r="H259">
        <f>IF(ISNUMBER(B259),MONTH(B259),"")</f>
        <v/>
      </c>
      <c r="I259">
        <f>IFERROR(IF($B$1=0,"",IF(ISNUMBER(INDEX(貼り付け!$A$1:$BZ$3001,258,$B$1)),"",SUBSTITUTE(SUBSTITUTE(SUBSTITUTE(SUBSTITUTE(TRIM(LEFT(INDEX(貼り付け!$A$1:$BZ$3001,258,$B$1)&amp;"",FIND(" ",TRIM(INDEX(貼り付け!$A$1:$BZ$3001,258,$B$1)&amp;"")&amp;" ")-1)),"/","-"),"年","-"),"月","-"),"日",""))),"")</f>
        <v/>
      </c>
      <c r="J259">
        <f>IFERROR(MID(I259,FIND("-",I259)+1,99),"")</f>
        <v/>
      </c>
    </row>
    <row r="260">
      <c r="B260">
        <f>IFERROR(IF($B$1=0,"",IF(INDEX(貼り付け!$A$1:$BZ$3001,259,$B$1)="","",IF(ISNUMBER(INDEX(貼り付け!$A$1:$BZ$3001,259,$B$1)),INT(INDEX(貼り付け!$A$1:$BZ$3001,259,$B$1)),DATE(VALUE(LEFT(I260,FIND("-",I260)-1)),VALUE(LEFT(J260,FIND("-",J260)-1)),VALUE(MID(J260,FIND("-",J260)+1,99)))))),"")</f>
        <v/>
      </c>
      <c r="C260">
        <f>IF($C$1=0,0,IFERROR(VALUE(SUBSTITUTE(SUBSTITUTE(SUBSTITUTE(INDEX(貼り付け!$A$1:$BZ$3001,259,$C$1)&amp;"",",",""),"¥",""),"￥","")),0))</f>
        <v/>
      </c>
      <c r="D260">
        <f>IF($D$1=0,0,IFERROR(VALUE(SUBSTITUTE(SUBSTITUTE(SUBSTITUTE(INDEX(貼り付け!$A$1:$BZ$3001,259,$D$1)&amp;"",",",""),"¥",""),"￥","")),0))</f>
        <v/>
      </c>
      <c r="E260">
        <f>IF($E$1=0,0,IFERROR(VALUE(SUBSTITUTE(SUBSTITUTE(SUBSTITUTE(INDEX(貼り付け!$A$1:$BZ$3001,259,$E$1)&amp;"",",",""),"¥",""),"￥","")),0))</f>
        <v/>
      </c>
      <c r="F260">
        <f>IF($F$1=0,0,IFERROR(VALUE(SUBSTITUTE(SUBSTITUTE(SUBSTITUTE(INDEX(貼り付け!$A$1:$BZ$3001,259,$F$1)&amp;"",",",""),"¥",""),"￥","")),0))</f>
        <v/>
      </c>
      <c r="G260">
        <f>IF(ISNUMBER(B260),YEAR(B260),"")</f>
        <v/>
      </c>
      <c r="H260">
        <f>IF(ISNUMBER(B260),MONTH(B260),"")</f>
        <v/>
      </c>
      <c r="I260">
        <f>IFERROR(IF($B$1=0,"",IF(ISNUMBER(INDEX(貼り付け!$A$1:$BZ$3001,259,$B$1)),"",SUBSTITUTE(SUBSTITUTE(SUBSTITUTE(SUBSTITUTE(TRIM(LEFT(INDEX(貼り付け!$A$1:$BZ$3001,259,$B$1)&amp;"",FIND(" ",TRIM(INDEX(貼り付け!$A$1:$BZ$3001,259,$B$1)&amp;"")&amp;" ")-1)),"/","-"),"年","-"),"月","-"),"日",""))),"")</f>
        <v/>
      </c>
      <c r="J260">
        <f>IFERROR(MID(I260,FIND("-",I260)+1,99),"")</f>
        <v/>
      </c>
    </row>
    <row r="261">
      <c r="B261">
        <f>IFERROR(IF($B$1=0,"",IF(INDEX(貼り付け!$A$1:$BZ$3001,260,$B$1)="","",IF(ISNUMBER(INDEX(貼り付け!$A$1:$BZ$3001,260,$B$1)),INT(INDEX(貼り付け!$A$1:$BZ$3001,260,$B$1)),DATE(VALUE(LEFT(I261,FIND("-",I261)-1)),VALUE(LEFT(J261,FIND("-",J261)-1)),VALUE(MID(J261,FIND("-",J261)+1,99)))))),"")</f>
        <v/>
      </c>
      <c r="C261">
        <f>IF($C$1=0,0,IFERROR(VALUE(SUBSTITUTE(SUBSTITUTE(SUBSTITUTE(INDEX(貼り付け!$A$1:$BZ$3001,260,$C$1)&amp;"",",",""),"¥",""),"￥","")),0))</f>
        <v/>
      </c>
      <c r="D261">
        <f>IF($D$1=0,0,IFERROR(VALUE(SUBSTITUTE(SUBSTITUTE(SUBSTITUTE(INDEX(貼り付け!$A$1:$BZ$3001,260,$D$1)&amp;"",",",""),"¥",""),"￥","")),0))</f>
        <v/>
      </c>
      <c r="E261">
        <f>IF($E$1=0,0,IFERROR(VALUE(SUBSTITUTE(SUBSTITUTE(SUBSTITUTE(INDEX(貼り付け!$A$1:$BZ$3001,260,$E$1)&amp;"",",",""),"¥",""),"￥","")),0))</f>
        <v/>
      </c>
      <c r="F261">
        <f>IF($F$1=0,0,IFERROR(VALUE(SUBSTITUTE(SUBSTITUTE(SUBSTITUTE(INDEX(貼り付け!$A$1:$BZ$3001,260,$F$1)&amp;"",",",""),"¥",""),"￥","")),0))</f>
        <v/>
      </c>
      <c r="G261">
        <f>IF(ISNUMBER(B261),YEAR(B261),"")</f>
        <v/>
      </c>
      <c r="H261">
        <f>IF(ISNUMBER(B261),MONTH(B261),"")</f>
        <v/>
      </c>
      <c r="I261">
        <f>IFERROR(IF($B$1=0,"",IF(ISNUMBER(INDEX(貼り付け!$A$1:$BZ$3001,260,$B$1)),"",SUBSTITUTE(SUBSTITUTE(SUBSTITUTE(SUBSTITUTE(TRIM(LEFT(INDEX(貼り付け!$A$1:$BZ$3001,260,$B$1)&amp;"",FIND(" ",TRIM(INDEX(貼り付け!$A$1:$BZ$3001,260,$B$1)&amp;"")&amp;" ")-1)),"/","-"),"年","-"),"月","-"),"日",""))),"")</f>
        <v/>
      </c>
      <c r="J261">
        <f>IFERROR(MID(I261,FIND("-",I261)+1,99),"")</f>
        <v/>
      </c>
    </row>
    <row r="262">
      <c r="B262">
        <f>IFERROR(IF($B$1=0,"",IF(INDEX(貼り付け!$A$1:$BZ$3001,261,$B$1)="","",IF(ISNUMBER(INDEX(貼り付け!$A$1:$BZ$3001,261,$B$1)),INT(INDEX(貼り付け!$A$1:$BZ$3001,261,$B$1)),DATE(VALUE(LEFT(I262,FIND("-",I262)-1)),VALUE(LEFT(J262,FIND("-",J262)-1)),VALUE(MID(J262,FIND("-",J262)+1,99)))))),"")</f>
        <v/>
      </c>
      <c r="C262">
        <f>IF($C$1=0,0,IFERROR(VALUE(SUBSTITUTE(SUBSTITUTE(SUBSTITUTE(INDEX(貼り付け!$A$1:$BZ$3001,261,$C$1)&amp;"",",",""),"¥",""),"￥","")),0))</f>
        <v/>
      </c>
      <c r="D262">
        <f>IF($D$1=0,0,IFERROR(VALUE(SUBSTITUTE(SUBSTITUTE(SUBSTITUTE(INDEX(貼り付け!$A$1:$BZ$3001,261,$D$1)&amp;"",",",""),"¥",""),"￥","")),0))</f>
        <v/>
      </c>
      <c r="E262">
        <f>IF($E$1=0,0,IFERROR(VALUE(SUBSTITUTE(SUBSTITUTE(SUBSTITUTE(INDEX(貼り付け!$A$1:$BZ$3001,261,$E$1)&amp;"",",",""),"¥",""),"￥","")),0))</f>
        <v/>
      </c>
      <c r="F262">
        <f>IF($F$1=0,0,IFERROR(VALUE(SUBSTITUTE(SUBSTITUTE(SUBSTITUTE(INDEX(貼り付け!$A$1:$BZ$3001,261,$F$1)&amp;"",",",""),"¥",""),"￥","")),0))</f>
        <v/>
      </c>
      <c r="G262">
        <f>IF(ISNUMBER(B262),YEAR(B262),"")</f>
        <v/>
      </c>
      <c r="H262">
        <f>IF(ISNUMBER(B262),MONTH(B262),"")</f>
        <v/>
      </c>
      <c r="I262">
        <f>IFERROR(IF($B$1=0,"",IF(ISNUMBER(INDEX(貼り付け!$A$1:$BZ$3001,261,$B$1)),"",SUBSTITUTE(SUBSTITUTE(SUBSTITUTE(SUBSTITUTE(TRIM(LEFT(INDEX(貼り付け!$A$1:$BZ$3001,261,$B$1)&amp;"",FIND(" ",TRIM(INDEX(貼り付け!$A$1:$BZ$3001,261,$B$1)&amp;"")&amp;" ")-1)),"/","-"),"年","-"),"月","-"),"日",""))),"")</f>
        <v/>
      </c>
      <c r="J262">
        <f>IFERROR(MID(I262,FIND("-",I262)+1,99),"")</f>
        <v/>
      </c>
    </row>
    <row r="263">
      <c r="B263">
        <f>IFERROR(IF($B$1=0,"",IF(INDEX(貼り付け!$A$1:$BZ$3001,262,$B$1)="","",IF(ISNUMBER(INDEX(貼り付け!$A$1:$BZ$3001,262,$B$1)),INT(INDEX(貼り付け!$A$1:$BZ$3001,262,$B$1)),DATE(VALUE(LEFT(I263,FIND("-",I263)-1)),VALUE(LEFT(J263,FIND("-",J263)-1)),VALUE(MID(J263,FIND("-",J263)+1,99)))))),"")</f>
        <v/>
      </c>
      <c r="C263">
        <f>IF($C$1=0,0,IFERROR(VALUE(SUBSTITUTE(SUBSTITUTE(SUBSTITUTE(INDEX(貼り付け!$A$1:$BZ$3001,262,$C$1)&amp;"",",",""),"¥",""),"￥","")),0))</f>
        <v/>
      </c>
      <c r="D263">
        <f>IF($D$1=0,0,IFERROR(VALUE(SUBSTITUTE(SUBSTITUTE(SUBSTITUTE(INDEX(貼り付け!$A$1:$BZ$3001,262,$D$1)&amp;"",",",""),"¥",""),"￥","")),0))</f>
        <v/>
      </c>
      <c r="E263">
        <f>IF($E$1=0,0,IFERROR(VALUE(SUBSTITUTE(SUBSTITUTE(SUBSTITUTE(INDEX(貼り付け!$A$1:$BZ$3001,262,$E$1)&amp;"",",",""),"¥",""),"￥","")),0))</f>
        <v/>
      </c>
      <c r="F263">
        <f>IF($F$1=0,0,IFERROR(VALUE(SUBSTITUTE(SUBSTITUTE(SUBSTITUTE(INDEX(貼り付け!$A$1:$BZ$3001,262,$F$1)&amp;"",",",""),"¥",""),"￥","")),0))</f>
        <v/>
      </c>
      <c r="G263">
        <f>IF(ISNUMBER(B263),YEAR(B263),"")</f>
        <v/>
      </c>
      <c r="H263">
        <f>IF(ISNUMBER(B263),MONTH(B263),"")</f>
        <v/>
      </c>
      <c r="I263">
        <f>IFERROR(IF($B$1=0,"",IF(ISNUMBER(INDEX(貼り付け!$A$1:$BZ$3001,262,$B$1)),"",SUBSTITUTE(SUBSTITUTE(SUBSTITUTE(SUBSTITUTE(TRIM(LEFT(INDEX(貼り付け!$A$1:$BZ$3001,262,$B$1)&amp;"",FIND(" ",TRIM(INDEX(貼り付け!$A$1:$BZ$3001,262,$B$1)&amp;"")&amp;" ")-1)),"/","-"),"年","-"),"月","-"),"日",""))),"")</f>
        <v/>
      </c>
      <c r="J263">
        <f>IFERROR(MID(I263,FIND("-",I263)+1,99),"")</f>
        <v/>
      </c>
    </row>
    <row r="264">
      <c r="B264">
        <f>IFERROR(IF($B$1=0,"",IF(INDEX(貼り付け!$A$1:$BZ$3001,263,$B$1)="","",IF(ISNUMBER(INDEX(貼り付け!$A$1:$BZ$3001,263,$B$1)),INT(INDEX(貼り付け!$A$1:$BZ$3001,263,$B$1)),DATE(VALUE(LEFT(I264,FIND("-",I264)-1)),VALUE(LEFT(J264,FIND("-",J264)-1)),VALUE(MID(J264,FIND("-",J264)+1,99)))))),"")</f>
        <v/>
      </c>
      <c r="C264">
        <f>IF($C$1=0,0,IFERROR(VALUE(SUBSTITUTE(SUBSTITUTE(SUBSTITUTE(INDEX(貼り付け!$A$1:$BZ$3001,263,$C$1)&amp;"",",",""),"¥",""),"￥","")),0))</f>
        <v/>
      </c>
      <c r="D264">
        <f>IF($D$1=0,0,IFERROR(VALUE(SUBSTITUTE(SUBSTITUTE(SUBSTITUTE(INDEX(貼り付け!$A$1:$BZ$3001,263,$D$1)&amp;"",",",""),"¥",""),"￥","")),0))</f>
        <v/>
      </c>
      <c r="E264">
        <f>IF($E$1=0,0,IFERROR(VALUE(SUBSTITUTE(SUBSTITUTE(SUBSTITUTE(INDEX(貼り付け!$A$1:$BZ$3001,263,$E$1)&amp;"",",",""),"¥",""),"￥","")),0))</f>
        <v/>
      </c>
      <c r="F264">
        <f>IF($F$1=0,0,IFERROR(VALUE(SUBSTITUTE(SUBSTITUTE(SUBSTITUTE(INDEX(貼り付け!$A$1:$BZ$3001,263,$F$1)&amp;"",",",""),"¥",""),"￥","")),0))</f>
        <v/>
      </c>
      <c r="G264">
        <f>IF(ISNUMBER(B264),YEAR(B264),"")</f>
        <v/>
      </c>
      <c r="H264">
        <f>IF(ISNUMBER(B264),MONTH(B264),"")</f>
        <v/>
      </c>
      <c r="I264">
        <f>IFERROR(IF($B$1=0,"",IF(ISNUMBER(INDEX(貼り付け!$A$1:$BZ$3001,263,$B$1)),"",SUBSTITUTE(SUBSTITUTE(SUBSTITUTE(SUBSTITUTE(TRIM(LEFT(INDEX(貼り付け!$A$1:$BZ$3001,263,$B$1)&amp;"",FIND(" ",TRIM(INDEX(貼り付け!$A$1:$BZ$3001,263,$B$1)&amp;"")&amp;" ")-1)),"/","-"),"年","-"),"月","-"),"日",""))),"")</f>
        <v/>
      </c>
      <c r="J264">
        <f>IFERROR(MID(I264,FIND("-",I264)+1,99),"")</f>
        <v/>
      </c>
    </row>
    <row r="265">
      <c r="B265">
        <f>IFERROR(IF($B$1=0,"",IF(INDEX(貼り付け!$A$1:$BZ$3001,264,$B$1)="","",IF(ISNUMBER(INDEX(貼り付け!$A$1:$BZ$3001,264,$B$1)),INT(INDEX(貼り付け!$A$1:$BZ$3001,264,$B$1)),DATE(VALUE(LEFT(I265,FIND("-",I265)-1)),VALUE(LEFT(J265,FIND("-",J265)-1)),VALUE(MID(J265,FIND("-",J265)+1,99)))))),"")</f>
        <v/>
      </c>
      <c r="C265">
        <f>IF($C$1=0,0,IFERROR(VALUE(SUBSTITUTE(SUBSTITUTE(SUBSTITUTE(INDEX(貼り付け!$A$1:$BZ$3001,264,$C$1)&amp;"",",",""),"¥",""),"￥","")),0))</f>
        <v/>
      </c>
      <c r="D265">
        <f>IF($D$1=0,0,IFERROR(VALUE(SUBSTITUTE(SUBSTITUTE(SUBSTITUTE(INDEX(貼り付け!$A$1:$BZ$3001,264,$D$1)&amp;"",",",""),"¥",""),"￥","")),0))</f>
        <v/>
      </c>
      <c r="E265">
        <f>IF($E$1=0,0,IFERROR(VALUE(SUBSTITUTE(SUBSTITUTE(SUBSTITUTE(INDEX(貼り付け!$A$1:$BZ$3001,264,$E$1)&amp;"",",",""),"¥",""),"￥","")),0))</f>
        <v/>
      </c>
      <c r="F265">
        <f>IF($F$1=0,0,IFERROR(VALUE(SUBSTITUTE(SUBSTITUTE(SUBSTITUTE(INDEX(貼り付け!$A$1:$BZ$3001,264,$F$1)&amp;"",",",""),"¥",""),"￥","")),0))</f>
        <v/>
      </c>
      <c r="G265">
        <f>IF(ISNUMBER(B265),YEAR(B265),"")</f>
        <v/>
      </c>
      <c r="H265">
        <f>IF(ISNUMBER(B265),MONTH(B265),"")</f>
        <v/>
      </c>
      <c r="I265">
        <f>IFERROR(IF($B$1=0,"",IF(ISNUMBER(INDEX(貼り付け!$A$1:$BZ$3001,264,$B$1)),"",SUBSTITUTE(SUBSTITUTE(SUBSTITUTE(SUBSTITUTE(TRIM(LEFT(INDEX(貼り付け!$A$1:$BZ$3001,264,$B$1)&amp;"",FIND(" ",TRIM(INDEX(貼り付け!$A$1:$BZ$3001,264,$B$1)&amp;"")&amp;" ")-1)),"/","-"),"年","-"),"月","-"),"日",""))),"")</f>
        <v/>
      </c>
      <c r="J265">
        <f>IFERROR(MID(I265,FIND("-",I265)+1,99),"")</f>
        <v/>
      </c>
    </row>
    <row r="266">
      <c r="B266">
        <f>IFERROR(IF($B$1=0,"",IF(INDEX(貼り付け!$A$1:$BZ$3001,265,$B$1)="","",IF(ISNUMBER(INDEX(貼り付け!$A$1:$BZ$3001,265,$B$1)),INT(INDEX(貼り付け!$A$1:$BZ$3001,265,$B$1)),DATE(VALUE(LEFT(I266,FIND("-",I266)-1)),VALUE(LEFT(J266,FIND("-",J266)-1)),VALUE(MID(J266,FIND("-",J266)+1,99)))))),"")</f>
        <v/>
      </c>
      <c r="C266">
        <f>IF($C$1=0,0,IFERROR(VALUE(SUBSTITUTE(SUBSTITUTE(SUBSTITUTE(INDEX(貼り付け!$A$1:$BZ$3001,265,$C$1)&amp;"",",",""),"¥",""),"￥","")),0))</f>
        <v/>
      </c>
      <c r="D266">
        <f>IF($D$1=0,0,IFERROR(VALUE(SUBSTITUTE(SUBSTITUTE(SUBSTITUTE(INDEX(貼り付け!$A$1:$BZ$3001,265,$D$1)&amp;"",",",""),"¥",""),"￥","")),0))</f>
        <v/>
      </c>
      <c r="E266">
        <f>IF($E$1=0,0,IFERROR(VALUE(SUBSTITUTE(SUBSTITUTE(SUBSTITUTE(INDEX(貼り付け!$A$1:$BZ$3001,265,$E$1)&amp;"",",",""),"¥",""),"￥","")),0))</f>
        <v/>
      </c>
      <c r="F266">
        <f>IF($F$1=0,0,IFERROR(VALUE(SUBSTITUTE(SUBSTITUTE(SUBSTITUTE(INDEX(貼り付け!$A$1:$BZ$3001,265,$F$1)&amp;"",",",""),"¥",""),"￥","")),0))</f>
        <v/>
      </c>
      <c r="G266">
        <f>IF(ISNUMBER(B266),YEAR(B266),"")</f>
        <v/>
      </c>
      <c r="H266">
        <f>IF(ISNUMBER(B266),MONTH(B266),"")</f>
        <v/>
      </c>
      <c r="I266">
        <f>IFERROR(IF($B$1=0,"",IF(ISNUMBER(INDEX(貼り付け!$A$1:$BZ$3001,265,$B$1)),"",SUBSTITUTE(SUBSTITUTE(SUBSTITUTE(SUBSTITUTE(TRIM(LEFT(INDEX(貼り付け!$A$1:$BZ$3001,265,$B$1)&amp;"",FIND(" ",TRIM(INDEX(貼り付け!$A$1:$BZ$3001,265,$B$1)&amp;"")&amp;" ")-1)),"/","-"),"年","-"),"月","-"),"日",""))),"")</f>
        <v/>
      </c>
      <c r="J266">
        <f>IFERROR(MID(I266,FIND("-",I266)+1,99),"")</f>
        <v/>
      </c>
    </row>
    <row r="267">
      <c r="B267">
        <f>IFERROR(IF($B$1=0,"",IF(INDEX(貼り付け!$A$1:$BZ$3001,266,$B$1)="","",IF(ISNUMBER(INDEX(貼り付け!$A$1:$BZ$3001,266,$B$1)),INT(INDEX(貼り付け!$A$1:$BZ$3001,266,$B$1)),DATE(VALUE(LEFT(I267,FIND("-",I267)-1)),VALUE(LEFT(J267,FIND("-",J267)-1)),VALUE(MID(J267,FIND("-",J267)+1,99)))))),"")</f>
        <v/>
      </c>
      <c r="C267">
        <f>IF($C$1=0,0,IFERROR(VALUE(SUBSTITUTE(SUBSTITUTE(SUBSTITUTE(INDEX(貼り付け!$A$1:$BZ$3001,266,$C$1)&amp;"",",",""),"¥",""),"￥","")),0))</f>
        <v/>
      </c>
      <c r="D267">
        <f>IF($D$1=0,0,IFERROR(VALUE(SUBSTITUTE(SUBSTITUTE(SUBSTITUTE(INDEX(貼り付け!$A$1:$BZ$3001,266,$D$1)&amp;"",",",""),"¥",""),"￥","")),0))</f>
        <v/>
      </c>
      <c r="E267">
        <f>IF($E$1=0,0,IFERROR(VALUE(SUBSTITUTE(SUBSTITUTE(SUBSTITUTE(INDEX(貼り付け!$A$1:$BZ$3001,266,$E$1)&amp;"",",",""),"¥",""),"￥","")),0))</f>
        <v/>
      </c>
      <c r="F267">
        <f>IF($F$1=0,0,IFERROR(VALUE(SUBSTITUTE(SUBSTITUTE(SUBSTITUTE(INDEX(貼り付け!$A$1:$BZ$3001,266,$F$1)&amp;"",",",""),"¥",""),"￥","")),0))</f>
        <v/>
      </c>
      <c r="G267">
        <f>IF(ISNUMBER(B267),YEAR(B267),"")</f>
        <v/>
      </c>
      <c r="H267">
        <f>IF(ISNUMBER(B267),MONTH(B267),"")</f>
        <v/>
      </c>
      <c r="I267">
        <f>IFERROR(IF($B$1=0,"",IF(ISNUMBER(INDEX(貼り付け!$A$1:$BZ$3001,266,$B$1)),"",SUBSTITUTE(SUBSTITUTE(SUBSTITUTE(SUBSTITUTE(TRIM(LEFT(INDEX(貼り付け!$A$1:$BZ$3001,266,$B$1)&amp;"",FIND(" ",TRIM(INDEX(貼り付け!$A$1:$BZ$3001,266,$B$1)&amp;"")&amp;" ")-1)),"/","-"),"年","-"),"月","-"),"日",""))),"")</f>
        <v/>
      </c>
      <c r="J267">
        <f>IFERROR(MID(I267,FIND("-",I267)+1,99),"")</f>
        <v/>
      </c>
    </row>
    <row r="268">
      <c r="B268">
        <f>IFERROR(IF($B$1=0,"",IF(INDEX(貼り付け!$A$1:$BZ$3001,267,$B$1)="","",IF(ISNUMBER(INDEX(貼り付け!$A$1:$BZ$3001,267,$B$1)),INT(INDEX(貼り付け!$A$1:$BZ$3001,267,$B$1)),DATE(VALUE(LEFT(I268,FIND("-",I268)-1)),VALUE(LEFT(J268,FIND("-",J268)-1)),VALUE(MID(J268,FIND("-",J268)+1,99)))))),"")</f>
        <v/>
      </c>
      <c r="C268">
        <f>IF($C$1=0,0,IFERROR(VALUE(SUBSTITUTE(SUBSTITUTE(SUBSTITUTE(INDEX(貼り付け!$A$1:$BZ$3001,267,$C$1)&amp;"",",",""),"¥",""),"￥","")),0))</f>
        <v/>
      </c>
      <c r="D268">
        <f>IF($D$1=0,0,IFERROR(VALUE(SUBSTITUTE(SUBSTITUTE(SUBSTITUTE(INDEX(貼り付け!$A$1:$BZ$3001,267,$D$1)&amp;"",",",""),"¥",""),"￥","")),0))</f>
        <v/>
      </c>
      <c r="E268">
        <f>IF($E$1=0,0,IFERROR(VALUE(SUBSTITUTE(SUBSTITUTE(SUBSTITUTE(INDEX(貼り付け!$A$1:$BZ$3001,267,$E$1)&amp;"",",",""),"¥",""),"￥","")),0))</f>
        <v/>
      </c>
      <c r="F268">
        <f>IF($F$1=0,0,IFERROR(VALUE(SUBSTITUTE(SUBSTITUTE(SUBSTITUTE(INDEX(貼り付け!$A$1:$BZ$3001,267,$F$1)&amp;"",",",""),"¥",""),"￥","")),0))</f>
        <v/>
      </c>
      <c r="G268">
        <f>IF(ISNUMBER(B268),YEAR(B268),"")</f>
        <v/>
      </c>
      <c r="H268">
        <f>IF(ISNUMBER(B268),MONTH(B268),"")</f>
        <v/>
      </c>
      <c r="I268">
        <f>IFERROR(IF($B$1=0,"",IF(ISNUMBER(INDEX(貼り付け!$A$1:$BZ$3001,267,$B$1)),"",SUBSTITUTE(SUBSTITUTE(SUBSTITUTE(SUBSTITUTE(TRIM(LEFT(INDEX(貼り付け!$A$1:$BZ$3001,267,$B$1)&amp;"",FIND(" ",TRIM(INDEX(貼り付け!$A$1:$BZ$3001,267,$B$1)&amp;"")&amp;" ")-1)),"/","-"),"年","-"),"月","-"),"日",""))),"")</f>
        <v/>
      </c>
      <c r="J268">
        <f>IFERROR(MID(I268,FIND("-",I268)+1,99),"")</f>
        <v/>
      </c>
    </row>
    <row r="269">
      <c r="B269">
        <f>IFERROR(IF($B$1=0,"",IF(INDEX(貼り付け!$A$1:$BZ$3001,268,$B$1)="","",IF(ISNUMBER(INDEX(貼り付け!$A$1:$BZ$3001,268,$B$1)),INT(INDEX(貼り付け!$A$1:$BZ$3001,268,$B$1)),DATE(VALUE(LEFT(I269,FIND("-",I269)-1)),VALUE(LEFT(J269,FIND("-",J269)-1)),VALUE(MID(J269,FIND("-",J269)+1,99)))))),"")</f>
        <v/>
      </c>
      <c r="C269">
        <f>IF($C$1=0,0,IFERROR(VALUE(SUBSTITUTE(SUBSTITUTE(SUBSTITUTE(INDEX(貼り付け!$A$1:$BZ$3001,268,$C$1)&amp;"",",",""),"¥",""),"￥","")),0))</f>
        <v/>
      </c>
      <c r="D269">
        <f>IF($D$1=0,0,IFERROR(VALUE(SUBSTITUTE(SUBSTITUTE(SUBSTITUTE(INDEX(貼り付け!$A$1:$BZ$3001,268,$D$1)&amp;"",",",""),"¥",""),"￥","")),0))</f>
        <v/>
      </c>
      <c r="E269">
        <f>IF($E$1=0,0,IFERROR(VALUE(SUBSTITUTE(SUBSTITUTE(SUBSTITUTE(INDEX(貼り付け!$A$1:$BZ$3001,268,$E$1)&amp;"",",",""),"¥",""),"￥","")),0))</f>
        <v/>
      </c>
      <c r="F269">
        <f>IF($F$1=0,0,IFERROR(VALUE(SUBSTITUTE(SUBSTITUTE(SUBSTITUTE(INDEX(貼り付け!$A$1:$BZ$3001,268,$F$1)&amp;"",",",""),"¥",""),"￥","")),0))</f>
        <v/>
      </c>
      <c r="G269">
        <f>IF(ISNUMBER(B269),YEAR(B269),"")</f>
        <v/>
      </c>
      <c r="H269">
        <f>IF(ISNUMBER(B269),MONTH(B269),"")</f>
        <v/>
      </c>
      <c r="I269">
        <f>IFERROR(IF($B$1=0,"",IF(ISNUMBER(INDEX(貼り付け!$A$1:$BZ$3001,268,$B$1)),"",SUBSTITUTE(SUBSTITUTE(SUBSTITUTE(SUBSTITUTE(TRIM(LEFT(INDEX(貼り付け!$A$1:$BZ$3001,268,$B$1)&amp;"",FIND(" ",TRIM(INDEX(貼り付け!$A$1:$BZ$3001,268,$B$1)&amp;"")&amp;" ")-1)),"/","-"),"年","-"),"月","-"),"日",""))),"")</f>
        <v/>
      </c>
      <c r="J269">
        <f>IFERROR(MID(I269,FIND("-",I269)+1,99),"")</f>
        <v/>
      </c>
    </row>
    <row r="270">
      <c r="B270">
        <f>IFERROR(IF($B$1=0,"",IF(INDEX(貼り付け!$A$1:$BZ$3001,269,$B$1)="","",IF(ISNUMBER(INDEX(貼り付け!$A$1:$BZ$3001,269,$B$1)),INT(INDEX(貼り付け!$A$1:$BZ$3001,269,$B$1)),DATE(VALUE(LEFT(I270,FIND("-",I270)-1)),VALUE(LEFT(J270,FIND("-",J270)-1)),VALUE(MID(J270,FIND("-",J270)+1,99)))))),"")</f>
        <v/>
      </c>
      <c r="C270">
        <f>IF($C$1=0,0,IFERROR(VALUE(SUBSTITUTE(SUBSTITUTE(SUBSTITUTE(INDEX(貼り付け!$A$1:$BZ$3001,269,$C$1)&amp;"",",",""),"¥",""),"￥","")),0))</f>
        <v/>
      </c>
      <c r="D270">
        <f>IF($D$1=0,0,IFERROR(VALUE(SUBSTITUTE(SUBSTITUTE(SUBSTITUTE(INDEX(貼り付け!$A$1:$BZ$3001,269,$D$1)&amp;"",",",""),"¥",""),"￥","")),0))</f>
        <v/>
      </c>
      <c r="E270">
        <f>IF($E$1=0,0,IFERROR(VALUE(SUBSTITUTE(SUBSTITUTE(SUBSTITUTE(INDEX(貼り付け!$A$1:$BZ$3001,269,$E$1)&amp;"",",",""),"¥",""),"￥","")),0))</f>
        <v/>
      </c>
      <c r="F270">
        <f>IF($F$1=0,0,IFERROR(VALUE(SUBSTITUTE(SUBSTITUTE(SUBSTITUTE(INDEX(貼り付け!$A$1:$BZ$3001,269,$F$1)&amp;"",",",""),"¥",""),"￥","")),0))</f>
        <v/>
      </c>
      <c r="G270">
        <f>IF(ISNUMBER(B270),YEAR(B270),"")</f>
        <v/>
      </c>
      <c r="H270">
        <f>IF(ISNUMBER(B270),MONTH(B270),"")</f>
        <v/>
      </c>
      <c r="I270">
        <f>IFERROR(IF($B$1=0,"",IF(ISNUMBER(INDEX(貼り付け!$A$1:$BZ$3001,269,$B$1)),"",SUBSTITUTE(SUBSTITUTE(SUBSTITUTE(SUBSTITUTE(TRIM(LEFT(INDEX(貼り付け!$A$1:$BZ$3001,269,$B$1)&amp;"",FIND(" ",TRIM(INDEX(貼り付け!$A$1:$BZ$3001,269,$B$1)&amp;"")&amp;" ")-1)),"/","-"),"年","-"),"月","-"),"日",""))),"")</f>
        <v/>
      </c>
      <c r="J270">
        <f>IFERROR(MID(I270,FIND("-",I270)+1,99),"")</f>
        <v/>
      </c>
    </row>
    <row r="271">
      <c r="B271">
        <f>IFERROR(IF($B$1=0,"",IF(INDEX(貼り付け!$A$1:$BZ$3001,270,$B$1)="","",IF(ISNUMBER(INDEX(貼り付け!$A$1:$BZ$3001,270,$B$1)),INT(INDEX(貼り付け!$A$1:$BZ$3001,270,$B$1)),DATE(VALUE(LEFT(I271,FIND("-",I271)-1)),VALUE(LEFT(J271,FIND("-",J271)-1)),VALUE(MID(J271,FIND("-",J271)+1,99)))))),"")</f>
        <v/>
      </c>
      <c r="C271">
        <f>IF($C$1=0,0,IFERROR(VALUE(SUBSTITUTE(SUBSTITUTE(SUBSTITUTE(INDEX(貼り付け!$A$1:$BZ$3001,270,$C$1)&amp;"",",",""),"¥",""),"￥","")),0))</f>
        <v/>
      </c>
      <c r="D271">
        <f>IF($D$1=0,0,IFERROR(VALUE(SUBSTITUTE(SUBSTITUTE(SUBSTITUTE(INDEX(貼り付け!$A$1:$BZ$3001,270,$D$1)&amp;"",",",""),"¥",""),"￥","")),0))</f>
        <v/>
      </c>
      <c r="E271">
        <f>IF($E$1=0,0,IFERROR(VALUE(SUBSTITUTE(SUBSTITUTE(SUBSTITUTE(INDEX(貼り付け!$A$1:$BZ$3001,270,$E$1)&amp;"",",",""),"¥",""),"￥","")),0))</f>
        <v/>
      </c>
      <c r="F271">
        <f>IF($F$1=0,0,IFERROR(VALUE(SUBSTITUTE(SUBSTITUTE(SUBSTITUTE(INDEX(貼り付け!$A$1:$BZ$3001,270,$F$1)&amp;"",",",""),"¥",""),"￥","")),0))</f>
        <v/>
      </c>
      <c r="G271">
        <f>IF(ISNUMBER(B271),YEAR(B271),"")</f>
        <v/>
      </c>
      <c r="H271">
        <f>IF(ISNUMBER(B271),MONTH(B271),"")</f>
        <v/>
      </c>
      <c r="I271">
        <f>IFERROR(IF($B$1=0,"",IF(ISNUMBER(INDEX(貼り付け!$A$1:$BZ$3001,270,$B$1)),"",SUBSTITUTE(SUBSTITUTE(SUBSTITUTE(SUBSTITUTE(TRIM(LEFT(INDEX(貼り付け!$A$1:$BZ$3001,270,$B$1)&amp;"",FIND(" ",TRIM(INDEX(貼り付け!$A$1:$BZ$3001,270,$B$1)&amp;"")&amp;" ")-1)),"/","-"),"年","-"),"月","-"),"日",""))),"")</f>
        <v/>
      </c>
      <c r="J271">
        <f>IFERROR(MID(I271,FIND("-",I271)+1,99),"")</f>
        <v/>
      </c>
    </row>
    <row r="272">
      <c r="B272">
        <f>IFERROR(IF($B$1=0,"",IF(INDEX(貼り付け!$A$1:$BZ$3001,271,$B$1)="","",IF(ISNUMBER(INDEX(貼り付け!$A$1:$BZ$3001,271,$B$1)),INT(INDEX(貼り付け!$A$1:$BZ$3001,271,$B$1)),DATE(VALUE(LEFT(I272,FIND("-",I272)-1)),VALUE(LEFT(J272,FIND("-",J272)-1)),VALUE(MID(J272,FIND("-",J272)+1,99)))))),"")</f>
        <v/>
      </c>
      <c r="C272">
        <f>IF($C$1=0,0,IFERROR(VALUE(SUBSTITUTE(SUBSTITUTE(SUBSTITUTE(INDEX(貼り付け!$A$1:$BZ$3001,271,$C$1)&amp;"",",",""),"¥",""),"￥","")),0))</f>
        <v/>
      </c>
      <c r="D272">
        <f>IF($D$1=0,0,IFERROR(VALUE(SUBSTITUTE(SUBSTITUTE(SUBSTITUTE(INDEX(貼り付け!$A$1:$BZ$3001,271,$D$1)&amp;"",",",""),"¥",""),"￥","")),0))</f>
        <v/>
      </c>
      <c r="E272">
        <f>IF($E$1=0,0,IFERROR(VALUE(SUBSTITUTE(SUBSTITUTE(SUBSTITUTE(INDEX(貼り付け!$A$1:$BZ$3001,271,$E$1)&amp;"",",",""),"¥",""),"￥","")),0))</f>
        <v/>
      </c>
      <c r="F272">
        <f>IF($F$1=0,0,IFERROR(VALUE(SUBSTITUTE(SUBSTITUTE(SUBSTITUTE(INDEX(貼り付け!$A$1:$BZ$3001,271,$F$1)&amp;"",",",""),"¥",""),"￥","")),0))</f>
        <v/>
      </c>
      <c r="G272">
        <f>IF(ISNUMBER(B272),YEAR(B272),"")</f>
        <v/>
      </c>
      <c r="H272">
        <f>IF(ISNUMBER(B272),MONTH(B272),"")</f>
        <v/>
      </c>
      <c r="I272">
        <f>IFERROR(IF($B$1=0,"",IF(ISNUMBER(INDEX(貼り付け!$A$1:$BZ$3001,271,$B$1)),"",SUBSTITUTE(SUBSTITUTE(SUBSTITUTE(SUBSTITUTE(TRIM(LEFT(INDEX(貼り付け!$A$1:$BZ$3001,271,$B$1)&amp;"",FIND(" ",TRIM(INDEX(貼り付け!$A$1:$BZ$3001,271,$B$1)&amp;"")&amp;" ")-1)),"/","-"),"年","-"),"月","-"),"日",""))),"")</f>
        <v/>
      </c>
      <c r="J272">
        <f>IFERROR(MID(I272,FIND("-",I272)+1,99),"")</f>
        <v/>
      </c>
    </row>
    <row r="273">
      <c r="B273">
        <f>IFERROR(IF($B$1=0,"",IF(INDEX(貼り付け!$A$1:$BZ$3001,272,$B$1)="","",IF(ISNUMBER(INDEX(貼り付け!$A$1:$BZ$3001,272,$B$1)),INT(INDEX(貼り付け!$A$1:$BZ$3001,272,$B$1)),DATE(VALUE(LEFT(I273,FIND("-",I273)-1)),VALUE(LEFT(J273,FIND("-",J273)-1)),VALUE(MID(J273,FIND("-",J273)+1,99)))))),"")</f>
        <v/>
      </c>
      <c r="C273">
        <f>IF($C$1=0,0,IFERROR(VALUE(SUBSTITUTE(SUBSTITUTE(SUBSTITUTE(INDEX(貼り付け!$A$1:$BZ$3001,272,$C$1)&amp;"",",",""),"¥",""),"￥","")),0))</f>
        <v/>
      </c>
      <c r="D273">
        <f>IF($D$1=0,0,IFERROR(VALUE(SUBSTITUTE(SUBSTITUTE(SUBSTITUTE(INDEX(貼り付け!$A$1:$BZ$3001,272,$D$1)&amp;"",",",""),"¥",""),"￥","")),0))</f>
        <v/>
      </c>
      <c r="E273">
        <f>IF($E$1=0,0,IFERROR(VALUE(SUBSTITUTE(SUBSTITUTE(SUBSTITUTE(INDEX(貼り付け!$A$1:$BZ$3001,272,$E$1)&amp;"",",",""),"¥",""),"￥","")),0))</f>
        <v/>
      </c>
      <c r="F273">
        <f>IF($F$1=0,0,IFERROR(VALUE(SUBSTITUTE(SUBSTITUTE(SUBSTITUTE(INDEX(貼り付け!$A$1:$BZ$3001,272,$F$1)&amp;"",",",""),"¥",""),"￥","")),0))</f>
        <v/>
      </c>
      <c r="G273">
        <f>IF(ISNUMBER(B273),YEAR(B273),"")</f>
        <v/>
      </c>
      <c r="H273">
        <f>IF(ISNUMBER(B273),MONTH(B273),"")</f>
        <v/>
      </c>
      <c r="I273">
        <f>IFERROR(IF($B$1=0,"",IF(ISNUMBER(INDEX(貼り付け!$A$1:$BZ$3001,272,$B$1)),"",SUBSTITUTE(SUBSTITUTE(SUBSTITUTE(SUBSTITUTE(TRIM(LEFT(INDEX(貼り付け!$A$1:$BZ$3001,272,$B$1)&amp;"",FIND(" ",TRIM(INDEX(貼り付け!$A$1:$BZ$3001,272,$B$1)&amp;"")&amp;" ")-1)),"/","-"),"年","-"),"月","-"),"日",""))),"")</f>
        <v/>
      </c>
      <c r="J273">
        <f>IFERROR(MID(I273,FIND("-",I273)+1,99),"")</f>
        <v/>
      </c>
    </row>
    <row r="274">
      <c r="B274">
        <f>IFERROR(IF($B$1=0,"",IF(INDEX(貼り付け!$A$1:$BZ$3001,273,$B$1)="","",IF(ISNUMBER(INDEX(貼り付け!$A$1:$BZ$3001,273,$B$1)),INT(INDEX(貼り付け!$A$1:$BZ$3001,273,$B$1)),DATE(VALUE(LEFT(I274,FIND("-",I274)-1)),VALUE(LEFT(J274,FIND("-",J274)-1)),VALUE(MID(J274,FIND("-",J274)+1,99)))))),"")</f>
        <v/>
      </c>
      <c r="C274">
        <f>IF($C$1=0,0,IFERROR(VALUE(SUBSTITUTE(SUBSTITUTE(SUBSTITUTE(INDEX(貼り付け!$A$1:$BZ$3001,273,$C$1)&amp;"",",",""),"¥",""),"￥","")),0))</f>
        <v/>
      </c>
      <c r="D274">
        <f>IF($D$1=0,0,IFERROR(VALUE(SUBSTITUTE(SUBSTITUTE(SUBSTITUTE(INDEX(貼り付け!$A$1:$BZ$3001,273,$D$1)&amp;"",",",""),"¥",""),"￥","")),0))</f>
        <v/>
      </c>
      <c r="E274">
        <f>IF($E$1=0,0,IFERROR(VALUE(SUBSTITUTE(SUBSTITUTE(SUBSTITUTE(INDEX(貼り付け!$A$1:$BZ$3001,273,$E$1)&amp;"",",",""),"¥",""),"￥","")),0))</f>
        <v/>
      </c>
      <c r="F274">
        <f>IF($F$1=0,0,IFERROR(VALUE(SUBSTITUTE(SUBSTITUTE(SUBSTITUTE(INDEX(貼り付け!$A$1:$BZ$3001,273,$F$1)&amp;"",",",""),"¥",""),"￥","")),0))</f>
        <v/>
      </c>
      <c r="G274">
        <f>IF(ISNUMBER(B274),YEAR(B274),"")</f>
        <v/>
      </c>
      <c r="H274">
        <f>IF(ISNUMBER(B274),MONTH(B274),"")</f>
        <v/>
      </c>
      <c r="I274">
        <f>IFERROR(IF($B$1=0,"",IF(ISNUMBER(INDEX(貼り付け!$A$1:$BZ$3001,273,$B$1)),"",SUBSTITUTE(SUBSTITUTE(SUBSTITUTE(SUBSTITUTE(TRIM(LEFT(INDEX(貼り付け!$A$1:$BZ$3001,273,$B$1)&amp;"",FIND(" ",TRIM(INDEX(貼り付け!$A$1:$BZ$3001,273,$B$1)&amp;"")&amp;" ")-1)),"/","-"),"年","-"),"月","-"),"日",""))),"")</f>
        <v/>
      </c>
      <c r="J274">
        <f>IFERROR(MID(I274,FIND("-",I274)+1,99),"")</f>
        <v/>
      </c>
    </row>
    <row r="275">
      <c r="B275">
        <f>IFERROR(IF($B$1=0,"",IF(INDEX(貼り付け!$A$1:$BZ$3001,274,$B$1)="","",IF(ISNUMBER(INDEX(貼り付け!$A$1:$BZ$3001,274,$B$1)),INT(INDEX(貼り付け!$A$1:$BZ$3001,274,$B$1)),DATE(VALUE(LEFT(I275,FIND("-",I275)-1)),VALUE(LEFT(J275,FIND("-",J275)-1)),VALUE(MID(J275,FIND("-",J275)+1,99)))))),"")</f>
        <v/>
      </c>
      <c r="C275">
        <f>IF($C$1=0,0,IFERROR(VALUE(SUBSTITUTE(SUBSTITUTE(SUBSTITUTE(INDEX(貼り付け!$A$1:$BZ$3001,274,$C$1)&amp;"",",",""),"¥",""),"￥","")),0))</f>
        <v/>
      </c>
      <c r="D275">
        <f>IF($D$1=0,0,IFERROR(VALUE(SUBSTITUTE(SUBSTITUTE(SUBSTITUTE(INDEX(貼り付け!$A$1:$BZ$3001,274,$D$1)&amp;"",",",""),"¥",""),"￥","")),0))</f>
        <v/>
      </c>
      <c r="E275">
        <f>IF($E$1=0,0,IFERROR(VALUE(SUBSTITUTE(SUBSTITUTE(SUBSTITUTE(INDEX(貼り付け!$A$1:$BZ$3001,274,$E$1)&amp;"",",",""),"¥",""),"￥","")),0))</f>
        <v/>
      </c>
      <c r="F275">
        <f>IF($F$1=0,0,IFERROR(VALUE(SUBSTITUTE(SUBSTITUTE(SUBSTITUTE(INDEX(貼り付け!$A$1:$BZ$3001,274,$F$1)&amp;"",",",""),"¥",""),"￥","")),0))</f>
        <v/>
      </c>
      <c r="G275">
        <f>IF(ISNUMBER(B275),YEAR(B275),"")</f>
        <v/>
      </c>
      <c r="H275">
        <f>IF(ISNUMBER(B275),MONTH(B275),"")</f>
        <v/>
      </c>
      <c r="I275">
        <f>IFERROR(IF($B$1=0,"",IF(ISNUMBER(INDEX(貼り付け!$A$1:$BZ$3001,274,$B$1)),"",SUBSTITUTE(SUBSTITUTE(SUBSTITUTE(SUBSTITUTE(TRIM(LEFT(INDEX(貼り付け!$A$1:$BZ$3001,274,$B$1)&amp;"",FIND(" ",TRIM(INDEX(貼り付け!$A$1:$BZ$3001,274,$B$1)&amp;"")&amp;" ")-1)),"/","-"),"年","-"),"月","-"),"日",""))),"")</f>
        <v/>
      </c>
      <c r="J275">
        <f>IFERROR(MID(I275,FIND("-",I275)+1,99),"")</f>
        <v/>
      </c>
    </row>
    <row r="276">
      <c r="B276">
        <f>IFERROR(IF($B$1=0,"",IF(INDEX(貼り付け!$A$1:$BZ$3001,275,$B$1)="","",IF(ISNUMBER(INDEX(貼り付け!$A$1:$BZ$3001,275,$B$1)),INT(INDEX(貼り付け!$A$1:$BZ$3001,275,$B$1)),DATE(VALUE(LEFT(I276,FIND("-",I276)-1)),VALUE(LEFT(J276,FIND("-",J276)-1)),VALUE(MID(J276,FIND("-",J276)+1,99)))))),"")</f>
        <v/>
      </c>
      <c r="C276">
        <f>IF($C$1=0,0,IFERROR(VALUE(SUBSTITUTE(SUBSTITUTE(SUBSTITUTE(INDEX(貼り付け!$A$1:$BZ$3001,275,$C$1)&amp;"",",",""),"¥",""),"￥","")),0))</f>
        <v/>
      </c>
      <c r="D276">
        <f>IF($D$1=0,0,IFERROR(VALUE(SUBSTITUTE(SUBSTITUTE(SUBSTITUTE(INDEX(貼り付け!$A$1:$BZ$3001,275,$D$1)&amp;"",",",""),"¥",""),"￥","")),0))</f>
        <v/>
      </c>
      <c r="E276">
        <f>IF($E$1=0,0,IFERROR(VALUE(SUBSTITUTE(SUBSTITUTE(SUBSTITUTE(INDEX(貼り付け!$A$1:$BZ$3001,275,$E$1)&amp;"",",",""),"¥",""),"￥","")),0))</f>
        <v/>
      </c>
      <c r="F276">
        <f>IF($F$1=0,0,IFERROR(VALUE(SUBSTITUTE(SUBSTITUTE(SUBSTITUTE(INDEX(貼り付け!$A$1:$BZ$3001,275,$F$1)&amp;"",",",""),"¥",""),"￥","")),0))</f>
        <v/>
      </c>
      <c r="G276">
        <f>IF(ISNUMBER(B276),YEAR(B276),"")</f>
        <v/>
      </c>
      <c r="H276">
        <f>IF(ISNUMBER(B276),MONTH(B276),"")</f>
        <v/>
      </c>
      <c r="I276">
        <f>IFERROR(IF($B$1=0,"",IF(ISNUMBER(INDEX(貼り付け!$A$1:$BZ$3001,275,$B$1)),"",SUBSTITUTE(SUBSTITUTE(SUBSTITUTE(SUBSTITUTE(TRIM(LEFT(INDEX(貼り付け!$A$1:$BZ$3001,275,$B$1)&amp;"",FIND(" ",TRIM(INDEX(貼り付け!$A$1:$BZ$3001,275,$B$1)&amp;"")&amp;" ")-1)),"/","-"),"年","-"),"月","-"),"日",""))),"")</f>
        <v/>
      </c>
      <c r="J276">
        <f>IFERROR(MID(I276,FIND("-",I276)+1,99),"")</f>
        <v/>
      </c>
    </row>
    <row r="277">
      <c r="B277">
        <f>IFERROR(IF($B$1=0,"",IF(INDEX(貼り付け!$A$1:$BZ$3001,276,$B$1)="","",IF(ISNUMBER(INDEX(貼り付け!$A$1:$BZ$3001,276,$B$1)),INT(INDEX(貼り付け!$A$1:$BZ$3001,276,$B$1)),DATE(VALUE(LEFT(I277,FIND("-",I277)-1)),VALUE(LEFT(J277,FIND("-",J277)-1)),VALUE(MID(J277,FIND("-",J277)+1,99)))))),"")</f>
        <v/>
      </c>
      <c r="C277">
        <f>IF($C$1=0,0,IFERROR(VALUE(SUBSTITUTE(SUBSTITUTE(SUBSTITUTE(INDEX(貼り付け!$A$1:$BZ$3001,276,$C$1)&amp;"",",",""),"¥",""),"￥","")),0))</f>
        <v/>
      </c>
      <c r="D277">
        <f>IF($D$1=0,0,IFERROR(VALUE(SUBSTITUTE(SUBSTITUTE(SUBSTITUTE(INDEX(貼り付け!$A$1:$BZ$3001,276,$D$1)&amp;"",",",""),"¥",""),"￥","")),0))</f>
        <v/>
      </c>
      <c r="E277">
        <f>IF($E$1=0,0,IFERROR(VALUE(SUBSTITUTE(SUBSTITUTE(SUBSTITUTE(INDEX(貼り付け!$A$1:$BZ$3001,276,$E$1)&amp;"",",",""),"¥",""),"￥","")),0))</f>
        <v/>
      </c>
      <c r="F277">
        <f>IF($F$1=0,0,IFERROR(VALUE(SUBSTITUTE(SUBSTITUTE(SUBSTITUTE(INDEX(貼り付け!$A$1:$BZ$3001,276,$F$1)&amp;"",",",""),"¥",""),"￥","")),0))</f>
        <v/>
      </c>
      <c r="G277">
        <f>IF(ISNUMBER(B277),YEAR(B277),"")</f>
        <v/>
      </c>
      <c r="H277">
        <f>IF(ISNUMBER(B277),MONTH(B277),"")</f>
        <v/>
      </c>
      <c r="I277">
        <f>IFERROR(IF($B$1=0,"",IF(ISNUMBER(INDEX(貼り付け!$A$1:$BZ$3001,276,$B$1)),"",SUBSTITUTE(SUBSTITUTE(SUBSTITUTE(SUBSTITUTE(TRIM(LEFT(INDEX(貼り付け!$A$1:$BZ$3001,276,$B$1)&amp;"",FIND(" ",TRIM(INDEX(貼り付け!$A$1:$BZ$3001,276,$B$1)&amp;"")&amp;" ")-1)),"/","-"),"年","-"),"月","-"),"日",""))),"")</f>
        <v/>
      </c>
      <c r="J277">
        <f>IFERROR(MID(I277,FIND("-",I277)+1,99),"")</f>
        <v/>
      </c>
    </row>
    <row r="278">
      <c r="B278">
        <f>IFERROR(IF($B$1=0,"",IF(INDEX(貼り付け!$A$1:$BZ$3001,277,$B$1)="","",IF(ISNUMBER(INDEX(貼り付け!$A$1:$BZ$3001,277,$B$1)),INT(INDEX(貼り付け!$A$1:$BZ$3001,277,$B$1)),DATE(VALUE(LEFT(I278,FIND("-",I278)-1)),VALUE(LEFT(J278,FIND("-",J278)-1)),VALUE(MID(J278,FIND("-",J278)+1,99)))))),"")</f>
        <v/>
      </c>
      <c r="C278">
        <f>IF($C$1=0,0,IFERROR(VALUE(SUBSTITUTE(SUBSTITUTE(SUBSTITUTE(INDEX(貼り付け!$A$1:$BZ$3001,277,$C$1)&amp;"",",",""),"¥",""),"￥","")),0))</f>
        <v/>
      </c>
      <c r="D278">
        <f>IF($D$1=0,0,IFERROR(VALUE(SUBSTITUTE(SUBSTITUTE(SUBSTITUTE(INDEX(貼り付け!$A$1:$BZ$3001,277,$D$1)&amp;"",",",""),"¥",""),"￥","")),0))</f>
        <v/>
      </c>
      <c r="E278">
        <f>IF($E$1=0,0,IFERROR(VALUE(SUBSTITUTE(SUBSTITUTE(SUBSTITUTE(INDEX(貼り付け!$A$1:$BZ$3001,277,$E$1)&amp;"",",",""),"¥",""),"￥","")),0))</f>
        <v/>
      </c>
      <c r="F278">
        <f>IF($F$1=0,0,IFERROR(VALUE(SUBSTITUTE(SUBSTITUTE(SUBSTITUTE(INDEX(貼り付け!$A$1:$BZ$3001,277,$F$1)&amp;"",",",""),"¥",""),"￥","")),0))</f>
        <v/>
      </c>
      <c r="G278">
        <f>IF(ISNUMBER(B278),YEAR(B278),"")</f>
        <v/>
      </c>
      <c r="H278">
        <f>IF(ISNUMBER(B278),MONTH(B278),"")</f>
        <v/>
      </c>
      <c r="I278">
        <f>IFERROR(IF($B$1=0,"",IF(ISNUMBER(INDEX(貼り付け!$A$1:$BZ$3001,277,$B$1)),"",SUBSTITUTE(SUBSTITUTE(SUBSTITUTE(SUBSTITUTE(TRIM(LEFT(INDEX(貼り付け!$A$1:$BZ$3001,277,$B$1)&amp;"",FIND(" ",TRIM(INDEX(貼り付け!$A$1:$BZ$3001,277,$B$1)&amp;"")&amp;" ")-1)),"/","-"),"年","-"),"月","-"),"日",""))),"")</f>
        <v/>
      </c>
      <c r="J278">
        <f>IFERROR(MID(I278,FIND("-",I278)+1,99),"")</f>
        <v/>
      </c>
    </row>
    <row r="279">
      <c r="B279">
        <f>IFERROR(IF($B$1=0,"",IF(INDEX(貼り付け!$A$1:$BZ$3001,278,$B$1)="","",IF(ISNUMBER(INDEX(貼り付け!$A$1:$BZ$3001,278,$B$1)),INT(INDEX(貼り付け!$A$1:$BZ$3001,278,$B$1)),DATE(VALUE(LEFT(I279,FIND("-",I279)-1)),VALUE(LEFT(J279,FIND("-",J279)-1)),VALUE(MID(J279,FIND("-",J279)+1,99)))))),"")</f>
        <v/>
      </c>
      <c r="C279">
        <f>IF($C$1=0,0,IFERROR(VALUE(SUBSTITUTE(SUBSTITUTE(SUBSTITUTE(INDEX(貼り付け!$A$1:$BZ$3001,278,$C$1)&amp;"",",",""),"¥",""),"￥","")),0))</f>
        <v/>
      </c>
      <c r="D279">
        <f>IF($D$1=0,0,IFERROR(VALUE(SUBSTITUTE(SUBSTITUTE(SUBSTITUTE(INDEX(貼り付け!$A$1:$BZ$3001,278,$D$1)&amp;"",",",""),"¥",""),"￥","")),0))</f>
        <v/>
      </c>
      <c r="E279">
        <f>IF($E$1=0,0,IFERROR(VALUE(SUBSTITUTE(SUBSTITUTE(SUBSTITUTE(INDEX(貼り付け!$A$1:$BZ$3001,278,$E$1)&amp;"",",",""),"¥",""),"￥","")),0))</f>
        <v/>
      </c>
      <c r="F279">
        <f>IF($F$1=0,0,IFERROR(VALUE(SUBSTITUTE(SUBSTITUTE(SUBSTITUTE(INDEX(貼り付け!$A$1:$BZ$3001,278,$F$1)&amp;"",",",""),"¥",""),"￥","")),0))</f>
        <v/>
      </c>
      <c r="G279">
        <f>IF(ISNUMBER(B279),YEAR(B279),"")</f>
        <v/>
      </c>
      <c r="H279">
        <f>IF(ISNUMBER(B279),MONTH(B279),"")</f>
        <v/>
      </c>
      <c r="I279">
        <f>IFERROR(IF($B$1=0,"",IF(ISNUMBER(INDEX(貼り付け!$A$1:$BZ$3001,278,$B$1)),"",SUBSTITUTE(SUBSTITUTE(SUBSTITUTE(SUBSTITUTE(TRIM(LEFT(INDEX(貼り付け!$A$1:$BZ$3001,278,$B$1)&amp;"",FIND(" ",TRIM(INDEX(貼り付け!$A$1:$BZ$3001,278,$B$1)&amp;"")&amp;" ")-1)),"/","-"),"年","-"),"月","-"),"日",""))),"")</f>
        <v/>
      </c>
      <c r="J279">
        <f>IFERROR(MID(I279,FIND("-",I279)+1,99),"")</f>
        <v/>
      </c>
    </row>
    <row r="280">
      <c r="B280">
        <f>IFERROR(IF($B$1=0,"",IF(INDEX(貼り付け!$A$1:$BZ$3001,279,$B$1)="","",IF(ISNUMBER(INDEX(貼り付け!$A$1:$BZ$3001,279,$B$1)),INT(INDEX(貼り付け!$A$1:$BZ$3001,279,$B$1)),DATE(VALUE(LEFT(I280,FIND("-",I280)-1)),VALUE(LEFT(J280,FIND("-",J280)-1)),VALUE(MID(J280,FIND("-",J280)+1,99)))))),"")</f>
        <v/>
      </c>
      <c r="C280">
        <f>IF($C$1=0,0,IFERROR(VALUE(SUBSTITUTE(SUBSTITUTE(SUBSTITUTE(INDEX(貼り付け!$A$1:$BZ$3001,279,$C$1)&amp;"",",",""),"¥",""),"￥","")),0))</f>
        <v/>
      </c>
      <c r="D280">
        <f>IF($D$1=0,0,IFERROR(VALUE(SUBSTITUTE(SUBSTITUTE(SUBSTITUTE(INDEX(貼り付け!$A$1:$BZ$3001,279,$D$1)&amp;"",",",""),"¥",""),"￥","")),0))</f>
        <v/>
      </c>
      <c r="E280">
        <f>IF($E$1=0,0,IFERROR(VALUE(SUBSTITUTE(SUBSTITUTE(SUBSTITUTE(INDEX(貼り付け!$A$1:$BZ$3001,279,$E$1)&amp;"",",",""),"¥",""),"￥","")),0))</f>
        <v/>
      </c>
      <c r="F280">
        <f>IF($F$1=0,0,IFERROR(VALUE(SUBSTITUTE(SUBSTITUTE(SUBSTITUTE(INDEX(貼り付け!$A$1:$BZ$3001,279,$F$1)&amp;"",",",""),"¥",""),"￥","")),0))</f>
        <v/>
      </c>
      <c r="G280">
        <f>IF(ISNUMBER(B280),YEAR(B280),"")</f>
        <v/>
      </c>
      <c r="H280">
        <f>IF(ISNUMBER(B280),MONTH(B280),"")</f>
        <v/>
      </c>
      <c r="I280">
        <f>IFERROR(IF($B$1=0,"",IF(ISNUMBER(INDEX(貼り付け!$A$1:$BZ$3001,279,$B$1)),"",SUBSTITUTE(SUBSTITUTE(SUBSTITUTE(SUBSTITUTE(TRIM(LEFT(INDEX(貼り付け!$A$1:$BZ$3001,279,$B$1)&amp;"",FIND(" ",TRIM(INDEX(貼り付け!$A$1:$BZ$3001,279,$B$1)&amp;"")&amp;" ")-1)),"/","-"),"年","-"),"月","-"),"日",""))),"")</f>
        <v/>
      </c>
      <c r="J280">
        <f>IFERROR(MID(I280,FIND("-",I280)+1,99),"")</f>
        <v/>
      </c>
    </row>
    <row r="281">
      <c r="B281">
        <f>IFERROR(IF($B$1=0,"",IF(INDEX(貼り付け!$A$1:$BZ$3001,280,$B$1)="","",IF(ISNUMBER(INDEX(貼り付け!$A$1:$BZ$3001,280,$B$1)),INT(INDEX(貼り付け!$A$1:$BZ$3001,280,$B$1)),DATE(VALUE(LEFT(I281,FIND("-",I281)-1)),VALUE(LEFT(J281,FIND("-",J281)-1)),VALUE(MID(J281,FIND("-",J281)+1,99)))))),"")</f>
        <v/>
      </c>
      <c r="C281">
        <f>IF($C$1=0,0,IFERROR(VALUE(SUBSTITUTE(SUBSTITUTE(SUBSTITUTE(INDEX(貼り付け!$A$1:$BZ$3001,280,$C$1)&amp;"",",",""),"¥",""),"￥","")),0))</f>
        <v/>
      </c>
      <c r="D281">
        <f>IF($D$1=0,0,IFERROR(VALUE(SUBSTITUTE(SUBSTITUTE(SUBSTITUTE(INDEX(貼り付け!$A$1:$BZ$3001,280,$D$1)&amp;"",",",""),"¥",""),"￥","")),0))</f>
        <v/>
      </c>
      <c r="E281">
        <f>IF($E$1=0,0,IFERROR(VALUE(SUBSTITUTE(SUBSTITUTE(SUBSTITUTE(INDEX(貼り付け!$A$1:$BZ$3001,280,$E$1)&amp;"",",",""),"¥",""),"￥","")),0))</f>
        <v/>
      </c>
      <c r="F281">
        <f>IF($F$1=0,0,IFERROR(VALUE(SUBSTITUTE(SUBSTITUTE(SUBSTITUTE(INDEX(貼り付け!$A$1:$BZ$3001,280,$F$1)&amp;"",",",""),"¥",""),"￥","")),0))</f>
        <v/>
      </c>
      <c r="G281">
        <f>IF(ISNUMBER(B281),YEAR(B281),"")</f>
        <v/>
      </c>
      <c r="H281">
        <f>IF(ISNUMBER(B281),MONTH(B281),"")</f>
        <v/>
      </c>
      <c r="I281">
        <f>IFERROR(IF($B$1=0,"",IF(ISNUMBER(INDEX(貼り付け!$A$1:$BZ$3001,280,$B$1)),"",SUBSTITUTE(SUBSTITUTE(SUBSTITUTE(SUBSTITUTE(TRIM(LEFT(INDEX(貼り付け!$A$1:$BZ$3001,280,$B$1)&amp;"",FIND(" ",TRIM(INDEX(貼り付け!$A$1:$BZ$3001,280,$B$1)&amp;"")&amp;" ")-1)),"/","-"),"年","-"),"月","-"),"日",""))),"")</f>
        <v/>
      </c>
      <c r="J281">
        <f>IFERROR(MID(I281,FIND("-",I281)+1,99),"")</f>
        <v/>
      </c>
    </row>
    <row r="282">
      <c r="B282">
        <f>IFERROR(IF($B$1=0,"",IF(INDEX(貼り付け!$A$1:$BZ$3001,281,$B$1)="","",IF(ISNUMBER(INDEX(貼り付け!$A$1:$BZ$3001,281,$B$1)),INT(INDEX(貼り付け!$A$1:$BZ$3001,281,$B$1)),DATE(VALUE(LEFT(I282,FIND("-",I282)-1)),VALUE(LEFT(J282,FIND("-",J282)-1)),VALUE(MID(J282,FIND("-",J282)+1,99)))))),"")</f>
        <v/>
      </c>
      <c r="C282">
        <f>IF($C$1=0,0,IFERROR(VALUE(SUBSTITUTE(SUBSTITUTE(SUBSTITUTE(INDEX(貼り付け!$A$1:$BZ$3001,281,$C$1)&amp;"",",",""),"¥",""),"￥","")),0))</f>
        <v/>
      </c>
      <c r="D282">
        <f>IF($D$1=0,0,IFERROR(VALUE(SUBSTITUTE(SUBSTITUTE(SUBSTITUTE(INDEX(貼り付け!$A$1:$BZ$3001,281,$D$1)&amp;"",",",""),"¥",""),"￥","")),0))</f>
        <v/>
      </c>
      <c r="E282">
        <f>IF($E$1=0,0,IFERROR(VALUE(SUBSTITUTE(SUBSTITUTE(SUBSTITUTE(INDEX(貼り付け!$A$1:$BZ$3001,281,$E$1)&amp;"",",",""),"¥",""),"￥","")),0))</f>
        <v/>
      </c>
      <c r="F282">
        <f>IF($F$1=0,0,IFERROR(VALUE(SUBSTITUTE(SUBSTITUTE(SUBSTITUTE(INDEX(貼り付け!$A$1:$BZ$3001,281,$F$1)&amp;"",",",""),"¥",""),"￥","")),0))</f>
        <v/>
      </c>
      <c r="G282">
        <f>IF(ISNUMBER(B282),YEAR(B282),"")</f>
        <v/>
      </c>
      <c r="H282">
        <f>IF(ISNUMBER(B282),MONTH(B282),"")</f>
        <v/>
      </c>
      <c r="I282">
        <f>IFERROR(IF($B$1=0,"",IF(ISNUMBER(INDEX(貼り付け!$A$1:$BZ$3001,281,$B$1)),"",SUBSTITUTE(SUBSTITUTE(SUBSTITUTE(SUBSTITUTE(TRIM(LEFT(INDEX(貼り付け!$A$1:$BZ$3001,281,$B$1)&amp;"",FIND(" ",TRIM(INDEX(貼り付け!$A$1:$BZ$3001,281,$B$1)&amp;"")&amp;" ")-1)),"/","-"),"年","-"),"月","-"),"日",""))),"")</f>
        <v/>
      </c>
      <c r="J282">
        <f>IFERROR(MID(I282,FIND("-",I282)+1,99),"")</f>
        <v/>
      </c>
    </row>
    <row r="283">
      <c r="B283">
        <f>IFERROR(IF($B$1=0,"",IF(INDEX(貼り付け!$A$1:$BZ$3001,282,$B$1)="","",IF(ISNUMBER(INDEX(貼り付け!$A$1:$BZ$3001,282,$B$1)),INT(INDEX(貼り付け!$A$1:$BZ$3001,282,$B$1)),DATE(VALUE(LEFT(I283,FIND("-",I283)-1)),VALUE(LEFT(J283,FIND("-",J283)-1)),VALUE(MID(J283,FIND("-",J283)+1,99)))))),"")</f>
        <v/>
      </c>
      <c r="C283">
        <f>IF($C$1=0,0,IFERROR(VALUE(SUBSTITUTE(SUBSTITUTE(SUBSTITUTE(INDEX(貼り付け!$A$1:$BZ$3001,282,$C$1)&amp;"",",",""),"¥",""),"￥","")),0))</f>
        <v/>
      </c>
      <c r="D283">
        <f>IF($D$1=0,0,IFERROR(VALUE(SUBSTITUTE(SUBSTITUTE(SUBSTITUTE(INDEX(貼り付け!$A$1:$BZ$3001,282,$D$1)&amp;"",",",""),"¥",""),"￥","")),0))</f>
        <v/>
      </c>
      <c r="E283">
        <f>IF($E$1=0,0,IFERROR(VALUE(SUBSTITUTE(SUBSTITUTE(SUBSTITUTE(INDEX(貼り付け!$A$1:$BZ$3001,282,$E$1)&amp;"",",",""),"¥",""),"￥","")),0))</f>
        <v/>
      </c>
      <c r="F283">
        <f>IF($F$1=0,0,IFERROR(VALUE(SUBSTITUTE(SUBSTITUTE(SUBSTITUTE(INDEX(貼り付け!$A$1:$BZ$3001,282,$F$1)&amp;"",",",""),"¥",""),"￥","")),0))</f>
        <v/>
      </c>
      <c r="G283">
        <f>IF(ISNUMBER(B283),YEAR(B283),"")</f>
        <v/>
      </c>
      <c r="H283">
        <f>IF(ISNUMBER(B283),MONTH(B283),"")</f>
        <v/>
      </c>
      <c r="I283">
        <f>IFERROR(IF($B$1=0,"",IF(ISNUMBER(INDEX(貼り付け!$A$1:$BZ$3001,282,$B$1)),"",SUBSTITUTE(SUBSTITUTE(SUBSTITUTE(SUBSTITUTE(TRIM(LEFT(INDEX(貼り付け!$A$1:$BZ$3001,282,$B$1)&amp;"",FIND(" ",TRIM(INDEX(貼り付け!$A$1:$BZ$3001,282,$B$1)&amp;"")&amp;" ")-1)),"/","-"),"年","-"),"月","-"),"日",""))),"")</f>
        <v/>
      </c>
      <c r="J283">
        <f>IFERROR(MID(I283,FIND("-",I283)+1,99),"")</f>
        <v/>
      </c>
    </row>
    <row r="284">
      <c r="B284">
        <f>IFERROR(IF($B$1=0,"",IF(INDEX(貼り付け!$A$1:$BZ$3001,283,$B$1)="","",IF(ISNUMBER(INDEX(貼り付け!$A$1:$BZ$3001,283,$B$1)),INT(INDEX(貼り付け!$A$1:$BZ$3001,283,$B$1)),DATE(VALUE(LEFT(I284,FIND("-",I284)-1)),VALUE(LEFT(J284,FIND("-",J284)-1)),VALUE(MID(J284,FIND("-",J284)+1,99)))))),"")</f>
        <v/>
      </c>
      <c r="C284">
        <f>IF($C$1=0,0,IFERROR(VALUE(SUBSTITUTE(SUBSTITUTE(SUBSTITUTE(INDEX(貼り付け!$A$1:$BZ$3001,283,$C$1)&amp;"",",",""),"¥",""),"￥","")),0))</f>
        <v/>
      </c>
      <c r="D284">
        <f>IF($D$1=0,0,IFERROR(VALUE(SUBSTITUTE(SUBSTITUTE(SUBSTITUTE(INDEX(貼り付け!$A$1:$BZ$3001,283,$D$1)&amp;"",",",""),"¥",""),"￥","")),0))</f>
        <v/>
      </c>
      <c r="E284">
        <f>IF($E$1=0,0,IFERROR(VALUE(SUBSTITUTE(SUBSTITUTE(SUBSTITUTE(INDEX(貼り付け!$A$1:$BZ$3001,283,$E$1)&amp;"",",",""),"¥",""),"￥","")),0))</f>
        <v/>
      </c>
      <c r="F284">
        <f>IF($F$1=0,0,IFERROR(VALUE(SUBSTITUTE(SUBSTITUTE(SUBSTITUTE(INDEX(貼り付け!$A$1:$BZ$3001,283,$F$1)&amp;"",",",""),"¥",""),"￥","")),0))</f>
        <v/>
      </c>
      <c r="G284">
        <f>IF(ISNUMBER(B284),YEAR(B284),"")</f>
        <v/>
      </c>
      <c r="H284">
        <f>IF(ISNUMBER(B284),MONTH(B284),"")</f>
        <v/>
      </c>
      <c r="I284">
        <f>IFERROR(IF($B$1=0,"",IF(ISNUMBER(INDEX(貼り付け!$A$1:$BZ$3001,283,$B$1)),"",SUBSTITUTE(SUBSTITUTE(SUBSTITUTE(SUBSTITUTE(TRIM(LEFT(INDEX(貼り付け!$A$1:$BZ$3001,283,$B$1)&amp;"",FIND(" ",TRIM(INDEX(貼り付け!$A$1:$BZ$3001,283,$B$1)&amp;"")&amp;" ")-1)),"/","-"),"年","-"),"月","-"),"日",""))),"")</f>
        <v/>
      </c>
      <c r="J284">
        <f>IFERROR(MID(I284,FIND("-",I284)+1,99),"")</f>
        <v/>
      </c>
    </row>
    <row r="285">
      <c r="B285">
        <f>IFERROR(IF($B$1=0,"",IF(INDEX(貼り付け!$A$1:$BZ$3001,284,$B$1)="","",IF(ISNUMBER(INDEX(貼り付け!$A$1:$BZ$3001,284,$B$1)),INT(INDEX(貼り付け!$A$1:$BZ$3001,284,$B$1)),DATE(VALUE(LEFT(I285,FIND("-",I285)-1)),VALUE(LEFT(J285,FIND("-",J285)-1)),VALUE(MID(J285,FIND("-",J285)+1,99)))))),"")</f>
        <v/>
      </c>
      <c r="C285">
        <f>IF($C$1=0,0,IFERROR(VALUE(SUBSTITUTE(SUBSTITUTE(SUBSTITUTE(INDEX(貼り付け!$A$1:$BZ$3001,284,$C$1)&amp;"",",",""),"¥",""),"￥","")),0))</f>
        <v/>
      </c>
      <c r="D285">
        <f>IF($D$1=0,0,IFERROR(VALUE(SUBSTITUTE(SUBSTITUTE(SUBSTITUTE(INDEX(貼り付け!$A$1:$BZ$3001,284,$D$1)&amp;"",",",""),"¥",""),"￥","")),0))</f>
        <v/>
      </c>
      <c r="E285">
        <f>IF($E$1=0,0,IFERROR(VALUE(SUBSTITUTE(SUBSTITUTE(SUBSTITUTE(INDEX(貼り付け!$A$1:$BZ$3001,284,$E$1)&amp;"",",",""),"¥",""),"￥","")),0))</f>
        <v/>
      </c>
      <c r="F285">
        <f>IF($F$1=0,0,IFERROR(VALUE(SUBSTITUTE(SUBSTITUTE(SUBSTITUTE(INDEX(貼り付け!$A$1:$BZ$3001,284,$F$1)&amp;"",",",""),"¥",""),"￥","")),0))</f>
        <v/>
      </c>
      <c r="G285">
        <f>IF(ISNUMBER(B285),YEAR(B285),"")</f>
        <v/>
      </c>
      <c r="H285">
        <f>IF(ISNUMBER(B285),MONTH(B285),"")</f>
        <v/>
      </c>
      <c r="I285">
        <f>IFERROR(IF($B$1=0,"",IF(ISNUMBER(INDEX(貼り付け!$A$1:$BZ$3001,284,$B$1)),"",SUBSTITUTE(SUBSTITUTE(SUBSTITUTE(SUBSTITUTE(TRIM(LEFT(INDEX(貼り付け!$A$1:$BZ$3001,284,$B$1)&amp;"",FIND(" ",TRIM(INDEX(貼り付け!$A$1:$BZ$3001,284,$B$1)&amp;"")&amp;" ")-1)),"/","-"),"年","-"),"月","-"),"日",""))),"")</f>
        <v/>
      </c>
      <c r="J285">
        <f>IFERROR(MID(I285,FIND("-",I285)+1,99),"")</f>
        <v/>
      </c>
    </row>
    <row r="286">
      <c r="B286">
        <f>IFERROR(IF($B$1=0,"",IF(INDEX(貼り付け!$A$1:$BZ$3001,285,$B$1)="","",IF(ISNUMBER(INDEX(貼り付け!$A$1:$BZ$3001,285,$B$1)),INT(INDEX(貼り付け!$A$1:$BZ$3001,285,$B$1)),DATE(VALUE(LEFT(I286,FIND("-",I286)-1)),VALUE(LEFT(J286,FIND("-",J286)-1)),VALUE(MID(J286,FIND("-",J286)+1,99)))))),"")</f>
        <v/>
      </c>
      <c r="C286">
        <f>IF($C$1=0,0,IFERROR(VALUE(SUBSTITUTE(SUBSTITUTE(SUBSTITUTE(INDEX(貼り付け!$A$1:$BZ$3001,285,$C$1)&amp;"",",",""),"¥",""),"￥","")),0))</f>
        <v/>
      </c>
      <c r="D286">
        <f>IF($D$1=0,0,IFERROR(VALUE(SUBSTITUTE(SUBSTITUTE(SUBSTITUTE(INDEX(貼り付け!$A$1:$BZ$3001,285,$D$1)&amp;"",",",""),"¥",""),"￥","")),0))</f>
        <v/>
      </c>
      <c r="E286">
        <f>IF($E$1=0,0,IFERROR(VALUE(SUBSTITUTE(SUBSTITUTE(SUBSTITUTE(INDEX(貼り付け!$A$1:$BZ$3001,285,$E$1)&amp;"",",",""),"¥",""),"￥","")),0))</f>
        <v/>
      </c>
      <c r="F286">
        <f>IF($F$1=0,0,IFERROR(VALUE(SUBSTITUTE(SUBSTITUTE(SUBSTITUTE(INDEX(貼り付け!$A$1:$BZ$3001,285,$F$1)&amp;"",",",""),"¥",""),"￥","")),0))</f>
        <v/>
      </c>
      <c r="G286">
        <f>IF(ISNUMBER(B286),YEAR(B286),"")</f>
        <v/>
      </c>
      <c r="H286">
        <f>IF(ISNUMBER(B286),MONTH(B286),"")</f>
        <v/>
      </c>
      <c r="I286">
        <f>IFERROR(IF($B$1=0,"",IF(ISNUMBER(INDEX(貼り付け!$A$1:$BZ$3001,285,$B$1)),"",SUBSTITUTE(SUBSTITUTE(SUBSTITUTE(SUBSTITUTE(TRIM(LEFT(INDEX(貼り付け!$A$1:$BZ$3001,285,$B$1)&amp;"",FIND(" ",TRIM(INDEX(貼り付け!$A$1:$BZ$3001,285,$B$1)&amp;"")&amp;" ")-1)),"/","-"),"年","-"),"月","-"),"日",""))),"")</f>
        <v/>
      </c>
      <c r="J286">
        <f>IFERROR(MID(I286,FIND("-",I286)+1,99),"")</f>
        <v/>
      </c>
    </row>
    <row r="287">
      <c r="B287">
        <f>IFERROR(IF($B$1=0,"",IF(INDEX(貼り付け!$A$1:$BZ$3001,286,$B$1)="","",IF(ISNUMBER(INDEX(貼り付け!$A$1:$BZ$3001,286,$B$1)),INT(INDEX(貼り付け!$A$1:$BZ$3001,286,$B$1)),DATE(VALUE(LEFT(I287,FIND("-",I287)-1)),VALUE(LEFT(J287,FIND("-",J287)-1)),VALUE(MID(J287,FIND("-",J287)+1,99)))))),"")</f>
        <v/>
      </c>
      <c r="C287">
        <f>IF($C$1=0,0,IFERROR(VALUE(SUBSTITUTE(SUBSTITUTE(SUBSTITUTE(INDEX(貼り付け!$A$1:$BZ$3001,286,$C$1)&amp;"",",",""),"¥",""),"￥","")),0))</f>
        <v/>
      </c>
      <c r="D287">
        <f>IF($D$1=0,0,IFERROR(VALUE(SUBSTITUTE(SUBSTITUTE(SUBSTITUTE(INDEX(貼り付け!$A$1:$BZ$3001,286,$D$1)&amp;"",",",""),"¥",""),"￥","")),0))</f>
        <v/>
      </c>
      <c r="E287">
        <f>IF($E$1=0,0,IFERROR(VALUE(SUBSTITUTE(SUBSTITUTE(SUBSTITUTE(INDEX(貼り付け!$A$1:$BZ$3001,286,$E$1)&amp;"",",",""),"¥",""),"￥","")),0))</f>
        <v/>
      </c>
      <c r="F287">
        <f>IF($F$1=0,0,IFERROR(VALUE(SUBSTITUTE(SUBSTITUTE(SUBSTITUTE(INDEX(貼り付け!$A$1:$BZ$3001,286,$F$1)&amp;"",",",""),"¥",""),"￥","")),0))</f>
        <v/>
      </c>
      <c r="G287">
        <f>IF(ISNUMBER(B287),YEAR(B287),"")</f>
        <v/>
      </c>
      <c r="H287">
        <f>IF(ISNUMBER(B287),MONTH(B287),"")</f>
        <v/>
      </c>
      <c r="I287">
        <f>IFERROR(IF($B$1=0,"",IF(ISNUMBER(INDEX(貼り付け!$A$1:$BZ$3001,286,$B$1)),"",SUBSTITUTE(SUBSTITUTE(SUBSTITUTE(SUBSTITUTE(TRIM(LEFT(INDEX(貼り付け!$A$1:$BZ$3001,286,$B$1)&amp;"",FIND(" ",TRIM(INDEX(貼り付け!$A$1:$BZ$3001,286,$B$1)&amp;"")&amp;" ")-1)),"/","-"),"年","-"),"月","-"),"日",""))),"")</f>
        <v/>
      </c>
      <c r="J287">
        <f>IFERROR(MID(I287,FIND("-",I287)+1,99),"")</f>
        <v/>
      </c>
    </row>
    <row r="288">
      <c r="B288">
        <f>IFERROR(IF($B$1=0,"",IF(INDEX(貼り付け!$A$1:$BZ$3001,287,$B$1)="","",IF(ISNUMBER(INDEX(貼り付け!$A$1:$BZ$3001,287,$B$1)),INT(INDEX(貼り付け!$A$1:$BZ$3001,287,$B$1)),DATE(VALUE(LEFT(I288,FIND("-",I288)-1)),VALUE(LEFT(J288,FIND("-",J288)-1)),VALUE(MID(J288,FIND("-",J288)+1,99)))))),"")</f>
        <v/>
      </c>
      <c r="C288">
        <f>IF($C$1=0,0,IFERROR(VALUE(SUBSTITUTE(SUBSTITUTE(SUBSTITUTE(INDEX(貼り付け!$A$1:$BZ$3001,287,$C$1)&amp;"",",",""),"¥",""),"￥","")),0))</f>
        <v/>
      </c>
      <c r="D288">
        <f>IF($D$1=0,0,IFERROR(VALUE(SUBSTITUTE(SUBSTITUTE(SUBSTITUTE(INDEX(貼り付け!$A$1:$BZ$3001,287,$D$1)&amp;"",",",""),"¥",""),"￥","")),0))</f>
        <v/>
      </c>
      <c r="E288">
        <f>IF($E$1=0,0,IFERROR(VALUE(SUBSTITUTE(SUBSTITUTE(SUBSTITUTE(INDEX(貼り付け!$A$1:$BZ$3001,287,$E$1)&amp;"",",",""),"¥",""),"￥","")),0))</f>
        <v/>
      </c>
      <c r="F288">
        <f>IF($F$1=0,0,IFERROR(VALUE(SUBSTITUTE(SUBSTITUTE(SUBSTITUTE(INDEX(貼り付け!$A$1:$BZ$3001,287,$F$1)&amp;"",",",""),"¥",""),"￥","")),0))</f>
        <v/>
      </c>
      <c r="G288">
        <f>IF(ISNUMBER(B288),YEAR(B288),"")</f>
        <v/>
      </c>
      <c r="H288">
        <f>IF(ISNUMBER(B288),MONTH(B288),"")</f>
        <v/>
      </c>
      <c r="I288">
        <f>IFERROR(IF($B$1=0,"",IF(ISNUMBER(INDEX(貼り付け!$A$1:$BZ$3001,287,$B$1)),"",SUBSTITUTE(SUBSTITUTE(SUBSTITUTE(SUBSTITUTE(TRIM(LEFT(INDEX(貼り付け!$A$1:$BZ$3001,287,$B$1)&amp;"",FIND(" ",TRIM(INDEX(貼り付け!$A$1:$BZ$3001,287,$B$1)&amp;"")&amp;" ")-1)),"/","-"),"年","-"),"月","-"),"日",""))),"")</f>
        <v/>
      </c>
      <c r="J288">
        <f>IFERROR(MID(I288,FIND("-",I288)+1,99),"")</f>
        <v/>
      </c>
    </row>
    <row r="289">
      <c r="B289">
        <f>IFERROR(IF($B$1=0,"",IF(INDEX(貼り付け!$A$1:$BZ$3001,288,$B$1)="","",IF(ISNUMBER(INDEX(貼り付け!$A$1:$BZ$3001,288,$B$1)),INT(INDEX(貼り付け!$A$1:$BZ$3001,288,$B$1)),DATE(VALUE(LEFT(I289,FIND("-",I289)-1)),VALUE(LEFT(J289,FIND("-",J289)-1)),VALUE(MID(J289,FIND("-",J289)+1,99)))))),"")</f>
        <v/>
      </c>
      <c r="C289">
        <f>IF($C$1=0,0,IFERROR(VALUE(SUBSTITUTE(SUBSTITUTE(SUBSTITUTE(INDEX(貼り付け!$A$1:$BZ$3001,288,$C$1)&amp;"",",",""),"¥",""),"￥","")),0))</f>
        <v/>
      </c>
      <c r="D289">
        <f>IF($D$1=0,0,IFERROR(VALUE(SUBSTITUTE(SUBSTITUTE(SUBSTITUTE(INDEX(貼り付け!$A$1:$BZ$3001,288,$D$1)&amp;"",",",""),"¥",""),"￥","")),0))</f>
        <v/>
      </c>
      <c r="E289">
        <f>IF($E$1=0,0,IFERROR(VALUE(SUBSTITUTE(SUBSTITUTE(SUBSTITUTE(INDEX(貼り付け!$A$1:$BZ$3001,288,$E$1)&amp;"",",",""),"¥",""),"￥","")),0))</f>
        <v/>
      </c>
      <c r="F289">
        <f>IF($F$1=0,0,IFERROR(VALUE(SUBSTITUTE(SUBSTITUTE(SUBSTITUTE(INDEX(貼り付け!$A$1:$BZ$3001,288,$F$1)&amp;"",",",""),"¥",""),"￥","")),0))</f>
        <v/>
      </c>
      <c r="G289">
        <f>IF(ISNUMBER(B289),YEAR(B289),"")</f>
        <v/>
      </c>
      <c r="H289">
        <f>IF(ISNUMBER(B289),MONTH(B289),"")</f>
        <v/>
      </c>
      <c r="I289">
        <f>IFERROR(IF($B$1=0,"",IF(ISNUMBER(INDEX(貼り付け!$A$1:$BZ$3001,288,$B$1)),"",SUBSTITUTE(SUBSTITUTE(SUBSTITUTE(SUBSTITUTE(TRIM(LEFT(INDEX(貼り付け!$A$1:$BZ$3001,288,$B$1)&amp;"",FIND(" ",TRIM(INDEX(貼り付け!$A$1:$BZ$3001,288,$B$1)&amp;"")&amp;" ")-1)),"/","-"),"年","-"),"月","-"),"日",""))),"")</f>
        <v/>
      </c>
      <c r="J289">
        <f>IFERROR(MID(I289,FIND("-",I289)+1,99),"")</f>
        <v/>
      </c>
    </row>
    <row r="290">
      <c r="B290">
        <f>IFERROR(IF($B$1=0,"",IF(INDEX(貼り付け!$A$1:$BZ$3001,289,$B$1)="","",IF(ISNUMBER(INDEX(貼り付け!$A$1:$BZ$3001,289,$B$1)),INT(INDEX(貼り付け!$A$1:$BZ$3001,289,$B$1)),DATE(VALUE(LEFT(I290,FIND("-",I290)-1)),VALUE(LEFT(J290,FIND("-",J290)-1)),VALUE(MID(J290,FIND("-",J290)+1,99)))))),"")</f>
        <v/>
      </c>
      <c r="C290">
        <f>IF($C$1=0,0,IFERROR(VALUE(SUBSTITUTE(SUBSTITUTE(SUBSTITUTE(INDEX(貼り付け!$A$1:$BZ$3001,289,$C$1)&amp;"",",",""),"¥",""),"￥","")),0))</f>
        <v/>
      </c>
      <c r="D290">
        <f>IF($D$1=0,0,IFERROR(VALUE(SUBSTITUTE(SUBSTITUTE(SUBSTITUTE(INDEX(貼り付け!$A$1:$BZ$3001,289,$D$1)&amp;"",",",""),"¥",""),"￥","")),0))</f>
        <v/>
      </c>
      <c r="E290">
        <f>IF($E$1=0,0,IFERROR(VALUE(SUBSTITUTE(SUBSTITUTE(SUBSTITUTE(INDEX(貼り付け!$A$1:$BZ$3001,289,$E$1)&amp;"",",",""),"¥",""),"￥","")),0))</f>
        <v/>
      </c>
      <c r="F290">
        <f>IF($F$1=0,0,IFERROR(VALUE(SUBSTITUTE(SUBSTITUTE(SUBSTITUTE(INDEX(貼り付け!$A$1:$BZ$3001,289,$F$1)&amp;"",",",""),"¥",""),"￥","")),0))</f>
        <v/>
      </c>
      <c r="G290">
        <f>IF(ISNUMBER(B290),YEAR(B290),"")</f>
        <v/>
      </c>
      <c r="H290">
        <f>IF(ISNUMBER(B290),MONTH(B290),"")</f>
        <v/>
      </c>
      <c r="I290">
        <f>IFERROR(IF($B$1=0,"",IF(ISNUMBER(INDEX(貼り付け!$A$1:$BZ$3001,289,$B$1)),"",SUBSTITUTE(SUBSTITUTE(SUBSTITUTE(SUBSTITUTE(TRIM(LEFT(INDEX(貼り付け!$A$1:$BZ$3001,289,$B$1)&amp;"",FIND(" ",TRIM(INDEX(貼り付け!$A$1:$BZ$3001,289,$B$1)&amp;"")&amp;" ")-1)),"/","-"),"年","-"),"月","-"),"日",""))),"")</f>
        <v/>
      </c>
      <c r="J290">
        <f>IFERROR(MID(I290,FIND("-",I290)+1,99),"")</f>
        <v/>
      </c>
    </row>
    <row r="291">
      <c r="B291">
        <f>IFERROR(IF($B$1=0,"",IF(INDEX(貼り付け!$A$1:$BZ$3001,290,$B$1)="","",IF(ISNUMBER(INDEX(貼り付け!$A$1:$BZ$3001,290,$B$1)),INT(INDEX(貼り付け!$A$1:$BZ$3001,290,$B$1)),DATE(VALUE(LEFT(I291,FIND("-",I291)-1)),VALUE(LEFT(J291,FIND("-",J291)-1)),VALUE(MID(J291,FIND("-",J291)+1,99)))))),"")</f>
        <v/>
      </c>
      <c r="C291">
        <f>IF($C$1=0,0,IFERROR(VALUE(SUBSTITUTE(SUBSTITUTE(SUBSTITUTE(INDEX(貼り付け!$A$1:$BZ$3001,290,$C$1)&amp;"",",",""),"¥",""),"￥","")),0))</f>
        <v/>
      </c>
      <c r="D291">
        <f>IF($D$1=0,0,IFERROR(VALUE(SUBSTITUTE(SUBSTITUTE(SUBSTITUTE(INDEX(貼り付け!$A$1:$BZ$3001,290,$D$1)&amp;"",",",""),"¥",""),"￥","")),0))</f>
        <v/>
      </c>
      <c r="E291">
        <f>IF($E$1=0,0,IFERROR(VALUE(SUBSTITUTE(SUBSTITUTE(SUBSTITUTE(INDEX(貼り付け!$A$1:$BZ$3001,290,$E$1)&amp;"",",",""),"¥",""),"￥","")),0))</f>
        <v/>
      </c>
      <c r="F291">
        <f>IF($F$1=0,0,IFERROR(VALUE(SUBSTITUTE(SUBSTITUTE(SUBSTITUTE(INDEX(貼り付け!$A$1:$BZ$3001,290,$F$1)&amp;"",",",""),"¥",""),"￥","")),0))</f>
        <v/>
      </c>
      <c r="G291">
        <f>IF(ISNUMBER(B291),YEAR(B291),"")</f>
        <v/>
      </c>
      <c r="H291">
        <f>IF(ISNUMBER(B291),MONTH(B291),"")</f>
        <v/>
      </c>
      <c r="I291">
        <f>IFERROR(IF($B$1=0,"",IF(ISNUMBER(INDEX(貼り付け!$A$1:$BZ$3001,290,$B$1)),"",SUBSTITUTE(SUBSTITUTE(SUBSTITUTE(SUBSTITUTE(TRIM(LEFT(INDEX(貼り付け!$A$1:$BZ$3001,290,$B$1)&amp;"",FIND(" ",TRIM(INDEX(貼り付け!$A$1:$BZ$3001,290,$B$1)&amp;"")&amp;" ")-1)),"/","-"),"年","-"),"月","-"),"日",""))),"")</f>
        <v/>
      </c>
      <c r="J291">
        <f>IFERROR(MID(I291,FIND("-",I291)+1,99),"")</f>
        <v/>
      </c>
    </row>
    <row r="292">
      <c r="B292">
        <f>IFERROR(IF($B$1=0,"",IF(INDEX(貼り付け!$A$1:$BZ$3001,291,$B$1)="","",IF(ISNUMBER(INDEX(貼り付け!$A$1:$BZ$3001,291,$B$1)),INT(INDEX(貼り付け!$A$1:$BZ$3001,291,$B$1)),DATE(VALUE(LEFT(I292,FIND("-",I292)-1)),VALUE(LEFT(J292,FIND("-",J292)-1)),VALUE(MID(J292,FIND("-",J292)+1,99)))))),"")</f>
        <v/>
      </c>
      <c r="C292">
        <f>IF($C$1=0,0,IFERROR(VALUE(SUBSTITUTE(SUBSTITUTE(SUBSTITUTE(INDEX(貼り付け!$A$1:$BZ$3001,291,$C$1)&amp;"",",",""),"¥",""),"￥","")),0))</f>
        <v/>
      </c>
      <c r="D292">
        <f>IF($D$1=0,0,IFERROR(VALUE(SUBSTITUTE(SUBSTITUTE(SUBSTITUTE(INDEX(貼り付け!$A$1:$BZ$3001,291,$D$1)&amp;"",",",""),"¥",""),"￥","")),0))</f>
        <v/>
      </c>
      <c r="E292">
        <f>IF($E$1=0,0,IFERROR(VALUE(SUBSTITUTE(SUBSTITUTE(SUBSTITUTE(INDEX(貼り付け!$A$1:$BZ$3001,291,$E$1)&amp;"",",",""),"¥",""),"￥","")),0))</f>
        <v/>
      </c>
      <c r="F292">
        <f>IF($F$1=0,0,IFERROR(VALUE(SUBSTITUTE(SUBSTITUTE(SUBSTITUTE(INDEX(貼り付け!$A$1:$BZ$3001,291,$F$1)&amp;"",",",""),"¥",""),"￥","")),0))</f>
        <v/>
      </c>
      <c r="G292">
        <f>IF(ISNUMBER(B292),YEAR(B292),"")</f>
        <v/>
      </c>
      <c r="H292">
        <f>IF(ISNUMBER(B292),MONTH(B292),"")</f>
        <v/>
      </c>
      <c r="I292">
        <f>IFERROR(IF($B$1=0,"",IF(ISNUMBER(INDEX(貼り付け!$A$1:$BZ$3001,291,$B$1)),"",SUBSTITUTE(SUBSTITUTE(SUBSTITUTE(SUBSTITUTE(TRIM(LEFT(INDEX(貼り付け!$A$1:$BZ$3001,291,$B$1)&amp;"",FIND(" ",TRIM(INDEX(貼り付け!$A$1:$BZ$3001,291,$B$1)&amp;"")&amp;" ")-1)),"/","-"),"年","-"),"月","-"),"日",""))),"")</f>
        <v/>
      </c>
      <c r="J292">
        <f>IFERROR(MID(I292,FIND("-",I292)+1,99),"")</f>
        <v/>
      </c>
    </row>
    <row r="293">
      <c r="B293">
        <f>IFERROR(IF($B$1=0,"",IF(INDEX(貼り付け!$A$1:$BZ$3001,292,$B$1)="","",IF(ISNUMBER(INDEX(貼り付け!$A$1:$BZ$3001,292,$B$1)),INT(INDEX(貼り付け!$A$1:$BZ$3001,292,$B$1)),DATE(VALUE(LEFT(I293,FIND("-",I293)-1)),VALUE(LEFT(J293,FIND("-",J293)-1)),VALUE(MID(J293,FIND("-",J293)+1,99)))))),"")</f>
        <v/>
      </c>
      <c r="C293">
        <f>IF($C$1=0,0,IFERROR(VALUE(SUBSTITUTE(SUBSTITUTE(SUBSTITUTE(INDEX(貼り付け!$A$1:$BZ$3001,292,$C$1)&amp;"",",",""),"¥",""),"￥","")),0))</f>
        <v/>
      </c>
      <c r="D293">
        <f>IF($D$1=0,0,IFERROR(VALUE(SUBSTITUTE(SUBSTITUTE(SUBSTITUTE(INDEX(貼り付け!$A$1:$BZ$3001,292,$D$1)&amp;"",",",""),"¥",""),"￥","")),0))</f>
        <v/>
      </c>
      <c r="E293">
        <f>IF($E$1=0,0,IFERROR(VALUE(SUBSTITUTE(SUBSTITUTE(SUBSTITUTE(INDEX(貼り付け!$A$1:$BZ$3001,292,$E$1)&amp;"",",",""),"¥",""),"￥","")),0))</f>
        <v/>
      </c>
      <c r="F293">
        <f>IF($F$1=0,0,IFERROR(VALUE(SUBSTITUTE(SUBSTITUTE(SUBSTITUTE(INDEX(貼り付け!$A$1:$BZ$3001,292,$F$1)&amp;"",",",""),"¥",""),"￥","")),0))</f>
        <v/>
      </c>
      <c r="G293">
        <f>IF(ISNUMBER(B293),YEAR(B293),"")</f>
        <v/>
      </c>
      <c r="H293">
        <f>IF(ISNUMBER(B293),MONTH(B293),"")</f>
        <v/>
      </c>
      <c r="I293">
        <f>IFERROR(IF($B$1=0,"",IF(ISNUMBER(INDEX(貼り付け!$A$1:$BZ$3001,292,$B$1)),"",SUBSTITUTE(SUBSTITUTE(SUBSTITUTE(SUBSTITUTE(TRIM(LEFT(INDEX(貼り付け!$A$1:$BZ$3001,292,$B$1)&amp;"",FIND(" ",TRIM(INDEX(貼り付け!$A$1:$BZ$3001,292,$B$1)&amp;"")&amp;" ")-1)),"/","-"),"年","-"),"月","-"),"日",""))),"")</f>
        <v/>
      </c>
      <c r="J293">
        <f>IFERROR(MID(I293,FIND("-",I293)+1,99),"")</f>
        <v/>
      </c>
    </row>
    <row r="294">
      <c r="B294">
        <f>IFERROR(IF($B$1=0,"",IF(INDEX(貼り付け!$A$1:$BZ$3001,293,$B$1)="","",IF(ISNUMBER(INDEX(貼り付け!$A$1:$BZ$3001,293,$B$1)),INT(INDEX(貼り付け!$A$1:$BZ$3001,293,$B$1)),DATE(VALUE(LEFT(I294,FIND("-",I294)-1)),VALUE(LEFT(J294,FIND("-",J294)-1)),VALUE(MID(J294,FIND("-",J294)+1,99)))))),"")</f>
        <v/>
      </c>
      <c r="C294">
        <f>IF($C$1=0,0,IFERROR(VALUE(SUBSTITUTE(SUBSTITUTE(SUBSTITUTE(INDEX(貼り付け!$A$1:$BZ$3001,293,$C$1)&amp;"",",",""),"¥",""),"￥","")),0))</f>
        <v/>
      </c>
      <c r="D294">
        <f>IF($D$1=0,0,IFERROR(VALUE(SUBSTITUTE(SUBSTITUTE(SUBSTITUTE(INDEX(貼り付け!$A$1:$BZ$3001,293,$D$1)&amp;"",",",""),"¥",""),"￥","")),0))</f>
        <v/>
      </c>
      <c r="E294">
        <f>IF($E$1=0,0,IFERROR(VALUE(SUBSTITUTE(SUBSTITUTE(SUBSTITUTE(INDEX(貼り付け!$A$1:$BZ$3001,293,$E$1)&amp;"",",",""),"¥",""),"￥","")),0))</f>
        <v/>
      </c>
      <c r="F294">
        <f>IF($F$1=0,0,IFERROR(VALUE(SUBSTITUTE(SUBSTITUTE(SUBSTITUTE(INDEX(貼り付け!$A$1:$BZ$3001,293,$F$1)&amp;"",",",""),"¥",""),"￥","")),0))</f>
        <v/>
      </c>
      <c r="G294">
        <f>IF(ISNUMBER(B294),YEAR(B294),"")</f>
        <v/>
      </c>
      <c r="H294">
        <f>IF(ISNUMBER(B294),MONTH(B294),"")</f>
        <v/>
      </c>
      <c r="I294">
        <f>IFERROR(IF($B$1=0,"",IF(ISNUMBER(INDEX(貼り付け!$A$1:$BZ$3001,293,$B$1)),"",SUBSTITUTE(SUBSTITUTE(SUBSTITUTE(SUBSTITUTE(TRIM(LEFT(INDEX(貼り付け!$A$1:$BZ$3001,293,$B$1)&amp;"",FIND(" ",TRIM(INDEX(貼り付け!$A$1:$BZ$3001,293,$B$1)&amp;"")&amp;" ")-1)),"/","-"),"年","-"),"月","-"),"日",""))),"")</f>
        <v/>
      </c>
      <c r="J294">
        <f>IFERROR(MID(I294,FIND("-",I294)+1,99),"")</f>
        <v/>
      </c>
    </row>
    <row r="295">
      <c r="B295">
        <f>IFERROR(IF($B$1=0,"",IF(INDEX(貼り付け!$A$1:$BZ$3001,294,$B$1)="","",IF(ISNUMBER(INDEX(貼り付け!$A$1:$BZ$3001,294,$B$1)),INT(INDEX(貼り付け!$A$1:$BZ$3001,294,$B$1)),DATE(VALUE(LEFT(I295,FIND("-",I295)-1)),VALUE(LEFT(J295,FIND("-",J295)-1)),VALUE(MID(J295,FIND("-",J295)+1,99)))))),"")</f>
        <v/>
      </c>
      <c r="C295">
        <f>IF($C$1=0,0,IFERROR(VALUE(SUBSTITUTE(SUBSTITUTE(SUBSTITUTE(INDEX(貼り付け!$A$1:$BZ$3001,294,$C$1)&amp;"",",",""),"¥",""),"￥","")),0))</f>
        <v/>
      </c>
      <c r="D295">
        <f>IF($D$1=0,0,IFERROR(VALUE(SUBSTITUTE(SUBSTITUTE(SUBSTITUTE(INDEX(貼り付け!$A$1:$BZ$3001,294,$D$1)&amp;"",",",""),"¥",""),"￥","")),0))</f>
        <v/>
      </c>
      <c r="E295">
        <f>IF($E$1=0,0,IFERROR(VALUE(SUBSTITUTE(SUBSTITUTE(SUBSTITUTE(INDEX(貼り付け!$A$1:$BZ$3001,294,$E$1)&amp;"",",",""),"¥",""),"￥","")),0))</f>
        <v/>
      </c>
      <c r="F295">
        <f>IF($F$1=0,0,IFERROR(VALUE(SUBSTITUTE(SUBSTITUTE(SUBSTITUTE(INDEX(貼り付け!$A$1:$BZ$3001,294,$F$1)&amp;"",",",""),"¥",""),"￥","")),0))</f>
        <v/>
      </c>
      <c r="G295">
        <f>IF(ISNUMBER(B295),YEAR(B295),"")</f>
        <v/>
      </c>
      <c r="H295">
        <f>IF(ISNUMBER(B295),MONTH(B295),"")</f>
        <v/>
      </c>
      <c r="I295">
        <f>IFERROR(IF($B$1=0,"",IF(ISNUMBER(INDEX(貼り付け!$A$1:$BZ$3001,294,$B$1)),"",SUBSTITUTE(SUBSTITUTE(SUBSTITUTE(SUBSTITUTE(TRIM(LEFT(INDEX(貼り付け!$A$1:$BZ$3001,294,$B$1)&amp;"",FIND(" ",TRIM(INDEX(貼り付け!$A$1:$BZ$3001,294,$B$1)&amp;"")&amp;" ")-1)),"/","-"),"年","-"),"月","-"),"日",""))),"")</f>
        <v/>
      </c>
      <c r="J295">
        <f>IFERROR(MID(I295,FIND("-",I295)+1,99),"")</f>
        <v/>
      </c>
    </row>
    <row r="296">
      <c r="B296">
        <f>IFERROR(IF($B$1=0,"",IF(INDEX(貼り付け!$A$1:$BZ$3001,295,$B$1)="","",IF(ISNUMBER(INDEX(貼り付け!$A$1:$BZ$3001,295,$B$1)),INT(INDEX(貼り付け!$A$1:$BZ$3001,295,$B$1)),DATE(VALUE(LEFT(I296,FIND("-",I296)-1)),VALUE(LEFT(J296,FIND("-",J296)-1)),VALUE(MID(J296,FIND("-",J296)+1,99)))))),"")</f>
        <v/>
      </c>
      <c r="C296">
        <f>IF($C$1=0,0,IFERROR(VALUE(SUBSTITUTE(SUBSTITUTE(SUBSTITUTE(INDEX(貼り付け!$A$1:$BZ$3001,295,$C$1)&amp;"",",",""),"¥",""),"￥","")),0))</f>
        <v/>
      </c>
      <c r="D296">
        <f>IF($D$1=0,0,IFERROR(VALUE(SUBSTITUTE(SUBSTITUTE(SUBSTITUTE(INDEX(貼り付け!$A$1:$BZ$3001,295,$D$1)&amp;"",",",""),"¥",""),"￥","")),0))</f>
        <v/>
      </c>
      <c r="E296">
        <f>IF($E$1=0,0,IFERROR(VALUE(SUBSTITUTE(SUBSTITUTE(SUBSTITUTE(INDEX(貼り付け!$A$1:$BZ$3001,295,$E$1)&amp;"",",",""),"¥",""),"￥","")),0))</f>
        <v/>
      </c>
      <c r="F296">
        <f>IF($F$1=0,0,IFERROR(VALUE(SUBSTITUTE(SUBSTITUTE(SUBSTITUTE(INDEX(貼り付け!$A$1:$BZ$3001,295,$F$1)&amp;"",",",""),"¥",""),"￥","")),0))</f>
        <v/>
      </c>
      <c r="G296">
        <f>IF(ISNUMBER(B296),YEAR(B296),"")</f>
        <v/>
      </c>
      <c r="H296">
        <f>IF(ISNUMBER(B296),MONTH(B296),"")</f>
        <v/>
      </c>
      <c r="I296">
        <f>IFERROR(IF($B$1=0,"",IF(ISNUMBER(INDEX(貼り付け!$A$1:$BZ$3001,295,$B$1)),"",SUBSTITUTE(SUBSTITUTE(SUBSTITUTE(SUBSTITUTE(TRIM(LEFT(INDEX(貼り付け!$A$1:$BZ$3001,295,$B$1)&amp;"",FIND(" ",TRIM(INDEX(貼り付け!$A$1:$BZ$3001,295,$B$1)&amp;"")&amp;" ")-1)),"/","-"),"年","-"),"月","-"),"日",""))),"")</f>
        <v/>
      </c>
      <c r="J296">
        <f>IFERROR(MID(I296,FIND("-",I296)+1,99),"")</f>
        <v/>
      </c>
    </row>
    <row r="297">
      <c r="B297">
        <f>IFERROR(IF($B$1=0,"",IF(INDEX(貼り付け!$A$1:$BZ$3001,296,$B$1)="","",IF(ISNUMBER(INDEX(貼り付け!$A$1:$BZ$3001,296,$B$1)),INT(INDEX(貼り付け!$A$1:$BZ$3001,296,$B$1)),DATE(VALUE(LEFT(I297,FIND("-",I297)-1)),VALUE(LEFT(J297,FIND("-",J297)-1)),VALUE(MID(J297,FIND("-",J297)+1,99)))))),"")</f>
        <v/>
      </c>
      <c r="C297">
        <f>IF($C$1=0,0,IFERROR(VALUE(SUBSTITUTE(SUBSTITUTE(SUBSTITUTE(INDEX(貼り付け!$A$1:$BZ$3001,296,$C$1)&amp;"",",",""),"¥",""),"￥","")),0))</f>
        <v/>
      </c>
      <c r="D297">
        <f>IF($D$1=0,0,IFERROR(VALUE(SUBSTITUTE(SUBSTITUTE(SUBSTITUTE(INDEX(貼り付け!$A$1:$BZ$3001,296,$D$1)&amp;"",",",""),"¥",""),"￥","")),0))</f>
        <v/>
      </c>
      <c r="E297">
        <f>IF($E$1=0,0,IFERROR(VALUE(SUBSTITUTE(SUBSTITUTE(SUBSTITUTE(INDEX(貼り付け!$A$1:$BZ$3001,296,$E$1)&amp;"",",",""),"¥",""),"￥","")),0))</f>
        <v/>
      </c>
      <c r="F297">
        <f>IF($F$1=0,0,IFERROR(VALUE(SUBSTITUTE(SUBSTITUTE(SUBSTITUTE(INDEX(貼り付け!$A$1:$BZ$3001,296,$F$1)&amp;"",",",""),"¥",""),"￥","")),0))</f>
        <v/>
      </c>
      <c r="G297">
        <f>IF(ISNUMBER(B297),YEAR(B297),"")</f>
        <v/>
      </c>
      <c r="H297">
        <f>IF(ISNUMBER(B297),MONTH(B297),"")</f>
        <v/>
      </c>
      <c r="I297">
        <f>IFERROR(IF($B$1=0,"",IF(ISNUMBER(INDEX(貼り付け!$A$1:$BZ$3001,296,$B$1)),"",SUBSTITUTE(SUBSTITUTE(SUBSTITUTE(SUBSTITUTE(TRIM(LEFT(INDEX(貼り付け!$A$1:$BZ$3001,296,$B$1)&amp;"",FIND(" ",TRIM(INDEX(貼り付け!$A$1:$BZ$3001,296,$B$1)&amp;"")&amp;" ")-1)),"/","-"),"年","-"),"月","-"),"日",""))),"")</f>
        <v/>
      </c>
      <c r="J297">
        <f>IFERROR(MID(I297,FIND("-",I297)+1,99),"")</f>
        <v/>
      </c>
    </row>
    <row r="298">
      <c r="B298">
        <f>IFERROR(IF($B$1=0,"",IF(INDEX(貼り付け!$A$1:$BZ$3001,297,$B$1)="","",IF(ISNUMBER(INDEX(貼り付け!$A$1:$BZ$3001,297,$B$1)),INT(INDEX(貼り付け!$A$1:$BZ$3001,297,$B$1)),DATE(VALUE(LEFT(I298,FIND("-",I298)-1)),VALUE(LEFT(J298,FIND("-",J298)-1)),VALUE(MID(J298,FIND("-",J298)+1,99)))))),"")</f>
        <v/>
      </c>
      <c r="C298">
        <f>IF($C$1=0,0,IFERROR(VALUE(SUBSTITUTE(SUBSTITUTE(SUBSTITUTE(INDEX(貼り付け!$A$1:$BZ$3001,297,$C$1)&amp;"",",",""),"¥",""),"￥","")),0))</f>
        <v/>
      </c>
      <c r="D298">
        <f>IF($D$1=0,0,IFERROR(VALUE(SUBSTITUTE(SUBSTITUTE(SUBSTITUTE(INDEX(貼り付け!$A$1:$BZ$3001,297,$D$1)&amp;"",",",""),"¥",""),"￥","")),0))</f>
        <v/>
      </c>
      <c r="E298">
        <f>IF($E$1=0,0,IFERROR(VALUE(SUBSTITUTE(SUBSTITUTE(SUBSTITUTE(INDEX(貼り付け!$A$1:$BZ$3001,297,$E$1)&amp;"",",",""),"¥",""),"￥","")),0))</f>
        <v/>
      </c>
      <c r="F298">
        <f>IF($F$1=0,0,IFERROR(VALUE(SUBSTITUTE(SUBSTITUTE(SUBSTITUTE(INDEX(貼り付け!$A$1:$BZ$3001,297,$F$1)&amp;"",",",""),"¥",""),"￥","")),0))</f>
        <v/>
      </c>
      <c r="G298">
        <f>IF(ISNUMBER(B298),YEAR(B298),"")</f>
        <v/>
      </c>
      <c r="H298">
        <f>IF(ISNUMBER(B298),MONTH(B298),"")</f>
        <v/>
      </c>
      <c r="I298">
        <f>IFERROR(IF($B$1=0,"",IF(ISNUMBER(INDEX(貼り付け!$A$1:$BZ$3001,297,$B$1)),"",SUBSTITUTE(SUBSTITUTE(SUBSTITUTE(SUBSTITUTE(TRIM(LEFT(INDEX(貼り付け!$A$1:$BZ$3001,297,$B$1)&amp;"",FIND(" ",TRIM(INDEX(貼り付け!$A$1:$BZ$3001,297,$B$1)&amp;"")&amp;" ")-1)),"/","-"),"年","-"),"月","-"),"日",""))),"")</f>
        <v/>
      </c>
      <c r="J298">
        <f>IFERROR(MID(I298,FIND("-",I298)+1,99),"")</f>
        <v/>
      </c>
    </row>
    <row r="299">
      <c r="B299">
        <f>IFERROR(IF($B$1=0,"",IF(INDEX(貼り付け!$A$1:$BZ$3001,298,$B$1)="","",IF(ISNUMBER(INDEX(貼り付け!$A$1:$BZ$3001,298,$B$1)),INT(INDEX(貼り付け!$A$1:$BZ$3001,298,$B$1)),DATE(VALUE(LEFT(I299,FIND("-",I299)-1)),VALUE(LEFT(J299,FIND("-",J299)-1)),VALUE(MID(J299,FIND("-",J299)+1,99)))))),"")</f>
        <v/>
      </c>
      <c r="C299">
        <f>IF($C$1=0,0,IFERROR(VALUE(SUBSTITUTE(SUBSTITUTE(SUBSTITUTE(INDEX(貼り付け!$A$1:$BZ$3001,298,$C$1)&amp;"",",",""),"¥",""),"￥","")),0))</f>
        <v/>
      </c>
      <c r="D299">
        <f>IF($D$1=0,0,IFERROR(VALUE(SUBSTITUTE(SUBSTITUTE(SUBSTITUTE(INDEX(貼り付け!$A$1:$BZ$3001,298,$D$1)&amp;"",",",""),"¥",""),"￥","")),0))</f>
        <v/>
      </c>
      <c r="E299">
        <f>IF($E$1=0,0,IFERROR(VALUE(SUBSTITUTE(SUBSTITUTE(SUBSTITUTE(INDEX(貼り付け!$A$1:$BZ$3001,298,$E$1)&amp;"",",",""),"¥",""),"￥","")),0))</f>
        <v/>
      </c>
      <c r="F299">
        <f>IF($F$1=0,0,IFERROR(VALUE(SUBSTITUTE(SUBSTITUTE(SUBSTITUTE(INDEX(貼り付け!$A$1:$BZ$3001,298,$F$1)&amp;"",",",""),"¥",""),"￥","")),0))</f>
        <v/>
      </c>
      <c r="G299">
        <f>IF(ISNUMBER(B299),YEAR(B299),"")</f>
        <v/>
      </c>
      <c r="H299">
        <f>IF(ISNUMBER(B299),MONTH(B299),"")</f>
        <v/>
      </c>
      <c r="I299">
        <f>IFERROR(IF($B$1=0,"",IF(ISNUMBER(INDEX(貼り付け!$A$1:$BZ$3001,298,$B$1)),"",SUBSTITUTE(SUBSTITUTE(SUBSTITUTE(SUBSTITUTE(TRIM(LEFT(INDEX(貼り付け!$A$1:$BZ$3001,298,$B$1)&amp;"",FIND(" ",TRIM(INDEX(貼り付け!$A$1:$BZ$3001,298,$B$1)&amp;"")&amp;" ")-1)),"/","-"),"年","-"),"月","-"),"日",""))),"")</f>
        <v/>
      </c>
      <c r="J299">
        <f>IFERROR(MID(I299,FIND("-",I299)+1,99),"")</f>
        <v/>
      </c>
    </row>
    <row r="300">
      <c r="B300">
        <f>IFERROR(IF($B$1=0,"",IF(INDEX(貼り付け!$A$1:$BZ$3001,299,$B$1)="","",IF(ISNUMBER(INDEX(貼り付け!$A$1:$BZ$3001,299,$B$1)),INT(INDEX(貼り付け!$A$1:$BZ$3001,299,$B$1)),DATE(VALUE(LEFT(I300,FIND("-",I300)-1)),VALUE(LEFT(J300,FIND("-",J300)-1)),VALUE(MID(J300,FIND("-",J300)+1,99)))))),"")</f>
        <v/>
      </c>
      <c r="C300">
        <f>IF($C$1=0,0,IFERROR(VALUE(SUBSTITUTE(SUBSTITUTE(SUBSTITUTE(INDEX(貼り付け!$A$1:$BZ$3001,299,$C$1)&amp;"",",",""),"¥",""),"￥","")),0))</f>
        <v/>
      </c>
      <c r="D300">
        <f>IF($D$1=0,0,IFERROR(VALUE(SUBSTITUTE(SUBSTITUTE(SUBSTITUTE(INDEX(貼り付け!$A$1:$BZ$3001,299,$D$1)&amp;"",",",""),"¥",""),"￥","")),0))</f>
        <v/>
      </c>
      <c r="E300">
        <f>IF($E$1=0,0,IFERROR(VALUE(SUBSTITUTE(SUBSTITUTE(SUBSTITUTE(INDEX(貼り付け!$A$1:$BZ$3001,299,$E$1)&amp;"",",",""),"¥",""),"￥","")),0))</f>
        <v/>
      </c>
      <c r="F300">
        <f>IF($F$1=0,0,IFERROR(VALUE(SUBSTITUTE(SUBSTITUTE(SUBSTITUTE(INDEX(貼り付け!$A$1:$BZ$3001,299,$F$1)&amp;"",",",""),"¥",""),"￥","")),0))</f>
        <v/>
      </c>
      <c r="G300">
        <f>IF(ISNUMBER(B300),YEAR(B300),"")</f>
        <v/>
      </c>
      <c r="H300">
        <f>IF(ISNUMBER(B300),MONTH(B300),"")</f>
        <v/>
      </c>
      <c r="I300">
        <f>IFERROR(IF($B$1=0,"",IF(ISNUMBER(INDEX(貼り付け!$A$1:$BZ$3001,299,$B$1)),"",SUBSTITUTE(SUBSTITUTE(SUBSTITUTE(SUBSTITUTE(TRIM(LEFT(INDEX(貼り付け!$A$1:$BZ$3001,299,$B$1)&amp;"",FIND(" ",TRIM(INDEX(貼り付け!$A$1:$BZ$3001,299,$B$1)&amp;"")&amp;" ")-1)),"/","-"),"年","-"),"月","-"),"日",""))),"")</f>
        <v/>
      </c>
      <c r="J300">
        <f>IFERROR(MID(I300,FIND("-",I300)+1,99),"")</f>
        <v/>
      </c>
    </row>
    <row r="301">
      <c r="B301">
        <f>IFERROR(IF($B$1=0,"",IF(INDEX(貼り付け!$A$1:$BZ$3001,300,$B$1)="","",IF(ISNUMBER(INDEX(貼り付け!$A$1:$BZ$3001,300,$B$1)),INT(INDEX(貼り付け!$A$1:$BZ$3001,300,$B$1)),DATE(VALUE(LEFT(I301,FIND("-",I301)-1)),VALUE(LEFT(J301,FIND("-",J301)-1)),VALUE(MID(J301,FIND("-",J301)+1,99)))))),"")</f>
        <v/>
      </c>
      <c r="C301">
        <f>IF($C$1=0,0,IFERROR(VALUE(SUBSTITUTE(SUBSTITUTE(SUBSTITUTE(INDEX(貼り付け!$A$1:$BZ$3001,300,$C$1)&amp;"",",",""),"¥",""),"￥","")),0))</f>
        <v/>
      </c>
      <c r="D301">
        <f>IF($D$1=0,0,IFERROR(VALUE(SUBSTITUTE(SUBSTITUTE(SUBSTITUTE(INDEX(貼り付け!$A$1:$BZ$3001,300,$D$1)&amp;"",",",""),"¥",""),"￥","")),0))</f>
        <v/>
      </c>
      <c r="E301">
        <f>IF($E$1=0,0,IFERROR(VALUE(SUBSTITUTE(SUBSTITUTE(SUBSTITUTE(INDEX(貼り付け!$A$1:$BZ$3001,300,$E$1)&amp;"",",",""),"¥",""),"￥","")),0))</f>
        <v/>
      </c>
      <c r="F301">
        <f>IF($F$1=0,0,IFERROR(VALUE(SUBSTITUTE(SUBSTITUTE(SUBSTITUTE(INDEX(貼り付け!$A$1:$BZ$3001,300,$F$1)&amp;"",",",""),"¥",""),"￥","")),0))</f>
        <v/>
      </c>
      <c r="G301">
        <f>IF(ISNUMBER(B301),YEAR(B301),"")</f>
        <v/>
      </c>
      <c r="H301">
        <f>IF(ISNUMBER(B301),MONTH(B301),"")</f>
        <v/>
      </c>
      <c r="I301">
        <f>IFERROR(IF($B$1=0,"",IF(ISNUMBER(INDEX(貼り付け!$A$1:$BZ$3001,300,$B$1)),"",SUBSTITUTE(SUBSTITUTE(SUBSTITUTE(SUBSTITUTE(TRIM(LEFT(INDEX(貼り付け!$A$1:$BZ$3001,300,$B$1)&amp;"",FIND(" ",TRIM(INDEX(貼り付け!$A$1:$BZ$3001,300,$B$1)&amp;"")&amp;" ")-1)),"/","-"),"年","-"),"月","-"),"日",""))),"")</f>
        <v/>
      </c>
      <c r="J301">
        <f>IFERROR(MID(I301,FIND("-",I301)+1,99),"")</f>
        <v/>
      </c>
    </row>
    <row r="302">
      <c r="B302">
        <f>IFERROR(IF($B$1=0,"",IF(INDEX(貼り付け!$A$1:$BZ$3001,301,$B$1)="","",IF(ISNUMBER(INDEX(貼り付け!$A$1:$BZ$3001,301,$B$1)),INT(INDEX(貼り付け!$A$1:$BZ$3001,301,$B$1)),DATE(VALUE(LEFT(I302,FIND("-",I302)-1)),VALUE(LEFT(J302,FIND("-",J302)-1)),VALUE(MID(J302,FIND("-",J302)+1,99)))))),"")</f>
        <v/>
      </c>
      <c r="C302">
        <f>IF($C$1=0,0,IFERROR(VALUE(SUBSTITUTE(SUBSTITUTE(SUBSTITUTE(INDEX(貼り付け!$A$1:$BZ$3001,301,$C$1)&amp;"",",",""),"¥",""),"￥","")),0))</f>
        <v/>
      </c>
      <c r="D302">
        <f>IF($D$1=0,0,IFERROR(VALUE(SUBSTITUTE(SUBSTITUTE(SUBSTITUTE(INDEX(貼り付け!$A$1:$BZ$3001,301,$D$1)&amp;"",",",""),"¥",""),"￥","")),0))</f>
        <v/>
      </c>
      <c r="E302">
        <f>IF($E$1=0,0,IFERROR(VALUE(SUBSTITUTE(SUBSTITUTE(SUBSTITUTE(INDEX(貼り付け!$A$1:$BZ$3001,301,$E$1)&amp;"",",",""),"¥",""),"￥","")),0))</f>
        <v/>
      </c>
      <c r="F302">
        <f>IF($F$1=0,0,IFERROR(VALUE(SUBSTITUTE(SUBSTITUTE(SUBSTITUTE(INDEX(貼り付け!$A$1:$BZ$3001,301,$F$1)&amp;"",",",""),"¥",""),"￥","")),0))</f>
        <v/>
      </c>
      <c r="G302">
        <f>IF(ISNUMBER(B302),YEAR(B302),"")</f>
        <v/>
      </c>
      <c r="H302">
        <f>IF(ISNUMBER(B302),MONTH(B302),"")</f>
        <v/>
      </c>
      <c r="I302">
        <f>IFERROR(IF($B$1=0,"",IF(ISNUMBER(INDEX(貼り付け!$A$1:$BZ$3001,301,$B$1)),"",SUBSTITUTE(SUBSTITUTE(SUBSTITUTE(SUBSTITUTE(TRIM(LEFT(INDEX(貼り付け!$A$1:$BZ$3001,301,$B$1)&amp;"",FIND(" ",TRIM(INDEX(貼り付け!$A$1:$BZ$3001,301,$B$1)&amp;"")&amp;" ")-1)),"/","-"),"年","-"),"月","-"),"日",""))),"")</f>
        <v/>
      </c>
      <c r="J302">
        <f>IFERROR(MID(I302,FIND("-",I302)+1,99),"")</f>
        <v/>
      </c>
    </row>
    <row r="303">
      <c r="B303">
        <f>IFERROR(IF($B$1=0,"",IF(INDEX(貼り付け!$A$1:$BZ$3001,302,$B$1)="","",IF(ISNUMBER(INDEX(貼り付け!$A$1:$BZ$3001,302,$B$1)),INT(INDEX(貼り付け!$A$1:$BZ$3001,302,$B$1)),DATE(VALUE(LEFT(I303,FIND("-",I303)-1)),VALUE(LEFT(J303,FIND("-",J303)-1)),VALUE(MID(J303,FIND("-",J303)+1,99)))))),"")</f>
        <v/>
      </c>
      <c r="C303">
        <f>IF($C$1=0,0,IFERROR(VALUE(SUBSTITUTE(SUBSTITUTE(SUBSTITUTE(INDEX(貼り付け!$A$1:$BZ$3001,302,$C$1)&amp;"",",",""),"¥",""),"￥","")),0))</f>
        <v/>
      </c>
      <c r="D303">
        <f>IF($D$1=0,0,IFERROR(VALUE(SUBSTITUTE(SUBSTITUTE(SUBSTITUTE(INDEX(貼り付け!$A$1:$BZ$3001,302,$D$1)&amp;"",",",""),"¥",""),"￥","")),0))</f>
        <v/>
      </c>
      <c r="E303">
        <f>IF($E$1=0,0,IFERROR(VALUE(SUBSTITUTE(SUBSTITUTE(SUBSTITUTE(INDEX(貼り付け!$A$1:$BZ$3001,302,$E$1)&amp;"",",",""),"¥",""),"￥","")),0))</f>
        <v/>
      </c>
      <c r="F303">
        <f>IF($F$1=0,0,IFERROR(VALUE(SUBSTITUTE(SUBSTITUTE(SUBSTITUTE(INDEX(貼り付け!$A$1:$BZ$3001,302,$F$1)&amp;"",",",""),"¥",""),"￥","")),0))</f>
        <v/>
      </c>
      <c r="G303">
        <f>IF(ISNUMBER(B303),YEAR(B303),"")</f>
        <v/>
      </c>
      <c r="H303">
        <f>IF(ISNUMBER(B303),MONTH(B303),"")</f>
        <v/>
      </c>
      <c r="I303">
        <f>IFERROR(IF($B$1=0,"",IF(ISNUMBER(INDEX(貼り付け!$A$1:$BZ$3001,302,$B$1)),"",SUBSTITUTE(SUBSTITUTE(SUBSTITUTE(SUBSTITUTE(TRIM(LEFT(INDEX(貼り付け!$A$1:$BZ$3001,302,$B$1)&amp;"",FIND(" ",TRIM(INDEX(貼り付け!$A$1:$BZ$3001,302,$B$1)&amp;"")&amp;" ")-1)),"/","-"),"年","-"),"月","-"),"日",""))),"")</f>
        <v/>
      </c>
      <c r="J303">
        <f>IFERROR(MID(I303,FIND("-",I303)+1,99),"")</f>
        <v/>
      </c>
    </row>
    <row r="304">
      <c r="B304">
        <f>IFERROR(IF($B$1=0,"",IF(INDEX(貼り付け!$A$1:$BZ$3001,303,$B$1)="","",IF(ISNUMBER(INDEX(貼り付け!$A$1:$BZ$3001,303,$B$1)),INT(INDEX(貼り付け!$A$1:$BZ$3001,303,$B$1)),DATE(VALUE(LEFT(I304,FIND("-",I304)-1)),VALUE(LEFT(J304,FIND("-",J304)-1)),VALUE(MID(J304,FIND("-",J304)+1,99)))))),"")</f>
        <v/>
      </c>
      <c r="C304">
        <f>IF($C$1=0,0,IFERROR(VALUE(SUBSTITUTE(SUBSTITUTE(SUBSTITUTE(INDEX(貼り付け!$A$1:$BZ$3001,303,$C$1)&amp;"",",",""),"¥",""),"￥","")),0))</f>
        <v/>
      </c>
      <c r="D304">
        <f>IF($D$1=0,0,IFERROR(VALUE(SUBSTITUTE(SUBSTITUTE(SUBSTITUTE(INDEX(貼り付け!$A$1:$BZ$3001,303,$D$1)&amp;"",",",""),"¥",""),"￥","")),0))</f>
        <v/>
      </c>
      <c r="E304">
        <f>IF($E$1=0,0,IFERROR(VALUE(SUBSTITUTE(SUBSTITUTE(SUBSTITUTE(INDEX(貼り付け!$A$1:$BZ$3001,303,$E$1)&amp;"",",",""),"¥",""),"￥","")),0))</f>
        <v/>
      </c>
      <c r="F304">
        <f>IF($F$1=0,0,IFERROR(VALUE(SUBSTITUTE(SUBSTITUTE(SUBSTITUTE(INDEX(貼り付け!$A$1:$BZ$3001,303,$F$1)&amp;"",",",""),"¥",""),"￥","")),0))</f>
        <v/>
      </c>
      <c r="G304">
        <f>IF(ISNUMBER(B304),YEAR(B304),"")</f>
        <v/>
      </c>
      <c r="H304">
        <f>IF(ISNUMBER(B304),MONTH(B304),"")</f>
        <v/>
      </c>
      <c r="I304">
        <f>IFERROR(IF($B$1=0,"",IF(ISNUMBER(INDEX(貼り付け!$A$1:$BZ$3001,303,$B$1)),"",SUBSTITUTE(SUBSTITUTE(SUBSTITUTE(SUBSTITUTE(TRIM(LEFT(INDEX(貼り付け!$A$1:$BZ$3001,303,$B$1)&amp;"",FIND(" ",TRIM(INDEX(貼り付け!$A$1:$BZ$3001,303,$B$1)&amp;"")&amp;" ")-1)),"/","-"),"年","-"),"月","-"),"日",""))),"")</f>
        <v/>
      </c>
      <c r="J304">
        <f>IFERROR(MID(I304,FIND("-",I304)+1,99),"")</f>
        <v/>
      </c>
    </row>
    <row r="305">
      <c r="B305">
        <f>IFERROR(IF($B$1=0,"",IF(INDEX(貼り付け!$A$1:$BZ$3001,304,$B$1)="","",IF(ISNUMBER(INDEX(貼り付け!$A$1:$BZ$3001,304,$B$1)),INT(INDEX(貼り付け!$A$1:$BZ$3001,304,$B$1)),DATE(VALUE(LEFT(I305,FIND("-",I305)-1)),VALUE(LEFT(J305,FIND("-",J305)-1)),VALUE(MID(J305,FIND("-",J305)+1,99)))))),"")</f>
        <v/>
      </c>
      <c r="C305">
        <f>IF($C$1=0,0,IFERROR(VALUE(SUBSTITUTE(SUBSTITUTE(SUBSTITUTE(INDEX(貼り付け!$A$1:$BZ$3001,304,$C$1)&amp;"",",",""),"¥",""),"￥","")),0))</f>
        <v/>
      </c>
      <c r="D305">
        <f>IF($D$1=0,0,IFERROR(VALUE(SUBSTITUTE(SUBSTITUTE(SUBSTITUTE(INDEX(貼り付け!$A$1:$BZ$3001,304,$D$1)&amp;"",",",""),"¥",""),"￥","")),0))</f>
        <v/>
      </c>
      <c r="E305">
        <f>IF($E$1=0,0,IFERROR(VALUE(SUBSTITUTE(SUBSTITUTE(SUBSTITUTE(INDEX(貼り付け!$A$1:$BZ$3001,304,$E$1)&amp;"",",",""),"¥",""),"￥","")),0))</f>
        <v/>
      </c>
      <c r="F305">
        <f>IF($F$1=0,0,IFERROR(VALUE(SUBSTITUTE(SUBSTITUTE(SUBSTITUTE(INDEX(貼り付け!$A$1:$BZ$3001,304,$F$1)&amp;"",",",""),"¥",""),"￥","")),0))</f>
        <v/>
      </c>
      <c r="G305">
        <f>IF(ISNUMBER(B305),YEAR(B305),"")</f>
        <v/>
      </c>
      <c r="H305">
        <f>IF(ISNUMBER(B305),MONTH(B305),"")</f>
        <v/>
      </c>
      <c r="I305">
        <f>IFERROR(IF($B$1=0,"",IF(ISNUMBER(INDEX(貼り付け!$A$1:$BZ$3001,304,$B$1)),"",SUBSTITUTE(SUBSTITUTE(SUBSTITUTE(SUBSTITUTE(TRIM(LEFT(INDEX(貼り付け!$A$1:$BZ$3001,304,$B$1)&amp;"",FIND(" ",TRIM(INDEX(貼り付け!$A$1:$BZ$3001,304,$B$1)&amp;"")&amp;" ")-1)),"/","-"),"年","-"),"月","-"),"日",""))),"")</f>
        <v/>
      </c>
      <c r="J305">
        <f>IFERROR(MID(I305,FIND("-",I305)+1,99),"")</f>
        <v/>
      </c>
    </row>
    <row r="306">
      <c r="B306">
        <f>IFERROR(IF($B$1=0,"",IF(INDEX(貼り付け!$A$1:$BZ$3001,305,$B$1)="","",IF(ISNUMBER(INDEX(貼り付け!$A$1:$BZ$3001,305,$B$1)),INT(INDEX(貼り付け!$A$1:$BZ$3001,305,$B$1)),DATE(VALUE(LEFT(I306,FIND("-",I306)-1)),VALUE(LEFT(J306,FIND("-",J306)-1)),VALUE(MID(J306,FIND("-",J306)+1,99)))))),"")</f>
        <v/>
      </c>
      <c r="C306">
        <f>IF($C$1=0,0,IFERROR(VALUE(SUBSTITUTE(SUBSTITUTE(SUBSTITUTE(INDEX(貼り付け!$A$1:$BZ$3001,305,$C$1)&amp;"",",",""),"¥",""),"￥","")),0))</f>
        <v/>
      </c>
      <c r="D306">
        <f>IF($D$1=0,0,IFERROR(VALUE(SUBSTITUTE(SUBSTITUTE(SUBSTITUTE(INDEX(貼り付け!$A$1:$BZ$3001,305,$D$1)&amp;"",",",""),"¥",""),"￥","")),0))</f>
        <v/>
      </c>
      <c r="E306">
        <f>IF($E$1=0,0,IFERROR(VALUE(SUBSTITUTE(SUBSTITUTE(SUBSTITUTE(INDEX(貼り付け!$A$1:$BZ$3001,305,$E$1)&amp;"",",",""),"¥",""),"￥","")),0))</f>
        <v/>
      </c>
      <c r="F306">
        <f>IF($F$1=0,0,IFERROR(VALUE(SUBSTITUTE(SUBSTITUTE(SUBSTITUTE(INDEX(貼り付け!$A$1:$BZ$3001,305,$F$1)&amp;"",",",""),"¥",""),"￥","")),0))</f>
        <v/>
      </c>
      <c r="G306">
        <f>IF(ISNUMBER(B306),YEAR(B306),"")</f>
        <v/>
      </c>
      <c r="H306">
        <f>IF(ISNUMBER(B306),MONTH(B306),"")</f>
        <v/>
      </c>
      <c r="I306">
        <f>IFERROR(IF($B$1=0,"",IF(ISNUMBER(INDEX(貼り付け!$A$1:$BZ$3001,305,$B$1)),"",SUBSTITUTE(SUBSTITUTE(SUBSTITUTE(SUBSTITUTE(TRIM(LEFT(INDEX(貼り付け!$A$1:$BZ$3001,305,$B$1)&amp;"",FIND(" ",TRIM(INDEX(貼り付け!$A$1:$BZ$3001,305,$B$1)&amp;"")&amp;" ")-1)),"/","-"),"年","-"),"月","-"),"日",""))),"")</f>
        <v/>
      </c>
      <c r="J306">
        <f>IFERROR(MID(I306,FIND("-",I306)+1,99),"")</f>
        <v/>
      </c>
    </row>
    <row r="307">
      <c r="B307">
        <f>IFERROR(IF($B$1=0,"",IF(INDEX(貼り付け!$A$1:$BZ$3001,306,$B$1)="","",IF(ISNUMBER(INDEX(貼り付け!$A$1:$BZ$3001,306,$B$1)),INT(INDEX(貼り付け!$A$1:$BZ$3001,306,$B$1)),DATE(VALUE(LEFT(I307,FIND("-",I307)-1)),VALUE(LEFT(J307,FIND("-",J307)-1)),VALUE(MID(J307,FIND("-",J307)+1,99)))))),"")</f>
        <v/>
      </c>
      <c r="C307">
        <f>IF($C$1=0,0,IFERROR(VALUE(SUBSTITUTE(SUBSTITUTE(SUBSTITUTE(INDEX(貼り付け!$A$1:$BZ$3001,306,$C$1)&amp;"",",",""),"¥",""),"￥","")),0))</f>
        <v/>
      </c>
      <c r="D307">
        <f>IF($D$1=0,0,IFERROR(VALUE(SUBSTITUTE(SUBSTITUTE(SUBSTITUTE(INDEX(貼り付け!$A$1:$BZ$3001,306,$D$1)&amp;"",",",""),"¥",""),"￥","")),0))</f>
        <v/>
      </c>
      <c r="E307">
        <f>IF($E$1=0,0,IFERROR(VALUE(SUBSTITUTE(SUBSTITUTE(SUBSTITUTE(INDEX(貼り付け!$A$1:$BZ$3001,306,$E$1)&amp;"",",",""),"¥",""),"￥","")),0))</f>
        <v/>
      </c>
      <c r="F307">
        <f>IF($F$1=0,0,IFERROR(VALUE(SUBSTITUTE(SUBSTITUTE(SUBSTITUTE(INDEX(貼り付け!$A$1:$BZ$3001,306,$F$1)&amp;"",",",""),"¥",""),"￥","")),0))</f>
        <v/>
      </c>
      <c r="G307">
        <f>IF(ISNUMBER(B307),YEAR(B307),"")</f>
        <v/>
      </c>
      <c r="H307">
        <f>IF(ISNUMBER(B307),MONTH(B307),"")</f>
        <v/>
      </c>
      <c r="I307">
        <f>IFERROR(IF($B$1=0,"",IF(ISNUMBER(INDEX(貼り付け!$A$1:$BZ$3001,306,$B$1)),"",SUBSTITUTE(SUBSTITUTE(SUBSTITUTE(SUBSTITUTE(TRIM(LEFT(INDEX(貼り付け!$A$1:$BZ$3001,306,$B$1)&amp;"",FIND(" ",TRIM(INDEX(貼り付け!$A$1:$BZ$3001,306,$B$1)&amp;"")&amp;" ")-1)),"/","-"),"年","-"),"月","-"),"日",""))),"")</f>
        <v/>
      </c>
      <c r="J307">
        <f>IFERROR(MID(I307,FIND("-",I307)+1,99),"")</f>
        <v/>
      </c>
    </row>
    <row r="308">
      <c r="B308">
        <f>IFERROR(IF($B$1=0,"",IF(INDEX(貼り付け!$A$1:$BZ$3001,307,$B$1)="","",IF(ISNUMBER(INDEX(貼り付け!$A$1:$BZ$3001,307,$B$1)),INT(INDEX(貼り付け!$A$1:$BZ$3001,307,$B$1)),DATE(VALUE(LEFT(I308,FIND("-",I308)-1)),VALUE(LEFT(J308,FIND("-",J308)-1)),VALUE(MID(J308,FIND("-",J308)+1,99)))))),"")</f>
        <v/>
      </c>
      <c r="C308">
        <f>IF($C$1=0,0,IFERROR(VALUE(SUBSTITUTE(SUBSTITUTE(SUBSTITUTE(INDEX(貼り付け!$A$1:$BZ$3001,307,$C$1)&amp;"",",",""),"¥",""),"￥","")),0))</f>
        <v/>
      </c>
      <c r="D308">
        <f>IF($D$1=0,0,IFERROR(VALUE(SUBSTITUTE(SUBSTITUTE(SUBSTITUTE(INDEX(貼り付け!$A$1:$BZ$3001,307,$D$1)&amp;"",",",""),"¥",""),"￥","")),0))</f>
        <v/>
      </c>
      <c r="E308">
        <f>IF($E$1=0,0,IFERROR(VALUE(SUBSTITUTE(SUBSTITUTE(SUBSTITUTE(INDEX(貼り付け!$A$1:$BZ$3001,307,$E$1)&amp;"",",",""),"¥",""),"￥","")),0))</f>
        <v/>
      </c>
      <c r="F308">
        <f>IF($F$1=0,0,IFERROR(VALUE(SUBSTITUTE(SUBSTITUTE(SUBSTITUTE(INDEX(貼り付け!$A$1:$BZ$3001,307,$F$1)&amp;"",",",""),"¥",""),"￥","")),0))</f>
        <v/>
      </c>
      <c r="G308">
        <f>IF(ISNUMBER(B308),YEAR(B308),"")</f>
        <v/>
      </c>
      <c r="H308">
        <f>IF(ISNUMBER(B308),MONTH(B308),"")</f>
        <v/>
      </c>
      <c r="I308">
        <f>IFERROR(IF($B$1=0,"",IF(ISNUMBER(INDEX(貼り付け!$A$1:$BZ$3001,307,$B$1)),"",SUBSTITUTE(SUBSTITUTE(SUBSTITUTE(SUBSTITUTE(TRIM(LEFT(INDEX(貼り付け!$A$1:$BZ$3001,307,$B$1)&amp;"",FIND(" ",TRIM(INDEX(貼り付け!$A$1:$BZ$3001,307,$B$1)&amp;"")&amp;" ")-1)),"/","-"),"年","-"),"月","-"),"日",""))),"")</f>
        <v/>
      </c>
      <c r="J308">
        <f>IFERROR(MID(I308,FIND("-",I308)+1,99),"")</f>
        <v/>
      </c>
    </row>
    <row r="309">
      <c r="B309">
        <f>IFERROR(IF($B$1=0,"",IF(INDEX(貼り付け!$A$1:$BZ$3001,308,$B$1)="","",IF(ISNUMBER(INDEX(貼り付け!$A$1:$BZ$3001,308,$B$1)),INT(INDEX(貼り付け!$A$1:$BZ$3001,308,$B$1)),DATE(VALUE(LEFT(I309,FIND("-",I309)-1)),VALUE(LEFT(J309,FIND("-",J309)-1)),VALUE(MID(J309,FIND("-",J309)+1,99)))))),"")</f>
        <v/>
      </c>
      <c r="C309">
        <f>IF($C$1=0,0,IFERROR(VALUE(SUBSTITUTE(SUBSTITUTE(SUBSTITUTE(INDEX(貼り付け!$A$1:$BZ$3001,308,$C$1)&amp;"",",",""),"¥",""),"￥","")),0))</f>
        <v/>
      </c>
      <c r="D309">
        <f>IF($D$1=0,0,IFERROR(VALUE(SUBSTITUTE(SUBSTITUTE(SUBSTITUTE(INDEX(貼り付け!$A$1:$BZ$3001,308,$D$1)&amp;"",",",""),"¥",""),"￥","")),0))</f>
        <v/>
      </c>
      <c r="E309">
        <f>IF($E$1=0,0,IFERROR(VALUE(SUBSTITUTE(SUBSTITUTE(SUBSTITUTE(INDEX(貼り付け!$A$1:$BZ$3001,308,$E$1)&amp;"",",",""),"¥",""),"￥","")),0))</f>
        <v/>
      </c>
      <c r="F309">
        <f>IF($F$1=0,0,IFERROR(VALUE(SUBSTITUTE(SUBSTITUTE(SUBSTITUTE(INDEX(貼り付け!$A$1:$BZ$3001,308,$F$1)&amp;"",",",""),"¥",""),"￥","")),0))</f>
        <v/>
      </c>
      <c r="G309">
        <f>IF(ISNUMBER(B309),YEAR(B309),"")</f>
        <v/>
      </c>
      <c r="H309">
        <f>IF(ISNUMBER(B309),MONTH(B309),"")</f>
        <v/>
      </c>
      <c r="I309">
        <f>IFERROR(IF($B$1=0,"",IF(ISNUMBER(INDEX(貼り付け!$A$1:$BZ$3001,308,$B$1)),"",SUBSTITUTE(SUBSTITUTE(SUBSTITUTE(SUBSTITUTE(TRIM(LEFT(INDEX(貼り付け!$A$1:$BZ$3001,308,$B$1)&amp;"",FIND(" ",TRIM(INDEX(貼り付け!$A$1:$BZ$3001,308,$B$1)&amp;"")&amp;" ")-1)),"/","-"),"年","-"),"月","-"),"日",""))),"")</f>
        <v/>
      </c>
      <c r="J309">
        <f>IFERROR(MID(I309,FIND("-",I309)+1,99),"")</f>
        <v/>
      </c>
    </row>
    <row r="310">
      <c r="B310">
        <f>IFERROR(IF($B$1=0,"",IF(INDEX(貼り付け!$A$1:$BZ$3001,309,$B$1)="","",IF(ISNUMBER(INDEX(貼り付け!$A$1:$BZ$3001,309,$B$1)),INT(INDEX(貼り付け!$A$1:$BZ$3001,309,$B$1)),DATE(VALUE(LEFT(I310,FIND("-",I310)-1)),VALUE(LEFT(J310,FIND("-",J310)-1)),VALUE(MID(J310,FIND("-",J310)+1,99)))))),"")</f>
        <v/>
      </c>
      <c r="C310">
        <f>IF($C$1=0,0,IFERROR(VALUE(SUBSTITUTE(SUBSTITUTE(SUBSTITUTE(INDEX(貼り付け!$A$1:$BZ$3001,309,$C$1)&amp;"",",",""),"¥",""),"￥","")),0))</f>
        <v/>
      </c>
      <c r="D310">
        <f>IF($D$1=0,0,IFERROR(VALUE(SUBSTITUTE(SUBSTITUTE(SUBSTITUTE(INDEX(貼り付け!$A$1:$BZ$3001,309,$D$1)&amp;"",",",""),"¥",""),"￥","")),0))</f>
        <v/>
      </c>
      <c r="E310">
        <f>IF($E$1=0,0,IFERROR(VALUE(SUBSTITUTE(SUBSTITUTE(SUBSTITUTE(INDEX(貼り付け!$A$1:$BZ$3001,309,$E$1)&amp;"",",",""),"¥",""),"￥","")),0))</f>
        <v/>
      </c>
      <c r="F310">
        <f>IF($F$1=0,0,IFERROR(VALUE(SUBSTITUTE(SUBSTITUTE(SUBSTITUTE(INDEX(貼り付け!$A$1:$BZ$3001,309,$F$1)&amp;"",",",""),"¥",""),"￥","")),0))</f>
        <v/>
      </c>
      <c r="G310">
        <f>IF(ISNUMBER(B310),YEAR(B310),"")</f>
        <v/>
      </c>
      <c r="H310">
        <f>IF(ISNUMBER(B310),MONTH(B310),"")</f>
        <v/>
      </c>
      <c r="I310">
        <f>IFERROR(IF($B$1=0,"",IF(ISNUMBER(INDEX(貼り付け!$A$1:$BZ$3001,309,$B$1)),"",SUBSTITUTE(SUBSTITUTE(SUBSTITUTE(SUBSTITUTE(TRIM(LEFT(INDEX(貼り付け!$A$1:$BZ$3001,309,$B$1)&amp;"",FIND(" ",TRIM(INDEX(貼り付け!$A$1:$BZ$3001,309,$B$1)&amp;"")&amp;" ")-1)),"/","-"),"年","-"),"月","-"),"日",""))),"")</f>
        <v/>
      </c>
      <c r="J310">
        <f>IFERROR(MID(I310,FIND("-",I310)+1,99),"")</f>
        <v/>
      </c>
    </row>
    <row r="311">
      <c r="B311">
        <f>IFERROR(IF($B$1=0,"",IF(INDEX(貼り付け!$A$1:$BZ$3001,310,$B$1)="","",IF(ISNUMBER(INDEX(貼り付け!$A$1:$BZ$3001,310,$B$1)),INT(INDEX(貼り付け!$A$1:$BZ$3001,310,$B$1)),DATE(VALUE(LEFT(I311,FIND("-",I311)-1)),VALUE(LEFT(J311,FIND("-",J311)-1)),VALUE(MID(J311,FIND("-",J311)+1,99)))))),"")</f>
        <v/>
      </c>
      <c r="C311">
        <f>IF($C$1=0,0,IFERROR(VALUE(SUBSTITUTE(SUBSTITUTE(SUBSTITUTE(INDEX(貼り付け!$A$1:$BZ$3001,310,$C$1)&amp;"",",",""),"¥",""),"￥","")),0))</f>
        <v/>
      </c>
      <c r="D311">
        <f>IF($D$1=0,0,IFERROR(VALUE(SUBSTITUTE(SUBSTITUTE(SUBSTITUTE(INDEX(貼り付け!$A$1:$BZ$3001,310,$D$1)&amp;"",",",""),"¥",""),"￥","")),0))</f>
        <v/>
      </c>
      <c r="E311">
        <f>IF($E$1=0,0,IFERROR(VALUE(SUBSTITUTE(SUBSTITUTE(SUBSTITUTE(INDEX(貼り付け!$A$1:$BZ$3001,310,$E$1)&amp;"",",",""),"¥",""),"￥","")),0))</f>
        <v/>
      </c>
      <c r="F311">
        <f>IF($F$1=0,0,IFERROR(VALUE(SUBSTITUTE(SUBSTITUTE(SUBSTITUTE(INDEX(貼り付け!$A$1:$BZ$3001,310,$F$1)&amp;"",",",""),"¥",""),"￥","")),0))</f>
        <v/>
      </c>
      <c r="G311">
        <f>IF(ISNUMBER(B311),YEAR(B311),"")</f>
        <v/>
      </c>
      <c r="H311">
        <f>IF(ISNUMBER(B311),MONTH(B311),"")</f>
        <v/>
      </c>
      <c r="I311">
        <f>IFERROR(IF($B$1=0,"",IF(ISNUMBER(INDEX(貼り付け!$A$1:$BZ$3001,310,$B$1)),"",SUBSTITUTE(SUBSTITUTE(SUBSTITUTE(SUBSTITUTE(TRIM(LEFT(INDEX(貼り付け!$A$1:$BZ$3001,310,$B$1)&amp;"",FIND(" ",TRIM(INDEX(貼り付け!$A$1:$BZ$3001,310,$B$1)&amp;"")&amp;" ")-1)),"/","-"),"年","-"),"月","-"),"日",""))),"")</f>
        <v/>
      </c>
      <c r="J311">
        <f>IFERROR(MID(I311,FIND("-",I311)+1,99),"")</f>
        <v/>
      </c>
    </row>
    <row r="312">
      <c r="B312">
        <f>IFERROR(IF($B$1=0,"",IF(INDEX(貼り付け!$A$1:$BZ$3001,311,$B$1)="","",IF(ISNUMBER(INDEX(貼り付け!$A$1:$BZ$3001,311,$B$1)),INT(INDEX(貼り付け!$A$1:$BZ$3001,311,$B$1)),DATE(VALUE(LEFT(I312,FIND("-",I312)-1)),VALUE(LEFT(J312,FIND("-",J312)-1)),VALUE(MID(J312,FIND("-",J312)+1,99)))))),"")</f>
        <v/>
      </c>
      <c r="C312">
        <f>IF($C$1=0,0,IFERROR(VALUE(SUBSTITUTE(SUBSTITUTE(SUBSTITUTE(INDEX(貼り付け!$A$1:$BZ$3001,311,$C$1)&amp;"",",",""),"¥",""),"￥","")),0))</f>
        <v/>
      </c>
      <c r="D312">
        <f>IF($D$1=0,0,IFERROR(VALUE(SUBSTITUTE(SUBSTITUTE(SUBSTITUTE(INDEX(貼り付け!$A$1:$BZ$3001,311,$D$1)&amp;"",",",""),"¥",""),"￥","")),0))</f>
        <v/>
      </c>
      <c r="E312">
        <f>IF($E$1=0,0,IFERROR(VALUE(SUBSTITUTE(SUBSTITUTE(SUBSTITUTE(INDEX(貼り付け!$A$1:$BZ$3001,311,$E$1)&amp;"",",",""),"¥",""),"￥","")),0))</f>
        <v/>
      </c>
      <c r="F312">
        <f>IF($F$1=0,0,IFERROR(VALUE(SUBSTITUTE(SUBSTITUTE(SUBSTITUTE(INDEX(貼り付け!$A$1:$BZ$3001,311,$F$1)&amp;"",",",""),"¥",""),"￥","")),0))</f>
        <v/>
      </c>
      <c r="G312">
        <f>IF(ISNUMBER(B312),YEAR(B312),"")</f>
        <v/>
      </c>
      <c r="H312">
        <f>IF(ISNUMBER(B312),MONTH(B312),"")</f>
        <v/>
      </c>
      <c r="I312">
        <f>IFERROR(IF($B$1=0,"",IF(ISNUMBER(INDEX(貼り付け!$A$1:$BZ$3001,311,$B$1)),"",SUBSTITUTE(SUBSTITUTE(SUBSTITUTE(SUBSTITUTE(TRIM(LEFT(INDEX(貼り付け!$A$1:$BZ$3001,311,$B$1)&amp;"",FIND(" ",TRIM(INDEX(貼り付け!$A$1:$BZ$3001,311,$B$1)&amp;"")&amp;" ")-1)),"/","-"),"年","-"),"月","-"),"日",""))),"")</f>
        <v/>
      </c>
      <c r="J312">
        <f>IFERROR(MID(I312,FIND("-",I312)+1,99),"")</f>
        <v/>
      </c>
    </row>
    <row r="313">
      <c r="B313">
        <f>IFERROR(IF($B$1=0,"",IF(INDEX(貼り付け!$A$1:$BZ$3001,312,$B$1)="","",IF(ISNUMBER(INDEX(貼り付け!$A$1:$BZ$3001,312,$B$1)),INT(INDEX(貼り付け!$A$1:$BZ$3001,312,$B$1)),DATE(VALUE(LEFT(I313,FIND("-",I313)-1)),VALUE(LEFT(J313,FIND("-",J313)-1)),VALUE(MID(J313,FIND("-",J313)+1,99)))))),"")</f>
        <v/>
      </c>
      <c r="C313">
        <f>IF($C$1=0,0,IFERROR(VALUE(SUBSTITUTE(SUBSTITUTE(SUBSTITUTE(INDEX(貼り付け!$A$1:$BZ$3001,312,$C$1)&amp;"",",",""),"¥",""),"￥","")),0))</f>
        <v/>
      </c>
      <c r="D313">
        <f>IF($D$1=0,0,IFERROR(VALUE(SUBSTITUTE(SUBSTITUTE(SUBSTITUTE(INDEX(貼り付け!$A$1:$BZ$3001,312,$D$1)&amp;"",",",""),"¥",""),"￥","")),0))</f>
        <v/>
      </c>
      <c r="E313">
        <f>IF($E$1=0,0,IFERROR(VALUE(SUBSTITUTE(SUBSTITUTE(SUBSTITUTE(INDEX(貼り付け!$A$1:$BZ$3001,312,$E$1)&amp;"",",",""),"¥",""),"￥","")),0))</f>
        <v/>
      </c>
      <c r="F313">
        <f>IF($F$1=0,0,IFERROR(VALUE(SUBSTITUTE(SUBSTITUTE(SUBSTITUTE(INDEX(貼り付け!$A$1:$BZ$3001,312,$F$1)&amp;"",",",""),"¥",""),"￥","")),0))</f>
        <v/>
      </c>
      <c r="G313">
        <f>IF(ISNUMBER(B313),YEAR(B313),"")</f>
        <v/>
      </c>
      <c r="H313">
        <f>IF(ISNUMBER(B313),MONTH(B313),"")</f>
        <v/>
      </c>
      <c r="I313">
        <f>IFERROR(IF($B$1=0,"",IF(ISNUMBER(INDEX(貼り付け!$A$1:$BZ$3001,312,$B$1)),"",SUBSTITUTE(SUBSTITUTE(SUBSTITUTE(SUBSTITUTE(TRIM(LEFT(INDEX(貼り付け!$A$1:$BZ$3001,312,$B$1)&amp;"",FIND(" ",TRIM(INDEX(貼り付け!$A$1:$BZ$3001,312,$B$1)&amp;"")&amp;" ")-1)),"/","-"),"年","-"),"月","-"),"日",""))),"")</f>
        <v/>
      </c>
      <c r="J313">
        <f>IFERROR(MID(I313,FIND("-",I313)+1,99),"")</f>
        <v/>
      </c>
    </row>
    <row r="314">
      <c r="B314">
        <f>IFERROR(IF($B$1=0,"",IF(INDEX(貼り付け!$A$1:$BZ$3001,313,$B$1)="","",IF(ISNUMBER(INDEX(貼り付け!$A$1:$BZ$3001,313,$B$1)),INT(INDEX(貼り付け!$A$1:$BZ$3001,313,$B$1)),DATE(VALUE(LEFT(I314,FIND("-",I314)-1)),VALUE(LEFT(J314,FIND("-",J314)-1)),VALUE(MID(J314,FIND("-",J314)+1,99)))))),"")</f>
        <v/>
      </c>
      <c r="C314">
        <f>IF($C$1=0,0,IFERROR(VALUE(SUBSTITUTE(SUBSTITUTE(SUBSTITUTE(INDEX(貼り付け!$A$1:$BZ$3001,313,$C$1)&amp;"",",",""),"¥",""),"￥","")),0))</f>
        <v/>
      </c>
      <c r="D314">
        <f>IF($D$1=0,0,IFERROR(VALUE(SUBSTITUTE(SUBSTITUTE(SUBSTITUTE(INDEX(貼り付け!$A$1:$BZ$3001,313,$D$1)&amp;"",",",""),"¥",""),"￥","")),0))</f>
        <v/>
      </c>
      <c r="E314">
        <f>IF($E$1=0,0,IFERROR(VALUE(SUBSTITUTE(SUBSTITUTE(SUBSTITUTE(INDEX(貼り付け!$A$1:$BZ$3001,313,$E$1)&amp;"",",",""),"¥",""),"￥","")),0))</f>
        <v/>
      </c>
      <c r="F314">
        <f>IF($F$1=0,0,IFERROR(VALUE(SUBSTITUTE(SUBSTITUTE(SUBSTITUTE(INDEX(貼り付け!$A$1:$BZ$3001,313,$F$1)&amp;"",",",""),"¥",""),"￥","")),0))</f>
        <v/>
      </c>
      <c r="G314">
        <f>IF(ISNUMBER(B314),YEAR(B314),"")</f>
        <v/>
      </c>
      <c r="H314">
        <f>IF(ISNUMBER(B314),MONTH(B314),"")</f>
        <v/>
      </c>
      <c r="I314">
        <f>IFERROR(IF($B$1=0,"",IF(ISNUMBER(INDEX(貼り付け!$A$1:$BZ$3001,313,$B$1)),"",SUBSTITUTE(SUBSTITUTE(SUBSTITUTE(SUBSTITUTE(TRIM(LEFT(INDEX(貼り付け!$A$1:$BZ$3001,313,$B$1)&amp;"",FIND(" ",TRIM(INDEX(貼り付け!$A$1:$BZ$3001,313,$B$1)&amp;"")&amp;" ")-1)),"/","-"),"年","-"),"月","-"),"日",""))),"")</f>
        <v/>
      </c>
      <c r="J314">
        <f>IFERROR(MID(I314,FIND("-",I314)+1,99),"")</f>
        <v/>
      </c>
    </row>
    <row r="315">
      <c r="B315">
        <f>IFERROR(IF($B$1=0,"",IF(INDEX(貼り付け!$A$1:$BZ$3001,314,$B$1)="","",IF(ISNUMBER(INDEX(貼り付け!$A$1:$BZ$3001,314,$B$1)),INT(INDEX(貼り付け!$A$1:$BZ$3001,314,$B$1)),DATE(VALUE(LEFT(I315,FIND("-",I315)-1)),VALUE(LEFT(J315,FIND("-",J315)-1)),VALUE(MID(J315,FIND("-",J315)+1,99)))))),"")</f>
        <v/>
      </c>
      <c r="C315">
        <f>IF($C$1=0,0,IFERROR(VALUE(SUBSTITUTE(SUBSTITUTE(SUBSTITUTE(INDEX(貼り付け!$A$1:$BZ$3001,314,$C$1)&amp;"",",",""),"¥",""),"￥","")),0))</f>
        <v/>
      </c>
      <c r="D315">
        <f>IF($D$1=0,0,IFERROR(VALUE(SUBSTITUTE(SUBSTITUTE(SUBSTITUTE(INDEX(貼り付け!$A$1:$BZ$3001,314,$D$1)&amp;"",",",""),"¥",""),"￥","")),0))</f>
        <v/>
      </c>
      <c r="E315">
        <f>IF($E$1=0,0,IFERROR(VALUE(SUBSTITUTE(SUBSTITUTE(SUBSTITUTE(INDEX(貼り付け!$A$1:$BZ$3001,314,$E$1)&amp;"",",",""),"¥",""),"￥","")),0))</f>
        <v/>
      </c>
      <c r="F315">
        <f>IF($F$1=0,0,IFERROR(VALUE(SUBSTITUTE(SUBSTITUTE(SUBSTITUTE(INDEX(貼り付け!$A$1:$BZ$3001,314,$F$1)&amp;"",",",""),"¥",""),"￥","")),0))</f>
        <v/>
      </c>
      <c r="G315">
        <f>IF(ISNUMBER(B315),YEAR(B315),"")</f>
        <v/>
      </c>
      <c r="H315">
        <f>IF(ISNUMBER(B315),MONTH(B315),"")</f>
        <v/>
      </c>
      <c r="I315">
        <f>IFERROR(IF($B$1=0,"",IF(ISNUMBER(INDEX(貼り付け!$A$1:$BZ$3001,314,$B$1)),"",SUBSTITUTE(SUBSTITUTE(SUBSTITUTE(SUBSTITUTE(TRIM(LEFT(INDEX(貼り付け!$A$1:$BZ$3001,314,$B$1)&amp;"",FIND(" ",TRIM(INDEX(貼り付け!$A$1:$BZ$3001,314,$B$1)&amp;"")&amp;" ")-1)),"/","-"),"年","-"),"月","-"),"日",""))),"")</f>
        <v/>
      </c>
      <c r="J315">
        <f>IFERROR(MID(I315,FIND("-",I315)+1,99),"")</f>
        <v/>
      </c>
    </row>
    <row r="316">
      <c r="B316">
        <f>IFERROR(IF($B$1=0,"",IF(INDEX(貼り付け!$A$1:$BZ$3001,315,$B$1)="","",IF(ISNUMBER(INDEX(貼り付け!$A$1:$BZ$3001,315,$B$1)),INT(INDEX(貼り付け!$A$1:$BZ$3001,315,$B$1)),DATE(VALUE(LEFT(I316,FIND("-",I316)-1)),VALUE(LEFT(J316,FIND("-",J316)-1)),VALUE(MID(J316,FIND("-",J316)+1,99)))))),"")</f>
        <v/>
      </c>
      <c r="C316">
        <f>IF($C$1=0,0,IFERROR(VALUE(SUBSTITUTE(SUBSTITUTE(SUBSTITUTE(INDEX(貼り付け!$A$1:$BZ$3001,315,$C$1)&amp;"",",",""),"¥",""),"￥","")),0))</f>
        <v/>
      </c>
      <c r="D316">
        <f>IF($D$1=0,0,IFERROR(VALUE(SUBSTITUTE(SUBSTITUTE(SUBSTITUTE(INDEX(貼り付け!$A$1:$BZ$3001,315,$D$1)&amp;"",",",""),"¥",""),"￥","")),0))</f>
        <v/>
      </c>
      <c r="E316">
        <f>IF($E$1=0,0,IFERROR(VALUE(SUBSTITUTE(SUBSTITUTE(SUBSTITUTE(INDEX(貼り付け!$A$1:$BZ$3001,315,$E$1)&amp;"",",",""),"¥",""),"￥","")),0))</f>
        <v/>
      </c>
      <c r="F316">
        <f>IF($F$1=0,0,IFERROR(VALUE(SUBSTITUTE(SUBSTITUTE(SUBSTITUTE(INDEX(貼り付け!$A$1:$BZ$3001,315,$F$1)&amp;"",",",""),"¥",""),"￥","")),0))</f>
        <v/>
      </c>
      <c r="G316">
        <f>IF(ISNUMBER(B316),YEAR(B316),"")</f>
        <v/>
      </c>
      <c r="H316">
        <f>IF(ISNUMBER(B316),MONTH(B316),"")</f>
        <v/>
      </c>
      <c r="I316">
        <f>IFERROR(IF($B$1=0,"",IF(ISNUMBER(INDEX(貼り付け!$A$1:$BZ$3001,315,$B$1)),"",SUBSTITUTE(SUBSTITUTE(SUBSTITUTE(SUBSTITUTE(TRIM(LEFT(INDEX(貼り付け!$A$1:$BZ$3001,315,$B$1)&amp;"",FIND(" ",TRIM(INDEX(貼り付け!$A$1:$BZ$3001,315,$B$1)&amp;"")&amp;" ")-1)),"/","-"),"年","-"),"月","-"),"日",""))),"")</f>
        <v/>
      </c>
      <c r="J316">
        <f>IFERROR(MID(I316,FIND("-",I316)+1,99),"")</f>
        <v/>
      </c>
    </row>
    <row r="317">
      <c r="B317">
        <f>IFERROR(IF($B$1=0,"",IF(INDEX(貼り付け!$A$1:$BZ$3001,316,$B$1)="","",IF(ISNUMBER(INDEX(貼り付け!$A$1:$BZ$3001,316,$B$1)),INT(INDEX(貼り付け!$A$1:$BZ$3001,316,$B$1)),DATE(VALUE(LEFT(I317,FIND("-",I317)-1)),VALUE(LEFT(J317,FIND("-",J317)-1)),VALUE(MID(J317,FIND("-",J317)+1,99)))))),"")</f>
        <v/>
      </c>
      <c r="C317">
        <f>IF($C$1=0,0,IFERROR(VALUE(SUBSTITUTE(SUBSTITUTE(SUBSTITUTE(INDEX(貼り付け!$A$1:$BZ$3001,316,$C$1)&amp;"",",",""),"¥",""),"￥","")),0))</f>
        <v/>
      </c>
      <c r="D317">
        <f>IF($D$1=0,0,IFERROR(VALUE(SUBSTITUTE(SUBSTITUTE(SUBSTITUTE(INDEX(貼り付け!$A$1:$BZ$3001,316,$D$1)&amp;"",",",""),"¥",""),"￥","")),0))</f>
        <v/>
      </c>
      <c r="E317">
        <f>IF($E$1=0,0,IFERROR(VALUE(SUBSTITUTE(SUBSTITUTE(SUBSTITUTE(INDEX(貼り付け!$A$1:$BZ$3001,316,$E$1)&amp;"",",",""),"¥",""),"￥","")),0))</f>
        <v/>
      </c>
      <c r="F317">
        <f>IF($F$1=0,0,IFERROR(VALUE(SUBSTITUTE(SUBSTITUTE(SUBSTITUTE(INDEX(貼り付け!$A$1:$BZ$3001,316,$F$1)&amp;"",",",""),"¥",""),"￥","")),0))</f>
        <v/>
      </c>
      <c r="G317">
        <f>IF(ISNUMBER(B317),YEAR(B317),"")</f>
        <v/>
      </c>
      <c r="H317">
        <f>IF(ISNUMBER(B317),MONTH(B317),"")</f>
        <v/>
      </c>
      <c r="I317">
        <f>IFERROR(IF($B$1=0,"",IF(ISNUMBER(INDEX(貼り付け!$A$1:$BZ$3001,316,$B$1)),"",SUBSTITUTE(SUBSTITUTE(SUBSTITUTE(SUBSTITUTE(TRIM(LEFT(INDEX(貼り付け!$A$1:$BZ$3001,316,$B$1)&amp;"",FIND(" ",TRIM(INDEX(貼り付け!$A$1:$BZ$3001,316,$B$1)&amp;"")&amp;" ")-1)),"/","-"),"年","-"),"月","-"),"日",""))),"")</f>
        <v/>
      </c>
      <c r="J317">
        <f>IFERROR(MID(I317,FIND("-",I317)+1,99),"")</f>
        <v/>
      </c>
    </row>
    <row r="318">
      <c r="B318">
        <f>IFERROR(IF($B$1=0,"",IF(INDEX(貼り付け!$A$1:$BZ$3001,317,$B$1)="","",IF(ISNUMBER(INDEX(貼り付け!$A$1:$BZ$3001,317,$B$1)),INT(INDEX(貼り付け!$A$1:$BZ$3001,317,$B$1)),DATE(VALUE(LEFT(I318,FIND("-",I318)-1)),VALUE(LEFT(J318,FIND("-",J318)-1)),VALUE(MID(J318,FIND("-",J318)+1,99)))))),"")</f>
        <v/>
      </c>
      <c r="C318">
        <f>IF($C$1=0,0,IFERROR(VALUE(SUBSTITUTE(SUBSTITUTE(SUBSTITUTE(INDEX(貼り付け!$A$1:$BZ$3001,317,$C$1)&amp;"",",",""),"¥",""),"￥","")),0))</f>
        <v/>
      </c>
      <c r="D318">
        <f>IF($D$1=0,0,IFERROR(VALUE(SUBSTITUTE(SUBSTITUTE(SUBSTITUTE(INDEX(貼り付け!$A$1:$BZ$3001,317,$D$1)&amp;"",",",""),"¥",""),"￥","")),0))</f>
        <v/>
      </c>
      <c r="E318">
        <f>IF($E$1=0,0,IFERROR(VALUE(SUBSTITUTE(SUBSTITUTE(SUBSTITUTE(INDEX(貼り付け!$A$1:$BZ$3001,317,$E$1)&amp;"",",",""),"¥",""),"￥","")),0))</f>
        <v/>
      </c>
      <c r="F318">
        <f>IF($F$1=0,0,IFERROR(VALUE(SUBSTITUTE(SUBSTITUTE(SUBSTITUTE(INDEX(貼り付け!$A$1:$BZ$3001,317,$F$1)&amp;"",",",""),"¥",""),"￥","")),0))</f>
        <v/>
      </c>
      <c r="G318">
        <f>IF(ISNUMBER(B318),YEAR(B318),"")</f>
        <v/>
      </c>
      <c r="H318">
        <f>IF(ISNUMBER(B318),MONTH(B318),"")</f>
        <v/>
      </c>
      <c r="I318">
        <f>IFERROR(IF($B$1=0,"",IF(ISNUMBER(INDEX(貼り付け!$A$1:$BZ$3001,317,$B$1)),"",SUBSTITUTE(SUBSTITUTE(SUBSTITUTE(SUBSTITUTE(TRIM(LEFT(INDEX(貼り付け!$A$1:$BZ$3001,317,$B$1)&amp;"",FIND(" ",TRIM(INDEX(貼り付け!$A$1:$BZ$3001,317,$B$1)&amp;"")&amp;" ")-1)),"/","-"),"年","-"),"月","-"),"日",""))),"")</f>
        <v/>
      </c>
      <c r="J318">
        <f>IFERROR(MID(I318,FIND("-",I318)+1,99),"")</f>
        <v/>
      </c>
    </row>
    <row r="319">
      <c r="B319">
        <f>IFERROR(IF($B$1=0,"",IF(INDEX(貼り付け!$A$1:$BZ$3001,318,$B$1)="","",IF(ISNUMBER(INDEX(貼り付け!$A$1:$BZ$3001,318,$B$1)),INT(INDEX(貼り付け!$A$1:$BZ$3001,318,$B$1)),DATE(VALUE(LEFT(I319,FIND("-",I319)-1)),VALUE(LEFT(J319,FIND("-",J319)-1)),VALUE(MID(J319,FIND("-",J319)+1,99)))))),"")</f>
        <v/>
      </c>
      <c r="C319">
        <f>IF($C$1=0,0,IFERROR(VALUE(SUBSTITUTE(SUBSTITUTE(SUBSTITUTE(INDEX(貼り付け!$A$1:$BZ$3001,318,$C$1)&amp;"",",",""),"¥",""),"￥","")),0))</f>
        <v/>
      </c>
      <c r="D319">
        <f>IF($D$1=0,0,IFERROR(VALUE(SUBSTITUTE(SUBSTITUTE(SUBSTITUTE(INDEX(貼り付け!$A$1:$BZ$3001,318,$D$1)&amp;"",",",""),"¥",""),"￥","")),0))</f>
        <v/>
      </c>
      <c r="E319">
        <f>IF($E$1=0,0,IFERROR(VALUE(SUBSTITUTE(SUBSTITUTE(SUBSTITUTE(INDEX(貼り付け!$A$1:$BZ$3001,318,$E$1)&amp;"",",",""),"¥",""),"￥","")),0))</f>
        <v/>
      </c>
      <c r="F319">
        <f>IF($F$1=0,0,IFERROR(VALUE(SUBSTITUTE(SUBSTITUTE(SUBSTITUTE(INDEX(貼り付け!$A$1:$BZ$3001,318,$F$1)&amp;"",",",""),"¥",""),"￥","")),0))</f>
        <v/>
      </c>
      <c r="G319">
        <f>IF(ISNUMBER(B319),YEAR(B319),"")</f>
        <v/>
      </c>
      <c r="H319">
        <f>IF(ISNUMBER(B319),MONTH(B319),"")</f>
        <v/>
      </c>
      <c r="I319">
        <f>IFERROR(IF($B$1=0,"",IF(ISNUMBER(INDEX(貼り付け!$A$1:$BZ$3001,318,$B$1)),"",SUBSTITUTE(SUBSTITUTE(SUBSTITUTE(SUBSTITUTE(TRIM(LEFT(INDEX(貼り付け!$A$1:$BZ$3001,318,$B$1)&amp;"",FIND(" ",TRIM(INDEX(貼り付け!$A$1:$BZ$3001,318,$B$1)&amp;"")&amp;" ")-1)),"/","-"),"年","-"),"月","-"),"日",""))),"")</f>
        <v/>
      </c>
      <c r="J319">
        <f>IFERROR(MID(I319,FIND("-",I319)+1,99),"")</f>
        <v/>
      </c>
    </row>
    <row r="320">
      <c r="B320">
        <f>IFERROR(IF($B$1=0,"",IF(INDEX(貼り付け!$A$1:$BZ$3001,319,$B$1)="","",IF(ISNUMBER(INDEX(貼り付け!$A$1:$BZ$3001,319,$B$1)),INT(INDEX(貼り付け!$A$1:$BZ$3001,319,$B$1)),DATE(VALUE(LEFT(I320,FIND("-",I320)-1)),VALUE(LEFT(J320,FIND("-",J320)-1)),VALUE(MID(J320,FIND("-",J320)+1,99)))))),"")</f>
        <v/>
      </c>
      <c r="C320">
        <f>IF($C$1=0,0,IFERROR(VALUE(SUBSTITUTE(SUBSTITUTE(SUBSTITUTE(INDEX(貼り付け!$A$1:$BZ$3001,319,$C$1)&amp;"",",",""),"¥",""),"￥","")),0))</f>
        <v/>
      </c>
      <c r="D320">
        <f>IF($D$1=0,0,IFERROR(VALUE(SUBSTITUTE(SUBSTITUTE(SUBSTITUTE(INDEX(貼り付け!$A$1:$BZ$3001,319,$D$1)&amp;"",",",""),"¥",""),"￥","")),0))</f>
        <v/>
      </c>
      <c r="E320">
        <f>IF($E$1=0,0,IFERROR(VALUE(SUBSTITUTE(SUBSTITUTE(SUBSTITUTE(INDEX(貼り付け!$A$1:$BZ$3001,319,$E$1)&amp;"",",",""),"¥",""),"￥","")),0))</f>
        <v/>
      </c>
      <c r="F320">
        <f>IF($F$1=0,0,IFERROR(VALUE(SUBSTITUTE(SUBSTITUTE(SUBSTITUTE(INDEX(貼り付け!$A$1:$BZ$3001,319,$F$1)&amp;"",",",""),"¥",""),"￥","")),0))</f>
        <v/>
      </c>
      <c r="G320">
        <f>IF(ISNUMBER(B320),YEAR(B320),"")</f>
        <v/>
      </c>
      <c r="H320">
        <f>IF(ISNUMBER(B320),MONTH(B320),"")</f>
        <v/>
      </c>
      <c r="I320">
        <f>IFERROR(IF($B$1=0,"",IF(ISNUMBER(INDEX(貼り付け!$A$1:$BZ$3001,319,$B$1)),"",SUBSTITUTE(SUBSTITUTE(SUBSTITUTE(SUBSTITUTE(TRIM(LEFT(INDEX(貼り付け!$A$1:$BZ$3001,319,$B$1)&amp;"",FIND(" ",TRIM(INDEX(貼り付け!$A$1:$BZ$3001,319,$B$1)&amp;"")&amp;" ")-1)),"/","-"),"年","-"),"月","-"),"日",""))),"")</f>
        <v/>
      </c>
      <c r="J320">
        <f>IFERROR(MID(I320,FIND("-",I320)+1,99),"")</f>
        <v/>
      </c>
    </row>
    <row r="321">
      <c r="B321">
        <f>IFERROR(IF($B$1=0,"",IF(INDEX(貼り付け!$A$1:$BZ$3001,320,$B$1)="","",IF(ISNUMBER(INDEX(貼り付け!$A$1:$BZ$3001,320,$B$1)),INT(INDEX(貼り付け!$A$1:$BZ$3001,320,$B$1)),DATE(VALUE(LEFT(I321,FIND("-",I321)-1)),VALUE(LEFT(J321,FIND("-",J321)-1)),VALUE(MID(J321,FIND("-",J321)+1,99)))))),"")</f>
        <v/>
      </c>
      <c r="C321">
        <f>IF($C$1=0,0,IFERROR(VALUE(SUBSTITUTE(SUBSTITUTE(SUBSTITUTE(INDEX(貼り付け!$A$1:$BZ$3001,320,$C$1)&amp;"",",",""),"¥",""),"￥","")),0))</f>
        <v/>
      </c>
      <c r="D321">
        <f>IF($D$1=0,0,IFERROR(VALUE(SUBSTITUTE(SUBSTITUTE(SUBSTITUTE(INDEX(貼り付け!$A$1:$BZ$3001,320,$D$1)&amp;"",",",""),"¥",""),"￥","")),0))</f>
        <v/>
      </c>
      <c r="E321">
        <f>IF($E$1=0,0,IFERROR(VALUE(SUBSTITUTE(SUBSTITUTE(SUBSTITUTE(INDEX(貼り付け!$A$1:$BZ$3001,320,$E$1)&amp;"",",",""),"¥",""),"￥","")),0))</f>
        <v/>
      </c>
      <c r="F321">
        <f>IF($F$1=0,0,IFERROR(VALUE(SUBSTITUTE(SUBSTITUTE(SUBSTITUTE(INDEX(貼り付け!$A$1:$BZ$3001,320,$F$1)&amp;"",",",""),"¥",""),"￥","")),0))</f>
        <v/>
      </c>
      <c r="G321">
        <f>IF(ISNUMBER(B321),YEAR(B321),"")</f>
        <v/>
      </c>
      <c r="H321">
        <f>IF(ISNUMBER(B321),MONTH(B321),"")</f>
        <v/>
      </c>
      <c r="I321">
        <f>IFERROR(IF($B$1=0,"",IF(ISNUMBER(INDEX(貼り付け!$A$1:$BZ$3001,320,$B$1)),"",SUBSTITUTE(SUBSTITUTE(SUBSTITUTE(SUBSTITUTE(TRIM(LEFT(INDEX(貼り付け!$A$1:$BZ$3001,320,$B$1)&amp;"",FIND(" ",TRIM(INDEX(貼り付け!$A$1:$BZ$3001,320,$B$1)&amp;"")&amp;" ")-1)),"/","-"),"年","-"),"月","-"),"日",""))),"")</f>
        <v/>
      </c>
      <c r="J321">
        <f>IFERROR(MID(I321,FIND("-",I321)+1,99),"")</f>
        <v/>
      </c>
    </row>
    <row r="322">
      <c r="B322">
        <f>IFERROR(IF($B$1=0,"",IF(INDEX(貼り付け!$A$1:$BZ$3001,321,$B$1)="","",IF(ISNUMBER(INDEX(貼り付け!$A$1:$BZ$3001,321,$B$1)),INT(INDEX(貼り付け!$A$1:$BZ$3001,321,$B$1)),DATE(VALUE(LEFT(I322,FIND("-",I322)-1)),VALUE(LEFT(J322,FIND("-",J322)-1)),VALUE(MID(J322,FIND("-",J322)+1,99)))))),"")</f>
        <v/>
      </c>
      <c r="C322">
        <f>IF($C$1=0,0,IFERROR(VALUE(SUBSTITUTE(SUBSTITUTE(SUBSTITUTE(INDEX(貼り付け!$A$1:$BZ$3001,321,$C$1)&amp;"",",",""),"¥",""),"￥","")),0))</f>
        <v/>
      </c>
      <c r="D322">
        <f>IF($D$1=0,0,IFERROR(VALUE(SUBSTITUTE(SUBSTITUTE(SUBSTITUTE(INDEX(貼り付け!$A$1:$BZ$3001,321,$D$1)&amp;"",",",""),"¥",""),"￥","")),0))</f>
        <v/>
      </c>
      <c r="E322">
        <f>IF($E$1=0,0,IFERROR(VALUE(SUBSTITUTE(SUBSTITUTE(SUBSTITUTE(INDEX(貼り付け!$A$1:$BZ$3001,321,$E$1)&amp;"",",",""),"¥",""),"￥","")),0))</f>
        <v/>
      </c>
      <c r="F322">
        <f>IF($F$1=0,0,IFERROR(VALUE(SUBSTITUTE(SUBSTITUTE(SUBSTITUTE(INDEX(貼り付け!$A$1:$BZ$3001,321,$F$1)&amp;"",",",""),"¥",""),"￥","")),0))</f>
        <v/>
      </c>
      <c r="G322">
        <f>IF(ISNUMBER(B322),YEAR(B322),"")</f>
        <v/>
      </c>
      <c r="H322">
        <f>IF(ISNUMBER(B322),MONTH(B322),"")</f>
        <v/>
      </c>
      <c r="I322">
        <f>IFERROR(IF($B$1=0,"",IF(ISNUMBER(INDEX(貼り付け!$A$1:$BZ$3001,321,$B$1)),"",SUBSTITUTE(SUBSTITUTE(SUBSTITUTE(SUBSTITUTE(TRIM(LEFT(INDEX(貼り付け!$A$1:$BZ$3001,321,$B$1)&amp;"",FIND(" ",TRIM(INDEX(貼り付け!$A$1:$BZ$3001,321,$B$1)&amp;"")&amp;" ")-1)),"/","-"),"年","-"),"月","-"),"日",""))),"")</f>
        <v/>
      </c>
      <c r="J322">
        <f>IFERROR(MID(I322,FIND("-",I322)+1,99),"")</f>
        <v/>
      </c>
    </row>
    <row r="323">
      <c r="B323">
        <f>IFERROR(IF($B$1=0,"",IF(INDEX(貼り付け!$A$1:$BZ$3001,322,$B$1)="","",IF(ISNUMBER(INDEX(貼り付け!$A$1:$BZ$3001,322,$B$1)),INT(INDEX(貼り付け!$A$1:$BZ$3001,322,$B$1)),DATE(VALUE(LEFT(I323,FIND("-",I323)-1)),VALUE(LEFT(J323,FIND("-",J323)-1)),VALUE(MID(J323,FIND("-",J323)+1,99)))))),"")</f>
        <v/>
      </c>
      <c r="C323">
        <f>IF($C$1=0,0,IFERROR(VALUE(SUBSTITUTE(SUBSTITUTE(SUBSTITUTE(INDEX(貼り付け!$A$1:$BZ$3001,322,$C$1)&amp;"",",",""),"¥",""),"￥","")),0))</f>
        <v/>
      </c>
      <c r="D323">
        <f>IF($D$1=0,0,IFERROR(VALUE(SUBSTITUTE(SUBSTITUTE(SUBSTITUTE(INDEX(貼り付け!$A$1:$BZ$3001,322,$D$1)&amp;"",",",""),"¥",""),"￥","")),0))</f>
        <v/>
      </c>
      <c r="E323">
        <f>IF($E$1=0,0,IFERROR(VALUE(SUBSTITUTE(SUBSTITUTE(SUBSTITUTE(INDEX(貼り付け!$A$1:$BZ$3001,322,$E$1)&amp;"",",",""),"¥",""),"￥","")),0))</f>
        <v/>
      </c>
      <c r="F323">
        <f>IF($F$1=0,0,IFERROR(VALUE(SUBSTITUTE(SUBSTITUTE(SUBSTITUTE(INDEX(貼り付け!$A$1:$BZ$3001,322,$F$1)&amp;"",",",""),"¥",""),"￥","")),0))</f>
        <v/>
      </c>
      <c r="G323">
        <f>IF(ISNUMBER(B323),YEAR(B323),"")</f>
        <v/>
      </c>
      <c r="H323">
        <f>IF(ISNUMBER(B323),MONTH(B323),"")</f>
        <v/>
      </c>
      <c r="I323">
        <f>IFERROR(IF($B$1=0,"",IF(ISNUMBER(INDEX(貼り付け!$A$1:$BZ$3001,322,$B$1)),"",SUBSTITUTE(SUBSTITUTE(SUBSTITUTE(SUBSTITUTE(TRIM(LEFT(INDEX(貼り付け!$A$1:$BZ$3001,322,$B$1)&amp;"",FIND(" ",TRIM(INDEX(貼り付け!$A$1:$BZ$3001,322,$B$1)&amp;"")&amp;" ")-1)),"/","-"),"年","-"),"月","-"),"日",""))),"")</f>
        <v/>
      </c>
      <c r="J323">
        <f>IFERROR(MID(I323,FIND("-",I323)+1,99),"")</f>
        <v/>
      </c>
    </row>
    <row r="324">
      <c r="B324">
        <f>IFERROR(IF($B$1=0,"",IF(INDEX(貼り付け!$A$1:$BZ$3001,323,$B$1)="","",IF(ISNUMBER(INDEX(貼り付け!$A$1:$BZ$3001,323,$B$1)),INT(INDEX(貼り付け!$A$1:$BZ$3001,323,$B$1)),DATE(VALUE(LEFT(I324,FIND("-",I324)-1)),VALUE(LEFT(J324,FIND("-",J324)-1)),VALUE(MID(J324,FIND("-",J324)+1,99)))))),"")</f>
        <v/>
      </c>
      <c r="C324">
        <f>IF($C$1=0,0,IFERROR(VALUE(SUBSTITUTE(SUBSTITUTE(SUBSTITUTE(INDEX(貼り付け!$A$1:$BZ$3001,323,$C$1)&amp;"",",",""),"¥",""),"￥","")),0))</f>
        <v/>
      </c>
      <c r="D324">
        <f>IF($D$1=0,0,IFERROR(VALUE(SUBSTITUTE(SUBSTITUTE(SUBSTITUTE(INDEX(貼り付け!$A$1:$BZ$3001,323,$D$1)&amp;"",",",""),"¥",""),"￥","")),0))</f>
        <v/>
      </c>
      <c r="E324">
        <f>IF($E$1=0,0,IFERROR(VALUE(SUBSTITUTE(SUBSTITUTE(SUBSTITUTE(INDEX(貼り付け!$A$1:$BZ$3001,323,$E$1)&amp;"",",",""),"¥",""),"￥","")),0))</f>
        <v/>
      </c>
      <c r="F324">
        <f>IF($F$1=0,0,IFERROR(VALUE(SUBSTITUTE(SUBSTITUTE(SUBSTITUTE(INDEX(貼り付け!$A$1:$BZ$3001,323,$F$1)&amp;"",",",""),"¥",""),"￥","")),0))</f>
        <v/>
      </c>
      <c r="G324">
        <f>IF(ISNUMBER(B324),YEAR(B324),"")</f>
        <v/>
      </c>
      <c r="H324">
        <f>IF(ISNUMBER(B324),MONTH(B324),"")</f>
        <v/>
      </c>
      <c r="I324">
        <f>IFERROR(IF($B$1=0,"",IF(ISNUMBER(INDEX(貼り付け!$A$1:$BZ$3001,323,$B$1)),"",SUBSTITUTE(SUBSTITUTE(SUBSTITUTE(SUBSTITUTE(TRIM(LEFT(INDEX(貼り付け!$A$1:$BZ$3001,323,$B$1)&amp;"",FIND(" ",TRIM(INDEX(貼り付け!$A$1:$BZ$3001,323,$B$1)&amp;"")&amp;" ")-1)),"/","-"),"年","-"),"月","-"),"日",""))),"")</f>
        <v/>
      </c>
      <c r="J324">
        <f>IFERROR(MID(I324,FIND("-",I324)+1,99),"")</f>
        <v/>
      </c>
    </row>
    <row r="325">
      <c r="B325">
        <f>IFERROR(IF($B$1=0,"",IF(INDEX(貼り付け!$A$1:$BZ$3001,324,$B$1)="","",IF(ISNUMBER(INDEX(貼り付け!$A$1:$BZ$3001,324,$B$1)),INT(INDEX(貼り付け!$A$1:$BZ$3001,324,$B$1)),DATE(VALUE(LEFT(I325,FIND("-",I325)-1)),VALUE(LEFT(J325,FIND("-",J325)-1)),VALUE(MID(J325,FIND("-",J325)+1,99)))))),"")</f>
        <v/>
      </c>
      <c r="C325">
        <f>IF($C$1=0,0,IFERROR(VALUE(SUBSTITUTE(SUBSTITUTE(SUBSTITUTE(INDEX(貼り付け!$A$1:$BZ$3001,324,$C$1)&amp;"",",",""),"¥",""),"￥","")),0))</f>
        <v/>
      </c>
      <c r="D325">
        <f>IF($D$1=0,0,IFERROR(VALUE(SUBSTITUTE(SUBSTITUTE(SUBSTITUTE(INDEX(貼り付け!$A$1:$BZ$3001,324,$D$1)&amp;"",",",""),"¥",""),"￥","")),0))</f>
        <v/>
      </c>
      <c r="E325">
        <f>IF($E$1=0,0,IFERROR(VALUE(SUBSTITUTE(SUBSTITUTE(SUBSTITUTE(INDEX(貼り付け!$A$1:$BZ$3001,324,$E$1)&amp;"",",",""),"¥",""),"￥","")),0))</f>
        <v/>
      </c>
      <c r="F325">
        <f>IF($F$1=0,0,IFERROR(VALUE(SUBSTITUTE(SUBSTITUTE(SUBSTITUTE(INDEX(貼り付け!$A$1:$BZ$3001,324,$F$1)&amp;"",",",""),"¥",""),"￥","")),0))</f>
        <v/>
      </c>
      <c r="G325">
        <f>IF(ISNUMBER(B325),YEAR(B325),"")</f>
        <v/>
      </c>
      <c r="H325">
        <f>IF(ISNUMBER(B325),MONTH(B325),"")</f>
        <v/>
      </c>
      <c r="I325">
        <f>IFERROR(IF($B$1=0,"",IF(ISNUMBER(INDEX(貼り付け!$A$1:$BZ$3001,324,$B$1)),"",SUBSTITUTE(SUBSTITUTE(SUBSTITUTE(SUBSTITUTE(TRIM(LEFT(INDEX(貼り付け!$A$1:$BZ$3001,324,$B$1)&amp;"",FIND(" ",TRIM(INDEX(貼り付け!$A$1:$BZ$3001,324,$B$1)&amp;"")&amp;" ")-1)),"/","-"),"年","-"),"月","-"),"日",""))),"")</f>
        <v/>
      </c>
      <c r="J325">
        <f>IFERROR(MID(I325,FIND("-",I325)+1,99),"")</f>
        <v/>
      </c>
    </row>
    <row r="326">
      <c r="B326">
        <f>IFERROR(IF($B$1=0,"",IF(INDEX(貼り付け!$A$1:$BZ$3001,325,$B$1)="","",IF(ISNUMBER(INDEX(貼り付け!$A$1:$BZ$3001,325,$B$1)),INT(INDEX(貼り付け!$A$1:$BZ$3001,325,$B$1)),DATE(VALUE(LEFT(I326,FIND("-",I326)-1)),VALUE(LEFT(J326,FIND("-",J326)-1)),VALUE(MID(J326,FIND("-",J326)+1,99)))))),"")</f>
        <v/>
      </c>
      <c r="C326">
        <f>IF($C$1=0,0,IFERROR(VALUE(SUBSTITUTE(SUBSTITUTE(SUBSTITUTE(INDEX(貼り付け!$A$1:$BZ$3001,325,$C$1)&amp;"",",",""),"¥",""),"￥","")),0))</f>
        <v/>
      </c>
      <c r="D326">
        <f>IF($D$1=0,0,IFERROR(VALUE(SUBSTITUTE(SUBSTITUTE(SUBSTITUTE(INDEX(貼り付け!$A$1:$BZ$3001,325,$D$1)&amp;"",",",""),"¥",""),"￥","")),0))</f>
        <v/>
      </c>
      <c r="E326">
        <f>IF($E$1=0,0,IFERROR(VALUE(SUBSTITUTE(SUBSTITUTE(SUBSTITUTE(INDEX(貼り付け!$A$1:$BZ$3001,325,$E$1)&amp;"",",",""),"¥",""),"￥","")),0))</f>
        <v/>
      </c>
      <c r="F326">
        <f>IF($F$1=0,0,IFERROR(VALUE(SUBSTITUTE(SUBSTITUTE(SUBSTITUTE(INDEX(貼り付け!$A$1:$BZ$3001,325,$F$1)&amp;"",",",""),"¥",""),"￥","")),0))</f>
        <v/>
      </c>
      <c r="G326">
        <f>IF(ISNUMBER(B326),YEAR(B326),"")</f>
        <v/>
      </c>
      <c r="H326">
        <f>IF(ISNUMBER(B326),MONTH(B326),"")</f>
        <v/>
      </c>
      <c r="I326">
        <f>IFERROR(IF($B$1=0,"",IF(ISNUMBER(INDEX(貼り付け!$A$1:$BZ$3001,325,$B$1)),"",SUBSTITUTE(SUBSTITUTE(SUBSTITUTE(SUBSTITUTE(TRIM(LEFT(INDEX(貼り付け!$A$1:$BZ$3001,325,$B$1)&amp;"",FIND(" ",TRIM(INDEX(貼り付け!$A$1:$BZ$3001,325,$B$1)&amp;"")&amp;" ")-1)),"/","-"),"年","-"),"月","-"),"日",""))),"")</f>
        <v/>
      </c>
      <c r="J326">
        <f>IFERROR(MID(I326,FIND("-",I326)+1,99),"")</f>
        <v/>
      </c>
    </row>
    <row r="327">
      <c r="B327">
        <f>IFERROR(IF($B$1=0,"",IF(INDEX(貼り付け!$A$1:$BZ$3001,326,$B$1)="","",IF(ISNUMBER(INDEX(貼り付け!$A$1:$BZ$3001,326,$B$1)),INT(INDEX(貼り付け!$A$1:$BZ$3001,326,$B$1)),DATE(VALUE(LEFT(I327,FIND("-",I327)-1)),VALUE(LEFT(J327,FIND("-",J327)-1)),VALUE(MID(J327,FIND("-",J327)+1,99)))))),"")</f>
        <v/>
      </c>
      <c r="C327">
        <f>IF($C$1=0,0,IFERROR(VALUE(SUBSTITUTE(SUBSTITUTE(SUBSTITUTE(INDEX(貼り付け!$A$1:$BZ$3001,326,$C$1)&amp;"",",",""),"¥",""),"￥","")),0))</f>
        <v/>
      </c>
      <c r="D327">
        <f>IF($D$1=0,0,IFERROR(VALUE(SUBSTITUTE(SUBSTITUTE(SUBSTITUTE(INDEX(貼り付け!$A$1:$BZ$3001,326,$D$1)&amp;"",",",""),"¥",""),"￥","")),0))</f>
        <v/>
      </c>
      <c r="E327">
        <f>IF($E$1=0,0,IFERROR(VALUE(SUBSTITUTE(SUBSTITUTE(SUBSTITUTE(INDEX(貼り付け!$A$1:$BZ$3001,326,$E$1)&amp;"",",",""),"¥",""),"￥","")),0))</f>
        <v/>
      </c>
      <c r="F327">
        <f>IF($F$1=0,0,IFERROR(VALUE(SUBSTITUTE(SUBSTITUTE(SUBSTITUTE(INDEX(貼り付け!$A$1:$BZ$3001,326,$F$1)&amp;"",",",""),"¥",""),"￥","")),0))</f>
        <v/>
      </c>
      <c r="G327">
        <f>IF(ISNUMBER(B327),YEAR(B327),"")</f>
        <v/>
      </c>
      <c r="H327">
        <f>IF(ISNUMBER(B327),MONTH(B327),"")</f>
        <v/>
      </c>
      <c r="I327">
        <f>IFERROR(IF($B$1=0,"",IF(ISNUMBER(INDEX(貼り付け!$A$1:$BZ$3001,326,$B$1)),"",SUBSTITUTE(SUBSTITUTE(SUBSTITUTE(SUBSTITUTE(TRIM(LEFT(INDEX(貼り付け!$A$1:$BZ$3001,326,$B$1)&amp;"",FIND(" ",TRIM(INDEX(貼り付け!$A$1:$BZ$3001,326,$B$1)&amp;"")&amp;" ")-1)),"/","-"),"年","-"),"月","-"),"日",""))),"")</f>
        <v/>
      </c>
      <c r="J327">
        <f>IFERROR(MID(I327,FIND("-",I327)+1,99),"")</f>
        <v/>
      </c>
    </row>
    <row r="328">
      <c r="B328">
        <f>IFERROR(IF($B$1=0,"",IF(INDEX(貼り付け!$A$1:$BZ$3001,327,$B$1)="","",IF(ISNUMBER(INDEX(貼り付け!$A$1:$BZ$3001,327,$B$1)),INT(INDEX(貼り付け!$A$1:$BZ$3001,327,$B$1)),DATE(VALUE(LEFT(I328,FIND("-",I328)-1)),VALUE(LEFT(J328,FIND("-",J328)-1)),VALUE(MID(J328,FIND("-",J328)+1,99)))))),"")</f>
        <v/>
      </c>
      <c r="C328">
        <f>IF($C$1=0,0,IFERROR(VALUE(SUBSTITUTE(SUBSTITUTE(SUBSTITUTE(INDEX(貼り付け!$A$1:$BZ$3001,327,$C$1)&amp;"",",",""),"¥",""),"￥","")),0))</f>
        <v/>
      </c>
      <c r="D328">
        <f>IF($D$1=0,0,IFERROR(VALUE(SUBSTITUTE(SUBSTITUTE(SUBSTITUTE(INDEX(貼り付け!$A$1:$BZ$3001,327,$D$1)&amp;"",",",""),"¥",""),"￥","")),0))</f>
        <v/>
      </c>
      <c r="E328">
        <f>IF($E$1=0,0,IFERROR(VALUE(SUBSTITUTE(SUBSTITUTE(SUBSTITUTE(INDEX(貼り付け!$A$1:$BZ$3001,327,$E$1)&amp;"",",",""),"¥",""),"￥","")),0))</f>
        <v/>
      </c>
      <c r="F328">
        <f>IF($F$1=0,0,IFERROR(VALUE(SUBSTITUTE(SUBSTITUTE(SUBSTITUTE(INDEX(貼り付け!$A$1:$BZ$3001,327,$F$1)&amp;"",",",""),"¥",""),"￥","")),0))</f>
        <v/>
      </c>
      <c r="G328">
        <f>IF(ISNUMBER(B328),YEAR(B328),"")</f>
        <v/>
      </c>
      <c r="H328">
        <f>IF(ISNUMBER(B328),MONTH(B328),"")</f>
        <v/>
      </c>
      <c r="I328">
        <f>IFERROR(IF($B$1=0,"",IF(ISNUMBER(INDEX(貼り付け!$A$1:$BZ$3001,327,$B$1)),"",SUBSTITUTE(SUBSTITUTE(SUBSTITUTE(SUBSTITUTE(TRIM(LEFT(INDEX(貼り付け!$A$1:$BZ$3001,327,$B$1)&amp;"",FIND(" ",TRIM(INDEX(貼り付け!$A$1:$BZ$3001,327,$B$1)&amp;"")&amp;" ")-1)),"/","-"),"年","-"),"月","-"),"日",""))),"")</f>
        <v/>
      </c>
      <c r="J328">
        <f>IFERROR(MID(I328,FIND("-",I328)+1,99),"")</f>
        <v/>
      </c>
    </row>
    <row r="329">
      <c r="B329">
        <f>IFERROR(IF($B$1=0,"",IF(INDEX(貼り付け!$A$1:$BZ$3001,328,$B$1)="","",IF(ISNUMBER(INDEX(貼り付け!$A$1:$BZ$3001,328,$B$1)),INT(INDEX(貼り付け!$A$1:$BZ$3001,328,$B$1)),DATE(VALUE(LEFT(I329,FIND("-",I329)-1)),VALUE(LEFT(J329,FIND("-",J329)-1)),VALUE(MID(J329,FIND("-",J329)+1,99)))))),"")</f>
        <v/>
      </c>
      <c r="C329">
        <f>IF($C$1=0,0,IFERROR(VALUE(SUBSTITUTE(SUBSTITUTE(SUBSTITUTE(INDEX(貼り付け!$A$1:$BZ$3001,328,$C$1)&amp;"",",",""),"¥",""),"￥","")),0))</f>
        <v/>
      </c>
      <c r="D329">
        <f>IF($D$1=0,0,IFERROR(VALUE(SUBSTITUTE(SUBSTITUTE(SUBSTITUTE(INDEX(貼り付け!$A$1:$BZ$3001,328,$D$1)&amp;"",",",""),"¥",""),"￥","")),0))</f>
        <v/>
      </c>
      <c r="E329">
        <f>IF($E$1=0,0,IFERROR(VALUE(SUBSTITUTE(SUBSTITUTE(SUBSTITUTE(INDEX(貼り付け!$A$1:$BZ$3001,328,$E$1)&amp;"",",",""),"¥",""),"￥","")),0))</f>
        <v/>
      </c>
      <c r="F329">
        <f>IF($F$1=0,0,IFERROR(VALUE(SUBSTITUTE(SUBSTITUTE(SUBSTITUTE(INDEX(貼り付け!$A$1:$BZ$3001,328,$F$1)&amp;"",",",""),"¥",""),"￥","")),0))</f>
        <v/>
      </c>
      <c r="G329">
        <f>IF(ISNUMBER(B329),YEAR(B329),"")</f>
        <v/>
      </c>
      <c r="H329">
        <f>IF(ISNUMBER(B329),MONTH(B329),"")</f>
        <v/>
      </c>
      <c r="I329">
        <f>IFERROR(IF($B$1=0,"",IF(ISNUMBER(INDEX(貼り付け!$A$1:$BZ$3001,328,$B$1)),"",SUBSTITUTE(SUBSTITUTE(SUBSTITUTE(SUBSTITUTE(TRIM(LEFT(INDEX(貼り付け!$A$1:$BZ$3001,328,$B$1)&amp;"",FIND(" ",TRIM(INDEX(貼り付け!$A$1:$BZ$3001,328,$B$1)&amp;"")&amp;" ")-1)),"/","-"),"年","-"),"月","-"),"日",""))),"")</f>
        <v/>
      </c>
      <c r="J329">
        <f>IFERROR(MID(I329,FIND("-",I329)+1,99),"")</f>
        <v/>
      </c>
    </row>
    <row r="330">
      <c r="B330">
        <f>IFERROR(IF($B$1=0,"",IF(INDEX(貼り付け!$A$1:$BZ$3001,329,$B$1)="","",IF(ISNUMBER(INDEX(貼り付け!$A$1:$BZ$3001,329,$B$1)),INT(INDEX(貼り付け!$A$1:$BZ$3001,329,$B$1)),DATE(VALUE(LEFT(I330,FIND("-",I330)-1)),VALUE(LEFT(J330,FIND("-",J330)-1)),VALUE(MID(J330,FIND("-",J330)+1,99)))))),"")</f>
        <v/>
      </c>
      <c r="C330">
        <f>IF($C$1=0,0,IFERROR(VALUE(SUBSTITUTE(SUBSTITUTE(SUBSTITUTE(INDEX(貼り付け!$A$1:$BZ$3001,329,$C$1)&amp;"",",",""),"¥",""),"￥","")),0))</f>
        <v/>
      </c>
      <c r="D330">
        <f>IF($D$1=0,0,IFERROR(VALUE(SUBSTITUTE(SUBSTITUTE(SUBSTITUTE(INDEX(貼り付け!$A$1:$BZ$3001,329,$D$1)&amp;"",",",""),"¥",""),"￥","")),0))</f>
        <v/>
      </c>
      <c r="E330">
        <f>IF($E$1=0,0,IFERROR(VALUE(SUBSTITUTE(SUBSTITUTE(SUBSTITUTE(INDEX(貼り付け!$A$1:$BZ$3001,329,$E$1)&amp;"",",",""),"¥",""),"￥","")),0))</f>
        <v/>
      </c>
      <c r="F330">
        <f>IF($F$1=0,0,IFERROR(VALUE(SUBSTITUTE(SUBSTITUTE(SUBSTITUTE(INDEX(貼り付け!$A$1:$BZ$3001,329,$F$1)&amp;"",",",""),"¥",""),"￥","")),0))</f>
        <v/>
      </c>
      <c r="G330">
        <f>IF(ISNUMBER(B330),YEAR(B330),"")</f>
        <v/>
      </c>
      <c r="H330">
        <f>IF(ISNUMBER(B330),MONTH(B330),"")</f>
        <v/>
      </c>
      <c r="I330">
        <f>IFERROR(IF($B$1=0,"",IF(ISNUMBER(INDEX(貼り付け!$A$1:$BZ$3001,329,$B$1)),"",SUBSTITUTE(SUBSTITUTE(SUBSTITUTE(SUBSTITUTE(TRIM(LEFT(INDEX(貼り付け!$A$1:$BZ$3001,329,$B$1)&amp;"",FIND(" ",TRIM(INDEX(貼り付け!$A$1:$BZ$3001,329,$B$1)&amp;"")&amp;" ")-1)),"/","-"),"年","-"),"月","-"),"日",""))),"")</f>
        <v/>
      </c>
      <c r="J330">
        <f>IFERROR(MID(I330,FIND("-",I330)+1,99),"")</f>
        <v/>
      </c>
    </row>
    <row r="331">
      <c r="B331">
        <f>IFERROR(IF($B$1=0,"",IF(INDEX(貼り付け!$A$1:$BZ$3001,330,$B$1)="","",IF(ISNUMBER(INDEX(貼り付け!$A$1:$BZ$3001,330,$B$1)),INT(INDEX(貼り付け!$A$1:$BZ$3001,330,$B$1)),DATE(VALUE(LEFT(I331,FIND("-",I331)-1)),VALUE(LEFT(J331,FIND("-",J331)-1)),VALUE(MID(J331,FIND("-",J331)+1,99)))))),"")</f>
        <v/>
      </c>
      <c r="C331">
        <f>IF($C$1=0,0,IFERROR(VALUE(SUBSTITUTE(SUBSTITUTE(SUBSTITUTE(INDEX(貼り付け!$A$1:$BZ$3001,330,$C$1)&amp;"",",",""),"¥",""),"￥","")),0))</f>
        <v/>
      </c>
      <c r="D331">
        <f>IF($D$1=0,0,IFERROR(VALUE(SUBSTITUTE(SUBSTITUTE(SUBSTITUTE(INDEX(貼り付け!$A$1:$BZ$3001,330,$D$1)&amp;"",",",""),"¥",""),"￥","")),0))</f>
        <v/>
      </c>
      <c r="E331">
        <f>IF($E$1=0,0,IFERROR(VALUE(SUBSTITUTE(SUBSTITUTE(SUBSTITUTE(INDEX(貼り付け!$A$1:$BZ$3001,330,$E$1)&amp;"",",",""),"¥",""),"￥","")),0))</f>
        <v/>
      </c>
      <c r="F331">
        <f>IF($F$1=0,0,IFERROR(VALUE(SUBSTITUTE(SUBSTITUTE(SUBSTITUTE(INDEX(貼り付け!$A$1:$BZ$3001,330,$F$1)&amp;"",",",""),"¥",""),"￥","")),0))</f>
        <v/>
      </c>
      <c r="G331">
        <f>IF(ISNUMBER(B331),YEAR(B331),"")</f>
        <v/>
      </c>
      <c r="H331">
        <f>IF(ISNUMBER(B331),MONTH(B331),"")</f>
        <v/>
      </c>
      <c r="I331">
        <f>IFERROR(IF($B$1=0,"",IF(ISNUMBER(INDEX(貼り付け!$A$1:$BZ$3001,330,$B$1)),"",SUBSTITUTE(SUBSTITUTE(SUBSTITUTE(SUBSTITUTE(TRIM(LEFT(INDEX(貼り付け!$A$1:$BZ$3001,330,$B$1)&amp;"",FIND(" ",TRIM(INDEX(貼り付け!$A$1:$BZ$3001,330,$B$1)&amp;"")&amp;" ")-1)),"/","-"),"年","-"),"月","-"),"日",""))),"")</f>
        <v/>
      </c>
      <c r="J331">
        <f>IFERROR(MID(I331,FIND("-",I331)+1,99),"")</f>
        <v/>
      </c>
    </row>
    <row r="332">
      <c r="B332">
        <f>IFERROR(IF($B$1=0,"",IF(INDEX(貼り付け!$A$1:$BZ$3001,331,$B$1)="","",IF(ISNUMBER(INDEX(貼り付け!$A$1:$BZ$3001,331,$B$1)),INT(INDEX(貼り付け!$A$1:$BZ$3001,331,$B$1)),DATE(VALUE(LEFT(I332,FIND("-",I332)-1)),VALUE(LEFT(J332,FIND("-",J332)-1)),VALUE(MID(J332,FIND("-",J332)+1,99)))))),"")</f>
        <v/>
      </c>
      <c r="C332">
        <f>IF($C$1=0,0,IFERROR(VALUE(SUBSTITUTE(SUBSTITUTE(SUBSTITUTE(INDEX(貼り付け!$A$1:$BZ$3001,331,$C$1)&amp;"",",",""),"¥",""),"￥","")),0))</f>
        <v/>
      </c>
      <c r="D332">
        <f>IF($D$1=0,0,IFERROR(VALUE(SUBSTITUTE(SUBSTITUTE(SUBSTITUTE(INDEX(貼り付け!$A$1:$BZ$3001,331,$D$1)&amp;"",",",""),"¥",""),"￥","")),0))</f>
        <v/>
      </c>
      <c r="E332">
        <f>IF($E$1=0,0,IFERROR(VALUE(SUBSTITUTE(SUBSTITUTE(SUBSTITUTE(INDEX(貼り付け!$A$1:$BZ$3001,331,$E$1)&amp;"",",",""),"¥",""),"￥","")),0))</f>
        <v/>
      </c>
      <c r="F332">
        <f>IF($F$1=0,0,IFERROR(VALUE(SUBSTITUTE(SUBSTITUTE(SUBSTITUTE(INDEX(貼り付け!$A$1:$BZ$3001,331,$F$1)&amp;"",",",""),"¥",""),"￥","")),0))</f>
        <v/>
      </c>
      <c r="G332">
        <f>IF(ISNUMBER(B332),YEAR(B332),"")</f>
        <v/>
      </c>
      <c r="H332">
        <f>IF(ISNUMBER(B332),MONTH(B332),"")</f>
        <v/>
      </c>
      <c r="I332">
        <f>IFERROR(IF($B$1=0,"",IF(ISNUMBER(INDEX(貼り付け!$A$1:$BZ$3001,331,$B$1)),"",SUBSTITUTE(SUBSTITUTE(SUBSTITUTE(SUBSTITUTE(TRIM(LEFT(INDEX(貼り付け!$A$1:$BZ$3001,331,$B$1)&amp;"",FIND(" ",TRIM(INDEX(貼り付け!$A$1:$BZ$3001,331,$B$1)&amp;"")&amp;" ")-1)),"/","-"),"年","-"),"月","-"),"日",""))),"")</f>
        <v/>
      </c>
      <c r="J332">
        <f>IFERROR(MID(I332,FIND("-",I332)+1,99),"")</f>
        <v/>
      </c>
    </row>
    <row r="333">
      <c r="B333">
        <f>IFERROR(IF($B$1=0,"",IF(INDEX(貼り付け!$A$1:$BZ$3001,332,$B$1)="","",IF(ISNUMBER(INDEX(貼り付け!$A$1:$BZ$3001,332,$B$1)),INT(INDEX(貼り付け!$A$1:$BZ$3001,332,$B$1)),DATE(VALUE(LEFT(I333,FIND("-",I333)-1)),VALUE(LEFT(J333,FIND("-",J333)-1)),VALUE(MID(J333,FIND("-",J333)+1,99)))))),"")</f>
        <v/>
      </c>
      <c r="C333">
        <f>IF($C$1=0,0,IFERROR(VALUE(SUBSTITUTE(SUBSTITUTE(SUBSTITUTE(INDEX(貼り付け!$A$1:$BZ$3001,332,$C$1)&amp;"",",",""),"¥",""),"￥","")),0))</f>
        <v/>
      </c>
      <c r="D333">
        <f>IF($D$1=0,0,IFERROR(VALUE(SUBSTITUTE(SUBSTITUTE(SUBSTITUTE(INDEX(貼り付け!$A$1:$BZ$3001,332,$D$1)&amp;"",",",""),"¥",""),"￥","")),0))</f>
        <v/>
      </c>
      <c r="E333">
        <f>IF($E$1=0,0,IFERROR(VALUE(SUBSTITUTE(SUBSTITUTE(SUBSTITUTE(INDEX(貼り付け!$A$1:$BZ$3001,332,$E$1)&amp;"",",",""),"¥",""),"￥","")),0))</f>
        <v/>
      </c>
      <c r="F333">
        <f>IF($F$1=0,0,IFERROR(VALUE(SUBSTITUTE(SUBSTITUTE(SUBSTITUTE(INDEX(貼り付け!$A$1:$BZ$3001,332,$F$1)&amp;"",",",""),"¥",""),"￥","")),0))</f>
        <v/>
      </c>
      <c r="G333">
        <f>IF(ISNUMBER(B333),YEAR(B333),"")</f>
        <v/>
      </c>
      <c r="H333">
        <f>IF(ISNUMBER(B333),MONTH(B333),"")</f>
        <v/>
      </c>
      <c r="I333">
        <f>IFERROR(IF($B$1=0,"",IF(ISNUMBER(INDEX(貼り付け!$A$1:$BZ$3001,332,$B$1)),"",SUBSTITUTE(SUBSTITUTE(SUBSTITUTE(SUBSTITUTE(TRIM(LEFT(INDEX(貼り付け!$A$1:$BZ$3001,332,$B$1)&amp;"",FIND(" ",TRIM(INDEX(貼り付け!$A$1:$BZ$3001,332,$B$1)&amp;"")&amp;" ")-1)),"/","-"),"年","-"),"月","-"),"日",""))),"")</f>
        <v/>
      </c>
      <c r="J333">
        <f>IFERROR(MID(I333,FIND("-",I333)+1,99),"")</f>
        <v/>
      </c>
    </row>
    <row r="334">
      <c r="B334">
        <f>IFERROR(IF($B$1=0,"",IF(INDEX(貼り付け!$A$1:$BZ$3001,333,$B$1)="","",IF(ISNUMBER(INDEX(貼り付け!$A$1:$BZ$3001,333,$B$1)),INT(INDEX(貼り付け!$A$1:$BZ$3001,333,$B$1)),DATE(VALUE(LEFT(I334,FIND("-",I334)-1)),VALUE(LEFT(J334,FIND("-",J334)-1)),VALUE(MID(J334,FIND("-",J334)+1,99)))))),"")</f>
        <v/>
      </c>
      <c r="C334">
        <f>IF($C$1=0,0,IFERROR(VALUE(SUBSTITUTE(SUBSTITUTE(SUBSTITUTE(INDEX(貼り付け!$A$1:$BZ$3001,333,$C$1)&amp;"",",",""),"¥",""),"￥","")),0))</f>
        <v/>
      </c>
      <c r="D334">
        <f>IF($D$1=0,0,IFERROR(VALUE(SUBSTITUTE(SUBSTITUTE(SUBSTITUTE(INDEX(貼り付け!$A$1:$BZ$3001,333,$D$1)&amp;"",",",""),"¥",""),"￥","")),0))</f>
        <v/>
      </c>
      <c r="E334">
        <f>IF($E$1=0,0,IFERROR(VALUE(SUBSTITUTE(SUBSTITUTE(SUBSTITUTE(INDEX(貼り付け!$A$1:$BZ$3001,333,$E$1)&amp;"",",",""),"¥",""),"￥","")),0))</f>
        <v/>
      </c>
      <c r="F334">
        <f>IF($F$1=0,0,IFERROR(VALUE(SUBSTITUTE(SUBSTITUTE(SUBSTITUTE(INDEX(貼り付け!$A$1:$BZ$3001,333,$F$1)&amp;"",",",""),"¥",""),"￥","")),0))</f>
        <v/>
      </c>
      <c r="G334">
        <f>IF(ISNUMBER(B334),YEAR(B334),"")</f>
        <v/>
      </c>
      <c r="H334">
        <f>IF(ISNUMBER(B334),MONTH(B334),"")</f>
        <v/>
      </c>
      <c r="I334">
        <f>IFERROR(IF($B$1=0,"",IF(ISNUMBER(INDEX(貼り付け!$A$1:$BZ$3001,333,$B$1)),"",SUBSTITUTE(SUBSTITUTE(SUBSTITUTE(SUBSTITUTE(TRIM(LEFT(INDEX(貼り付け!$A$1:$BZ$3001,333,$B$1)&amp;"",FIND(" ",TRIM(INDEX(貼り付け!$A$1:$BZ$3001,333,$B$1)&amp;"")&amp;" ")-1)),"/","-"),"年","-"),"月","-"),"日",""))),"")</f>
        <v/>
      </c>
      <c r="J334">
        <f>IFERROR(MID(I334,FIND("-",I334)+1,99),"")</f>
        <v/>
      </c>
    </row>
    <row r="335">
      <c r="B335">
        <f>IFERROR(IF($B$1=0,"",IF(INDEX(貼り付け!$A$1:$BZ$3001,334,$B$1)="","",IF(ISNUMBER(INDEX(貼り付け!$A$1:$BZ$3001,334,$B$1)),INT(INDEX(貼り付け!$A$1:$BZ$3001,334,$B$1)),DATE(VALUE(LEFT(I335,FIND("-",I335)-1)),VALUE(LEFT(J335,FIND("-",J335)-1)),VALUE(MID(J335,FIND("-",J335)+1,99)))))),"")</f>
        <v/>
      </c>
      <c r="C335">
        <f>IF($C$1=0,0,IFERROR(VALUE(SUBSTITUTE(SUBSTITUTE(SUBSTITUTE(INDEX(貼り付け!$A$1:$BZ$3001,334,$C$1)&amp;"",",",""),"¥",""),"￥","")),0))</f>
        <v/>
      </c>
      <c r="D335">
        <f>IF($D$1=0,0,IFERROR(VALUE(SUBSTITUTE(SUBSTITUTE(SUBSTITUTE(INDEX(貼り付け!$A$1:$BZ$3001,334,$D$1)&amp;"",",",""),"¥",""),"￥","")),0))</f>
        <v/>
      </c>
      <c r="E335">
        <f>IF($E$1=0,0,IFERROR(VALUE(SUBSTITUTE(SUBSTITUTE(SUBSTITUTE(INDEX(貼り付け!$A$1:$BZ$3001,334,$E$1)&amp;"",",",""),"¥",""),"￥","")),0))</f>
        <v/>
      </c>
      <c r="F335">
        <f>IF($F$1=0,0,IFERROR(VALUE(SUBSTITUTE(SUBSTITUTE(SUBSTITUTE(INDEX(貼り付け!$A$1:$BZ$3001,334,$F$1)&amp;"",",",""),"¥",""),"￥","")),0))</f>
        <v/>
      </c>
      <c r="G335">
        <f>IF(ISNUMBER(B335),YEAR(B335),"")</f>
        <v/>
      </c>
      <c r="H335">
        <f>IF(ISNUMBER(B335),MONTH(B335),"")</f>
        <v/>
      </c>
      <c r="I335">
        <f>IFERROR(IF($B$1=0,"",IF(ISNUMBER(INDEX(貼り付け!$A$1:$BZ$3001,334,$B$1)),"",SUBSTITUTE(SUBSTITUTE(SUBSTITUTE(SUBSTITUTE(TRIM(LEFT(INDEX(貼り付け!$A$1:$BZ$3001,334,$B$1)&amp;"",FIND(" ",TRIM(INDEX(貼り付け!$A$1:$BZ$3001,334,$B$1)&amp;"")&amp;" ")-1)),"/","-"),"年","-"),"月","-"),"日",""))),"")</f>
        <v/>
      </c>
      <c r="J335">
        <f>IFERROR(MID(I335,FIND("-",I335)+1,99),"")</f>
        <v/>
      </c>
    </row>
    <row r="336">
      <c r="B336">
        <f>IFERROR(IF($B$1=0,"",IF(INDEX(貼り付け!$A$1:$BZ$3001,335,$B$1)="","",IF(ISNUMBER(INDEX(貼り付け!$A$1:$BZ$3001,335,$B$1)),INT(INDEX(貼り付け!$A$1:$BZ$3001,335,$B$1)),DATE(VALUE(LEFT(I336,FIND("-",I336)-1)),VALUE(LEFT(J336,FIND("-",J336)-1)),VALUE(MID(J336,FIND("-",J336)+1,99)))))),"")</f>
        <v/>
      </c>
      <c r="C336">
        <f>IF($C$1=0,0,IFERROR(VALUE(SUBSTITUTE(SUBSTITUTE(SUBSTITUTE(INDEX(貼り付け!$A$1:$BZ$3001,335,$C$1)&amp;"",",",""),"¥",""),"￥","")),0))</f>
        <v/>
      </c>
      <c r="D336">
        <f>IF($D$1=0,0,IFERROR(VALUE(SUBSTITUTE(SUBSTITUTE(SUBSTITUTE(INDEX(貼り付け!$A$1:$BZ$3001,335,$D$1)&amp;"",",",""),"¥",""),"￥","")),0))</f>
        <v/>
      </c>
      <c r="E336">
        <f>IF($E$1=0,0,IFERROR(VALUE(SUBSTITUTE(SUBSTITUTE(SUBSTITUTE(INDEX(貼り付け!$A$1:$BZ$3001,335,$E$1)&amp;"",",",""),"¥",""),"￥","")),0))</f>
        <v/>
      </c>
      <c r="F336">
        <f>IF($F$1=0,0,IFERROR(VALUE(SUBSTITUTE(SUBSTITUTE(SUBSTITUTE(INDEX(貼り付け!$A$1:$BZ$3001,335,$F$1)&amp;"",",",""),"¥",""),"￥","")),0))</f>
        <v/>
      </c>
      <c r="G336">
        <f>IF(ISNUMBER(B336),YEAR(B336),"")</f>
        <v/>
      </c>
      <c r="H336">
        <f>IF(ISNUMBER(B336),MONTH(B336),"")</f>
        <v/>
      </c>
      <c r="I336">
        <f>IFERROR(IF($B$1=0,"",IF(ISNUMBER(INDEX(貼り付け!$A$1:$BZ$3001,335,$B$1)),"",SUBSTITUTE(SUBSTITUTE(SUBSTITUTE(SUBSTITUTE(TRIM(LEFT(INDEX(貼り付け!$A$1:$BZ$3001,335,$B$1)&amp;"",FIND(" ",TRIM(INDEX(貼り付け!$A$1:$BZ$3001,335,$B$1)&amp;"")&amp;" ")-1)),"/","-"),"年","-"),"月","-"),"日",""))),"")</f>
        <v/>
      </c>
      <c r="J336">
        <f>IFERROR(MID(I336,FIND("-",I336)+1,99),"")</f>
        <v/>
      </c>
    </row>
    <row r="337">
      <c r="B337">
        <f>IFERROR(IF($B$1=0,"",IF(INDEX(貼り付け!$A$1:$BZ$3001,336,$B$1)="","",IF(ISNUMBER(INDEX(貼り付け!$A$1:$BZ$3001,336,$B$1)),INT(INDEX(貼り付け!$A$1:$BZ$3001,336,$B$1)),DATE(VALUE(LEFT(I337,FIND("-",I337)-1)),VALUE(LEFT(J337,FIND("-",J337)-1)),VALUE(MID(J337,FIND("-",J337)+1,99)))))),"")</f>
        <v/>
      </c>
      <c r="C337">
        <f>IF($C$1=0,0,IFERROR(VALUE(SUBSTITUTE(SUBSTITUTE(SUBSTITUTE(INDEX(貼り付け!$A$1:$BZ$3001,336,$C$1)&amp;"",",",""),"¥",""),"￥","")),0))</f>
        <v/>
      </c>
      <c r="D337">
        <f>IF($D$1=0,0,IFERROR(VALUE(SUBSTITUTE(SUBSTITUTE(SUBSTITUTE(INDEX(貼り付け!$A$1:$BZ$3001,336,$D$1)&amp;"",",",""),"¥",""),"￥","")),0))</f>
        <v/>
      </c>
      <c r="E337">
        <f>IF($E$1=0,0,IFERROR(VALUE(SUBSTITUTE(SUBSTITUTE(SUBSTITUTE(INDEX(貼り付け!$A$1:$BZ$3001,336,$E$1)&amp;"",",",""),"¥",""),"￥","")),0))</f>
        <v/>
      </c>
      <c r="F337">
        <f>IF($F$1=0,0,IFERROR(VALUE(SUBSTITUTE(SUBSTITUTE(SUBSTITUTE(INDEX(貼り付け!$A$1:$BZ$3001,336,$F$1)&amp;"",",",""),"¥",""),"￥","")),0))</f>
        <v/>
      </c>
      <c r="G337">
        <f>IF(ISNUMBER(B337),YEAR(B337),"")</f>
        <v/>
      </c>
      <c r="H337">
        <f>IF(ISNUMBER(B337),MONTH(B337),"")</f>
        <v/>
      </c>
      <c r="I337">
        <f>IFERROR(IF($B$1=0,"",IF(ISNUMBER(INDEX(貼り付け!$A$1:$BZ$3001,336,$B$1)),"",SUBSTITUTE(SUBSTITUTE(SUBSTITUTE(SUBSTITUTE(TRIM(LEFT(INDEX(貼り付け!$A$1:$BZ$3001,336,$B$1)&amp;"",FIND(" ",TRIM(INDEX(貼り付け!$A$1:$BZ$3001,336,$B$1)&amp;"")&amp;" ")-1)),"/","-"),"年","-"),"月","-"),"日",""))),"")</f>
        <v/>
      </c>
      <c r="J337">
        <f>IFERROR(MID(I337,FIND("-",I337)+1,99),"")</f>
        <v/>
      </c>
    </row>
    <row r="338">
      <c r="B338">
        <f>IFERROR(IF($B$1=0,"",IF(INDEX(貼り付け!$A$1:$BZ$3001,337,$B$1)="","",IF(ISNUMBER(INDEX(貼り付け!$A$1:$BZ$3001,337,$B$1)),INT(INDEX(貼り付け!$A$1:$BZ$3001,337,$B$1)),DATE(VALUE(LEFT(I338,FIND("-",I338)-1)),VALUE(LEFT(J338,FIND("-",J338)-1)),VALUE(MID(J338,FIND("-",J338)+1,99)))))),"")</f>
        <v/>
      </c>
      <c r="C338">
        <f>IF($C$1=0,0,IFERROR(VALUE(SUBSTITUTE(SUBSTITUTE(SUBSTITUTE(INDEX(貼り付け!$A$1:$BZ$3001,337,$C$1)&amp;"",",",""),"¥",""),"￥","")),0))</f>
        <v/>
      </c>
      <c r="D338">
        <f>IF($D$1=0,0,IFERROR(VALUE(SUBSTITUTE(SUBSTITUTE(SUBSTITUTE(INDEX(貼り付け!$A$1:$BZ$3001,337,$D$1)&amp;"",",",""),"¥",""),"￥","")),0))</f>
        <v/>
      </c>
      <c r="E338">
        <f>IF($E$1=0,0,IFERROR(VALUE(SUBSTITUTE(SUBSTITUTE(SUBSTITUTE(INDEX(貼り付け!$A$1:$BZ$3001,337,$E$1)&amp;"",",",""),"¥",""),"￥","")),0))</f>
        <v/>
      </c>
      <c r="F338">
        <f>IF($F$1=0,0,IFERROR(VALUE(SUBSTITUTE(SUBSTITUTE(SUBSTITUTE(INDEX(貼り付け!$A$1:$BZ$3001,337,$F$1)&amp;"",",",""),"¥",""),"￥","")),0))</f>
        <v/>
      </c>
      <c r="G338">
        <f>IF(ISNUMBER(B338),YEAR(B338),"")</f>
        <v/>
      </c>
      <c r="H338">
        <f>IF(ISNUMBER(B338),MONTH(B338),"")</f>
        <v/>
      </c>
      <c r="I338">
        <f>IFERROR(IF($B$1=0,"",IF(ISNUMBER(INDEX(貼り付け!$A$1:$BZ$3001,337,$B$1)),"",SUBSTITUTE(SUBSTITUTE(SUBSTITUTE(SUBSTITUTE(TRIM(LEFT(INDEX(貼り付け!$A$1:$BZ$3001,337,$B$1)&amp;"",FIND(" ",TRIM(INDEX(貼り付け!$A$1:$BZ$3001,337,$B$1)&amp;"")&amp;" ")-1)),"/","-"),"年","-"),"月","-"),"日",""))),"")</f>
        <v/>
      </c>
      <c r="J338">
        <f>IFERROR(MID(I338,FIND("-",I338)+1,99),"")</f>
        <v/>
      </c>
    </row>
    <row r="339">
      <c r="B339">
        <f>IFERROR(IF($B$1=0,"",IF(INDEX(貼り付け!$A$1:$BZ$3001,338,$B$1)="","",IF(ISNUMBER(INDEX(貼り付け!$A$1:$BZ$3001,338,$B$1)),INT(INDEX(貼り付け!$A$1:$BZ$3001,338,$B$1)),DATE(VALUE(LEFT(I339,FIND("-",I339)-1)),VALUE(LEFT(J339,FIND("-",J339)-1)),VALUE(MID(J339,FIND("-",J339)+1,99)))))),"")</f>
        <v/>
      </c>
      <c r="C339">
        <f>IF($C$1=0,0,IFERROR(VALUE(SUBSTITUTE(SUBSTITUTE(SUBSTITUTE(INDEX(貼り付け!$A$1:$BZ$3001,338,$C$1)&amp;"",",",""),"¥",""),"￥","")),0))</f>
        <v/>
      </c>
      <c r="D339">
        <f>IF($D$1=0,0,IFERROR(VALUE(SUBSTITUTE(SUBSTITUTE(SUBSTITUTE(INDEX(貼り付け!$A$1:$BZ$3001,338,$D$1)&amp;"",",",""),"¥",""),"￥","")),0))</f>
        <v/>
      </c>
      <c r="E339">
        <f>IF($E$1=0,0,IFERROR(VALUE(SUBSTITUTE(SUBSTITUTE(SUBSTITUTE(INDEX(貼り付け!$A$1:$BZ$3001,338,$E$1)&amp;"",",",""),"¥",""),"￥","")),0))</f>
        <v/>
      </c>
      <c r="F339">
        <f>IF($F$1=0,0,IFERROR(VALUE(SUBSTITUTE(SUBSTITUTE(SUBSTITUTE(INDEX(貼り付け!$A$1:$BZ$3001,338,$F$1)&amp;"",",",""),"¥",""),"￥","")),0))</f>
        <v/>
      </c>
      <c r="G339">
        <f>IF(ISNUMBER(B339),YEAR(B339),"")</f>
        <v/>
      </c>
      <c r="H339">
        <f>IF(ISNUMBER(B339),MONTH(B339),"")</f>
        <v/>
      </c>
      <c r="I339">
        <f>IFERROR(IF($B$1=0,"",IF(ISNUMBER(INDEX(貼り付け!$A$1:$BZ$3001,338,$B$1)),"",SUBSTITUTE(SUBSTITUTE(SUBSTITUTE(SUBSTITUTE(TRIM(LEFT(INDEX(貼り付け!$A$1:$BZ$3001,338,$B$1)&amp;"",FIND(" ",TRIM(INDEX(貼り付け!$A$1:$BZ$3001,338,$B$1)&amp;"")&amp;" ")-1)),"/","-"),"年","-"),"月","-"),"日",""))),"")</f>
        <v/>
      </c>
      <c r="J339">
        <f>IFERROR(MID(I339,FIND("-",I339)+1,99),"")</f>
        <v/>
      </c>
    </row>
    <row r="340">
      <c r="B340">
        <f>IFERROR(IF($B$1=0,"",IF(INDEX(貼り付け!$A$1:$BZ$3001,339,$B$1)="","",IF(ISNUMBER(INDEX(貼り付け!$A$1:$BZ$3001,339,$B$1)),INT(INDEX(貼り付け!$A$1:$BZ$3001,339,$B$1)),DATE(VALUE(LEFT(I340,FIND("-",I340)-1)),VALUE(LEFT(J340,FIND("-",J340)-1)),VALUE(MID(J340,FIND("-",J340)+1,99)))))),"")</f>
        <v/>
      </c>
      <c r="C340">
        <f>IF($C$1=0,0,IFERROR(VALUE(SUBSTITUTE(SUBSTITUTE(SUBSTITUTE(INDEX(貼り付け!$A$1:$BZ$3001,339,$C$1)&amp;"",",",""),"¥",""),"￥","")),0))</f>
        <v/>
      </c>
      <c r="D340">
        <f>IF($D$1=0,0,IFERROR(VALUE(SUBSTITUTE(SUBSTITUTE(SUBSTITUTE(INDEX(貼り付け!$A$1:$BZ$3001,339,$D$1)&amp;"",",",""),"¥",""),"￥","")),0))</f>
        <v/>
      </c>
      <c r="E340">
        <f>IF($E$1=0,0,IFERROR(VALUE(SUBSTITUTE(SUBSTITUTE(SUBSTITUTE(INDEX(貼り付け!$A$1:$BZ$3001,339,$E$1)&amp;"",",",""),"¥",""),"￥","")),0))</f>
        <v/>
      </c>
      <c r="F340">
        <f>IF($F$1=0,0,IFERROR(VALUE(SUBSTITUTE(SUBSTITUTE(SUBSTITUTE(INDEX(貼り付け!$A$1:$BZ$3001,339,$F$1)&amp;"",",",""),"¥",""),"￥","")),0))</f>
        <v/>
      </c>
      <c r="G340">
        <f>IF(ISNUMBER(B340),YEAR(B340),"")</f>
        <v/>
      </c>
      <c r="H340">
        <f>IF(ISNUMBER(B340),MONTH(B340),"")</f>
        <v/>
      </c>
      <c r="I340">
        <f>IFERROR(IF($B$1=0,"",IF(ISNUMBER(INDEX(貼り付け!$A$1:$BZ$3001,339,$B$1)),"",SUBSTITUTE(SUBSTITUTE(SUBSTITUTE(SUBSTITUTE(TRIM(LEFT(INDEX(貼り付け!$A$1:$BZ$3001,339,$B$1)&amp;"",FIND(" ",TRIM(INDEX(貼り付け!$A$1:$BZ$3001,339,$B$1)&amp;"")&amp;" ")-1)),"/","-"),"年","-"),"月","-"),"日",""))),"")</f>
        <v/>
      </c>
      <c r="J340">
        <f>IFERROR(MID(I340,FIND("-",I340)+1,99),"")</f>
        <v/>
      </c>
    </row>
    <row r="341">
      <c r="B341">
        <f>IFERROR(IF($B$1=0,"",IF(INDEX(貼り付け!$A$1:$BZ$3001,340,$B$1)="","",IF(ISNUMBER(INDEX(貼り付け!$A$1:$BZ$3001,340,$B$1)),INT(INDEX(貼り付け!$A$1:$BZ$3001,340,$B$1)),DATE(VALUE(LEFT(I341,FIND("-",I341)-1)),VALUE(LEFT(J341,FIND("-",J341)-1)),VALUE(MID(J341,FIND("-",J341)+1,99)))))),"")</f>
        <v/>
      </c>
      <c r="C341">
        <f>IF($C$1=0,0,IFERROR(VALUE(SUBSTITUTE(SUBSTITUTE(SUBSTITUTE(INDEX(貼り付け!$A$1:$BZ$3001,340,$C$1)&amp;"",",",""),"¥",""),"￥","")),0))</f>
        <v/>
      </c>
      <c r="D341">
        <f>IF($D$1=0,0,IFERROR(VALUE(SUBSTITUTE(SUBSTITUTE(SUBSTITUTE(INDEX(貼り付け!$A$1:$BZ$3001,340,$D$1)&amp;"",",",""),"¥",""),"￥","")),0))</f>
        <v/>
      </c>
      <c r="E341">
        <f>IF($E$1=0,0,IFERROR(VALUE(SUBSTITUTE(SUBSTITUTE(SUBSTITUTE(INDEX(貼り付け!$A$1:$BZ$3001,340,$E$1)&amp;"",",",""),"¥",""),"￥","")),0))</f>
        <v/>
      </c>
      <c r="F341">
        <f>IF($F$1=0,0,IFERROR(VALUE(SUBSTITUTE(SUBSTITUTE(SUBSTITUTE(INDEX(貼り付け!$A$1:$BZ$3001,340,$F$1)&amp;"",",",""),"¥",""),"￥","")),0))</f>
        <v/>
      </c>
      <c r="G341">
        <f>IF(ISNUMBER(B341),YEAR(B341),"")</f>
        <v/>
      </c>
      <c r="H341">
        <f>IF(ISNUMBER(B341),MONTH(B341),"")</f>
        <v/>
      </c>
      <c r="I341">
        <f>IFERROR(IF($B$1=0,"",IF(ISNUMBER(INDEX(貼り付け!$A$1:$BZ$3001,340,$B$1)),"",SUBSTITUTE(SUBSTITUTE(SUBSTITUTE(SUBSTITUTE(TRIM(LEFT(INDEX(貼り付け!$A$1:$BZ$3001,340,$B$1)&amp;"",FIND(" ",TRIM(INDEX(貼り付け!$A$1:$BZ$3001,340,$B$1)&amp;"")&amp;" ")-1)),"/","-"),"年","-"),"月","-"),"日",""))),"")</f>
        <v/>
      </c>
      <c r="J341">
        <f>IFERROR(MID(I341,FIND("-",I341)+1,99),"")</f>
        <v/>
      </c>
    </row>
    <row r="342">
      <c r="B342">
        <f>IFERROR(IF($B$1=0,"",IF(INDEX(貼り付け!$A$1:$BZ$3001,341,$B$1)="","",IF(ISNUMBER(INDEX(貼り付け!$A$1:$BZ$3001,341,$B$1)),INT(INDEX(貼り付け!$A$1:$BZ$3001,341,$B$1)),DATE(VALUE(LEFT(I342,FIND("-",I342)-1)),VALUE(LEFT(J342,FIND("-",J342)-1)),VALUE(MID(J342,FIND("-",J342)+1,99)))))),"")</f>
        <v/>
      </c>
      <c r="C342">
        <f>IF($C$1=0,0,IFERROR(VALUE(SUBSTITUTE(SUBSTITUTE(SUBSTITUTE(INDEX(貼り付け!$A$1:$BZ$3001,341,$C$1)&amp;"",",",""),"¥",""),"￥","")),0))</f>
        <v/>
      </c>
      <c r="D342">
        <f>IF($D$1=0,0,IFERROR(VALUE(SUBSTITUTE(SUBSTITUTE(SUBSTITUTE(INDEX(貼り付け!$A$1:$BZ$3001,341,$D$1)&amp;"",",",""),"¥",""),"￥","")),0))</f>
        <v/>
      </c>
      <c r="E342">
        <f>IF($E$1=0,0,IFERROR(VALUE(SUBSTITUTE(SUBSTITUTE(SUBSTITUTE(INDEX(貼り付け!$A$1:$BZ$3001,341,$E$1)&amp;"",",",""),"¥",""),"￥","")),0))</f>
        <v/>
      </c>
      <c r="F342">
        <f>IF($F$1=0,0,IFERROR(VALUE(SUBSTITUTE(SUBSTITUTE(SUBSTITUTE(INDEX(貼り付け!$A$1:$BZ$3001,341,$F$1)&amp;"",",",""),"¥",""),"￥","")),0))</f>
        <v/>
      </c>
      <c r="G342">
        <f>IF(ISNUMBER(B342),YEAR(B342),"")</f>
        <v/>
      </c>
      <c r="H342">
        <f>IF(ISNUMBER(B342),MONTH(B342),"")</f>
        <v/>
      </c>
      <c r="I342">
        <f>IFERROR(IF($B$1=0,"",IF(ISNUMBER(INDEX(貼り付け!$A$1:$BZ$3001,341,$B$1)),"",SUBSTITUTE(SUBSTITUTE(SUBSTITUTE(SUBSTITUTE(TRIM(LEFT(INDEX(貼り付け!$A$1:$BZ$3001,341,$B$1)&amp;"",FIND(" ",TRIM(INDEX(貼り付け!$A$1:$BZ$3001,341,$B$1)&amp;"")&amp;" ")-1)),"/","-"),"年","-"),"月","-"),"日",""))),"")</f>
        <v/>
      </c>
      <c r="J342">
        <f>IFERROR(MID(I342,FIND("-",I342)+1,99),"")</f>
        <v/>
      </c>
    </row>
    <row r="343">
      <c r="B343">
        <f>IFERROR(IF($B$1=0,"",IF(INDEX(貼り付け!$A$1:$BZ$3001,342,$B$1)="","",IF(ISNUMBER(INDEX(貼り付け!$A$1:$BZ$3001,342,$B$1)),INT(INDEX(貼り付け!$A$1:$BZ$3001,342,$B$1)),DATE(VALUE(LEFT(I343,FIND("-",I343)-1)),VALUE(LEFT(J343,FIND("-",J343)-1)),VALUE(MID(J343,FIND("-",J343)+1,99)))))),"")</f>
        <v/>
      </c>
      <c r="C343">
        <f>IF($C$1=0,0,IFERROR(VALUE(SUBSTITUTE(SUBSTITUTE(SUBSTITUTE(INDEX(貼り付け!$A$1:$BZ$3001,342,$C$1)&amp;"",",",""),"¥",""),"￥","")),0))</f>
        <v/>
      </c>
      <c r="D343">
        <f>IF($D$1=0,0,IFERROR(VALUE(SUBSTITUTE(SUBSTITUTE(SUBSTITUTE(INDEX(貼り付け!$A$1:$BZ$3001,342,$D$1)&amp;"",",",""),"¥",""),"￥","")),0))</f>
        <v/>
      </c>
      <c r="E343">
        <f>IF($E$1=0,0,IFERROR(VALUE(SUBSTITUTE(SUBSTITUTE(SUBSTITUTE(INDEX(貼り付け!$A$1:$BZ$3001,342,$E$1)&amp;"",",",""),"¥",""),"￥","")),0))</f>
        <v/>
      </c>
      <c r="F343">
        <f>IF($F$1=0,0,IFERROR(VALUE(SUBSTITUTE(SUBSTITUTE(SUBSTITUTE(INDEX(貼り付け!$A$1:$BZ$3001,342,$F$1)&amp;"",",",""),"¥",""),"￥","")),0))</f>
        <v/>
      </c>
      <c r="G343">
        <f>IF(ISNUMBER(B343),YEAR(B343),"")</f>
        <v/>
      </c>
      <c r="H343">
        <f>IF(ISNUMBER(B343),MONTH(B343),"")</f>
        <v/>
      </c>
      <c r="I343">
        <f>IFERROR(IF($B$1=0,"",IF(ISNUMBER(INDEX(貼り付け!$A$1:$BZ$3001,342,$B$1)),"",SUBSTITUTE(SUBSTITUTE(SUBSTITUTE(SUBSTITUTE(TRIM(LEFT(INDEX(貼り付け!$A$1:$BZ$3001,342,$B$1)&amp;"",FIND(" ",TRIM(INDEX(貼り付け!$A$1:$BZ$3001,342,$B$1)&amp;"")&amp;" ")-1)),"/","-"),"年","-"),"月","-"),"日",""))),"")</f>
        <v/>
      </c>
      <c r="J343">
        <f>IFERROR(MID(I343,FIND("-",I343)+1,99),"")</f>
        <v/>
      </c>
    </row>
    <row r="344">
      <c r="B344">
        <f>IFERROR(IF($B$1=0,"",IF(INDEX(貼り付け!$A$1:$BZ$3001,343,$B$1)="","",IF(ISNUMBER(INDEX(貼り付け!$A$1:$BZ$3001,343,$B$1)),INT(INDEX(貼り付け!$A$1:$BZ$3001,343,$B$1)),DATE(VALUE(LEFT(I344,FIND("-",I344)-1)),VALUE(LEFT(J344,FIND("-",J344)-1)),VALUE(MID(J344,FIND("-",J344)+1,99)))))),"")</f>
        <v/>
      </c>
      <c r="C344">
        <f>IF($C$1=0,0,IFERROR(VALUE(SUBSTITUTE(SUBSTITUTE(SUBSTITUTE(INDEX(貼り付け!$A$1:$BZ$3001,343,$C$1)&amp;"",",",""),"¥",""),"￥","")),0))</f>
        <v/>
      </c>
      <c r="D344">
        <f>IF($D$1=0,0,IFERROR(VALUE(SUBSTITUTE(SUBSTITUTE(SUBSTITUTE(INDEX(貼り付け!$A$1:$BZ$3001,343,$D$1)&amp;"",",",""),"¥",""),"￥","")),0))</f>
        <v/>
      </c>
      <c r="E344">
        <f>IF($E$1=0,0,IFERROR(VALUE(SUBSTITUTE(SUBSTITUTE(SUBSTITUTE(INDEX(貼り付け!$A$1:$BZ$3001,343,$E$1)&amp;"",",",""),"¥",""),"￥","")),0))</f>
        <v/>
      </c>
      <c r="F344">
        <f>IF($F$1=0,0,IFERROR(VALUE(SUBSTITUTE(SUBSTITUTE(SUBSTITUTE(INDEX(貼り付け!$A$1:$BZ$3001,343,$F$1)&amp;"",",",""),"¥",""),"￥","")),0))</f>
        <v/>
      </c>
      <c r="G344">
        <f>IF(ISNUMBER(B344),YEAR(B344),"")</f>
        <v/>
      </c>
      <c r="H344">
        <f>IF(ISNUMBER(B344),MONTH(B344),"")</f>
        <v/>
      </c>
      <c r="I344">
        <f>IFERROR(IF($B$1=0,"",IF(ISNUMBER(INDEX(貼り付け!$A$1:$BZ$3001,343,$B$1)),"",SUBSTITUTE(SUBSTITUTE(SUBSTITUTE(SUBSTITUTE(TRIM(LEFT(INDEX(貼り付け!$A$1:$BZ$3001,343,$B$1)&amp;"",FIND(" ",TRIM(INDEX(貼り付け!$A$1:$BZ$3001,343,$B$1)&amp;"")&amp;" ")-1)),"/","-"),"年","-"),"月","-"),"日",""))),"")</f>
        <v/>
      </c>
      <c r="J344">
        <f>IFERROR(MID(I344,FIND("-",I344)+1,99),"")</f>
        <v/>
      </c>
    </row>
    <row r="345">
      <c r="B345">
        <f>IFERROR(IF($B$1=0,"",IF(INDEX(貼り付け!$A$1:$BZ$3001,344,$B$1)="","",IF(ISNUMBER(INDEX(貼り付け!$A$1:$BZ$3001,344,$B$1)),INT(INDEX(貼り付け!$A$1:$BZ$3001,344,$B$1)),DATE(VALUE(LEFT(I345,FIND("-",I345)-1)),VALUE(LEFT(J345,FIND("-",J345)-1)),VALUE(MID(J345,FIND("-",J345)+1,99)))))),"")</f>
        <v/>
      </c>
      <c r="C345">
        <f>IF($C$1=0,0,IFERROR(VALUE(SUBSTITUTE(SUBSTITUTE(SUBSTITUTE(INDEX(貼り付け!$A$1:$BZ$3001,344,$C$1)&amp;"",",",""),"¥",""),"￥","")),0))</f>
        <v/>
      </c>
      <c r="D345">
        <f>IF($D$1=0,0,IFERROR(VALUE(SUBSTITUTE(SUBSTITUTE(SUBSTITUTE(INDEX(貼り付け!$A$1:$BZ$3001,344,$D$1)&amp;"",",",""),"¥",""),"￥","")),0))</f>
        <v/>
      </c>
      <c r="E345">
        <f>IF($E$1=0,0,IFERROR(VALUE(SUBSTITUTE(SUBSTITUTE(SUBSTITUTE(INDEX(貼り付け!$A$1:$BZ$3001,344,$E$1)&amp;"",",",""),"¥",""),"￥","")),0))</f>
        <v/>
      </c>
      <c r="F345">
        <f>IF($F$1=0,0,IFERROR(VALUE(SUBSTITUTE(SUBSTITUTE(SUBSTITUTE(INDEX(貼り付け!$A$1:$BZ$3001,344,$F$1)&amp;"",",",""),"¥",""),"￥","")),0))</f>
        <v/>
      </c>
      <c r="G345">
        <f>IF(ISNUMBER(B345),YEAR(B345),"")</f>
        <v/>
      </c>
      <c r="H345">
        <f>IF(ISNUMBER(B345),MONTH(B345),"")</f>
        <v/>
      </c>
      <c r="I345">
        <f>IFERROR(IF($B$1=0,"",IF(ISNUMBER(INDEX(貼り付け!$A$1:$BZ$3001,344,$B$1)),"",SUBSTITUTE(SUBSTITUTE(SUBSTITUTE(SUBSTITUTE(TRIM(LEFT(INDEX(貼り付け!$A$1:$BZ$3001,344,$B$1)&amp;"",FIND(" ",TRIM(INDEX(貼り付け!$A$1:$BZ$3001,344,$B$1)&amp;"")&amp;" ")-1)),"/","-"),"年","-"),"月","-"),"日",""))),"")</f>
        <v/>
      </c>
      <c r="J345">
        <f>IFERROR(MID(I345,FIND("-",I345)+1,99),"")</f>
        <v/>
      </c>
    </row>
    <row r="346">
      <c r="B346">
        <f>IFERROR(IF($B$1=0,"",IF(INDEX(貼り付け!$A$1:$BZ$3001,345,$B$1)="","",IF(ISNUMBER(INDEX(貼り付け!$A$1:$BZ$3001,345,$B$1)),INT(INDEX(貼り付け!$A$1:$BZ$3001,345,$B$1)),DATE(VALUE(LEFT(I346,FIND("-",I346)-1)),VALUE(LEFT(J346,FIND("-",J346)-1)),VALUE(MID(J346,FIND("-",J346)+1,99)))))),"")</f>
        <v/>
      </c>
      <c r="C346">
        <f>IF($C$1=0,0,IFERROR(VALUE(SUBSTITUTE(SUBSTITUTE(SUBSTITUTE(INDEX(貼り付け!$A$1:$BZ$3001,345,$C$1)&amp;"",",",""),"¥",""),"￥","")),0))</f>
        <v/>
      </c>
      <c r="D346">
        <f>IF($D$1=0,0,IFERROR(VALUE(SUBSTITUTE(SUBSTITUTE(SUBSTITUTE(INDEX(貼り付け!$A$1:$BZ$3001,345,$D$1)&amp;"",",",""),"¥",""),"￥","")),0))</f>
        <v/>
      </c>
      <c r="E346">
        <f>IF($E$1=0,0,IFERROR(VALUE(SUBSTITUTE(SUBSTITUTE(SUBSTITUTE(INDEX(貼り付け!$A$1:$BZ$3001,345,$E$1)&amp;"",",",""),"¥",""),"￥","")),0))</f>
        <v/>
      </c>
      <c r="F346">
        <f>IF($F$1=0,0,IFERROR(VALUE(SUBSTITUTE(SUBSTITUTE(SUBSTITUTE(INDEX(貼り付け!$A$1:$BZ$3001,345,$F$1)&amp;"",",",""),"¥",""),"￥","")),0))</f>
        <v/>
      </c>
      <c r="G346">
        <f>IF(ISNUMBER(B346),YEAR(B346),"")</f>
        <v/>
      </c>
      <c r="H346">
        <f>IF(ISNUMBER(B346),MONTH(B346),"")</f>
        <v/>
      </c>
      <c r="I346">
        <f>IFERROR(IF($B$1=0,"",IF(ISNUMBER(INDEX(貼り付け!$A$1:$BZ$3001,345,$B$1)),"",SUBSTITUTE(SUBSTITUTE(SUBSTITUTE(SUBSTITUTE(TRIM(LEFT(INDEX(貼り付け!$A$1:$BZ$3001,345,$B$1)&amp;"",FIND(" ",TRIM(INDEX(貼り付け!$A$1:$BZ$3001,345,$B$1)&amp;"")&amp;" ")-1)),"/","-"),"年","-"),"月","-"),"日",""))),"")</f>
        <v/>
      </c>
      <c r="J346">
        <f>IFERROR(MID(I346,FIND("-",I346)+1,99),"")</f>
        <v/>
      </c>
    </row>
    <row r="347">
      <c r="B347">
        <f>IFERROR(IF($B$1=0,"",IF(INDEX(貼り付け!$A$1:$BZ$3001,346,$B$1)="","",IF(ISNUMBER(INDEX(貼り付け!$A$1:$BZ$3001,346,$B$1)),INT(INDEX(貼り付け!$A$1:$BZ$3001,346,$B$1)),DATE(VALUE(LEFT(I347,FIND("-",I347)-1)),VALUE(LEFT(J347,FIND("-",J347)-1)),VALUE(MID(J347,FIND("-",J347)+1,99)))))),"")</f>
        <v/>
      </c>
      <c r="C347">
        <f>IF($C$1=0,0,IFERROR(VALUE(SUBSTITUTE(SUBSTITUTE(SUBSTITUTE(INDEX(貼り付け!$A$1:$BZ$3001,346,$C$1)&amp;"",",",""),"¥",""),"￥","")),0))</f>
        <v/>
      </c>
      <c r="D347">
        <f>IF($D$1=0,0,IFERROR(VALUE(SUBSTITUTE(SUBSTITUTE(SUBSTITUTE(INDEX(貼り付け!$A$1:$BZ$3001,346,$D$1)&amp;"",",",""),"¥",""),"￥","")),0))</f>
        <v/>
      </c>
      <c r="E347">
        <f>IF($E$1=0,0,IFERROR(VALUE(SUBSTITUTE(SUBSTITUTE(SUBSTITUTE(INDEX(貼り付け!$A$1:$BZ$3001,346,$E$1)&amp;"",",",""),"¥",""),"￥","")),0))</f>
        <v/>
      </c>
      <c r="F347">
        <f>IF($F$1=0,0,IFERROR(VALUE(SUBSTITUTE(SUBSTITUTE(SUBSTITUTE(INDEX(貼り付け!$A$1:$BZ$3001,346,$F$1)&amp;"",",",""),"¥",""),"￥","")),0))</f>
        <v/>
      </c>
      <c r="G347">
        <f>IF(ISNUMBER(B347),YEAR(B347),"")</f>
        <v/>
      </c>
      <c r="H347">
        <f>IF(ISNUMBER(B347),MONTH(B347),"")</f>
        <v/>
      </c>
      <c r="I347">
        <f>IFERROR(IF($B$1=0,"",IF(ISNUMBER(INDEX(貼り付け!$A$1:$BZ$3001,346,$B$1)),"",SUBSTITUTE(SUBSTITUTE(SUBSTITUTE(SUBSTITUTE(TRIM(LEFT(INDEX(貼り付け!$A$1:$BZ$3001,346,$B$1)&amp;"",FIND(" ",TRIM(INDEX(貼り付け!$A$1:$BZ$3001,346,$B$1)&amp;"")&amp;" ")-1)),"/","-"),"年","-"),"月","-"),"日",""))),"")</f>
        <v/>
      </c>
      <c r="J347">
        <f>IFERROR(MID(I347,FIND("-",I347)+1,99),"")</f>
        <v/>
      </c>
    </row>
    <row r="348">
      <c r="B348">
        <f>IFERROR(IF($B$1=0,"",IF(INDEX(貼り付け!$A$1:$BZ$3001,347,$B$1)="","",IF(ISNUMBER(INDEX(貼り付け!$A$1:$BZ$3001,347,$B$1)),INT(INDEX(貼り付け!$A$1:$BZ$3001,347,$B$1)),DATE(VALUE(LEFT(I348,FIND("-",I348)-1)),VALUE(LEFT(J348,FIND("-",J348)-1)),VALUE(MID(J348,FIND("-",J348)+1,99)))))),"")</f>
        <v/>
      </c>
      <c r="C348">
        <f>IF($C$1=0,0,IFERROR(VALUE(SUBSTITUTE(SUBSTITUTE(SUBSTITUTE(INDEX(貼り付け!$A$1:$BZ$3001,347,$C$1)&amp;"",",",""),"¥",""),"￥","")),0))</f>
        <v/>
      </c>
      <c r="D348">
        <f>IF($D$1=0,0,IFERROR(VALUE(SUBSTITUTE(SUBSTITUTE(SUBSTITUTE(INDEX(貼り付け!$A$1:$BZ$3001,347,$D$1)&amp;"",",",""),"¥",""),"￥","")),0))</f>
        <v/>
      </c>
      <c r="E348">
        <f>IF($E$1=0,0,IFERROR(VALUE(SUBSTITUTE(SUBSTITUTE(SUBSTITUTE(INDEX(貼り付け!$A$1:$BZ$3001,347,$E$1)&amp;"",",",""),"¥",""),"￥","")),0))</f>
        <v/>
      </c>
      <c r="F348">
        <f>IF($F$1=0,0,IFERROR(VALUE(SUBSTITUTE(SUBSTITUTE(SUBSTITUTE(INDEX(貼り付け!$A$1:$BZ$3001,347,$F$1)&amp;"",",",""),"¥",""),"￥","")),0))</f>
        <v/>
      </c>
      <c r="G348">
        <f>IF(ISNUMBER(B348),YEAR(B348),"")</f>
        <v/>
      </c>
      <c r="H348">
        <f>IF(ISNUMBER(B348),MONTH(B348),"")</f>
        <v/>
      </c>
      <c r="I348">
        <f>IFERROR(IF($B$1=0,"",IF(ISNUMBER(INDEX(貼り付け!$A$1:$BZ$3001,347,$B$1)),"",SUBSTITUTE(SUBSTITUTE(SUBSTITUTE(SUBSTITUTE(TRIM(LEFT(INDEX(貼り付け!$A$1:$BZ$3001,347,$B$1)&amp;"",FIND(" ",TRIM(INDEX(貼り付け!$A$1:$BZ$3001,347,$B$1)&amp;"")&amp;" ")-1)),"/","-"),"年","-"),"月","-"),"日",""))),"")</f>
        <v/>
      </c>
      <c r="J348">
        <f>IFERROR(MID(I348,FIND("-",I348)+1,99),"")</f>
        <v/>
      </c>
    </row>
    <row r="349">
      <c r="B349">
        <f>IFERROR(IF($B$1=0,"",IF(INDEX(貼り付け!$A$1:$BZ$3001,348,$B$1)="","",IF(ISNUMBER(INDEX(貼り付け!$A$1:$BZ$3001,348,$B$1)),INT(INDEX(貼り付け!$A$1:$BZ$3001,348,$B$1)),DATE(VALUE(LEFT(I349,FIND("-",I349)-1)),VALUE(LEFT(J349,FIND("-",J349)-1)),VALUE(MID(J349,FIND("-",J349)+1,99)))))),"")</f>
        <v/>
      </c>
      <c r="C349">
        <f>IF($C$1=0,0,IFERROR(VALUE(SUBSTITUTE(SUBSTITUTE(SUBSTITUTE(INDEX(貼り付け!$A$1:$BZ$3001,348,$C$1)&amp;"",",",""),"¥",""),"￥","")),0))</f>
        <v/>
      </c>
      <c r="D349">
        <f>IF($D$1=0,0,IFERROR(VALUE(SUBSTITUTE(SUBSTITUTE(SUBSTITUTE(INDEX(貼り付け!$A$1:$BZ$3001,348,$D$1)&amp;"",",",""),"¥",""),"￥","")),0))</f>
        <v/>
      </c>
      <c r="E349">
        <f>IF($E$1=0,0,IFERROR(VALUE(SUBSTITUTE(SUBSTITUTE(SUBSTITUTE(INDEX(貼り付け!$A$1:$BZ$3001,348,$E$1)&amp;"",",",""),"¥",""),"￥","")),0))</f>
        <v/>
      </c>
      <c r="F349">
        <f>IF($F$1=0,0,IFERROR(VALUE(SUBSTITUTE(SUBSTITUTE(SUBSTITUTE(INDEX(貼り付け!$A$1:$BZ$3001,348,$F$1)&amp;"",",",""),"¥",""),"￥","")),0))</f>
        <v/>
      </c>
      <c r="G349">
        <f>IF(ISNUMBER(B349),YEAR(B349),"")</f>
        <v/>
      </c>
      <c r="H349">
        <f>IF(ISNUMBER(B349),MONTH(B349),"")</f>
        <v/>
      </c>
      <c r="I349">
        <f>IFERROR(IF($B$1=0,"",IF(ISNUMBER(INDEX(貼り付け!$A$1:$BZ$3001,348,$B$1)),"",SUBSTITUTE(SUBSTITUTE(SUBSTITUTE(SUBSTITUTE(TRIM(LEFT(INDEX(貼り付け!$A$1:$BZ$3001,348,$B$1)&amp;"",FIND(" ",TRIM(INDEX(貼り付け!$A$1:$BZ$3001,348,$B$1)&amp;"")&amp;" ")-1)),"/","-"),"年","-"),"月","-"),"日",""))),"")</f>
        <v/>
      </c>
      <c r="J349">
        <f>IFERROR(MID(I349,FIND("-",I349)+1,99),"")</f>
        <v/>
      </c>
    </row>
    <row r="350">
      <c r="B350">
        <f>IFERROR(IF($B$1=0,"",IF(INDEX(貼り付け!$A$1:$BZ$3001,349,$B$1)="","",IF(ISNUMBER(INDEX(貼り付け!$A$1:$BZ$3001,349,$B$1)),INT(INDEX(貼り付け!$A$1:$BZ$3001,349,$B$1)),DATE(VALUE(LEFT(I350,FIND("-",I350)-1)),VALUE(LEFT(J350,FIND("-",J350)-1)),VALUE(MID(J350,FIND("-",J350)+1,99)))))),"")</f>
        <v/>
      </c>
      <c r="C350">
        <f>IF($C$1=0,0,IFERROR(VALUE(SUBSTITUTE(SUBSTITUTE(SUBSTITUTE(INDEX(貼り付け!$A$1:$BZ$3001,349,$C$1)&amp;"",",",""),"¥",""),"￥","")),0))</f>
        <v/>
      </c>
      <c r="D350">
        <f>IF($D$1=0,0,IFERROR(VALUE(SUBSTITUTE(SUBSTITUTE(SUBSTITUTE(INDEX(貼り付け!$A$1:$BZ$3001,349,$D$1)&amp;"",",",""),"¥",""),"￥","")),0))</f>
        <v/>
      </c>
      <c r="E350">
        <f>IF($E$1=0,0,IFERROR(VALUE(SUBSTITUTE(SUBSTITUTE(SUBSTITUTE(INDEX(貼り付け!$A$1:$BZ$3001,349,$E$1)&amp;"",",",""),"¥",""),"￥","")),0))</f>
        <v/>
      </c>
      <c r="F350">
        <f>IF($F$1=0,0,IFERROR(VALUE(SUBSTITUTE(SUBSTITUTE(SUBSTITUTE(INDEX(貼り付け!$A$1:$BZ$3001,349,$F$1)&amp;"",",",""),"¥",""),"￥","")),0))</f>
        <v/>
      </c>
      <c r="G350">
        <f>IF(ISNUMBER(B350),YEAR(B350),"")</f>
        <v/>
      </c>
      <c r="H350">
        <f>IF(ISNUMBER(B350),MONTH(B350),"")</f>
        <v/>
      </c>
      <c r="I350">
        <f>IFERROR(IF($B$1=0,"",IF(ISNUMBER(INDEX(貼り付け!$A$1:$BZ$3001,349,$B$1)),"",SUBSTITUTE(SUBSTITUTE(SUBSTITUTE(SUBSTITUTE(TRIM(LEFT(INDEX(貼り付け!$A$1:$BZ$3001,349,$B$1)&amp;"",FIND(" ",TRIM(INDEX(貼り付け!$A$1:$BZ$3001,349,$B$1)&amp;"")&amp;" ")-1)),"/","-"),"年","-"),"月","-"),"日",""))),"")</f>
        <v/>
      </c>
      <c r="J350">
        <f>IFERROR(MID(I350,FIND("-",I350)+1,99),"")</f>
        <v/>
      </c>
    </row>
    <row r="351">
      <c r="B351">
        <f>IFERROR(IF($B$1=0,"",IF(INDEX(貼り付け!$A$1:$BZ$3001,350,$B$1)="","",IF(ISNUMBER(INDEX(貼り付け!$A$1:$BZ$3001,350,$B$1)),INT(INDEX(貼り付け!$A$1:$BZ$3001,350,$B$1)),DATE(VALUE(LEFT(I351,FIND("-",I351)-1)),VALUE(LEFT(J351,FIND("-",J351)-1)),VALUE(MID(J351,FIND("-",J351)+1,99)))))),"")</f>
        <v/>
      </c>
      <c r="C351">
        <f>IF($C$1=0,0,IFERROR(VALUE(SUBSTITUTE(SUBSTITUTE(SUBSTITUTE(INDEX(貼り付け!$A$1:$BZ$3001,350,$C$1)&amp;"",",",""),"¥",""),"￥","")),0))</f>
        <v/>
      </c>
      <c r="D351">
        <f>IF($D$1=0,0,IFERROR(VALUE(SUBSTITUTE(SUBSTITUTE(SUBSTITUTE(INDEX(貼り付け!$A$1:$BZ$3001,350,$D$1)&amp;"",",",""),"¥",""),"￥","")),0))</f>
        <v/>
      </c>
      <c r="E351">
        <f>IF($E$1=0,0,IFERROR(VALUE(SUBSTITUTE(SUBSTITUTE(SUBSTITUTE(INDEX(貼り付け!$A$1:$BZ$3001,350,$E$1)&amp;"",",",""),"¥",""),"￥","")),0))</f>
        <v/>
      </c>
      <c r="F351">
        <f>IF($F$1=0,0,IFERROR(VALUE(SUBSTITUTE(SUBSTITUTE(SUBSTITUTE(INDEX(貼り付け!$A$1:$BZ$3001,350,$F$1)&amp;"",",",""),"¥",""),"￥","")),0))</f>
        <v/>
      </c>
      <c r="G351">
        <f>IF(ISNUMBER(B351),YEAR(B351),"")</f>
        <v/>
      </c>
      <c r="H351">
        <f>IF(ISNUMBER(B351),MONTH(B351),"")</f>
        <v/>
      </c>
      <c r="I351">
        <f>IFERROR(IF($B$1=0,"",IF(ISNUMBER(INDEX(貼り付け!$A$1:$BZ$3001,350,$B$1)),"",SUBSTITUTE(SUBSTITUTE(SUBSTITUTE(SUBSTITUTE(TRIM(LEFT(INDEX(貼り付け!$A$1:$BZ$3001,350,$B$1)&amp;"",FIND(" ",TRIM(INDEX(貼り付け!$A$1:$BZ$3001,350,$B$1)&amp;"")&amp;" ")-1)),"/","-"),"年","-"),"月","-"),"日",""))),"")</f>
        <v/>
      </c>
      <c r="J351">
        <f>IFERROR(MID(I351,FIND("-",I351)+1,99),"")</f>
        <v/>
      </c>
    </row>
    <row r="352">
      <c r="B352">
        <f>IFERROR(IF($B$1=0,"",IF(INDEX(貼り付け!$A$1:$BZ$3001,351,$B$1)="","",IF(ISNUMBER(INDEX(貼り付け!$A$1:$BZ$3001,351,$B$1)),INT(INDEX(貼り付け!$A$1:$BZ$3001,351,$B$1)),DATE(VALUE(LEFT(I352,FIND("-",I352)-1)),VALUE(LEFT(J352,FIND("-",J352)-1)),VALUE(MID(J352,FIND("-",J352)+1,99)))))),"")</f>
        <v/>
      </c>
      <c r="C352">
        <f>IF($C$1=0,0,IFERROR(VALUE(SUBSTITUTE(SUBSTITUTE(SUBSTITUTE(INDEX(貼り付け!$A$1:$BZ$3001,351,$C$1)&amp;"",",",""),"¥",""),"￥","")),0))</f>
        <v/>
      </c>
      <c r="D352">
        <f>IF($D$1=0,0,IFERROR(VALUE(SUBSTITUTE(SUBSTITUTE(SUBSTITUTE(INDEX(貼り付け!$A$1:$BZ$3001,351,$D$1)&amp;"",",",""),"¥",""),"￥","")),0))</f>
        <v/>
      </c>
      <c r="E352">
        <f>IF($E$1=0,0,IFERROR(VALUE(SUBSTITUTE(SUBSTITUTE(SUBSTITUTE(INDEX(貼り付け!$A$1:$BZ$3001,351,$E$1)&amp;"",",",""),"¥",""),"￥","")),0))</f>
        <v/>
      </c>
      <c r="F352">
        <f>IF($F$1=0,0,IFERROR(VALUE(SUBSTITUTE(SUBSTITUTE(SUBSTITUTE(INDEX(貼り付け!$A$1:$BZ$3001,351,$F$1)&amp;"",",",""),"¥",""),"￥","")),0))</f>
        <v/>
      </c>
      <c r="G352">
        <f>IF(ISNUMBER(B352),YEAR(B352),"")</f>
        <v/>
      </c>
      <c r="H352">
        <f>IF(ISNUMBER(B352),MONTH(B352),"")</f>
        <v/>
      </c>
      <c r="I352">
        <f>IFERROR(IF($B$1=0,"",IF(ISNUMBER(INDEX(貼り付け!$A$1:$BZ$3001,351,$B$1)),"",SUBSTITUTE(SUBSTITUTE(SUBSTITUTE(SUBSTITUTE(TRIM(LEFT(INDEX(貼り付け!$A$1:$BZ$3001,351,$B$1)&amp;"",FIND(" ",TRIM(INDEX(貼り付け!$A$1:$BZ$3001,351,$B$1)&amp;"")&amp;" ")-1)),"/","-"),"年","-"),"月","-"),"日",""))),"")</f>
        <v/>
      </c>
      <c r="J352">
        <f>IFERROR(MID(I352,FIND("-",I352)+1,99),"")</f>
        <v/>
      </c>
    </row>
    <row r="353">
      <c r="B353">
        <f>IFERROR(IF($B$1=0,"",IF(INDEX(貼り付け!$A$1:$BZ$3001,352,$B$1)="","",IF(ISNUMBER(INDEX(貼り付け!$A$1:$BZ$3001,352,$B$1)),INT(INDEX(貼り付け!$A$1:$BZ$3001,352,$B$1)),DATE(VALUE(LEFT(I353,FIND("-",I353)-1)),VALUE(LEFT(J353,FIND("-",J353)-1)),VALUE(MID(J353,FIND("-",J353)+1,99)))))),"")</f>
        <v/>
      </c>
      <c r="C353">
        <f>IF($C$1=0,0,IFERROR(VALUE(SUBSTITUTE(SUBSTITUTE(SUBSTITUTE(INDEX(貼り付け!$A$1:$BZ$3001,352,$C$1)&amp;"",",",""),"¥",""),"￥","")),0))</f>
        <v/>
      </c>
      <c r="D353">
        <f>IF($D$1=0,0,IFERROR(VALUE(SUBSTITUTE(SUBSTITUTE(SUBSTITUTE(INDEX(貼り付け!$A$1:$BZ$3001,352,$D$1)&amp;"",",",""),"¥",""),"￥","")),0))</f>
        <v/>
      </c>
      <c r="E353">
        <f>IF($E$1=0,0,IFERROR(VALUE(SUBSTITUTE(SUBSTITUTE(SUBSTITUTE(INDEX(貼り付け!$A$1:$BZ$3001,352,$E$1)&amp;"",",",""),"¥",""),"￥","")),0))</f>
        <v/>
      </c>
      <c r="F353">
        <f>IF($F$1=0,0,IFERROR(VALUE(SUBSTITUTE(SUBSTITUTE(SUBSTITUTE(INDEX(貼り付け!$A$1:$BZ$3001,352,$F$1)&amp;"",",",""),"¥",""),"￥","")),0))</f>
        <v/>
      </c>
      <c r="G353">
        <f>IF(ISNUMBER(B353),YEAR(B353),"")</f>
        <v/>
      </c>
      <c r="H353">
        <f>IF(ISNUMBER(B353),MONTH(B353),"")</f>
        <v/>
      </c>
      <c r="I353">
        <f>IFERROR(IF($B$1=0,"",IF(ISNUMBER(INDEX(貼り付け!$A$1:$BZ$3001,352,$B$1)),"",SUBSTITUTE(SUBSTITUTE(SUBSTITUTE(SUBSTITUTE(TRIM(LEFT(INDEX(貼り付け!$A$1:$BZ$3001,352,$B$1)&amp;"",FIND(" ",TRIM(INDEX(貼り付け!$A$1:$BZ$3001,352,$B$1)&amp;"")&amp;" ")-1)),"/","-"),"年","-"),"月","-"),"日",""))),"")</f>
        <v/>
      </c>
      <c r="J353">
        <f>IFERROR(MID(I353,FIND("-",I353)+1,99),"")</f>
        <v/>
      </c>
    </row>
    <row r="354">
      <c r="B354">
        <f>IFERROR(IF($B$1=0,"",IF(INDEX(貼り付け!$A$1:$BZ$3001,353,$B$1)="","",IF(ISNUMBER(INDEX(貼り付け!$A$1:$BZ$3001,353,$B$1)),INT(INDEX(貼り付け!$A$1:$BZ$3001,353,$B$1)),DATE(VALUE(LEFT(I354,FIND("-",I354)-1)),VALUE(LEFT(J354,FIND("-",J354)-1)),VALUE(MID(J354,FIND("-",J354)+1,99)))))),"")</f>
        <v/>
      </c>
      <c r="C354">
        <f>IF($C$1=0,0,IFERROR(VALUE(SUBSTITUTE(SUBSTITUTE(SUBSTITUTE(INDEX(貼り付け!$A$1:$BZ$3001,353,$C$1)&amp;"",",",""),"¥",""),"￥","")),0))</f>
        <v/>
      </c>
      <c r="D354">
        <f>IF($D$1=0,0,IFERROR(VALUE(SUBSTITUTE(SUBSTITUTE(SUBSTITUTE(INDEX(貼り付け!$A$1:$BZ$3001,353,$D$1)&amp;"",",",""),"¥",""),"￥","")),0))</f>
        <v/>
      </c>
      <c r="E354">
        <f>IF($E$1=0,0,IFERROR(VALUE(SUBSTITUTE(SUBSTITUTE(SUBSTITUTE(INDEX(貼り付け!$A$1:$BZ$3001,353,$E$1)&amp;"",",",""),"¥",""),"￥","")),0))</f>
        <v/>
      </c>
      <c r="F354">
        <f>IF($F$1=0,0,IFERROR(VALUE(SUBSTITUTE(SUBSTITUTE(SUBSTITUTE(INDEX(貼り付け!$A$1:$BZ$3001,353,$F$1)&amp;"",",",""),"¥",""),"￥","")),0))</f>
        <v/>
      </c>
      <c r="G354">
        <f>IF(ISNUMBER(B354),YEAR(B354),"")</f>
        <v/>
      </c>
      <c r="H354">
        <f>IF(ISNUMBER(B354),MONTH(B354),"")</f>
        <v/>
      </c>
      <c r="I354">
        <f>IFERROR(IF($B$1=0,"",IF(ISNUMBER(INDEX(貼り付け!$A$1:$BZ$3001,353,$B$1)),"",SUBSTITUTE(SUBSTITUTE(SUBSTITUTE(SUBSTITUTE(TRIM(LEFT(INDEX(貼り付け!$A$1:$BZ$3001,353,$B$1)&amp;"",FIND(" ",TRIM(INDEX(貼り付け!$A$1:$BZ$3001,353,$B$1)&amp;"")&amp;" ")-1)),"/","-"),"年","-"),"月","-"),"日",""))),"")</f>
        <v/>
      </c>
      <c r="J354">
        <f>IFERROR(MID(I354,FIND("-",I354)+1,99),"")</f>
        <v/>
      </c>
    </row>
    <row r="355">
      <c r="B355">
        <f>IFERROR(IF($B$1=0,"",IF(INDEX(貼り付け!$A$1:$BZ$3001,354,$B$1)="","",IF(ISNUMBER(INDEX(貼り付け!$A$1:$BZ$3001,354,$B$1)),INT(INDEX(貼り付け!$A$1:$BZ$3001,354,$B$1)),DATE(VALUE(LEFT(I355,FIND("-",I355)-1)),VALUE(LEFT(J355,FIND("-",J355)-1)),VALUE(MID(J355,FIND("-",J355)+1,99)))))),"")</f>
        <v/>
      </c>
      <c r="C355">
        <f>IF($C$1=0,0,IFERROR(VALUE(SUBSTITUTE(SUBSTITUTE(SUBSTITUTE(INDEX(貼り付け!$A$1:$BZ$3001,354,$C$1)&amp;"",",",""),"¥",""),"￥","")),0))</f>
        <v/>
      </c>
      <c r="D355">
        <f>IF($D$1=0,0,IFERROR(VALUE(SUBSTITUTE(SUBSTITUTE(SUBSTITUTE(INDEX(貼り付け!$A$1:$BZ$3001,354,$D$1)&amp;"",",",""),"¥",""),"￥","")),0))</f>
        <v/>
      </c>
      <c r="E355">
        <f>IF($E$1=0,0,IFERROR(VALUE(SUBSTITUTE(SUBSTITUTE(SUBSTITUTE(INDEX(貼り付け!$A$1:$BZ$3001,354,$E$1)&amp;"",",",""),"¥",""),"￥","")),0))</f>
        <v/>
      </c>
      <c r="F355">
        <f>IF($F$1=0,0,IFERROR(VALUE(SUBSTITUTE(SUBSTITUTE(SUBSTITUTE(INDEX(貼り付け!$A$1:$BZ$3001,354,$F$1)&amp;"",",",""),"¥",""),"￥","")),0))</f>
        <v/>
      </c>
      <c r="G355">
        <f>IF(ISNUMBER(B355),YEAR(B355),"")</f>
        <v/>
      </c>
      <c r="H355">
        <f>IF(ISNUMBER(B355),MONTH(B355),"")</f>
        <v/>
      </c>
      <c r="I355">
        <f>IFERROR(IF($B$1=0,"",IF(ISNUMBER(INDEX(貼り付け!$A$1:$BZ$3001,354,$B$1)),"",SUBSTITUTE(SUBSTITUTE(SUBSTITUTE(SUBSTITUTE(TRIM(LEFT(INDEX(貼り付け!$A$1:$BZ$3001,354,$B$1)&amp;"",FIND(" ",TRIM(INDEX(貼り付け!$A$1:$BZ$3001,354,$B$1)&amp;"")&amp;" ")-1)),"/","-"),"年","-"),"月","-"),"日",""))),"")</f>
        <v/>
      </c>
      <c r="J355">
        <f>IFERROR(MID(I355,FIND("-",I355)+1,99),"")</f>
        <v/>
      </c>
    </row>
    <row r="356">
      <c r="B356">
        <f>IFERROR(IF($B$1=0,"",IF(INDEX(貼り付け!$A$1:$BZ$3001,355,$B$1)="","",IF(ISNUMBER(INDEX(貼り付け!$A$1:$BZ$3001,355,$B$1)),INT(INDEX(貼り付け!$A$1:$BZ$3001,355,$B$1)),DATE(VALUE(LEFT(I356,FIND("-",I356)-1)),VALUE(LEFT(J356,FIND("-",J356)-1)),VALUE(MID(J356,FIND("-",J356)+1,99)))))),"")</f>
        <v/>
      </c>
      <c r="C356">
        <f>IF($C$1=0,0,IFERROR(VALUE(SUBSTITUTE(SUBSTITUTE(SUBSTITUTE(INDEX(貼り付け!$A$1:$BZ$3001,355,$C$1)&amp;"",",",""),"¥",""),"￥","")),0))</f>
        <v/>
      </c>
      <c r="D356">
        <f>IF($D$1=0,0,IFERROR(VALUE(SUBSTITUTE(SUBSTITUTE(SUBSTITUTE(INDEX(貼り付け!$A$1:$BZ$3001,355,$D$1)&amp;"",",",""),"¥",""),"￥","")),0))</f>
        <v/>
      </c>
      <c r="E356">
        <f>IF($E$1=0,0,IFERROR(VALUE(SUBSTITUTE(SUBSTITUTE(SUBSTITUTE(INDEX(貼り付け!$A$1:$BZ$3001,355,$E$1)&amp;"",",",""),"¥",""),"￥","")),0))</f>
        <v/>
      </c>
      <c r="F356">
        <f>IF($F$1=0,0,IFERROR(VALUE(SUBSTITUTE(SUBSTITUTE(SUBSTITUTE(INDEX(貼り付け!$A$1:$BZ$3001,355,$F$1)&amp;"",",",""),"¥",""),"￥","")),0))</f>
        <v/>
      </c>
      <c r="G356">
        <f>IF(ISNUMBER(B356),YEAR(B356),"")</f>
        <v/>
      </c>
      <c r="H356">
        <f>IF(ISNUMBER(B356),MONTH(B356),"")</f>
        <v/>
      </c>
      <c r="I356">
        <f>IFERROR(IF($B$1=0,"",IF(ISNUMBER(INDEX(貼り付け!$A$1:$BZ$3001,355,$B$1)),"",SUBSTITUTE(SUBSTITUTE(SUBSTITUTE(SUBSTITUTE(TRIM(LEFT(INDEX(貼り付け!$A$1:$BZ$3001,355,$B$1)&amp;"",FIND(" ",TRIM(INDEX(貼り付け!$A$1:$BZ$3001,355,$B$1)&amp;"")&amp;" ")-1)),"/","-"),"年","-"),"月","-"),"日",""))),"")</f>
        <v/>
      </c>
      <c r="J356">
        <f>IFERROR(MID(I356,FIND("-",I356)+1,99),"")</f>
        <v/>
      </c>
    </row>
    <row r="357">
      <c r="B357">
        <f>IFERROR(IF($B$1=0,"",IF(INDEX(貼り付け!$A$1:$BZ$3001,356,$B$1)="","",IF(ISNUMBER(INDEX(貼り付け!$A$1:$BZ$3001,356,$B$1)),INT(INDEX(貼り付け!$A$1:$BZ$3001,356,$B$1)),DATE(VALUE(LEFT(I357,FIND("-",I357)-1)),VALUE(LEFT(J357,FIND("-",J357)-1)),VALUE(MID(J357,FIND("-",J357)+1,99)))))),"")</f>
        <v/>
      </c>
      <c r="C357">
        <f>IF($C$1=0,0,IFERROR(VALUE(SUBSTITUTE(SUBSTITUTE(SUBSTITUTE(INDEX(貼り付け!$A$1:$BZ$3001,356,$C$1)&amp;"",",",""),"¥",""),"￥","")),0))</f>
        <v/>
      </c>
      <c r="D357">
        <f>IF($D$1=0,0,IFERROR(VALUE(SUBSTITUTE(SUBSTITUTE(SUBSTITUTE(INDEX(貼り付け!$A$1:$BZ$3001,356,$D$1)&amp;"",",",""),"¥",""),"￥","")),0))</f>
        <v/>
      </c>
      <c r="E357">
        <f>IF($E$1=0,0,IFERROR(VALUE(SUBSTITUTE(SUBSTITUTE(SUBSTITUTE(INDEX(貼り付け!$A$1:$BZ$3001,356,$E$1)&amp;"",",",""),"¥",""),"￥","")),0))</f>
        <v/>
      </c>
      <c r="F357">
        <f>IF($F$1=0,0,IFERROR(VALUE(SUBSTITUTE(SUBSTITUTE(SUBSTITUTE(INDEX(貼り付け!$A$1:$BZ$3001,356,$F$1)&amp;"",",",""),"¥",""),"￥","")),0))</f>
        <v/>
      </c>
      <c r="G357">
        <f>IF(ISNUMBER(B357),YEAR(B357),"")</f>
        <v/>
      </c>
      <c r="H357">
        <f>IF(ISNUMBER(B357),MONTH(B357),"")</f>
        <v/>
      </c>
      <c r="I357">
        <f>IFERROR(IF($B$1=0,"",IF(ISNUMBER(INDEX(貼り付け!$A$1:$BZ$3001,356,$B$1)),"",SUBSTITUTE(SUBSTITUTE(SUBSTITUTE(SUBSTITUTE(TRIM(LEFT(INDEX(貼り付け!$A$1:$BZ$3001,356,$B$1)&amp;"",FIND(" ",TRIM(INDEX(貼り付け!$A$1:$BZ$3001,356,$B$1)&amp;"")&amp;" ")-1)),"/","-"),"年","-"),"月","-"),"日",""))),"")</f>
        <v/>
      </c>
      <c r="J357">
        <f>IFERROR(MID(I357,FIND("-",I357)+1,99),"")</f>
        <v/>
      </c>
    </row>
    <row r="358">
      <c r="B358">
        <f>IFERROR(IF($B$1=0,"",IF(INDEX(貼り付け!$A$1:$BZ$3001,357,$B$1)="","",IF(ISNUMBER(INDEX(貼り付け!$A$1:$BZ$3001,357,$B$1)),INT(INDEX(貼り付け!$A$1:$BZ$3001,357,$B$1)),DATE(VALUE(LEFT(I358,FIND("-",I358)-1)),VALUE(LEFT(J358,FIND("-",J358)-1)),VALUE(MID(J358,FIND("-",J358)+1,99)))))),"")</f>
        <v/>
      </c>
      <c r="C358">
        <f>IF($C$1=0,0,IFERROR(VALUE(SUBSTITUTE(SUBSTITUTE(SUBSTITUTE(INDEX(貼り付け!$A$1:$BZ$3001,357,$C$1)&amp;"",",",""),"¥",""),"￥","")),0))</f>
        <v/>
      </c>
      <c r="D358">
        <f>IF($D$1=0,0,IFERROR(VALUE(SUBSTITUTE(SUBSTITUTE(SUBSTITUTE(INDEX(貼り付け!$A$1:$BZ$3001,357,$D$1)&amp;"",",",""),"¥",""),"￥","")),0))</f>
        <v/>
      </c>
      <c r="E358">
        <f>IF($E$1=0,0,IFERROR(VALUE(SUBSTITUTE(SUBSTITUTE(SUBSTITUTE(INDEX(貼り付け!$A$1:$BZ$3001,357,$E$1)&amp;"",",",""),"¥",""),"￥","")),0))</f>
        <v/>
      </c>
      <c r="F358">
        <f>IF($F$1=0,0,IFERROR(VALUE(SUBSTITUTE(SUBSTITUTE(SUBSTITUTE(INDEX(貼り付け!$A$1:$BZ$3001,357,$F$1)&amp;"",",",""),"¥",""),"￥","")),0))</f>
        <v/>
      </c>
      <c r="G358">
        <f>IF(ISNUMBER(B358),YEAR(B358),"")</f>
        <v/>
      </c>
      <c r="H358">
        <f>IF(ISNUMBER(B358),MONTH(B358),"")</f>
        <v/>
      </c>
      <c r="I358">
        <f>IFERROR(IF($B$1=0,"",IF(ISNUMBER(INDEX(貼り付け!$A$1:$BZ$3001,357,$B$1)),"",SUBSTITUTE(SUBSTITUTE(SUBSTITUTE(SUBSTITUTE(TRIM(LEFT(INDEX(貼り付け!$A$1:$BZ$3001,357,$B$1)&amp;"",FIND(" ",TRIM(INDEX(貼り付け!$A$1:$BZ$3001,357,$B$1)&amp;"")&amp;" ")-1)),"/","-"),"年","-"),"月","-"),"日",""))),"")</f>
        <v/>
      </c>
      <c r="J358">
        <f>IFERROR(MID(I358,FIND("-",I358)+1,99),"")</f>
        <v/>
      </c>
    </row>
    <row r="359">
      <c r="B359">
        <f>IFERROR(IF($B$1=0,"",IF(INDEX(貼り付け!$A$1:$BZ$3001,358,$B$1)="","",IF(ISNUMBER(INDEX(貼り付け!$A$1:$BZ$3001,358,$B$1)),INT(INDEX(貼り付け!$A$1:$BZ$3001,358,$B$1)),DATE(VALUE(LEFT(I359,FIND("-",I359)-1)),VALUE(LEFT(J359,FIND("-",J359)-1)),VALUE(MID(J359,FIND("-",J359)+1,99)))))),"")</f>
        <v/>
      </c>
      <c r="C359">
        <f>IF($C$1=0,0,IFERROR(VALUE(SUBSTITUTE(SUBSTITUTE(SUBSTITUTE(INDEX(貼り付け!$A$1:$BZ$3001,358,$C$1)&amp;"",",",""),"¥",""),"￥","")),0))</f>
        <v/>
      </c>
      <c r="D359">
        <f>IF($D$1=0,0,IFERROR(VALUE(SUBSTITUTE(SUBSTITUTE(SUBSTITUTE(INDEX(貼り付け!$A$1:$BZ$3001,358,$D$1)&amp;"",",",""),"¥",""),"￥","")),0))</f>
        <v/>
      </c>
      <c r="E359">
        <f>IF($E$1=0,0,IFERROR(VALUE(SUBSTITUTE(SUBSTITUTE(SUBSTITUTE(INDEX(貼り付け!$A$1:$BZ$3001,358,$E$1)&amp;"",",",""),"¥",""),"￥","")),0))</f>
        <v/>
      </c>
      <c r="F359">
        <f>IF($F$1=0,0,IFERROR(VALUE(SUBSTITUTE(SUBSTITUTE(SUBSTITUTE(INDEX(貼り付け!$A$1:$BZ$3001,358,$F$1)&amp;"",",",""),"¥",""),"￥","")),0))</f>
        <v/>
      </c>
      <c r="G359">
        <f>IF(ISNUMBER(B359),YEAR(B359),"")</f>
        <v/>
      </c>
      <c r="H359">
        <f>IF(ISNUMBER(B359),MONTH(B359),"")</f>
        <v/>
      </c>
      <c r="I359">
        <f>IFERROR(IF($B$1=0,"",IF(ISNUMBER(INDEX(貼り付け!$A$1:$BZ$3001,358,$B$1)),"",SUBSTITUTE(SUBSTITUTE(SUBSTITUTE(SUBSTITUTE(TRIM(LEFT(INDEX(貼り付け!$A$1:$BZ$3001,358,$B$1)&amp;"",FIND(" ",TRIM(INDEX(貼り付け!$A$1:$BZ$3001,358,$B$1)&amp;"")&amp;" ")-1)),"/","-"),"年","-"),"月","-"),"日",""))),"")</f>
        <v/>
      </c>
      <c r="J359">
        <f>IFERROR(MID(I359,FIND("-",I359)+1,99),"")</f>
        <v/>
      </c>
    </row>
    <row r="360">
      <c r="B360">
        <f>IFERROR(IF($B$1=0,"",IF(INDEX(貼り付け!$A$1:$BZ$3001,359,$B$1)="","",IF(ISNUMBER(INDEX(貼り付け!$A$1:$BZ$3001,359,$B$1)),INT(INDEX(貼り付け!$A$1:$BZ$3001,359,$B$1)),DATE(VALUE(LEFT(I360,FIND("-",I360)-1)),VALUE(LEFT(J360,FIND("-",J360)-1)),VALUE(MID(J360,FIND("-",J360)+1,99)))))),"")</f>
        <v/>
      </c>
      <c r="C360">
        <f>IF($C$1=0,0,IFERROR(VALUE(SUBSTITUTE(SUBSTITUTE(SUBSTITUTE(INDEX(貼り付け!$A$1:$BZ$3001,359,$C$1)&amp;"",",",""),"¥",""),"￥","")),0))</f>
        <v/>
      </c>
      <c r="D360">
        <f>IF($D$1=0,0,IFERROR(VALUE(SUBSTITUTE(SUBSTITUTE(SUBSTITUTE(INDEX(貼り付け!$A$1:$BZ$3001,359,$D$1)&amp;"",",",""),"¥",""),"￥","")),0))</f>
        <v/>
      </c>
      <c r="E360">
        <f>IF($E$1=0,0,IFERROR(VALUE(SUBSTITUTE(SUBSTITUTE(SUBSTITUTE(INDEX(貼り付け!$A$1:$BZ$3001,359,$E$1)&amp;"",",",""),"¥",""),"￥","")),0))</f>
        <v/>
      </c>
      <c r="F360">
        <f>IF($F$1=0,0,IFERROR(VALUE(SUBSTITUTE(SUBSTITUTE(SUBSTITUTE(INDEX(貼り付け!$A$1:$BZ$3001,359,$F$1)&amp;"",",",""),"¥",""),"￥","")),0))</f>
        <v/>
      </c>
      <c r="G360">
        <f>IF(ISNUMBER(B360),YEAR(B360),"")</f>
        <v/>
      </c>
      <c r="H360">
        <f>IF(ISNUMBER(B360),MONTH(B360),"")</f>
        <v/>
      </c>
      <c r="I360">
        <f>IFERROR(IF($B$1=0,"",IF(ISNUMBER(INDEX(貼り付け!$A$1:$BZ$3001,359,$B$1)),"",SUBSTITUTE(SUBSTITUTE(SUBSTITUTE(SUBSTITUTE(TRIM(LEFT(INDEX(貼り付け!$A$1:$BZ$3001,359,$B$1)&amp;"",FIND(" ",TRIM(INDEX(貼り付け!$A$1:$BZ$3001,359,$B$1)&amp;"")&amp;" ")-1)),"/","-"),"年","-"),"月","-"),"日",""))),"")</f>
        <v/>
      </c>
      <c r="J360">
        <f>IFERROR(MID(I360,FIND("-",I360)+1,99),"")</f>
        <v/>
      </c>
    </row>
    <row r="361">
      <c r="B361">
        <f>IFERROR(IF($B$1=0,"",IF(INDEX(貼り付け!$A$1:$BZ$3001,360,$B$1)="","",IF(ISNUMBER(INDEX(貼り付け!$A$1:$BZ$3001,360,$B$1)),INT(INDEX(貼り付け!$A$1:$BZ$3001,360,$B$1)),DATE(VALUE(LEFT(I361,FIND("-",I361)-1)),VALUE(LEFT(J361,FIND("-",J361)-1)),VALUE(MID(J361,FIND("-",J361)+1,99)))))),"")</f>
        <v/>
      </c>
      <c r="C361">
        <f>IF($C$1=0,0,IFERROR(VALUE(SUBSTITUTE(SUBSTITUTE(SUBSTITUTE(INDEX(貼り付け!$A$1:$BZ$3001,360,$C$1)&amp;"",",",""),"¥",""),"￥","")),0))</f>
        <v/>
      </c>
      <c r="D361">
        <f>IF($D$1=0,0,IFERROR(VALUE(SUBSTITUTE(SUBSTITUTE(SUBSTITUTE(INDEX(貼り付け!$A$1:$BZ$3001,360,$D$1)&amp;"",",",""),"¥",""),"￥","")),0))</f>
        <v/>
      </c>
      <c r="E361">
        <f>IF($E$1=0,0,IFERROR(VALUE(SUBSTITUTE(SUBSTITUTE(SUBSTITUTE(INDEX(貼り付け!$A$1:$BZ$3001,360,$E$1)&amp;"",",",""),"¥",""),"￥","")),0))</f>
        <v/>
      </c>
      <c r="F361">
        <f>IF($F$1=0,0,IFERROR(VALUE(SUBSTITUTE(SUBSTITUTE(SUBSTITUTE(INDEX(貼り付け!$A$1:$BZ$3001,360,$F$1)&amp;"",",",""),"¥",""),"￥","")),0))</f>
        <v/>
      </c>
      <c r="G361">
        <f>IF(ISNUMBER(B361),YEAR(B361),"")</f>
        <v/>
      </c>
      <c r="H361">
        <f>IF(ISNUMBER(B361),MONTH(B361),"")</f>
        <v/>
      </c>
      <c r="I361">
        <f>IFERROR(IF($B$1=0,"",IF(ISNUMBER(INDEX(貼り付け!$A$1:$BZ$3001,360,$B$1)),"",SUBSTITUTE(SUBSTITUTE(SUBSTITUTE(SUBSTITUTE(TRIM(LEFT(INDEX(貼り付け!$A$1:$BZ$3001,360,$B$1)&amp;"",FIND(" ",TRIM(INDEX(貼り付け!$A$1:$BZ$3001,360,$B$1)&amp;"")&amp;" ")-1)),"/","-"),"年","-"),"月","-"),"日",""))),"")</f>
        <v/>
      </c>
      <c r="J361">
        <f>IFERROR(MID(I361,FIND("-",I361)+1,99),"")</f>
        <v/>
      </c>
    </row>
    <row r="362">
      <c r="B362">
        <f>IFERROR(IF($B$1=0,"",IF(INDEX(貼り付け!$A$1:$BZ$3001,361,$B$1)="","",IF(ISNUMBER(INDEX(貼り付け!$A$1:$BZ$3001,361,$B$1)),INT(INDEX(貼り付け!$A$1:$BZ$3001,361,$B$1)),DATE(VALUE(LEFT(I362,FIND("-",I362)-1)),VALUE(LEFT(J362,FIND("-",J362)-1)),VALUE(MID(J362,FIND("-",J362)+1,99)))))),"")</f>
        <v/>
      </c>
      <c r="C362">
        <f>IF($C$1=0,0,IFERROR(VALUE(SUBSTITUTE(SUBSTITUTE(SUBSTITUTE(INDEX(貼り付け!$A$1:$BZ$3001,361,$C$1)&amp;"",",",""),"¥",""),"￥","")),0))</f>
        <v/>
      </c>
      <c r="D362">
        <f>IF($D$1=0,0,IFERROR(VALUE(SUBSTITUTE(SUBSTITUTE(SUBSTITUTE(INDEX(貼り付け!$A$1:$BZ$3001,361,$D$1)&amp;"",",",""),"¥",""),"￥","")),0))</f>
        <v/>
      </c>
      <c r="E362">
        <f>IF($E$1=0,0,IFERROR(VALUE(SUBSTITUTE(SUBSTITUTE(SUBSTITUTE(INDEX(貼り付け!$A$1:$BZ$3001,361,$E$1)&amp;"",",",""),"¥",""),"￥","")),0))</f>
        <v/>
      </c>
      <c r="F362">
        <f>IF($F$1=0,0,IFERROR(VALUE(SUBSTITUTE(SUBSTITUTE(SUBSTITUTE(INDEX(貼り付け!$A$1:$BZ$3001,361,$F$1)&amp;"",",",""),"¥",""),"￥","")),0))</f>
        <v/>
      </c>
      <c r="G362">
        <f>IF(ISNUMBER(B362),YEAR(B362),"")</f>
        <v/>
      </c>
      <c r="H362">
        <f>IF(ISNUMBER(B362),MONTH(B362),"")</f>
        <v/>
      </c>
      <c r="I362">
        <f>IFERROR(IF($B$1=0,"",IF(ISNUMBER(INDEX(貼り付け!$A$1:$BZ$3001,361,$B$1)),"",SUBSTITUTE(SUBSTITUTE(SUBSTITUTE(SUBSTITUTE(TRIM(LEFT(INDEX(貼り付け!$A$1:$BZ$3001,361,$B$1)&amp;"",FIND(" ",TRIM(INDEX(貼り付け!$A$1:$BZ$3001,361,$B$1)&amp;"")&amp;" ")-1)),"/","-"),"年","-"),"月","-"),"日",""))),"")</f>
        <v/>
      </c>
      <c r="J362">
        <f>IFERROR(MID(I362,FIND("-",I362)+1,99),"")</f>
        <v/>
      </c>
    </row>
    <row r="363">
      <c r="B363">
        <f>IFERROR(IF($B$1=0,"",IF(INDEX(貼り付け!$A$1:$BZ$3001,362,$B$1)="","",IF(ISNUMBER(INDEX(貼り付け!$A$1:$BZ$3001,362,$B$1)),INT(INDEX(貼り付け!$A$1:$BZ$3001,362,$B$1)),DATE(VALUE(LEFT(I363,FIND("-",I363)-1)),VALUE(LEFT(J363,FIND("-",J363)-1)),VALUE(MID(J363,FIND("-",J363)+1,99)))))),"")</f>
        <v/>
      </c>
      <c r="C363">
        <f>IF($C$1=0,0,IFERROR(VALUE(SUBSTITUTE(SUBSTITUTE(SUBSTITUTE(INDEX(貼り付け!$A$1:$BZ$3001,362,$C$1)&amp;"",",",""),"¥",""),"￥","")),0))</f>
        <v/>
      </c>
      <c r="D363">
        <f>IF($D$1=0,0,IFERROR(VALUE(SUBSTITUTE(SUBSTITUTE(SUBSTITUTE(INDEX(貼り付け!$A$1:$BZ$3001,362,$D$1)&amp;"",",",""),"¥",""),"￥","")),0))</f>
        <v/>
      </c>
      <c r="E363">
        <f>IF($E$1=0,0,IFERROR(VALUE(SUBSTITUTE(SUBSTITUTE(SUBSTITUTE(INDEX(貼り付け!$A$1:$BZ$3001,362,$E$1)&amp;"",",",""),"¥",""),"￥","")),0))</f>
        <v/>
      </c>
      <c r="F363">
        <f>IF($F$1=0,0,IFERROR(VALUE(SUBSTITUTE(SUBSTITUTE(SUBSTITUTE(INDEX(貼り付け!$A$1:$BZ$3001,362,$F$1)&amp;"",",",""),"¥",""),"￥","")),0))</f>
        <v/>
      </c>
      <c r="G363">
        <f>IF(ISNUMBER(B363),YEAR(B363),"")</f>
        <v/>
      </c>
      <c r="H363">
        <f>IF(ISNUMBER(B363),MONTH(B363),"")</f>
        <v/>
      </c>
      <c r="I363">
        <f>IFERROR(IF($B$1=0,"",IF(ISNUMBER(INDEX(貼り付け!$A$1:$BZ$3001,362,$B$1)),"",SUBSTITUTE(SUBSTITUTE(SUBSTITUTE(SUBSTITUTE(TRIM(LEFT(INDEX(貼り付け!$A$1:$BZ$3001,362,$B$1)&amp;"",FIND(" ",TRIM(INDEX(貼り付け!$A$1:$BZ$3001,362,$B$1)&amp;"")&amp;" ")-1)),"/","-"),"年","-"),"月","-"),"日",""))),"")</f>
        <v/>
      </c>
      <c r="J363">
        <f>IFERROR(MID(I363,FIND("-",I363)+1,99),"")</f>
        <v/>
      </c>
    </row>
    <row r="364">
      <c r="B364">
        <f>IFERROR(IF($B$1=0,"",IF(INDEX(貼り付け!$A$1:$BZ$3001,363,$B$1)="","",IF(ISNUMBER(INDEX(貼り付け!$A$1:$BZ$3001,363,$B$1)),INT(INDEX(貼り付け!$A$1:$BZ$3001,363,$B$1)),DATE(VALUE(LEFT(I364,FIND("-",I364)-1)),VALUE(LEFT(J364,FIND("-",J364)-1)),VALUE(MID(J364,FIND("-",J364)+1,99)))))),"")</f>
        <v/>
      </c>
      <c r="C364">
        <f>IF($C$1=0,0,IFERROR(VALUE(SUBSTITUTE(SUBSTITUTE(SUBSTITUTE(INDEX(貼り付け!$A$1:$BZ$3001,363,$C$1)&amp;"",",",""),"¥",""),"￥","")),0))</f>
        <v/>
      </c>
      <c r="D364">
        <f>IF($D$1=0,0,IFERROR(VALUE(SUBSTITUTE(SUBSTITUTE(SUBSTITUTE(INDEX(貼り付け!$A$1:$BZ$3001,363,$D$1)&amp;"",",",""),"¥",""),"￥","")),0))</f>
        <v/>
      </c>
      <c r="E364">
        <f>IF($E$1=0,0,IFERROR(VALUE(SUBSTITUTE(SUBSTITUTE(SUBSTITUTE(INDEX(貼り付け!$A$1:$BZ$3001,363,$E$1)&amp;"",",",""),"¥",""),"￥","")),0))</f>
        <v/>
      </c>
      <c r="F364">
        <f>IF($F$1=0,0,IFERROR(VALUE(SUBSTITUTE(SUBSTITUTE(SUBSTITUTE(INDEX(貼り付け!$A$1:$BZ$3001,363,$F$1)&amp;"",",",""),"¥",""),"￥","")),0))</f>
        <v/>
      </c>
      <c r="G364">
        <f>IF(ISNUMBER(B364),YEAR(B364),"")</f>
        <v/>
      </c>
      <c r="H364">
        <f>IF(ISNUMBER(B364),MONTH(B364),"")</f>
        <v/>
      </c>
      <c r="I364">
        <f>IFERROR(IF($B$1=0,"",IF(ISNUMBER(INDEX(貼り付け!$A$1:$BZ$3001,363,$B$1)),"",SUBSTITUTE(SUBSTITUTE(SUBSTITUTE(SUBSTITUTE(TRIM(LEFT(INDEX(貼り付け!$A$1:$BZ$3001,363,$B$1)&amp;"",FIND(" ",TRIM(INDEX(貼り付け!$A$1:$BZ$3001,363,$B$1)&amp;"")&amp;" ")-1)),"/","-"),"年","-"),"月","-"),"日",""))),"")</f>
        <v/>
      </c>
      <c r="J364">
        <f>IFERROR(MID(I364,FIND("-",I364)+1,99),"")</f>
        <v/>
      </c>
    </row>
    <row r="365">
      <c r="B365">
        <f>IFERROR(IF($B$1=0,"",IF(INDEX(貼り付け!$A$1:$BZ$3001,364,$B$1)="","",IF(ISNUMBER(INDEX(貼り付け!$A$1:$BZ$3001,364,$B$1)),INT(INDEX(貼り付け!$A$1:$BZ$3001,364,$B$1)),DATE(VALUE(LEFT(I365,FIND("-",I365)-1)),VALUE(LEFT(J365,FIND("-",J365)-1)),VALUE(MID(J365,FIND("-",J365)+1,99)))))),"")</f>
        <v/>
      </c>
      <c r="C365">
        <f>IF($C$1=0,0,IFERROR(VALUE(SUBSTITUTE(SUBSTITUTE(SUBSTITUTE(INDEX(貼り付け!$A$1:$BZ$3001,364,$C$1)&amp;"",",",""),"¥",""),"￥","")),0))</f>
        <v/>
      </c>
      <c r="D365">
        <f>IF($D$1=0,0,IFERROR(VALUE(SUBSTITUTE(SUBSTITUTE(SUBSTITUTE(INDEX(貼り付け!$A$1:$BZ$3001,364,$D$1)&amp;"",",",""),"¥",""),"￥","")),0))</f>
        <v/>
      </c>
      <c r="E365">
        <f>IF($E$1=0,0,IFERROR(VALUE(SUBSTITUTE(SUBSTITUTE(SUBSTITUTE(INDEX(貼り付け!$A$1:$BZ$3001,364,$E$1)&amp;"",",",""),"¥",""),"￥","")),0))</f>
        <v/>
      </c>
      <c r="F365">
        <f>IF($F$1=0,0,IFERROR(VALUE(SUBSTITUTE(SUBSTITUTE(SUBSTITUTE(INDEX(貼り付け!$A$1:$BZ$3001,364,$F$1)&amp;"",",",""),"¥",""),"￥","")),0))</f>
        <v/>
      </c>
      <c r="G365">
        <f>IF(ISNUMBER(B365),YEAR(B365),"")</f>
        <v/>
      </c>
      <c r="H365">
        <f>IF(ISNUMBER(B365),MONTH(B365),"")</f>
        <v/>
      </c>
      <c r="I365">
        <f>IFERROR(IF($B$1=0,"",IF(ISNUMBER(INDEX(貼り付け!$A$1:$BZ$3001,364,$B$1)),"",SUBSTITUTE(SUBSTITUTE(SUBSTITUTE(SUBSTITUTE(TRIM(LEFT(INDEX(貼り付け!$A$1:$BZ$3001,364,$B$1)&amp;"",FIND(" ",TRIM(INDEX(貼り付け!$A$1:$BZ$3001,364,$B$1)&amp;"")&amp;" ")-1)),"/","-"),"年","-"),"月","-"),"日",""))),"")</f>
        <v/>
      </c>
      <c r="J365">
        <f>IFERROR(MID(I365,FIND("-",I365)+1,99),"")</f>
        <v/>
      </c>
    </row>
    <row r="366">
      <c r="B366">
        <f>IFERROR(IF($B$1=0,"",IF(INDEX(貼り付け!$A$1:$BZ$3001,365,$B$1)="","",IF(ISNUMBER(INDEX(貼り付け!$A$1:$BZ$3001,365,$B$1)),INT(INDEX(貼り付け!$A$1:$BZ$3001,365,$B$1)),DATE(VALUE(LEFT(I366,FIND("-",I366)-1)),VALUE(LEFT(J366,FIND("-",J366)-1)),VALUE(MID(J366,FIND("-",J366)+1,99)))))),"")</f>
        <v/>
      </c>
      <c r="C366">
        <f>IF($C$1=0,0,IFERROR(VALUE(SUBSTITUTE(SUBSTITUTE(SUBSTITUTE(INDEX(貼り付け!$A$1:$BZ$3001,365,$C$1)&amp;"",",",""),"¥",""),"￥","")),0))</f>
        <v/>
      </c>
      <c r="D366">
        <f>IF($D$1=0,0,IFERROR(VALUE(SUBSTITUTE(SUBSTITUTE(SUBSTITUTE(INDEX(貼り付け!$A$1:$BZ$3001,365,$D$1)&amp;"",",",""),"¥",""),"￥","")),0))</f>
        <v/>
      </c>
      <c r="E366">
        <f>IF($E$1=0,0,IFERROR(VALUE(SUBSTITUTE(SUBSTITUTE(SUBSTITUTE(INDEX(貼り付け!$A$1:$BZ$3001,365,$E$1)&amp;"",",",""),"¥",""),"￥","")),0))</f>
        <v/>
      </c>
      <c r="F366">
        <f>IF($F$1=0,0,IFERROR(VALUE(SUBSTITUTE(SUBSTITUTE(SUBSTITUTE(INDEX(貼り付け!$A$1:$BZ$3001,365,$F$1)&amp;"",",",""),"¥",""),"￥","")),0))</f>
        <v/>
      </c>
      <c r="G366">
        <f>IF(ISNUMBER(B366),YEAR(B366),"")</f>
        <v/>
      </c>
      <c r="H366">
        <f>IF(ISNUMBER(B366),MONTH(B366),"")</f>
        <v/>
      </c>
      <c r="I366">
        <f>IFERROR(IF($B$1=0,"",IF(ISNUMBER(INDEX(貼り付け!$A$1:$BZ$3001,365,$B$1)),"",SUBSTITUTE(SUBSTITUTE(SUBSTITUTE(SUBSTITUTE(TRIM(LEFT(INDEX(貼り付け!$A$1:$BZ$3001,365,$B$1)&amp;"",FIND(" ",TRIM(INDEX(貼り付け!$A$1:$BZ$3001,365,$B$1)&amp;"")&amp;" ")-1)),"/","-"),"年","-"),"月","-"),"日",""))),"")</f>
        <v/>
      </c>
      <c r="J366">
        <f>IFERROR(MID(I366,FIND("-",I366)+1,99),"")</f>
        <v/>
      </c>
    </row>
    <row r="367">
      <c r="B367">
        <f>IFERROR(IF($B$1=0,"",IF(INDEX(貼り付け!$A$1:$BZ$3001,366,$B$1)="","",IF(ISNUMBER(INDEX(貼り付け!$A$1:$BZ$3001,366,$B$1)),INT(INDEX(貼り付け!$A$1:$BZ$3001,366,$B$1)),DATE(VALUE(LEFT(I367,FIND("-",I367)-1)),VALUE(LEFT(J367,FIND("-",J367)-1)),VALUE(MID(J367,FIND("-",J367)+1,99)))))),"")</f>
        <v/>
      </c>
      <c r="C367">
        <f>IF($C$1=0,0,IFERROR(VALUE(SUBSTITUTE(SUBSTITUTE(SUBSTITUTE(INDEX(貼り付け!$A$1:$BZ$3001,366,$C$1)&amp;"",",",""),"¥",""),"￥","")),0))</f>
        <v/>
      </c>
      <c r="D367">
        <f>IF($D$1=0,0,IFERROR(VALUE(SUBSTITUTE(SUBSTITUTE(SUBSTITUTE(INDEX(貼り付け!$A$1:$BZ$3001,366,$D$1)&amp;"",",",""),"¥",""),"￥","")),0))</f>
        <v/>
      </c>
      <c r="E367">
        <f>IF($E$1=0,0,IFERROR(VALUE(SUBSTITUTE(SUBSTITUTE(SUBSTITUTE(INDEX(貼り付け!$A$1:$BZ$3001,366,$E$1)&amp;"",",",""),"¥",""),"￥","")),0))</f>
        <v/>
      </c>
      <c r="F367">
        <f>IF($F$1=0,0,IFERROR(VALUE(SUBSTITUTE(SUBSTITUTE(SUBSTITUTE(INDEX(貼り付け!$A$1:$BZ$3001,366,$F$1)&amp;"",",",""),"¥",""),"￥","")),0))</f>
        <v/>
      </c>
      <c r="G367">
        <f>IF(ISNUMBER(B367),YEAR(B367),"")</f>
        <v/>
      </c>
      <c r="H367">
        <f>IF(ISNUMBER(B367),MONTH(B367),"")</f>
        <v/>
      </c>
      <c r="I367">
        <f>IFERROR(IF($B$1=0,"",IF(ISNUMBER(INDEX(貼り付け!$A$1:$BZ$3001,366,$B$1)),"",SUBSTITUTE(SUBSTITUTE(SUBSTITUTE(SUBSTITUTE(TRIM(LEFT(INDEX(貼り付け!$A$1:$BZ$3001,366,$B$1)&amp;"",FIND(" ",TRIM(INDEX(貼り付け!$A$1:$BZ$3001,366,$B$1)&amp;"")&amp;" ")-1)),"/","-"),"年","-"),"月","-"),"日",""))),"")</f>
        <v/>
      </c>
      <c r="J367">
        <f>IFERROR(MID(I367,FIND("-",I367)+1,99),"")</f>
        <v/>
      </c>
    </row>
    <row r="368">
      <c r="B368">
        <f>IFERROR(IF($B$1=0,"",IF(INDEX(貼り付け!$A$1:$BZ$3001,367,$B$1)="","",IF(ISNUMBER(INDEX(貼り付け!$A$1:$BZ$3001,367,$B$1)),INT(INDEX(貼り付け!$A$1:$BZ$3001,367,$B$1)),DATE(VALUE(LEFT(I368,FIND("-",I368)-1)),VALUE(LEFT(J368,FIND("-",J368)-1)),VALUE(MID(J368,FIND("-",J368)+1,99)))))),"")</f>
        <v/>
      </c>
      <c r="C368">
        <f>IF($C$1=0,0,IFERROR(VALUE(SUBSTITUTE(SUBSTITUTE(SUBSTITUTE(INDEX(貼り付け!$A$1:$BZ$3001,367,$C$1)&amp;"",",",""),"¥",""),"￥","")),0))</f>
        <v/>
      </c>
      <c r="D368">
        <f>IF($D$1=0,0,IFERROR(VALUE(SUBSTITUTE(SUBSTITUTE(SUBSTITUTE(INDEX(貼り付け!$A$1:$BZ$3001,367,$D$1)&amp;"",",",""),"¥",""),"￥","")),0))</f>
        <v/>
      </c>
      <c r="E368">
        <f>IF($E$1=0,0,IFERROR(VALUE(SUBSTITUTE(SUBSTITUTE(SUBSTITUTE(INDEX(貼り付け!$A$1:$BZ$3001,367,$E$1)&amp;"",",",""),"¥",""),"￥","")),0))</f>
        <v/>
      </c>
      <c r="F368">
        <f>IF($F$1=0,0,IFERROR(VALUE(SUBSTITUTE(SUBSTITUTE(SUBSTITUTE(INDEX(貼り付け!$A$1:$BZ$3001,367,$F$1)&amp;"",",",""),"¥",""),"￥","")),0))</f>
        <v/>
      </c>
      <c r="G368">
        <f>IF(ISNUMBER(B368),YEAR(B368),"")</f>
        <v/>
      </c>
      <c r="H368">
        <f>IF(ISNUMBER(B368),MONTH(B368),"")</f>
        <v/>
      </c>
      <c r="I368">
        <f>IFERROR(IF($B$1=0,"",IF(ISNUMBER(INDEX(貼り付け!$A$1:$BZ$3001,367,$B$1)),"",SUBSTITUTE(SUBSTITUTE(SUBSTITUTE(SUBSTITUTE(TRIM(LEFT(INDEX(貼り付け!$A$1:$BZ$3001,367,$B$1)&amp;"",FIND(" ",TRIM(INDEX(貼り付け!$A$1:$BZ$3001,367,$B$1)&amp;"")&amp;" ")-1)),"/","-"),"年","-"),"月","-"),"日",""))),"")</f>
        <v/>
      </c>
      <c r="J368">
        <f>IFERROR(MID(I368,FIND("-",I368)+1,99),"")</f>
        <v/>
      </c>
    </row>
    <row r="369">
      <c r="B369">
        <f>IFERROR(IF($B$1=0,"",IF(INDEX(貼り付け!$A$1:$BZ$3001,368,$B$1)="","",IF(ISNUMBER(INDEX(貼り付け!$A$1:$BZ$3001,368,$B$1)),INT(INDEX(貼り付け!$A$1:$BZ$3001,368,$B$1)),DATE(VALUE(LEFT(I369,FIND("-",I369)-1)),VALUE(LEFT(J369,FIND("-",J369)-1)),VALUE(MID(J369,FIND("-",J369)+1,99)))))),"")</f>
        <v/>
      </c>
      <c r="C369">
        <f>IF($C$1=0,0,IFERROR(VALUE(SUBSTITUTE(SUBSTITUTE(SUBSTITUTE(INDEX(貼り付け!$A$1:$BZ$3001,368,$C$1)&amp;"",",",""),"¥",""),"￥","")),0))</f>
        <v/>
      </c>
      <c r="D369">
        <f>IF($D$1=0,0,IFERROR(VALUE(SUBSTITUTE(SUBSTITUTE(SUBSTITUTE(INDEX(貼り付け!$A$1:$BZ$3001,368,$D$1)&amp;"",",",""),"¥",""),"￥","")),0))</f>
        <v/>
      </c>
      <c r="E369">
        <f>IF($E$1=0,0,IFERROR(VALUE(SUBSTITUTE(SUBSTITUTE(SUBSTITUTE(INDEX(貼り付け!$A$1:$BZ$3001,368,$E$1)&amp;"",",",""),"¥",""),"￥","")),0))</f>
        <v/>
      </c>
      <c r="F369">
        <f>IF($F$1=0,0,IFERROR(VALUE(SUBSTITUTE(SUBSTITUTE(SUBSTITUTE(INDEX(貼り付け!$A$1:$BZ$3001,368,$F$1)&amp;"",",",""),"¥",""),"￥","")),0))</f>
        <v/>
      </c>
      <c r="G369">
        <f>IF(ISNUMBER(B369),YEAR(B369),"")</f>
        <v/>
      </c>
      <c r="H369">
        <f>IF(ISNUMBER(B369),MONTH(B369),"")</f>
        <v/>
      </c>
      <c r="I369">
        <f>IFERROR(IF($B$1=0,"",IF(ISNUMBER(INDEX(貼り付け!$A$1:$BZ$3001,368,$B$1)),"",SUBSTITUTE(SUBSTITUTE(SUBSTITUTE(SUBSTITUTE(TRIM(LEFT(INDEX(貼り付け!$A$1:$BZ$3001,368,$B$1)&amp;"",FIND(" ",TRIM(INDEX(貼り付け!$A$1:$BZ$3001,368,$B$1)&amp;"")&amp;" ")-1)),"/","-"),"年","-"),"月","-"),"日",""))),"")</f>
        <v/>
      </c>
      <c r="J369">
        <f>IFERROR(MID(I369,FIND("-",I369)+1,99),"")</f>
        <v/>
      </c>
    </row>
    <row r="370">
      <c r="B370">
        <f>IFERROR(IF($B$1=0,"",IF(INDEX(貼り付け!$A$1:$BZ$3001,369,$B$1)="","",IF(ISNUMBER(INDEX(貼り付け!$A$1:$BZ$3001,369,$B$1)),INT(INDEX(貼り付け!$A$1:$BZ$3001,369,$B$1)),DATE(VALUE(LEFT(I370,FIND("-",I370)-1)),VALUE(LEFT(J370,FIND("-",J370)-1)),VALUE(MID(J370,FIND("-",J370)+1,99)))))),"")</f>
        <v/>
      </c>
      <c r="C370">
        <f>IF($C$1=0,0,IFERROR(VALUE(SUBSTITUTE(SUBSTITUTE(SUBSTITUTE(INDEX(貼り付け!$A$1:$BZ$3001,369,$C$1)&amp;"",",",""),"¥",""),"￥","")),0))</f>
        <v/>
      </c>
      <c r="D370">
        <f>IF($D$1=0,0,IFERROR(VALUE(SUBSTITUTE(SUBSTITUTE(SUBSTITUTE(INDEX(貼り付け!$A$1:$BZ$3001,369,$D$1)&amp;"",",",""),"¥",""),"￥","")),0))</f>
        <v/>
      </c>
      <c r="E370">
        <f>IF($E$1=0,0,IFERROR(VALUE(SUBSTITUTE(SUBSTITUTE(SUBSTITUTE(INDEX(貼り付け!$A$1:$BZ$3001,369,$E$1)&amp;"",",",""),"¥",""),"￥","")),0))</f>
        <v/>
      </c>
      <c r="F370">
        <f>IF($F$1=0,0,IFERROR(VALUE(SUBSTITUTE(SUBSTITUTE(SUBSTITUTE(INDEX(貼り付け!$A$1:$BZ$3001,369,$F$1)&amp;"",",",""),"¥",""),"￥","")),0))</f>
        <v/>
      </c>
      <c r="G370">
        <f>IF(ISNUMBER(B370),YEAR(B370),"")</f>
        <v/>
      </c>
      <c r="H370">
        <f>IF(ISNUMBER(B370),MONTH(B370),"")</f>
        <v/>
      </c>
      <c r="I370">
        <f>IFERROR(IF($B$1=0,"",IF(ISNUMBER(INDEX(貼り付け!$A$1:$BZ$3001,369,$B$1)),"",SUBSTITUTE(SUBSTITUTE(SUBSTITUTE(SUBSTITUTE(TRIM(LEFT(INDEX(貼り付け!$A$1:$BZ$3001,369,$B$1)&amp;"",FIND(" ",TRIM(INDEX(貼り付け!$A$1:$BZ$3001,369,$B$1)&amp;"")&amp;" ")-1)),"/","-"),"年","-"),"月","-"),"日",""))),"")</f>
        <v/>
      </c>
      <c r="J370">
        <f>IFERROR(MID(I370,FIND("-",I370)+1,99),"")</f>
        <v/>
      </c>
    </row>
    <row r="371">
      <c r="B371">
        <f>IFERROR(IF($B$1=0,"",IF(INDEX(貼り付け!$A$1:$BZ$3001,370,$B$1)="","",IF(ISNUMBER(INDEX(貼り付け!$A$1:$BZ$3001,370,$B$1)),INT(INDEX(貼り付け!$A$1:$BZ$3001,370,$B$1)),DATE(VALUE(LEFT(I371,FIND("-",I371)-1)),VALUE(LEFT(J371,FIND("-",J371)-1)),VALUE(MID(J371,FIND("-",J371)+1,99)))))),"")</f>
        <v/>
      </c>
      <c r="C371">
        <f>IF($C$1=0,0,IFERROR(VALUE(SUBSTITUTE(SUBSTITUTE(SUBSTITUTE(INDEX(貼り付け!$A$1:$BZ$3001,370,$C$1)&amp;"",",",""),"¥",""),"￥","")),0))</f>
        <v/>
      </c>
      <c r="D371">
        <f>IF($D$1=0,0,IFERROR(VALUE(SUBSTITUTE(SUBSTITUTE(SUBSTITUTE(INDEX(貼り付け!$A$1:$BZ$3001,370,$D$1)&amp;"",",",""),"¥",""),"￥","")),0))</f>
        <v/>
      </c>
      <c r="E371">
        <f>IF($E$1=0,0,IFERROR(VALUE(SUBSTITUTE(SUBSTITUTE(SUBSTITUTE(INDEX(貼り付け!$A$1:$BZ$3001,370,$E$1)&amp;"",",",""),"¥",""),"￥","")),0))</f>
        <v/>
      </c>
      <c r="F371">
        <f>IF($F$1=0,0,IFERROR(VALUE(SUBSTITUTE(SUBSTITUTE(SUBSTITUTE(INDEX(貼り付け!$A$1:$BZ$3001,370,$F$1)&amp;"",",",""),"¥",""),"￥","")),0))</f>
        <v/>
      </c>
      <c r="G371">
        <f>IF(ISNUMBER(B371),YEAR(B371),"")</f>
        <v/>
      </c>
      <c r="H371">
        <f>IF(ISNUMBER(B371),MONTH(B371),"")</f>
        <v/>
      </c>
      <c r="I371">
        <f>IFERROR(IF($B$1=0,"",IF(ISNUMBER(INDEX(貼り付け!$A$1:$BZ$3001,370,$B$1)),"",SUBSTITUTE(SUBSTITUTE(SUBSTITUTE(SUBSTITUTE(TRIM(LEFT(INDEX(貼り付け!$A$1:$BZ$3001,370,$B$1)&amp;"",FIND(" ",TRIM(INDEX(貼り付け!$A$1:$BZ$3001,370,$B$1)&amp;"")&amp;" ")-1)),"/","-"),"年","-"),"月","-"),"日",""))),"")</f>
        <v/>
      </c>
      <c r="J371">
        <f>IFERROR(MID(I371,FIND("-",I371)+1,99),"")</f>
        <v/>
      </c>
    </row>
    <row r="372">
      <c r="B372">
        <f>IFERROR(IF($B$1=0,"",IF(INDEX(貼り付け!$A$1:$BZ$3001,371,$B$1)="","",IF(ISNUMBER(INDEX(貼り付け!$A$1:$BZ$3001,371,$B$1)),INT(INDEX(貼り付け!$A$1:$BZ$3001,371,$B$1)),DATE(VALUE(LEFT(I372,FIND("-",I372)-1)),VALUE(LEFT(J372,FIND("-",J372)-1)),VALUE(MID(J372,FIND("-",J372)+1,99)))))),"")</f>
        <v/>
      </c>
      <c r="C372">
        <f>IF($C$1=0,0,IFERROR(VALUE(SUBSTITUTE(SUBSTITUTE(SUBSTITUTE(INDEX(貼り付け!$A$1:$BZ$3001,371,$C$1)&amp;"",",",""),"¥",""),"￥","")),0))</f>
        <v/>
      </c>
      <c r="D372">
        <f>IF($D$1=0,0,IFERROR(VALUE(SUBSTITUTE(SUBSTITUTE(SUBSTITUTE(INDEX(貼り付け!$A$1:$BZ$3001,371,$D$1)&amp;"",",",""),"¥",""),"￥","")),0))</f>
        <v/>
      </c>
      <c r="E372">
        <f>IF($E$1=0,0,IFERROR(VALUE(SUBSTITUTE(SUBSTITUTE(SUBSTITUTE(INDEX(貼り付け!$A$1:$BZ$3001,371,$E$1)&amp;"",",",""),"¥",""),"￥","")),0))</f>
        <v/>
      </c>
      <c r="F372">
        <f>IF($F$1=0,0,IFERROR(VALUE(SUBSTITUTE(SUBSTITUTE(SUBSTITUTE(INDEX(貼り付け!$A$1:$BZ$3001,371,$F$1)&amp;"",",",""),"¥",""),"￥","")),0))</f>
        <v/>
      </c>
      <c r="G372">
        <f>IF(ISNUMBER(B372),YEAR(B372),"")</f>
        <v/>
      </c>
      <c r="H372">
        <f>IF(ISNUMBER(B372),MONTH(B372),"")</f>
        <v/>
      </c>
      <c r="I372">
        <f>IFERROR(IF($B$1=0,"",IF(ISNUMBER(INDEX(貼り付け!$A$1:$BZ$3001,371,$B$1)),"",SUBSTITUTE(SUBSTITUTE(SUBSTITUTE(SUBSTITUTE(TRIM(LEFT(INDEX(貼り付け!$A$1:$BZ$3001,371,$B$1)&amp;"",FIND(" ",TRIM(INDEX(貼り付け!$A$1:$BZ$3001,371,$B$1)&amp;"")&amp;" ")-1)),"/","-"),"年","-"),"月","-"),"日",""))),"")</f>
        <v/>
      </c>
      <c r="J372">
        <f>IFERROR(MID(I372,FIND("-",I372)+1,99),"")</f>
        <v/>
      </c>
    </row>
    <row r="373">
      <c r="B373">
        <f>IFERROR(IF($B$1=0,"",IF(INDEX(貼り付け!$A$1:$BZ$3001,372,$B$1)="","",IF(ISNUMBER(INDEX(貼り付け!$A$1:$BZ$3001,372,$B$1)),INT(INDEX(貼り付け!$A$1:$BZ$3001,372,$B$1)),DATE(VALUE(LEFT(I373,FIND("-",I373)-1)),VALUE(LEFT(J373,FIND("-",J373)-1)),VALUE(MID(J373,FIND("-",J373)+1,99)))))),"")</f>
        <v/>
      </c>
      <c r="C373">
        <f>IF($C$1=0,0,IFERROR(VALUE(SUBSTITUTE(SUBSTITUTE(SUBSTITUTE(INDEX(貼り付け!$A$1:$BZ$3001,372,$C$1)&amp;"",",",""),"¥",""),"￥","")),0))</f>
        <v/>
      </c>
      <c r="D373">
        <f>IF($D$1=0,0,IFERROR(VALUE(SUBSTITUTE(SUBSTITUTE(SUBSTITUTE(INDEX(貼り付け!$A$1:$BZ$3001,372,$D$1)&amp;"",",",""),"¥",""),"￥","")),0))</f>
        <v/>
      </c>
      <c r="E373">
        <f>IF($E$1=0,0,IFERROR(VALUE(SUBSTITUTE(SUBSTITUTE(SUBSTITUTE(INDEX(貼り付け!$A$1:$BZ$3001,372,$E$1)&amp;"",",",""),"¥",""),"￥","")),0))</f>
        <v/>
      </c>
      <c r="F373">
        <f>IF($F$1=0,0,IFERROR(VALUE(SUBSTITUTE(SUBSTITUTE(SUBSTITUTE(INDEX(貼り付け!$A$1:$BZ$3001,372,$F$1)&amp;"",",",""),"¥",""),"￥","")),0))</f>
        <v/>
      </c>
      <c r="G373">
        <f>IF(ISNUMBER(B373),YEAR(B373),"")</f>
        <v/>
      </c>
      <c r="H373">
        <f>IF(ISNUMBER(B373),MONTH(B373),"")</f>
        <v/>
      </c>
      <c r="I373">
        <f>IFERROR(IF($B$1=0,"",IF(ISNUMBER(INDEX(貼り付け!$A$1:$BZ$3001,372,$B$1)),"",SUBSTITUTE(SUBSTITUTE(SUBSTITUTE(SUBSTITUTE(TRIM(LEFT(INDEX(貼り付け!$A$1:$BZ$3001,372,$B$1)&amp;"",FIND(" ",TRIM(INDEX(貼り付け!$A$1:$BZ$3001,372,$B$1)&amp;"")&amp;" ")-1)),"/","-"),"年","-"),"月","-"),"日",""))),"")</f>
        <v/>
      </c>
      <c r="J373">
        <f>IFERROR(MID(I373,FIND("-",I373)+1,99),"")</f>
        <v/>
      </c>
    </row>
    <row r="374">
      <c r="B374">
        <f>IFERROR(IF($B$1=0,"",IF(INDEX(貼り付け!$A$1:$BZ$3001,373,$B$1)="","",IF(ISNUMBER(INDEX(貼り付け!$A$1:$BZ$3001,373,$B$1)),INT(INDEX(貼り付け!$A$1:$BZ$3001,373,$B$1)),DATE(VALUE(LEFT(I374,FIND("-",I374)-1)),VALUE(LEFT(J374,FIND("-",J374)-1)),VALUE(MID(J374,FIND("-",J374)+1,99)))))),"")</f>
        <v/>
      </c>
      <c r="C374">
        <f>IF($C$1=0,0,IFERROR(VALUE(SUBSTITUTE(SUBSTITUTE(SUBSTITUTE(INDEX(貼り付け!$A$1:$BZ$3001,373,$C$1)&amp;"",",",""),"¥",""),"￥","")),0))</f>
        <v/>
      </c>
      <c r="D374">
        <f>IF($D$1=0,0,IFERROR(VALUE(SUBSTITUTE(SUBSTITUTE(SUBSTITUTE(INDEX(貼り付け!$A$1:$BZ$3001,373,$D$1)&amp;"",",",""),"¥",""),"￥","")),0))</f>
        <v/>
      </c>
      <c r="E374">
        <f>IF($E$1=0,0,IFERROR(VALUE(SUBSTITUTE(SUBSTITUTE(SUBSTITUTE(INDEX(貼り付け!$A$1:$BZ$3001,373,$E$1)&amp;"",",",""),"¥",""),"￥","")),0))</f>
        <v/>
      </c>
      <c r="F374">
        <f>IF($F$1=0,0,IFERROR(VALUE(SUBSTITUTE(SUBSTITUTE(SUBSTITUTE(INDEX(貼り付け!$A$1:$BZ$3001,373,$F$1)&amp;"",",",""),"¥",""),"￥","")),0))</f>
        <v/>
      </c>
      <c r="G374">
        <f>IF(ISNUMBER(B374),YEAR(B374),"")</f>
        <v/>
      </c>
      <c r="H374">
        <f>IF(ISNUMBER(B374),MONTH(B374),"")</f>
        <v/>
      </c>
      <c r="I374">
        <f>IFERROR(IF($B$1=0,"",IF(ISNUMBER(INDEX(貼り付け!$A$1:$BZ$3001,373,$B$1)),"",SUBSTITUTE(SUBSTITUTE(SUBSTITUTE(SUBSTITUTE(TRIM(LEFT(INDEX(貼り付け!$A$1:$BZ$3001,373,$B$1)&amp;"",FIND(" ",TRIM(INDEX(貼り付け!$A$1:$BZ$3001,373,$B$1)&amp;"")&amp;" ")-1)),"/","-"),"年","-"),"月","-"),"日",""))),"")</f>
        <v/>
      </c>
      <c r="J374">
        <f>IFERROR(MID(I374,FIND("-",I374)+1,99),"")</f>
        <v/>
      </c>
    </row>
    <row r="375">
      <c r="B375">
        <f>IFERROR(IF($B$1=0,"",IF(INDEX(貼り付け!$A$1:$BZ$3001,374,$B$1)="","",IF(ISNUMBER(INDEX(貼り付け!$A$1:$BZ$3001,374,$B$1)),INT(INDEX(貼り付け!$A$1:$BZ$3001,374,$B$1)),DATE(VALUE(LEFT(I375,FIND("-",I375)-1)),VALUE(LEFT(J375,FIND("-",J375)-1)),VALUE(MID(J375,FIND("-",J375)+1,99)))))),"")</f>
        <v/>
      </c>
      <c r="C375">
        <f>IF($C$1=0,0,IFERROR(VALUE(SUBSTITUTE(SUBSTITUTE(SUBSTITUTE(INDEX(貼り付け!$A$1:$BZ$3001,374,$C$1)&amp;"",",",""),"¥",""),"￥","")),0))</f>
        <v/>
      </c>
      <c r="D375">
        <f>IF($D$1=0,0,IFERROR(VALUE(SUBSTITUTE(SUBSTITUTE(SUBSTITUTE(INDEX(貼り付け!$A$1:$BZ$3001,374,$D$1)&amp;"",",",""),"¥",""),"￥","")),0))</f>
        <v/>
      </c>
      <c r="E375">
        <f>IF($E$1=0,0,IFERROR(VALUE(SUBSTITUTE(SUBSTITUTE(SUBSTITUTE(INDEX(貼り付け!$A$1:$BZ$3001,374,$E$1)&amp;"",",",""),"¥",""),"￥","")),0))</f>
        <v/>
      </c>
      <c r="F375">
        <f>IF($F$1=0,0,IFERROR(VALUE(SUBSTITUTE(SUBSTITUTE(SUBSTITUTE(INDEX(貼り付け!$A$1:$BZ$3001,374,$F$1)&amp;"",",",""),"¥",""),"￥","")),0))</f>
        <v/>
      </c>
      <c r="G375">
        <f>IF(ISNUMBER(B375),YEAR(B375),"")</f>
        <v/>
      </c>
      <c r="H375">
        <f>IF(ISNUMBER(B375),MONTH(B375),"")</f>
        <v/>
      </c>
      <c r="I375">
        <f>IFERROR(IF($B$1=0,"",IF(ISNUMBER(INDEX(貼り付け!$A$1:$BZ$3001,374,$B$1)),"",SUBSTITUTE(SUBSTITUTE(SUBSTITUTE(SUBSTITUTE(TRIM(LEFT(INDEX(貼り付け!$A$1:$BZ$3001,374,$B$1)&amp;"",FIND(" ",TRIM(INDEX(貼り付け!$A$1:$BZ$3001,374,$B$1)&amp;"")&amp;" ")-1)),"/","-"),"年","-"),"月","-"),"日",""))),"")</f>
        <v/>
      </c>
      <c r="J375">
        <f>IFERROR(MID(I375,FIND("-",I375)+1,99),"")</f>
        <v/>
      </c>
    </row>
    <row r="376">
      <c r="B376">
        <f>IFERROR(IF($B$1=0,"",IF(INDEX(貼り付け!$A$1:$BZ$3001,375,$B$1)="","",IF(ISNUMBER(INDEX(貼り付け!$A$1:$BZ$3001,375,$B$1)),INT(INDEX(貼り付け!$A$1:$BZ$3001,375,$B$1)),DATE(VALUE(LEFT(I376,FIND("-",I376)-1)),VALUE(LEFT(J376,FIND("-",J376)-1)),VALUE(MID(J376,FIND("-",J376)+1,99)))))),"")</f>
        <v/>
      </c>
      <c r="C376">
        <f>IF($C$1=0,0,IFERROR(VALUE(SUBSTITUTE(SUBSTITUTE(SUBSTITUTE(INDEX(貼り付け!$A$1:$BZ$3001,375,$C$1)&amp;"",",",""),"¥",""),"￥","")),0))</f>
        <v/>
      </c>
      <c r="D376">
        <f>IF($D$1=0,0,IFERROR(VALUE(SUBSTITUTE(SUBSTITUTE(SUBSTITUTE(INDEX(貼り付け!$A$1:$BZ$3001,375,$D$1)&amp;"",",",""),"¥",""),"￥","")),0))</f>
        <v/>
      </c>
      <c r="E376">
        <f>IF($E$1=0,0,IFERROR(VALUE(SUBSTITUTE(SUBSTITUTE(SUBSTITUTE(INDEX(貼り付け!$A$1:$BZ$3001,375,$E$1)&amp;"",",",""),"¥",""),"￥","")),0))</f>
        <v/>
      </c>
      <c r="F376">
        <f>IF($F$1=0,0,IFERROR(VALUE(SUBSTITUTE(SUBSTITUTE(SUBSTITUTE(INDEX(貼り付け!$A$1:$BZ$3001,375,$F$1)&amp;"",",",""),"¥",""),"￥","")),0))</f>
        <v/>
      </c>
      <c r="G376">
        <f>IF(ISNUMBER(B376),YEAR(B376),"")</f>
        <v/>
      </c>
      <c r="H376">
        <f>IF(ISNUMBER(B376),MONTH(B376),"")</f>
        <v/>
      </c>
      <c r="I376">
        <f>IFERROR(IF($B$1=0,"",IF(ISNUMBER(INDEX(貼り付け!$A$1:$BZ$3001,375,$B$1)),"",SUBSTITUTE(SUBSTITUTE(SUBSTITUTE(SUBSTITUTE(TRIM(LEFT(INDEX(貼り付け!$A$1:$BZ$3001,375,$B$1)&amp;"",FIND(" ",TRIM(INDEX(貼り付け!$A$1:$BZ$3001,375,$B$1)&amp;"")&amp;" ")-1)),"/","-"),"年","-"),"月","-"),"日",""))),"")</f>
        <v/>
      </c>
      <c r="J376">
        <f>IFERROR(MID(I376,FIND("-",I376)+1,99),"")</f>
        <v/>
      </c>
    </row>
    <row r="377">
      <c r="B377">
        <f>IFERROR(IF($B$1=0,"",IF(INDEX(貼り付け!$A$1:$BZ$3001,376,$B$1)="","",IF(ISNUMBER(INDEX(貼り付け!$A$1:$BZ$3001,376,$B$1)),INT(INDEX(貼り付け!$A$1:$BZ$3001,376,$B$1)),DATE(VALUE(LEFT(I377,FIND("-",I377)-1)),VALUE(LEFT(J377,FIND("-",J377)-1)),VALUE(MID(J377,FIND("-",J377)+1,99)))))),"")</f>
        <v/>
      </c>
      <c r="C377">
        <f>IF($C$1=0,0,IFERROR(VALUE(SUBSTITUTE(SUBSTITUTE(SUBSTITUTE(INDEX(貼り付け!$A$1:$BZ$3001,376,$C$1)&amp;"",",",""),"¥",""),"￥","")),0))</f>
        <v/>
      </c>
      <c r="D377">
        <f>IF($D$1=0,0,IFERROR(VALUE(SUBSTITUTE(SUBSTITUTE(SUBSTITUTE(INDEX(貼り付け!$A$1:$BZ$3001,376,$D$1)&amp;"",",",""),"¥",""),"￥","")),0))</f>
        <v/>
      </c>
      <c r="E377">
        <f>IF($E$1=0,0,IFERROR(VALUE(SUBSTITUTE(SUBSTITUTE(SUBSTITUTE(INDEX(貼り付け!$A$1:$BZ$3001,376,$E$1)&amp;"",",",""),"¥",""),"￥","")),0))</f>
        <v/>
      </c>
      <c r="F377">
        <f>IF($F$1=0,0,IFERROR(VALUE(SUBSTITUTE(SUBSTITUTE(SUBSTITUTE(INDEX(貼り付け!$A$1:$BZ$3001,376,$F$1)&amp;"",",",""),"¥",""),"￥","")),0))</f>
        <v/>
      </c>
      <c r="G377">
        <f>IF(ISNUMBER(B377),YEAR(B377),"")</f>
        <v/>
      </c>
      <c r="H377">
        <f>IF(ISNUMBER(B377),MONTH(B377),"")</f>
        <v/>
      </c>
      <c r="I377">
        <f>IFERROR(IF($B$1=0,"",IF(ISNUMBER(INDEX(貼り付け!$A$1:$BZ$3001,376,$B$1)),"",SUBSTITUTE(SUBSTITUTE(SUBSTITUTE(SUBSTITUTE(TRIM(LEFT(INDEX(貼り付け!$A$1:$BZ$3001,376,$B$1)&amp;"",FIND(" ",TRIM(INDEX(貼り付け!$A$1:$BZ$3001,376,$B$1)&amp;"")&amp;" ")-1)),"/","-"),"年","-"),"月","-"),"日",""))),"")</f>
        <v/>
      </c>
      <c r="J377">
        <f>IFERROR(MID(I377,FIND("-",I377)+1,99),"")</f>
        <v/>
      </c>
    </row>
    <row r="378">
      <c r="B378">
        <f>IFERROR(IF($B$1=0,"",IF(INDEX(貼り付け!$A$1:$BZ$3001,377,$B$1)="","",IF(ISNUMBER(INDEX(貼り付け!$A$1:$BZ$3001,377,$B$1)),INT(INDEX(貼り付け!$A$1:$BZ$3001,377,$B$1)),DATE(VALUE(LEFT(I378,FIND("-",I378)-1)),VALUE(LEFT(J378,FIND("-",J378)-1)),VALUE(MID(J378,FIND("-",J378)+1,99)))))),"")</f>
        <v/>
      </c>
      <c r="C378">
        <f>IF($C$1=0,0,IFERROR(VALUE(SUBSTITUTE(SUBSTITUTE(SUBSTITUTE(INDEX(貼り付け!$A$1:$BZ$3001,377,$C$1)&amp;"",",",""),"¥",""),"￥","")),0))</f>
        <v/>
      </c>
      <c r="D378">
        <f>IF($D$1=0,0,IFERROR(VALUE(SUBSTITUTE(SUBSTITUTE(SUBSTITUTE(INDEX(貼り付け!$A$1:$BZ$3001,377,$D$1)&amp;"",",",""),"¥",""),"￥","")),0))</f>
        <v/>
      </c>
      <c r="E378">
        <f>IF($E$1=0,0,IFERROR(VALUE(SUBSTITUTE(SUBSTITUTE(SUBSTITUTE(INDEX(貼り付け!$A$1:$BZ$3001,377,$E$1)&amp;"",",",""),"¥",""),"￥","")),0))</f>
        <v/>
      </c>
      <c r="F378">
        <f>IF($F$1=0,0,IFERROR(VALUE(SUBSTITUTE(SUBSTITUTE(SUBSTITUTE(INDEX(貼り付け!$A$1:$BZ$3001,377,$F$1)&amp;"",",",""),"¥",""),"￥","")),0))</f>
        <v/>
      </c>
      <c r="G378">
        <f>IF(ISNUMBER(B378),YEAR(B378),"")</f>
        <v/>
      </c>
      <c r="H378">
        <f>IF(ISNUMBER(B378),MONTH(B378),"")</f>
        <v/>
      </c>
      <c r="I378">
        <f>IFERROR(IF($B$1=0,"",IF(ISNUMBER(INDEX(貼り付け!$A$1:$BZ$3001,377,$B$1)),"",SUBSTITUTE(SUBSTITUTE(SUBSTITUTE(SUBSTITUTE(TRIM(LEFT(INDEX(貼り付け!$A$1:$BZ$3001,377,$B$1)&amp;"",FIND(" ",TRIM(INDEX(貼り付け!$A$1:$BZ$3001,377,$B$1)&amp;"")&amp;" ")-1)),"/","-"),"年","-"),"月","-"),"日",""))),"")</f>
        <v/>
      </c>
      <c r="J378">
        <f>IFERROR(MID(I378,FIND("-",I378)+1,99),"")</f>
        <v/>
      </c>
    </row>
    <row r="379">
      <c r="B379">
        <f>IFERROR(IF($B$1=0,"",IF(INDEX(貼り付け!$A$1:$BZ$3001,378,$B$1)="","",IF(ISNUMBER(INDEX(貼り付け!$A$1:$BZ$3001,378,$B$1)),INT(INDEX(貼り付け!$A$1:$BZ$3001,378,$B$1)),DATE(VALUE(LEFT(I379,FIND("-",I379)-1)),VALUE(LEFT(J379,FIND("-",J379)-1)),VALUE(MID(J379,FIND("-",J379)+1,99)))))),"")</f>
        <v/>
      </c>
      <c r="C379">
        <f>IF($C$1=0,0,IFERROR(VALUE(SUBSTITUTE(SUBSTITUTE(SUBSTITUTE(INDEX(貼り付け!$A$1:$BZ$3001,378,$C$1)&amp;"",",",""),"¥",""),"￥","")),0))</f>
        <v/>
      </c>
      <c r="D379">
        <f>IF($D$1=0,0,IFERROR(VALUE(SUBSTITUTE(SUBSTITUTE(SUBSTITUTE(INDEX(貼り付け!$A$1:$BZ$3001,378,$D$1)&amp;"",",",""),"¥",""),"￥","")),0))</f>
        <v/>
      </c>
      <c r="E379">
        <f>IF($E$1=0,0,IFERROR(VALUE(SUBSTITUTE(SUBSTITUTE(SUBSTITUTE(INDEX(貼り付け!$A$1:$BZ$3001,378,$E$1)&amp;"",",",""),"¥",""),"￥","")),0))</f>
        <v/>
      </c>
      <c r="F379">
        <f>IF($F$1=0,0,IFERROR(VALUE(SUBSTITUTE(SUBSTITUTE(SUBSTITUTE(INDEX(貼り付け!$A$1:$BZ$3001,378,$F$1)&amp;"",",",""),"¥",""),"￥","")),0))</f>
        <v/>
      </c>
      <c r="G379">
        <f>IF(ISNUMBER(B379),YEAR(B379),"")</f>
        <v/>
      </c>
      <c r="H379">
        <f>IF(ISNUMBER(B379),MONTH(B379),"")</f>
        <v/>
      </c>
      <c r="I379">
        <f>IFERROR(IF($B$1=0,"",IF(ISNUMBER(INDEX(貼り付け!$A$1:$BZ$3001,378,$B$1)),"",SUBSTITUTE(SUBSTITUTE(SUBSTITUTE(SUBSTITUTE(TRIM(LEFT(INDEX(貼り付け!$A$1:$BZ$3001,378,$B$1)&amp;"",FIND(" ",TRIM(INDEX(貼り付け!$A$1:$BZ$3001,378,$B$1)&amp;"")&amp;" ")-1)),"/","-"),"年","-"),"月","-"),"日",""))),"")</f>
        <v/>
      </c>
      <c r="J379">
        <f>IFERROR(MID(I379,FIND("-",I379)+1,99),"")</f>
        <v/>
      </c>
    </row>
    <row r="380">
      <c r="B380">
        <f>IFERROR(IF($B$1=0,"",IF(INDEX(貼り付け!$A$1:$BZ$3001,379,$B$1)="","",IF(ISNUMBER(INDEX(貼り付け!$A$1:$BZ$3001,379,$B$1)),INT(INDEX(貼り付け!$A$1:$BZ$3001,379,$B$1)),DATE(VALUE(LEFT(I380,FIND("-",I380)-1)),VALUE(LEFT(J380,FIND("-",J380)-1)),VALUE(MID(J380,FIND("-",J380)+1,99)))))),"")</f>
        <v/>
      </c>
      <c r="C380">
        <f>IF($C$1=0,0,IFERROR(VALUE(SUBSTITUTE(SUBSTITUTE(SUBSTITUTE(INDEX(貼り付け!$A$1:$BZ$3001,379,$C$1)&amp;"",",",""),"¥",""),"￥","")),0))</f>
        <v/>
      </c>
      <c r="D380">
        <f>IF($D$1=0,0,IFERROR(VALUE(SUBSTITUTE(SUBSTITUTE(SUBSTITUTE(INDEX(貼り付け!$A$1:$BZ$3001,379,$D$1)&amp;"",",",""),"¥",""),"￥","")),0))</f>
        <v/>
      </c>
      <c r="E380">
        <f>IF($E$1=0,0,IFERROR(VALUE(SUBSTITUTE(SUBSTITUTE(SUBSTITUTE(INDEX(貼り付け!$A$1:$BZ$3001,379,$E$1)&amp;"",",",""),"¥",""),"￥","")),0))</f>
        <v/>
      </c>
      <c r="F380">
        <f>IF($F$1=0,0,IFERROR(VALUE(SUBSTITUTE(SUBSTITUTE(SUBSTITUTE(INDEX(貼り付け!$A$1:$BZ$3001,379,$F$1)&amp;"",",",""),"¥",""),"￥","")),0))</f>
        <v/>
      </c>
      <c r="G380">
        <f>IF(ISNUMBER(B380),YEAR(B380),"")</f>
        <v/>
      </c>
      <c r="H380">
        <f>IF(ISNUMBER(B380),MONTH(B380),"")</f>
        <v/>
      </c>
      <c r="I380">
        <f>IFERROR(IF($B$1=0,"",IF(ISNUMBER(INDEX(貼り付け!$A$1:$BZ$3001,379,$B$1)),"",SUBSTITUTE(SUBSTITUTE(SUBSTITUTE(SUBSTITUTE(TRIM(LEFT(INDEX(貼り付け!$A$1:$BZ$3001,379,$B$1)&amp;"",FIND(" ",TRIM(INDEX(貼り付け!$A$1:$BZ$3001,379,$B$1)&amp;"")&amp;" ")-1)),"/","-"),"年","-"),"月","-"),"日",""))),"")</f>
        <v/>
      </c>
      <c r="J380">
        <f>IFERROR(MID(I380,FIND("-",I380)+1,99),"")</f>
        <v/>
      </c>
    </row>
    <row r="381">
      <c r="B381">
        <f>IFERROR(IF($B$1=0,"",IF(INDEX(貼り付け!$A$1:$BZ$3001,380,$B$1)="","",IF(ISNUMBER(INDEX(貼り付け!$A$1:$BZ$3001,380,$B$1)),INT(INDEX(貼り付け!$A$1:$BZ$3001,380,$B$1)),DATE(VALUE(LEFT(I381,FIND("-",I381)-1)),VALUE(LEFT(J381,FIND("-",J381)-1)),VALUE(MID(J381,FIND("-",J381)+1,99)))))),"")</f>
        <v/>
      </c>
      <c r="C381">
        <f>IF($C$1=0,0,IFERROR(VALUE(SUBSTITUTE(SUBSTITUTE(SUBSTITUTE(INDEX(貼り付け!$A$1:$BZ$3001,380,$C$1)&amp;"",",",""),"¥",""),"￥","")),0))</f>
        <v/>
      </c>
      <c r="D381">
        <f>IF($D$1=0,0,IFERROR(VALUE(SUBSTITUTE(SUBSTITUTE(SUBSTITUTE(INDEX(貼り付け!$A$1:$BZ$3001,380,$D$1)&amp;"",",",""),"¥",""),"￥","")),0))</f>
        <v/>
      </c>
      <c r="E381">
        <f>IF($E$1=0,0,IFERROR(VALUE(SUBSTITUTE(SUBSTITUTE(SUBSTITUTE(INDEX(貼り付け!$A$1:$BZ$3001,380,$E$1)&amp;"",",",""),"¥",""),"￥","")),0))</f>
        <v/>
      </c>
      <c r="F381">
        <f>IF($F$1=0,0,IFERROR(VALUE(SUBSTITUTE(SUBSTITUTE(SUBSTITUTE(INDEX(貼り付け!$A$1:$BZ$3001,380,$F$1)&amp;"",",",""),"¥",""),"￥","")),0))</f>
        <v/>
      </c>
      <c r="G381">
        <f>IF(ISNUMBER(B381),YEAR(B381),"")</f>
        <v/>
      </c>
      <c r="H381">
        <f>IF(ISNUMBER(B381),MONTH(B381),"")</f>
        <v/>
      </c>
      <c r="I381">
        <f>IFERROR(IF($B$1=0,"",IF(ISNUMBER(INDEX(貼り付け!$A$1:$BZ$3001,380,$B$1)),"",SUBSTITUTE(SUBSTITUTE(SUBSTITUTE(SUBSTITUTE(TRIM(LEFT(INDEX(貼り付け!$A$1:$BZ$3001,380,$B$1)&amp;"",FIND(" ",TRIM(INDEX(貼り付け!$A$1:$BZ$3001,380,$B$1)&amp;"")&amp;" ")-1)),"/","-"),"年","-"),"月","-"),"日",""))),"")</f>
        <v/>
      </c>
      <c r="J381">
        <f>IFERROR(MID(I381,FIND("-",I381)+1,99),"")</f>
        <v/>
      </c>
    </row>
    <row r="382">
      <c r="B382">
        <f>IFERROR(IF($B$1=0,"",IF(INDEX(貼り付け!$A$1:$BZ$3001,381,$B$1)="","",IF(ISNUMBER(INDEX(貼り付け!$A$1:$BZ$3001,381,$B$1)),INT(INDEX(貼り付け!$A$1:$BZ$3001,381,$B$1)),DATE(VALUE(LEFT(I382,FIND("-",I382)-1)),VALUE(LEFT(J382,FIND("-",J382)-1)),VALUE(MID(J382,FIND("-",J382)+1,99)))))),"")</f>
        <v/>
      </c>
      <c r="C382">
        <f>IF($C$1=0,0,IFERROR(VALUE(SUBSTITUTE(SUBSTITUTE(SUBSTITUTE(INDEX(貼り付け!$A$1:$BZ$3001,381,$C$1)&amp;"",",",""),"¥",""),"￥","")),0))</f>
        <v/>
      </c>
      <c r="D382">
        <f>IF($D$1=0,0,IFERROR(VALUE(SUBSTITUTE(SUBSTITUTE(SUBSTITUTE(INDEX(貼り付け!$A$1:$BZ$3001,381,$D$1)&amp;"",",",""),"¥",""),"￥","")),0))</f>
        <v/>
      </c>
      <c r="E382">
        <f>IF($E$1=0,0,IFERROR(VALUE(SUBSTITUTE(SUBSTITUTE(SUBSTITUTE(INDEX(貼り付け!$A$1:$BZ$3001,381,$E$1)&amp;"",",",""),"¥",""),"￥","")),0))</f>
        <v/>
      </c>
      <c r="F382">
        <f>IF($F$1=0,0,IFERROR(VALUE(SUBSTITUTE(SUBSTITUTE(SUBSTITUTE(INDEX(貼り付け!$A$1:$BZ$3001,381,$F$1)&amp;"",",",""),"¥",""),"￥","")),0))</f>
        <v/>
      </c>
      <c r="G382">
        <f>IF(ISNUMBER(B382),YEAR(B382),"")</f>
        <v/>
      </c>
      <c r="H382">
        <f>IF(ISNUMBER(B382),MONTH(B382),"")</f>
        <v/>
      </c>
      <c r="I382">
        <f>IFERROR(IF($B$1=0,"",IF(ISNUMBER(INDEX(貼り付け!$A$1:$BZ$3001,381,$B$1)),"",SUBSTITUTE(SUBSTITUTE(SUBSTITUTE(SUBSTITUTE(TRIM(LEFT(INDEX(貼り付け!$A$1:$BZ$3001,381,$B$1)&amp;"",FIND(" ",TRIM(INDEX(貼り付け!$A$1:$BZ$3001,381,$B$1)&amp;"")&amp;" ")-1)),"/","-"),"年","-"),"月","-"),"日",""))),"")</f>
        <v/>
      </c>
      <c r="J382">
        <f>IFERROR(MID(I382,FIND("-",I382)+1,99),"")</f>
        <v/>
      </c>
    </row>
    <row r="383">
      <c r="B383">
        <f>IFERROR(IF($B$1=0,"",IF(INDEX(貼り付け!$A$1:$BZ$3001,382,$B$1)="","",IF(ISNUMBER(INDEX(貼り付け!$A$1:$BZ$3001,382,$B$1)),INT(INDEX(貼り付け!$A$1:$BZ$3001,382,$B$1)),DATE(VALUE(LEFT(I383,FIND("-",I383)-1)),VALUE(LEFT(J383,FIND("-",J383)-1)),VALUE(MID(J383,FIND("-",J383)+1,99)))))),"")</f>
        <v/>
      </c>
      <c r="C383">
        <f>IF($C$1=0,0,IFERROR(VALUE(SUBSTITUTE(SUBSTITUTE(SUBSTITUTE(INDEX(貼り付け!$A$1:$BZ$3001,382,$C$1)&amp;"",",",""),"¥",""),"￥","")),0))</f>
        <v/>
      </c>
      <c r="D383">
        <f>IF($D$1=0,0,IFERROR(VALUE(SUBSTITUTE(SUBSTITUTE(SUBSTITUTE(INDEX(貼り付け!$A$1:$BZ$3001,382,$D$1)&amp;"",",",""),"¥",""),"￥","")),0))</f>
        <v/>
      </c>
      <c r="E383">
        <f>IF($E$1=0,0,IFERROR(VALUE(SUBSTITUTE(SUBSTITUTE(SUBSTITUTE(INDEX(貼り付け!$A$1:$BZ$3001,382,$E$1)&amp;"",",",""),"¥",""),"￥","")),0))</f>
        <v/>
      </c>
      <c r="F383">
        <f>IF($F$1=0,0,IFERROR(VALUE(SUBSTITUTE(SUBSTITUTE(SUBSTITUTE(INDEX(貼り付け!$A$1:$BZ$3001,382,$F$1)&amp;"",",",""),"¥",""),"￥","")),0))</f>
        <v/>
      </c>
      <c r="G383">
        <f>IF(ISNUMBER(B383),YEAR(B383),"")</f>
        <v/>
      </c>
      <c r="H383">
        <f>IF(ISNUMBER(B383),MONTH(B383),"")</f>
        <v/>
      </c>
      <c r="I383">
        <f>IFERROR(IF($B$1=0,"",IF(ISNUMBER(INDEX(貼り付け!$A$1:$BZ$3001,382,$B$1)),"",SUBSTITUTE(SUBSTITUTE(SUBSTITUTE(SUBSTITUTE(TRIM(LEFT(INDEX(貼り付け!$A$1:$BZ$3001,382,$B$1)&amp;"",FIND(" ",TRIM(INDEX(貼り付け!$A$1:$BZ$3001,382,$B$1)&amp;"")&amp;" ")-1)),"/","-"),"年","-"),"月","-"),"日",""))),"")</f>
        <v/>
      </c>
      <c r="J383">
        <f>IFERROR(MID(I383,FIND("-",I383)+1,99),"")</f>
        <v/>
      </c>
    </row>
    <row r="384">
      <c r="B384">
        <f>IFERROR(IF($B$1=0,"",IF(INDEX(貼り付け!$A$1:$BZ$3001,383,$B$1)="","",IF(ISNUMBER(INDEX(貼り付け!$A$1:$BZ$3001,383,$B$1)),INT(INDEX(貼り付け!$A$1:$BZ$3001,383,$B$1)),DATE(VALUE(LEFT(I384,FIND("-",I384)-1)),VALUE(LEFT(J384,FIND("-",J384)-1)),VALUE(MID(J384,FIND("-",J384)+1,99)))))),"")</f>
        <v/>
      </c>
      <c r="C384">
        <f>IF($C$1=0,0,IFERROR(VALUE(SUBSTITUTE(SUBSTITUTE(SUBSTITUTE(INDEX(貼り付け!$A$1:$BZ$3001,383,$C$1)&amp;"",",",""),"¥",""),"￥","")),0))</f>
        <v/>
      </c>
      <c r="D384">
        <f>IF($D$1=0,0,IFERROR(VALUE(SUBSTITUTE(SUBSTITUTE(SUBSTITUTE(INDEX(貼り付け!$A$1:$BZ$3001,383,$D$1)&amp;"",",",""),"¥",""),"￥","")),0))</f>
        <v/>
      </c>
      <c r="E384">
        <f>IF($E$1=0,0,IFERROR(VALUE(SUBSTITUTE(SUBSTITUTE(SUBSTITUTE(INDEX(貼り付け!$A$1:$BZ$3001,383,$E$1)&amp;"",",",""),"¥",""),"￥","")),0))</f>
        <v/>
      </c>
      <c r="F384">
        <f>IF($F$1=0,0,IFERROR(VALUE(SUBSTITUTE(SUBSTITUTE(SUBSTITUTE(INDEX(貼り付け!$A$1:$BZ$3001,383,$F$1)&amp;"",",",""),"¥",""),"￥","")),0))</f>
        <v/>
      </c>
      <c r="G384">
        <f>IF(ISNUMBER(B384),YEAR(B384),"")</f>
        <v/>
      </c>
      <c r="H384">
        <f>IF(ISNUMBER(B384),MONTH(B384),"")</f>
        <v/>
      </c>
      <c r="I384">
        <f>IFERROR(IF($B$1=0,"",IF(ISNUMBER(INDEX(貼り付け!$A$1:$BZ$3001,383,$B$1)),"",SUBSTITUTE(SUBSTITUTE(SUBSTITUTE(SUBSTITUTE(TRIM(LEFT(INDEX(貼り付け!$A$1:$BZ$3001,383,$B$1)&amp;"",FIND(" ",TRIM(INDEX(貼り付け!$A$1:$BZ$3001,383,$B$1)&amp;"")&amp;" ")-1)),"/","-"),"年","-"),"月","-"),"日",""))),"")</f>
        <v/>
      </c>
      <c r="J384">
        <f>IFERROR(MID(I384,FIND("-",I384)+1,99),"")</f>
        <v/>
      </c>
    </row>
    <row r="385">
      <c r="B385">
        <f>IFERROR(IF($B$1=0,"",IF(INDEX(貼り付け!$A$1:$BZ$3001,384,$B$1)="","",IF(ISNUMBER(INDEX(貼り付け!$A$1:$BZ$3001,384,$B$1)),INT(INDEX(貼り付け!$A$1:$BZ$3001,384,$B$1)),DATE(VALUE(LEFT(I385,FIND("-",I385)-1)),VALUE(LEFT(J385,FIND("-",J385)-1)),VALUE(MID(J385,FIND("-",J385)+1,99)))))),"")</f>
        <v/>
      </c>
      <c r="C385">
        <f>IF($C$1=0,0,IFERROR(VALUE(SUBSTITUTE(SUBSTITUTE(SUBSTITUTE(INDEX(貼り付け!$A$1:$BZ$3001,384,$C$1)&amp;"",",",""),"¥",""),"￥","")),0))</f>
        <v/>
      </c>
      <c r="D385">
        <f>IF($D$1=0,0,IFERROR(VALUE(SUBSTITUTE(SUBSTITUTE(SUBSTITUTE(INDEX(貼り付け!$A$1:$BZ$3001,384,$D$1)&amp;"",",",""),"¥",""),"￥","")),0))</f>
        <v/>
      </c>
      <c r="E385">
        <f>IF($E$1=0,0,IFERROR(VALUE(SUBSTITUTE(SUBSTITUTE(SUBSTITUTE(INDEX(貼り付け!$A$1:$BZ$3001,384,$E$1)&amp;"",",",""),"¥",""),"￥","")),0))</f>
        <v/>
      </c>
      <c r="F385">
        <f>IF($F$1=0,0,IFERROR(VALUE(SUBSTITUTE(SUBSTITUTE(SUBSTITUTE(INDEX(貼り付け!$A$1:$BZ$3001,384,$F$1)&amp;"",",",""),"¥",""),"￥","")),0))</f>
        <v/>
      </c>
      <c r="G385">
        <f>IF(ISNUMBER(B385),YEAR(B385),"")</f>
        <v/>
      </c>
      <c r="H385">
        <f>IF(ISNUMBER(B385),MONTH(B385),"")</f>
        <v/>
      </c>
      <c r="I385">
        <f>IFERROR(IF($B$1=0,"",IF(ISNUMBER(INDEX(貼り付け!$A$1:$BZ$3001,384,$B$1)),"",SUBSTITUTE(SUBSTITUTE(SUBSTITUTE(SUBSTITUTE(TRIM(LEFT(INDEX(貼り付け!$A$1:$BZ$3001,384,$B$1)&amp;"",FIND(" ",TRIM(INDEX(貼り付け!$A$1:$BZ$3001,384,$B$1)&amp;"")&amp;" ")-1)),"/","-"),"年","-"),"月","-"),"日",""))),"")</f>
        <v/>
      </c>
      <c r="J385">
        <f>IFERROR(MID(I385,FIND("-",I385)+1,99),"")</f>
        <v/>
      </c>
    </row>
    <row r="386">
      <c r="B386">
        <f>IFERROR(IF($B$1=0,"",IF(INDEX(貼り付け!$A$1:$BZ$3001,385,$B$1)="","",IF(ISNUMBER(INDEX(貼り付け!$A$1:$BZ$3001,385,$B$1)),INT(INDEX(貼り付け!$A$1:$BZ$3001,385,$B$1)),DATE(VALUE(LEFT(I386,FIND("-",I386)-1)),VALUE(LEFT(J386,FIND("-",J386)-1)),VALUE(MID(J386,FIND("-",J386)+1,99)))))),"")</f>
        <v/>
      </c>
      <c r="C386">
        <f>IF($C$1=0,0,IFERROR(VALUE(SUBSTITUTE(SUBSTITUTE(SUBSTITUTE(INDEX(貼り付け!$A$1:$BZ$3001,385,$C$1)&amp;"",",",""),"¥",""),"￥","")),0))</f>
        <v/>
      </c>
      <c r="D386">
        <f>IF($D$1=0,0,IFERROR(VALUE(SUBSTITUTE(SUBSTITUTE(SUBSTITUTE(INDEX(貼り付け!$A$1:$BZ$3001,385,$D$1)&amp;"",",",""),"¥",""),"￥","")),0))</f>
        <v/>
      </c>
      <c r="E386">
        <f>IF($E$1=0,0,IFERROR(VALUE(SUBSTITUTE(SUBSTITUTE(SUBSTITUTE(INDEX(貼り付け!$A$1:$BZ$3001,385,$E$1)&amp;"",",",""),"¥",""),"￥","")),0))</f>
        <v/>
      </c>
      <c r="F386">
        <f>IF($F$1=0,0,IFERROR(VALUE(SUBSTITUTE(SUBSTITUTE(SUBSTITUTE(INDEX(貼り付け!$A$1:$BZ$3001,385,$F$1)&amp;"",",",""),"¥",""),"￥","")),0))</f>
        <v/>
      </c>
      <c r="G386">
        <f>IF(ISNUMBER(B386),YEAR(B386),"")</f>
        <v/>
      </c>
      <c r="H386">
        <f>IF(ISNUMBER(B386),MONTH(B386),"")</f>
        <v/>
      </c>
      <c r="I386">
        <f>IFERROR(IF($B$1=0,"",IF(ISNUMBER(INDEX(貼り付け!$A$1:$BZ$3001,385,$B$1)),"",SUBSTITUTE(SUBSTITUTE(SUBSTITUTE(SUBSTITUTE(TRIM(LEFT(INDEX(貼り付け!$A$1:$BZ$3001,385,$B$1)&amp;"",FIND(" ",TRIM(INDEX(貼り付け!$A$1:$BZ$3001,385,$B$1)&amp;"")&amp;" ")-1)),"/","-"),"年","-"),"月","-"),"日",""))),"")</f>
        <v/>
      </c>
      <c r="J386">
        <f>IFERROR(MID(I386,FIND("-",I386)+1,99),"")</f>
        <v/>
      </c>
    </row>
    <row r="387">
      <c r="B387">
        <f>IFERROR(IF($B$1=0,"",IF(INDEX(貼り付け!$A$1:$BZ$3001,386,$B$1)="","",IF(ISNUMBER(INDEX(貼り付け!$A$1:$BZ$3001,386,$B$1)),INT(INDEX(貼り付け!$A$1:$BZ$3001,386,$B$1)),DATE(VALUE(LEFT(I387,FIND("-",I387)-1)),VALUE(LEFT(J387,FIND("-",J387)-1)),VALUE(MID(J387,FIND("-",J387)+1,99)))))),"")</f>
        <v/>
      </c>
      <c r="C387">
        <f>IF($C$1=0,0,IFERROR(VALUE(SUBSTITUTE(SUBSTITUTE(SUBSTITUTE(INDEX(貼り付け!$A$1:$BZ$3001,386,$C$1)&amp;"",",",""),"¥",""),"￥","")),0))</f>
        <v/>
      </c>
      <c r="D387">
        <f>IF($D$1=0,0,IFERROR(VALUE(SUBSTITUTE(SUBSTITUTE(SUBSTITUTE(INDEX(貼り付け!$A$1:$BZ$3001,386,$D$1)&amp;"",",",""),"¥",""),"￥","")),0))</f>
        <v/>
      </c>
      <c r="E387">
        <f>IF($E$1=0,0,IFERROR(VALUE(SUBSTITUTE(SUBSTITUTE(SUBSTITUTE(INDEX(貼り付け!$A$1:$BZ$3001,386,$E$1)&amp;"",",",""),"¥",""),"￥","")),0))</f>
        <v/>
      </c>
      <c r="F387">
        <f>IF($F$1=0,0,IFERROR(VALUE(SUBSTITUTE(SUBSTITUTE(SUBSTITUTE(INDEX(貼り付け!$A$1:$BZ$3001,386,$F$1)&amp;"",",",""),"¥",""),"￥","")),0))</f>
        <v/>
      </c>
      <c r="G387">
        <f>IF(ISNUMBER(B387),YEAR(B387),"")</f>
        <v/>
      </c>
      <c r="H387">
        <f>IF(ISNUMBER(B387),MONTH(B387),"")</f>
        <v/>
      </c>
      <c r="I387">
        <f>IFERROR(IF($B$1=0,"",IF(ISNUMBER(INDEX(貼り付け!$A$1:$BZ$3001,386,$B$1)),"",SUBSTITUTE(SUBSTITUTE(SUBSTITUTE(SUBSTITUTE(TRIM(LEFT(INDEX(貼り付け!$A$1:$BZ$3001,386,$B$1)&amp;"",FIND(" ",TRIM(INDEX(貼り付け!$A$1:$BZ$3001,386,$B$1)&amp;"")&amp;" ")-1)),"/","-"),"年","-"),"月","-"),"日",""))),"")</f>
        <v/>
      </c>
      <c r="J387">
        <f>IFERROR(MID(I387,FIND("-",I387)+1,99),"")</f>
        <v/>
      </c>
    </row>
    <row r="388">
      <c r="B388">
        <f>IFERROR(IF($B$1=0,"",IF(INDEX(貼り付け!$A$1:$BZ$3001,387,$B$1)="","",IF(ISNUMBER(INDEX(貼り付け!$A$1:$BZ$3001,387,$B$1)),INT(INDEX(貼り付け!$A$1:$BZ$3001,387,$B$1)),DATE(VALUE(LEFT(I388,FIND("-",I388)-1)),VALUE(LEFT(J388,FIND("-",J388)-1)),VALUE(MID(J388,FIND("-",J388)+1,99)))))),"")</f>
        <v/>
      </c>
      <c r="C388">
        <f>IF($C$1=0,0,IFERROR(VALUE(SUBSTITUTE(SUBSTITUTE(SUBSTITUTE(INDEX(貼り付け!$A$1:$BZ$3001,387,$C$1)&amp;"",",",""),"¥",""),"￥","")),0))</f>
        <v/>
      </c>
      <c r="D388">
        <f>IF($D$1=0,0,IFERROR(VALUE(SUBSTITUTE(SUBSTITUTE(SUBSTITUTE(INDEX(貼り付け!$A$1:$BZ$3001,387,$D$1)&amp;"",",",""),"¥",""),"￥","")),0))</f>
        <v/>
      </c>
      <c r="E388">
        <f>IF($E$1=0,0,IFERROR(VALUE(SUBSTITUTE(SUBSTITUTE(SUBSTITUTE(INDEX(貼り付け!$A$1:$BZ$3001,387,$E$1)&amp;"",",",""),"¥",""),"￥","")),0))</f>
        <v/>
      </c>
      <c r="F388">
        <f>IF($F$1=0,0,IFERROR(VALUE(SUBSTITUTE(SUBSTITUTE(SUBSTITUTE(INDEX(貼り付け!$A$1:$BZ$3001,387,$F$1)&amp;"",",",""),"¥",""),"￥","")),0))</f>
        <v/>
      </c>
      <c r="G388">
        <f>IF(ISNUMBER(B388),YEAR(B388),"")</f>
        <v/>
      </c>
      <c r="H388">
        <f>IF(ISNUMBER(B388),MONTH(B388),"")</f>
        <v/>
      </c>
      <c r="I388">
        <f>IFERROR(IF($B$1=0,"",IF(ISNUMBER(INDEX(貼り付け!$A$1:$BZ$3001,387,$B$1)),"",SUBSTITUTE(SUBSTITUTE(SUBSTITUTE(SUBSTITUTE(TRIM(LEFT(INDEX(貼り付け!$A$1:$BZ$3001,387,$B$1)&amp;"",FIND(" ",TRIM(INDEX(貼り付け!$A$1:$BZ$3001,387,$B$1)&amp;"")&amp;" ")-1)),"/","-"),"年","-"),"月","-"),"日",""))),"")</f>
        <v/>
      </c>
      <c r="J388">
        <f>IFERROR(MID(I388,FIND("-",I388)+1,99),"")</f>
        <v/>
      </c>
    </row>
    <row r="389">
      <c r="B389">
        <f>IFERROR(IF($B$1=0,"",IF(INDEX(貼り付け!$A$1:$BZ$3001,388,$B$1)="","",IF(ISNUMBER(INDEX(貼り付け!$A$1:$BZ$3001,388,$B$1)),INT(INDEX(貼り付け!$A$1:$BZ$3001,388,$B$1)),DATE(VALUE(LEFT(I389,FIND("-",I389)-1)),VALUE(LEFT(J389,FIND("-",J389)-1)),VALUE(MID(J389,FIND("-",J389)+1,99)))))),"")</f>
        <v/>
      </c>
      <c r="C389">
        <f>IF($C$1=0,0,IFERROR(VALUE(SUBSTITUTE(SUBSTITUTE(SUBSTITUTE(INDEX(貼り付け!$A$1:$BZ$3001,388,$C$1)&amp;"",",",""),"¥",""),"￥","")),0))</f>
        <v/>
      </c>
      <c r="D389">
        <f>IF($D$1=0,0,IFERROR(VALUE(SUBSTITUTE(SUBSTITUTE(SUBSTITUTE(INDEX(貼り付け!$A$1:$BZ$3001,388,$D$1)&amp;"",",",""),"¥",""),"￥","")),0))</f>
        <v/>
      </c>
      <c r="E389">
        <f>IF($E$1=0,0,IFERROR(VALUE(SUBSTITUTE(SUBSTITUTE(SUBSTITUTE(INDEX(貼り付け!$A$1:$BZ$3001,388,$E$1)&amp;"",",",""),"¥",""),"￥","")),0))</f>
        <v/>
      </c>
      <c r="F389">
        <f>IF($F$1=0,0,IFERROR(VALUE(SUBSTITUTE(SUBSTITUTE(SUBSTITUTE(INDEX(貼り付け!$A$1:$BZ$3001,388,$F$1)&amp;"",",",""),"¥",""),"￥","")),0))</f>
        <v/>
      </c>
      <c r="G389">
        <f>IF(ISNUMBER(B389),YEAR(B389),"")</f>
        <v/>
      </c>
      <c r="H389">
        <f>IF(ISNUMBER(B389),MONTH(B389),"")</f>
        <v/>
      </c>
      <c r="I389">
        <f>IFERROR(IF($B$1=0,"",IF(ISNUMBER(INDEX(貼り付け!$A$1:$BZ$3001,388,$B$1)),"",SUBSTITUTE(SUBSTITUTE(SUBSTITUTE(SUBSTITUTE(TRIM(LEFT(INDEX(貼り付け!$A$1:$BZ$3001,388,$B$1)&amp;"",FIND(" ",TRIM(INDEX(貼り付け!$A$1:$BZ$3001,388,$B$1)&amp;"")&amp;" ")-1)),"/","-"),"年","-"),"月","-"),"日",""))),"")</f>
        <v/>
      </c>
      <c r="J389">
        <f>IFERROR(MID(I389,FIND("-",I389)+1,99),"")</f>
        <v/>
      </c>
    </row>
    <row r="390">
      <c r="B390">
        <f>IFERROR(IF($B$1=0,"",IF(INDEX(貼り付け!$A$1:$BZ$3001,389,$B$1)="","",IF(ISNUMBER(INDEX(貼り付け!$A$1:$BZ$3001,389,$B$1)),INT(INDEX(貼り付け!$A$1:$BZ$3001,389,$B$1)),DATE(VALUE(LEFT(I390,FIND("-",I390)-1)),VALUE(LEFT(J390,FIND("-",J390)-1)),VALUE(MID(J390,FIND("-",J390)+1,99)))))),"")</f>
        <v/>
      </c>
      <c r="C390">
        <f>IF($C$1=0,0,IFERROR(VALUE(SUBSTITUTE(SUBSTITUTE(SUBSTITUTE(INDEX(貼り付け!$A$1:$BZ$3001,389,$C$1)&amp;"",",",""),"¥",""),"￥","")),0))</f>
        <v/>
      </c>
      <c r="D390">
        <f>IF($D$1=0,0,IFERROR(VALUE(SUBSTITUTE(SUBSTITUTE(SUBSTITUTE(INDEX(貼り付け!$A$1:$BZ$3001,389,$D$1)&amp;"",",",""),"¥",""),"￥","")),0))</f>
        <v/>
      </c>
      <c r="E390">
        <f>IF($E$1=0,0,IFERROR(VALUE(SUBSTITUTE(SUBSTITUTE(SUBSTITUTE(INDEX(貼り付け!$A$1:$BZ$3001,389,$E$1)&amp;"",",",""),"¥",""),"￥","")),0))</f>
        <v/>
      </c>
      <c r="F390">
        <f>IF($F$1=0,0,IFERROR(VALUE(SUBSTITUTE(SUBSTITUTE(SUBSTITUTE(INDEX(貼り付け!$A$1:$BZ$3001,389,$F$1)&amp;"",",",""),"¥",""),"￥","")),0))</f>
        <v/>
      </c>
      <c r="G390">
        <f>IF(ISNUMBER(B390),YEAR(B390),"")</f>
        <v/>
      </c>
      <c r="H390">
        <f>IF(ISNUMBER(B390),MONTH(B390),"")</f>
        <v/>
      </c>
      <c r="I390">
        <f>IFERROR(IF($B$1=0,"",IF(ISNUMBER(INDEX(貼り付け!$A$1:$BZ$3001,389,$B$1)),"",SUBSTITUTE(SUBSTITUTE(SUBSTITUTE(SUBSTITUTE(TRIM(LEFT(INDEX(貼り付け!$A$1:$BZ$3001,389,$B$1)&amp;"",FIND(" ",TRIM(INDEX(貼り付け!$A$1:$BZ$3001,389,$B$1)&amp;"")&amp;" ")-1)),"/","-"),"年","-"),"月","-"),"日",""))),"")</f>
        <v/>
      </c>
      <c r="J390">
        <f>IFERROR(MID(I390,FIND("-",I390)+1,99),"")</f>
        <v/>
      </c>
    </row>
    <row r="391">
      <c r="B391">
        <f>IFERROR(IF($B$1=0,"",IF(INDEX(貼り付け!$A$1:$BZ$3001,390,$B$1)="","",IF(ISNUMBER(INDEX(貼り付け!$A$1:$BZ$3001,390,$B$1)),INT(INDEX(貼り付け!$A$1:$BZ$3001,390,$B$1)),DATE(VALUE(LEFT(I391,FIND("-",I391)-1)),VALUE(LEFT(J391,FIND("-",J391)-1)),VALUE(MID(J391,FIND("-",J391)+1,99)))))),"")</f>
        <v/>
      </c>
      <c r="C391">
        <f>IF($C$1=0,0,IFERROR(VALUE(SUBSTITUTE(SUBSTITUTE(SUBSTITUTE(INDEX(貼り付け!$A$1:$BZ$3001,390,$C$1)&amp;"",",",""),"¥",""),"￥","")),0))</f>
        <v/>
      </c>
      <c r="D391">
        <f>IF($D$1=0,0,IFERROR(VALUE(SUBSTITUTE(SUBSTITUTE(SUBSTITUTE(INDEX(貼り付け!$A$1:$BZ$3001,390,$D$1)&amp;"",",",""),"¥",""),"￥","")),0))</f>
        <v/>
      </c>
      <c r="E391">
        <f>IF($E$1=0,0,IFERROR(VALUE(SUBSTITUTE(SUBSTITUTE(SUBSTITUTE(INDEX(貼り付け!$A$1:$BZ$3001,390,$E$1)&amp;"",",",""),"¥",""),"￥","")),0))</f>
        <v/>
      </c>
      <c r="F391">
        <f>IF($F$1=0,0,IFERROR(VALUE(SUBSTITUTE(SUBSTITUTE(SUBSTITUTE(INDEX(貼り付け!$A$1:$BZ$3001,390,$F$1)&amp;"",",",""),"¥",""),"￥","")),0))</f>
        <v/>
      </c>
      <c r="G391">
        <f>IF(ISNUMBER(B391),YEAR(B391),"")</f>
        <v/>
      </c>
      <c r="H391">
        <f>IF(ISNUMBER(B391),MONTH(B391),"")</f>
        <v/>
      </c>
      <c r="I391">
        <f>IFERROR(IF($B$1=0,"",IF(ISNUMBER(INDEX(貼り付け!$A$1:$BZ$3001,390,$B$1)),"",SUBSTITUTE(SUBSTITUTE(SUBSTITUTE(SUBSTITUTE(TRIM(LEFT(INDEX(貼り付け!$A$1:$BZ$3001,390,$B$1)&amp;"",FIND(" ",TRIM(INDEX(貼り付け!$A$1:$BZ$3001,390,$B$1)&amp;"")&amp;" ")-1)),"/","-"),"年","-"),"月","-"),"日",""))),"")</f>
        <v/>
      </c>
      <c r="J391">
        <f>IFERROR(MID(I391,FIND("-",I391)+1,99),"")</f>
        <v/>
      </c>
    </row>
    <row r="392">
      <c r="B392">
        <f>IFERROR(IF($B$1=0,"",IF(INDEX(貼り付け!$A$1:$BZ$3001,391,$B$1)="","",IF(ISNUMBER(INDEX(貼り付け!$A$1:$BZ$3001,391,$B$1)),INT(INDEX(貼り付け!$A$1:$BZ$3001,391,$B$1)),DATE(VALUE(LEFT(I392,FIND("-",I392)-1)),VALUE(LEFT(J392,FIND("-",J392)-1)),VALUE(MID(J392,FIND("-",J392)+1,99)))))),"")</f>
        <v/>
      </c>
      <c r="C392">
        <f>IF($C$1=0,0,IFERROR(VALUE(SUBSTITUTE(SUBSTITUTE(SUBSTITUTE(INDEX(貼り付け!$A$1:$BZ$3001,391,$C$1)&amp;"",",",""),"¥",""),"￥","")),0))</f>
        <v/>
      </c>
      <c r="D392">
        <f>IF($D$1=0,0,IFERROR(VALUE(SUBSTITUTE(SUBSTITUTE(SUBSTITUTE(INDEX(貼り付け!$A$1:$BZ$3001,391,$D$1)&amp;"",",",""),"¥",""),"￥","")),0))</f>
        <v/>
      </c>
      <c r="E392">
        <f>IF($E$1=0,0,IFERROR(VALUE(SUBSTITUTE(SUBSTITUTE(SUBSTITUTE(INDEX(貼り付け!$A$1:$BZ$3001,391,$E$1)&amp;"",",",""),"¥",""),"￥","")),0))</f>
        <v/>
      </c>
      <c r="F392">
        <f>IF($F$1=0,0,IFERROR(VALUE(SUBSTITUTE(SUBSTITUTE(SUBSTITUTE(INDEX(貼り付け!$A$1:$BZ$3001,391,$F$1)&amp;"",",",""),"¥",""),"￥","")),0))</f>
        <v/>
      </c>
      <c r="G392">
        <f>IF(ISNUMBER(B392),YEAR(B392),"")</f>
        <v/>
      </c>
      <c r="H392">
        <f>IF(ISNUMBER(B392),MONTH(B392),"")</f>
        <v/>
      </c>
      <c r="I392">
        <f>IFERROR(IF($B$1=0,"",IF(ISNUMBER(INDEX(貼り付け!$A$1:$BZ$3001,391,$B$1)),"",SUBSTITUTE(SUBSTITUTE(SUBSTITUTE(SUBSTITUTE(TRIM(LEFT(INDEX(貼り付け!$A$1:$BZ$3001,391,$B$1)&amp;"",FIND(" ",TRIM(INDEX(貼り付け!$A$1:$BZ$3001,391,$B$1)&amp;"")&amp;" ")-1)),"/","-"),"年","-"),"月","-"),"日",""))),"")</f>
        <v/>
      </c>
      <c r="J392">
        <f>IFERROR(MID(I392,FIND("-",I392)+1,99),"")</f>
        <v/>
      </c>
    </row>
    <row r="393">
      <c r="B393">
        <f>IFERROR(IF($B$1=0,"",IF(INDEX(貼り付け!$A$1:$BZ$3001,392,$B$1)="","",IF(ISNUMBER(INDEX(貼り付け!$A$1:$BZ$3001,392,$B$1)),INT(INDEX(貼り付け!$A$1:$BZ$3001,392,$B$1)),DATE(VALUE(LEFT(I393,FIND("-",I393)-1)),VALUE(LEFT(J393,FIND("-",J393)-1)),VALUE(MID(J393,FIND("-",J393)+1,99)))))),"")</f>
        <v/>
      </c>
      <c r="C393">
        <f>IF($C$1=0,0,IFERROR(VALUE(SUBSTITUTE(SUBSTITUTE(SUBSTITUTE(INDEX(貼り付け!$A$1:$BZ$3001,392,$C$1)&amp;"",",",""),"¥",""),"￥","")),0))</f>
        <v/>
      </c>
      <c r="D393">
        <f>IF($D$1=0,0,IFERROR(VALUE(SUBSTITUTE(SUBSTITUTE(SUBSTITUTE(INDEX(貼り付け!$A$1:$BZ$3001,392,$D$1)&amp;"",",",""),"¥",""),"￥","")),0))</f>
        <v/>
      </c>
      <c r="E393">
        <f>IF($E$1=0,0,IFERROR(VALUE(SUBSTITUTE(SUBSTITUTE(SUBSTITUTE(INDEX(貼り付け!$A$1:$BZ$3001,392,$E$1)&amp;"",",",""),"¥",""),"￥","")),0))</f>
        <v/>
      </c>
      <c r="F393">
        <f>IF($F$1=0,0,IFERROR(VALUE(SUBSTITUTE(SUBSTITUTE(SUBSTITUTE(INDEX(貼り付け!$A$1:$BZ$3001,392,$F$1)&amp;"",",",""),"¥",""),"￥","")),0))</f>
        <v/>
      </c>
      <c r="G393">
        <f>IF(ISNUMBER(B393),YEAR(B393),"")</f>
        <v/>
      </c>
      <c r="H393">
        <f>IF(ISNUMBER(B393),MONTH(B393),"")</f>
        <v/>
      </c>
      <c r="I393">
        <f>IFERROR(IF($B$1=0,"",IF(ISNUMBER(INDEX(貼り付け!$A$1:$BZ$3001,392,$B$1)),"",SUBSTITUTE(SUBSTITUTE(SUBSTITUTE(SUBSTITUTE(TRIM(LEFT(INDEX(貼り付け!$A$1:$BZ$3001,392,$B$1)&amp;"",FIND(" ",TRIM(INDEX(貼り付け!$A$1:$BZ$3001,392,$B$1)&amp;"")&amp;" ")-1)),"/","-"),"年","-"),"月","-"),"日",""))),"")</f>
        <v/>
      </c>
      <c r="J393">
        <f>IFERROR(MID(I393,FIND("-",I393)+1,99),"")</f>
        <v/>
      </c>
    </row>
    <row r="394">
      <c r="B394">
        <f>IFERROR(IF($B$1=0,"",IF(INDEX(貼り付け!$A$1:$BZ$3001,393,$B$1)="","",IF(ISNUMBER(INDEX(貼り付け!$A$1:$BZ$3001,393,$B$1)),INT(INDEX(貼り付け!$A$1:$BZ$3001,393,$B$1)),DATE(VALUE(LEFT(I394,FIND("-",I394)-1)),VALUE(LEFT(J394,FIND("-",J394)-1)),VALUE(MID(J394,FIND("-",J394)+1,99)))))),"")</f>
        <v/>
      </c>
      <c r="C394">
        <f>IF($C$1=0,0,IFERROR(VALUE(SUBSTITUTE(SUBSTITUTE(SUBSTITUTE(INDEX(貼り付け!$A$1:$BZ$3001,393,$C$1)&amp;"",",",""),"¥",""),"￥","")),0))</f>
        <v/>
      </c>
      <c r="D394">
        <f>IF($D$1=0,0,IFERROR(VALUE(SUBSTITUTE(SUBSTITUTE(SUBSTITUTE(INDEX(貼り付け!$A$1:$BZ$3001,393,$D$1)&amp;"",",",""),"¥",""),"￥","")),0))</f>
        <v/>
      </c>
      <c r="E394">
        <f>IF($E$1=0,0,IFERROR(VALUE(SUBSTITUTE(SUBSTITUTE(SUBSTITUTE(INDEX(貼り付け!$A$1:$BZ$3001,393,$E$1)&amp;"",",",""),"¥",""),"￥","")),0))</f>
        <v/>
      </c>
      <c r="F394">
        <f>IF($F$1=0,0,IFERROR(VALUE(SUBSTITUTE(SUBSTITUTE(SUBSTITUTE(INDEX(貼り付け!$A$1:$BZ$3001,393,$F$1)&amp;"",",",""),"¥",""),"￥","")),0))</f>
        <v/>
      </c>
      <c r="G394">
        <f>IF(ISNUMBER(B394),YEAR(B394),"")</f>
        <v/>
      </c>
      <c r="H394">
        <f>IF(ISNUMBER(B394),MONTH(B394),"")</f>
        <v/>
      </c>
      <c r="I394">
        <f>IFERROR(IF($B$1=0,"",IF(ISNUMBER(INDEX(貼り付け!$A$1:$BZ$3001,393,$B$1)),"",SUBSTITUTE(SUBSTITUTE(SUBSTITUTE(SUBSTITUTE(TRIM(LEFT(INDEX(貼り付け!$A$1:$BZ$3001,393,$B$1)&amp;"",FIND(" ",TRIM(INDEX(貼り付け!$A$1:$BZ$3001,393,$B$1)&amp;"")&amp;" ")-1)),"/","-"),"年","-"),"月","-"),"日",""))),"")</f>
        <v/>
      </c>
      <c r="J394">
        <f>IFERROR(MID(I394,FIND("-",I394)+1,99),"")</f>
        <v/>
      </c>
    </row>
    <row r="395">
      <c r="B395">
        <f>IFERROR(IF($B$1=0,"",IF(INDEX(貼り付け!$A$1:$BZ$3001,394,$B$1)="","",IF(ISNUMBER(INDEX(貼り付け!$A$1:$BZ$3001,394,$B$1)),INT(INDEX(貼り付け!$A$1:$BZ$3001,394,$B$1)),DATE(VALUE(LEFT(I395,FIND("-",I395)-1)),VALUE(LEFT(J395,FIND("-",J395)-1)),VALUE(MID(J395,FIND("-",J395)+1,99)))))),"")</f>
        <v/>
      </c>
      <c r="C395">
        <f>IF($C$1=0,0,IFERROR(VALUE(SUBSTITUTE(SUBSTITUTE(SUBSTITUTE(INDEX(貼り付け!$A$1:$BZ$3001,394,$C$1)&amp;"",",",""),"¥",""),"￥","")),0))</f>
        <v/>
      </c>
      <c r="D395">
        <f>IF($D$1=0,0,IFERROR(VALUE(SUBSTITUTE(SUBSTITUTE(SUBSTITUTE(INDEX(貼り付け!$A$1:$BZ$3001,394,$D$1)&amp;"",",",""),"¥",""),"￥","")),0))</f>
        <v/>
      </c>
      <c r="E395">
        <f>IF($E$1=0,0,IFERROR(VALUE(SUBSTITUTE(SUBSTITUTE(SUBSTITUTE(INDEX(貼り付け!$A$1:$BZ$3001,394,$E$1)&amp;"",",",""),"¥",""),"￥","")),0))</f>
        <v/>
      </c>
      <c r="F395">
        <f>IF($F$1=0,0,IFERROR(VALUE(SUBSTITUTE(SUBSTITUTE(SUBSTITUTE(INDEX(貼り付け!$A$1:$BZ$3001,394,$F$1)&amp;"",",",""),"¥",""),"￥","")),0))</f>
        <v/>
      </c>
      <c r="G395">
        <f>IF(ISNUMBER(B395),YEAR(B395),"")</f>
        <v/>
      </c>
      <c r="H395">
        <f>IF(ISNUMBER(B395),MONTH(B395),"")</f>
        <v/>
      </c>
      <c r="I395">
        <f>IFERROR(IF($B$1=0,"",IF(ISNUMBER(INDEX(貼り付け!$A$1:$BZ$3001,394,$B$1)),"",SUBSTITUTE(SUBSTITUTE(SUBSTITUTE(SUBSTITUTE(TRIM(LEFT(INDEX(貼り付け!$A$1:$BZ$3001,394,$B$1)&amp;"",FIND(" ",TRIM(INDEX(貼り付け!$A$1:$BZ$3001,394,$B$1)&amp;"")&amp;" ")-1)),"/","-"),"年","-"),"月","-"),"日",""))),"")</f>
        <v/>
      </c>
      <c r="J395">
        <f>IFERROR(MID(I395,FIND("-",I395)+1,99),"")</f>
        <v/>
      </c>
    </row>
    <row r="396">
      <c r="B396">
        <f>IFERROR(IF($B$1=0,"",IF(INDEX(貼り付け!$A$1:$BZ$3001,395,$B$1)="","",IF(ISNUMBER(INDEX(貼り付け!$A$1:$BZ$3001,395,$B$1)),INT(INDEX(貼り付け!$A$1:$BZ$3001,395,$B$1)),DATE(VALUE(LEFT(I396,FIND("-",I396)-1)),VALUE(LEFT(J396,FIND("-",J396)-1)),VALUE(MID(J396,FIND("-",J396)+1,99)))))),"")</f>
        <v/>
      </c>
      <c r="C396">
        <f>IF($C$1=0,0,IFERROR(VALUE(SUBSTITUTE(SUBSTITUTE(SUBSTITUTE(INDEX(貼り付け!$A$1:$BZ$3001,395,$C$1)&amp;"",",",""),"¥",""),"￥","")),0))</f>
        <v/>
      </c>
      <c r="D396">
        <f>IF($D$1=0,0,IFERROR(VALUE(SUBSTITUTE(SUBSTITUTE(SUBSTITUTE(INDEX(貼り付け!$A$1:$BZ$3001,395,$D$1)&amp;"",",",""),"¥",""),"￥","")),0))</f>
        <v/>
      </c>
      <c r="E396">
        <f>IF($E$1=0,0,IFERROR(VALUE(SUBSTITUTE(SUBSTITUTE(SUBSTITUTE(INDEX(貼り付け!$A$1:$BZ$3001,395,$E$1)&amp;"",",",""),"¥",""),"￥","")),0))</f>
        <v/>
      </c>
      <c r="F396">
        <f>IF($F$1=0,0,IFERROR(VALUE(SUBSTITUTE(SUBSTITUTE(SUBSTITUTE(INDEX(貼り付け!$A$1:$BZ$3001,395,$F$1)&amp;"",",",""),"¥",""),"￥","")),0))</f>
        <v/>
      </c>
      <c r="G396">
        <f>IF(ISNUMBER(B396),YEAR(B396),"")</f>
        <v/>
      </c>
      <c r="H396">
        <f>IF(ISNUMBER(B396),MONTH(B396),"")</f>
        <v/>
      </c>
      <c r="I396">
        <f>IFERROR(IF($B$1=0,"",IF(ISNUMBER(INDEX(貼り付け!$A$1:$BZ$3001,395,$B$1)),"",SUBSTITUTE(SUBSTITUTE(SUBSTITUTE(SUBSTITUTE(TRIM(LEFT(INDEX(貼り付け!$A$1:$BZ$3001,395,$B$1)&amp;"",FIND(" ",TRIM(INDEX(貼り付け!$A$1:$BZ$3001,395,$B$1)&amp;"")&amp;" ")-1)),"/","-"),"年","-"),"月","-"),"日",""))),"")</f>
        <v/>
      </c>
      <c r="J396">
        <f>IFERROR(MID(I396,FIND("-",I396)+1,99),"")</f>
        <v/>
      </c>
    </row>
    <row r="397">
      <c r="B397">
        <f>IFERROR(IF($B$1=0,"",IF(INDEX(貼り付け!$A$1:$BZ$3001,396,$B$1)="","",IF(ISNUMBER(INDEX(貼り付け!$A$1:$BZ$3001,396,$B$1)),INT(INDEX(貼り付け!$A$1:$BZ$3001,396,$B$1)),DATE(VALUE(LEFT(I397,FIND("-",I397)-1)),VALUE(LEFT(J397,FIND("-",J397)-1)),VALUE(MID(J397,FIND("-",J397)+1,99)))))),"")</f>
        <v/>
      </c>
      <c r="C397">
        <f>IF($C$1=0,0,IFERROR(VALUE(SUBSTITUTE(SUBSTITUTE(SUBSTITUTE(INDEX(貼り付け!$A$1:$BZ$3001,396,$C$1)&amp;"",",",""),"¥",""),"￥","")),0))</f>
        <v/>
      </c>
      <c r="D397">
        <f>IF($D$1=0,0,IFERROR(VALUE(SUBSTITUTE(SUBSTITUTE(SUBSTITUTE(INDEX(貼り付け!$A$1:$BZ$3001,396,$D$1)&amp;"",",",""),"¥",""),"￥","")),0))</f>
        <v/>
      </c>
      <c r="E397">
        <f>IF($E$1=0,0,IFERROR(VALUE(SUBSTITUTE(SUBSTITUTE(SUBSTITUTE(INDEX(貼り付け!$A$1:$BZ$3001,396,$E$1)&amp;"",",",""),"¥",""),"￥","")),0))</f>
        <v/>
      </c>
      <c r="F397">
        <f>IF($F$1=0,0,IFERROR(VALUE(SUBSTITUTE(SUBSTITUTE(SUBSTITUTE(INDEX(貼り付け!$A$1:$BZ$3001,396,$F$1)&amp;"",",",""),"¥",""),"￥","")),0))</f>
        <v/>
      </c>
      <c r="G397">
        <f>IF(ISNUMBER(B397),YEAR(B397),"")</f>
        <v/>
      </c>
      <c r="H397">
        <f>IF(ISNUMBER(B397),MONTH(B397),"")</f>
        <v/>
      </c>
      <c r="I397">
        <f>IFERROR(IF($B$1=0,"",IF(ISNUMBER(INDEX(貼り付け!$A$1:$BZ$3001,396,$B$1)),"",SUBSTITUTE(SUBSTITUTE(SUBSTITUTE(SUBSTITUTE(TRIM(LEFT(INDEX(貼り付け!$A$1:$BZ$3001,396,$B$1)&amp;"",FIND(" ",TRIM(INDEX(貼り付け!$A$1:$BZ$3001,396,$B$1)&amp;"")&amp;" ")-1)),"/","-"),"年","-"),"月","-"),"日",""))),"")</f>
        <v/>
      </c>
      <c r="J397">
        <f>IFERROR(MID(I397,FIND("-",I397)+1,99),"")</f>
        <v/>
      </c>
    </row>
    <row r="398">
      <c r="B398">
        <f>IFERROR(IF($B$1=0,"",IF(INDEX(貼り付け!$A$1:$BZ$3001,397,$B$1)="","",IF(ISNUMBER(INDEX(貼り付け!$A$1:$BZ$3001,397,$B$1)),INT(INDEX(貼り付け!$A$1:$BZ$3001,397,$B$1)),DATE(VALUE(LEFT(I398,FIND("-",I398)-1)),VALUE(LEFT(J398,FIND("-",J398)-1)),VALUE(MID(J398,FIND("-",J398)+1,99)))))),"")</f>
        <v/>
      </c>
      <c r="C398">
        <f>IF($C$1=0,0,IFERROR(VALUE(SUBSTITUTE(SUBSTITUTE(SUBSTITUTE(INDEX(貼り付け!$A$1:$BZ$3001,397,$C$1)&amp;"",",",""),"¥",""),"￥","")),0))</f>
        <v/>
      </c>
      <c r="D398">
        <f>IF($D$1=0,0,IFERROR(VALUE(SUBSTITUTE(SUBSTITUTE(SUBSTITUTE(INDEX(貼り付け!$A$1:$BZ$3001,397,$D$1)&amp;"",",",""),"¥",""),"￥","")),0))</f>
        <v/>
      </c>
      <c r="E398">
        <f>IF($E$1=0,0,IFERROR(VALUE(SUBSTITUTE(SUBSTITUTE(SUBSTITUTE(INDEX(貼り付け!$A$1:$BZ$3001,397,$E$1)&amp;"",",",""),"¥",""),"￥","")),0))</f>
        <v/>
      </c>
      <c r="F398">
        <f>IF($F$1=0,0,IFERROR(VALUE(SUBSTITUTE(SUBSTITUTE(SUBSTITUTE(INDEX(貼り付け!$A$1:$BZ$3001,397,$F$1)&amp;"",",",""),"¥",""),"￥","")),0))</f>
        <v/>
      </c>
      <c r="G398">
        <f>IF(ISNUMBER(B398),YEAR(B398),"")</f>
        <v/>
      </c>
      <c r="H398">
        <f>IF(ISNUMBER(B398),MONTH(B398),"")</f>
        <v/>
      </c>
      <c r="I398">
        <f>IFERROR(IF($B$1=0,"",IF(ISNUMBER(INDEX(貼り付け!$A$1:$BZ$3001,397,$B$1)),"",SUBSTITUTE(SUBSTITUTE(SUBSTITUTE(SUBSTITUTE(TRIM(LEFT(INDEX(貼り付け!$A$1:$BZ$3001,397,$B$1)&amp;"",FIND(" ",TRIM(INDEX(貼り付け!$A$1:$BZ$3001,397,$B$1)&amp;"")&amp;" ")-1)),"/","-"),"年","-"),"月","-"),"日",""))),"")</f>
        <v/>
      </c>
      <c r="J398">
        <f>IFERROR(MID(I398,FIND("-",I398)+1,99),"")</f>
        <v/>
      </c>
    </row>
    <row r="399">
      <c r="B399">
        <f>IFERROR(IF($B$1=0,"",IF(INDEX(貼り付け!$A$1:$BZ$3001,398,$B$1)="","",IF(ISNUMBER(INDEX(貼り付け!$A$1:$BZ$3001,398,$B$1)),INT(INDEX(貼り付け!$A$1:$BZ$3001,398,$B$1)),DATE(VALUE(LEFT(I399,FIND("-",I399)-1)),VALUE(LEFT(J399,FIND("-",J399)-1)),VALUE(MID(J399,FIND("-",J399)+1,99)))))),"")</f>
        <v/>
      </c>
      <c r="C399">
        <f>IF($C$1=0,0,IFERROR(VALUE(SUBSTITUTE(SUBSTITUTE(SUBSTITUTE(INDEX(貼り付け!$A$1:$BZ$3001,398,$C$1)&amp;"",",",""),"¥",""),"￥","")),0))</f>
        <v/>
      </c>
      <c r="D399">
        <f>IF($D$1=0,0,IFERROR(VALUE(SUBSTITUTE(SUBSTITUTE(SUBSTITUTE(INDEX(貼り付け!$A$1:$BZ$3001,398,$D$1)&amp;"",",",""),"¥",""),"￥","")),0))</f>
        <v/>
      </c>
      <c r="E399">
        <f>IF($E$1=0,0,IFERROR(VALUE(SUBSTITUTE(SUBSTITUTE(SUBSTITUTE(INDEX(貼り付け!$A$1:$BZ$3001,398,$E$1)&amp;"",",",""),"¥",""),"￥","")),0))</f>
        <v/>
      </c>
      <c r="F399">
        <f>IF($F$1=0,0,IFERROR(VALUE(SUBSTITUTE(SUBSTITUTE(SUBSTITUTE(INDEX(貼り付け!$A$1:$BZ$3001,398,$F$1)&amp;"",",",""),"¥",""),"￥","")),0))</f>
        <v/>
      </c>
      <c r="G399">
        <f>IF(ISNUMBER(B399),YEAR(B399),"")</f>
        <v/>
      </c>
      <c r="H399">
        <f>IF(ISNUMBER(B399),MONTH(B399),"")</f>
        <v/>
      </c>
      <c r="I399">
        <f>IFERROR(IF($B$1=0,"",IF(ISNUMBER(INDEX(貼り付け!$A$1:$BZ$3001,398,$B$1)),"",SUBSTITUTE(SUBSTITUTE(SUBSTITUTE(SUBSTITUTE(TRIM(LEFT(INDEX(貼り付け!$A$1:$BZ$3001,398,$B$1)&amp;"",FIND(" ",TRIM(INDEX(貼り付け!$A$1:$BZ$3001,398,$B$1)&amp;"")&amp;" ")-1)),"/","-"),"年","-"),"月","-"),"日",""))),"")</f>
        <v/>
      </c>
      <c r="J399">
        <f>IFERROR(MID(I399,FIND("-",I399)+1,99),"")</f>
        <v/>
      </c>
    </row>
    <row r="400">
      <c r="B400">
        <f>IFERROR(IF($B$1=0,"",IF(INDEX(貼り付け!$A$1:$BZ$3001,399,$B$1)="","",IF(ISNUMBER(INDEX(貼り付け!$A$1:$BZ$3001,399,$B$1)),INT(INDEX(貼り付け!$A$1:$BZ$3001,399,$B$1)),DATE(VALUE(LEFT(I400,FIND("-",I400)-1)),VALUE(LEFT(J400,FIND("-",J400)-1)),VALUE(MID(J400,FIND("-",J400)+1,99)))))),"")</f>
        <v/>
      </c>
      <c r="C400">
        <f>IF($C$1=0,0,IFERROR(VALUE(SUBSTITUTE(SUBSTITUTE(SUBSTITUTE(INDEX(貼り付け!$A$1:$BZ$3001,399,$C$1)&amp;"",",",""),"¥",""),"￥","")),0))</f>
        <v/>
      </c>
      <c r="D400">
        <f>IF($D$1=0,0,IFERROR(VALUE(SUBSTITUTE(SUBSTITUTE(SUBSTITUTE(INDEX(貼り付け!$A$1:$BZ$3001,399,$D$1)&amp;"",",",""),"¥",""),"￥","")),0))</f>
        <v/>
      </c>
      <c r="E400">
        <f>IF($E$1=0,0,IFERROR(VALUE(SUBSTITUTE(SUBSTITUTE(SUBSTITUTE(INDEX(貼り付け!$A$1:$BZ$3001,399,$E$1)&amp;"",",",""),"¥",""),"￥","")),0))</f>
        <v/>
      </c>
      <c r="F400">
        <f>IF($F$1=0,0,IFERROR(VALUE(SUBSTITUTE(SUBSTITUTE(SUBSTITUTE(INDEX(貼り付け!$A$1:$BZ$3001,399,$F$1)&amp;"",",",""),"¥",""),"￥","")),0))</f>
        <v/>
      </c>
      <c r="G400">
        <f>IF(ISNUMBER(B400),YEAR(B400),"")</f>
        <v/>
      </c>
      <c r="H400">
        <f>IF(ISNUMBER(B400),MONTH(B400),"")</f>
        <v/>
      </c>
      <c r="I400">
        <f>IFERROR(IF($B$1=0,"",IF(ISNUMBER(INDEX(貼り付け!$A$1:$BZ$3001,399,$B$1)),"",SUBSTITUTE(SUBSTITUTE(SUBSTITUTE(SUBSTITUTE(TRIM(LEFT(INDEX(貼り付け!$A$1:$BZ$3001,399,$B$1)&amp;"",FIND(" ",TRIM(INDEX(貼り付け!$A$1:$BZ$3001,399,$B$1)&amp;"")&amp;" ")-1)),"/","-"),"年","-"),"月","-"),"日",""))),"")</f>
        <v/>
      </c>
      <c r="J400">
        <f>IFERROR(MID(I400,FIND("-",I400)+1,99),"")</f>
        <v/>
      </c>
    </row>
    <row r="401">
      <c r="B401">
        <f>IFERROR(IF($B$1=0,"",IF(INDEX(貼り付け!$A$1:$BZ$3001,400,$B$1)="","",IF(ISNUMBER(INDEX(貼り付け!$A$1:$BZ$3001,400,$B$1)),INT(INDEX(貼り付け!$A$1:$BZ$3001,400,$B$1)),DATE(VALUE(LEFT(I401,FIND("-",I401)-1)),VALUE(LEFT(J401,FIND("-",J401)-1)),VALUE(MID(J401,FIND("-",J401)+1,99)))))),"")</f>
        <v/>
      </c>
      <c r="C401">
        <f>IF($C$1=0,0,IFERROR(VALUE(SUBSTITUTE(SUBSTITUTE(SUBSTITUTE(INDEX(貼り付け!$A$1:$BZ$3001,400,$C$1)&amp;"",",",""),"¥",""),"￥","")),0))</f>
        <v/>
      </c>
      <c r="D401">
        <f>IF($D$1=0,0,IFERROR(VALUE(SUBSTITUTE(SUBSTITUTE(SUBSTITUTE(INDEX(貼り付け!$A$1:$BZ$3001,400,$D$1)&amp;"",",",""),"¥",""),"￥","")),0))</f>
        <v/>
      </c>
      <c r="E401">
        <f>IF($E$1=0,0,IFERROR(VALUE(SUBSTITUTE(SUBSTITUTE(SUBSTITUTE(INDEX(貼り付け!$A$1:$BZ$3001,400,$E$1)&amp;"",",",""),"¥",""),"￥","")),0))</f>
        <v/>
      </c>
      <c r="F401">
        <f>IF($F$1=0,0,IFERROR(VALUE(SUBSTITUTE(SUBSTITUTE(SUBSTITUTE(INDEX(貼り付け!$A$1:$BZ$3001,400,$F$1)&amp;"",",",""),"¥",""),"￥","")),0))</f>
        <v/>
      </c>
      <c r="G401">
        <f>IF(ISNUMBER(B401),YEAR(B401),"")</f>
        <v/>
      </c>
      <c r="H401">
        <f>IF(ISNUMBER(B401),MONTH(B401),"")</f>
        <v/>
      </c>
      <c r="I401">
        <f>IFERROR(IF($B$1=0,"",IF(ISNUMBER(INDEX(貼り付け!$A$1:$BZ$3001,400,$B$1)),"",SUBSTITUTE(SUBSTITUTE(SUBSTITUTE(SUBSTITUTE(TRIM(LEFT(INDEX(貼り付け!$A$1:$BZ$3001,400,$B$1)&amp;"",FIND(" ",TRIM(INDEX(貼り付け!$A$1:$BZ$3001,400,$B$1)&amp;"")&amp;" ")-1)),"/","-"),"年","-"),"月","-"),"日",""))),"")</f>
        <v/>
      </c>
      <c r="J401">
        <f>IFERROR(MID(I401,FIND("-",I401)+1,99),"")</f>
        <v/>
      </c>
    </row>
    <row r="402">
      <c r="B402">
        <f>IFERROR(IF($B$1=0,"",IF(INDEX(貼り付け!$A$1:$BZ$3001,401,$B$1)="","",IF(ISNUMBER(INDEX(貼り付け!$A$1:$BZ$3001,401,$B$1)),INT(INDEX(貼り付け!$A$1:$BZ$3001,401,$B$1)),DATE(VALUE(LEFT(I402,FIND("-",I402)-1)),VALUE(LEFT(J402,FIND("-",J402)-1)),VALUE(MID(J402,FIND("-",J402)+1,99)))))),"")</f>
        <v/>
      </c>
      <c r="C402">
        <f>IF($C$1=0,0,IFERROR(VALUE(SUBSTITUTE(SUBSTITUTE(SUBSTITUTE(INDEX(貼り付け!$A$1:$BZ$3001,401,$C$1)&amp;"",",",""),"¥",""),"￥","")),0))</f>
        <v/>
      </c>
      <c r="D402">
        <f>IF($D$1=0,0,IFERROR(VALUE(SUBSTITUTE(SUBSTITUTE(SUBSTITUTE(INDEX(貼り付け!$A$1:$BZ$3001,401,$D$1)&amp;"",",",""),"¥",""),"￥","")),0))</f>
        <v/>
      </c>
      <c r="E402">
        <f>IF($E$1=0,0,IFERROR(VALUE(SUBSTITUTE(SUBSTITUTE(SUBSTITUTE(INDEX(貼り付け!$A$1:$BZ$3001,401,$E$1)&amp;"",",",""),"¥",""),"￥","")),0))</f>
        <v/>
      </c>
      <c r="F402">
        <f>IF($F$1=0,0,IFERROR(VALUE(SUBSTITUTE(SUBSTITUTE(SUBSTITUTE(INDEX(貼り付け!$A$1:$BZ$3001,401,$F$1)&amp;"",",",""),"¥",""),"￥","")),0))</f>
        <v/>
      </c>
      <c r="G402">
        <f>IF(ISNUMBER(B402),YEAR(B402),"")</f>
        <v/>
      </c>
      <c r="H402">
        <f>IF(ISNUMBER(B402),MONTH(B402),"")</f>
        <v/>
      </c>
      <c r="I402">
        <f>IFERROR(IF($B$1=0,"",IF(ISNUMBER(INDEX(貼り付け!$A$1:$BZ$3001,401,$B$1)),"",SUBSTITUTE(SUBSTITUTE(SUBSTITUTE(SUBSTITUTE(TRIM(LEFT(INDEX(貼り付け!$A$1:$BZ$3001,401,$B$1)&amp;"",FIND(" ",TRIM(INDEX(貼り付け!$A$1:$BZ$3001,401,$B$1)&amp;"")&amp;" ")-1)),"/","-"),"年","-"),"月","-"),"日",""))),"")</f>
        <v/>
      </c>
      <c r="J402">
        <f>IFERROR(MID(I402,FIND("-",I402)+1,99),"")</f>
        <v/>
      </c>
    </row>
    <row r="403">
      <c r="B403">
        <f>IFERROR(IF($B$1=0,"",IF(INDEX(貼り付け!$A$1:$BZ$3001,402,$B$1)="","",IF(ISNUMBER(INDEX(貼り付け!$A$1:$BZ$3001,402,$B$1)),INT(INDEX(貼り付け!$A$1:$BZ$3001,402,$B$1)),DATE(VALUE(LEFT(I403,FIND("-",I403)-1)),VALUE(LEFT(J403,FIND("-",J403)-1)),VALUE(MID(J403,FIND("-",J403)+1,99)))))),"")</f>
        <v/>
      </c>
      <c r="C403">
        <f>IF($C$1=0,0,IFERROR(VALUE(SUBSTITUTE(SUBSTITUTE(SUBSTITUTE(INDEX(貼り付け!$A$1:$BZ$3001,402,$C$1)&amp;"",",",""),"¥",""),"￥","")),0))</f>
        <v/>
      </c>
      <c r="D403">
        <f>IF($D$1=0,0,IFERROR(VALUE(SUBSTITUTE(SUBSTITUTE(SUBSTITUTE(INDEX(貼り付け!$A$1:$BZ$3001,402,$D$1)&amp;"",",",""),"¥",""),"￥","")),0))</f>
        <v/>
      </c>
      <c r="E403">
        <f>IF($E$1=0,0,IFERROR(VALUE(SUBSTITUTE(SUBSTITUTE(SUBSTITUTE(INDEX(貼り付け!$A$1:$BZ$3001,402,$E$1)&amp;"",",",""),"¥",""),"￥","")),0))</f>
        <v/>
      </c>
      <c r="F403">
        <f>IF($F$1=0,0,IFERROR(VALUE(SUBSTITUTE(SUBSTITUTE(SUBSTITUTE(INDEX(貼り付け!$A$1:$BZ$3001,402,$F$1)&amp;"",",",""),"¥",""),"￥","")),0))</f>
        <v/>
      </c>
      <c r="G403">
        <f>IF(ISNUMBER(B403),YEAR(B403),"")</f>
        <v/>
      </c>
      <c r="H403">
        <f>IF(ISNUMBER(B403),MONTH(B403),"")</f>
        <v/>
      </c>
      <c r="I403">
        <f>IFERROR(IF($B$1=0,"",IF(ISNUMBER(INDEX(貼り付け!$A$1:$BZ$3001,402,$B$1)),"",SUBSTITUTE(SUBSTITUTE(SUBSTITUTE(SUBSTITUTE(TRIM(LEFT(INDEX(貼り付け!$A$1:$BZ$3001,402,$B$1)&amp;"",FIND(" ",TRIM(INDEX(貼り付け!$A$1:$BZ$3001,402,$B$1)&amp;"")&amp;" ")-1)),"/","-"),"年","-"),"月","-"),"日",""))),"")</f>
        <v/>
      </c>
      <c r="J403">
        <f>IFERROR(MID(I403,FIND("-",I403)+1,99),"")</f>
        <v/>
      </c>
    </row>
    <row r="404">
      <c r="B404">
        <f>IFERROR(IF($B$1=0,"",IF(INDEX(貼り付け!$A$1:$BZ$3001,403,$B$1)="","",IF(ISNUMBER(INDEX(貼り付け!$A$1:$BZ$3001,403,$B$1)),INT(INDEX(貼り付け!$A$1:$BZ$3001,403,$B$1)),DATE(VALUE(LEFT(I404,FIND("-",I404)-1)),VALUE(LEFT(J404,FIND("-",J404)-1)),VALUE(MID(J404,FIND("-",J404)+1,99)))))),"")</f>
        <v/>
      </c>
      <c r="C404">
        <f>IF($C$1=0,0,IFERROR(VALUE(SUBSTITUTE(SUBSTITUTE(SUBSTITUTE(INDEX(貼り付け!$A$1:$BZ$3001,403,$C$1)&amp;"",",",""),"¥",""),"￥","")),0))</f>
        <v/>
      </c>
      <c r="D404">
        <f>IF($D$1=0,0,IFERROR(VALUE(SUBSTITUTE(SUBSTITUTE(SUBSTITUTE(INDEX(貼り付け!$A$1:$BZ$3001,403,$D$1)&amp;"",",",""),"¥",""),"￥","")),0))</f>
        <v/>
      </c>
      <c r="E404">
        <f>IF($E$1=0,0,IFERROR(VALUE(SUBSTITUTE(SUBSTITUTE(SUBSTITUTE(INDEX(貼り付け!$A$1:$BZ$3001,403,$E$1)&amp;"",",",""),"¥",""),"￥","")),0))</f>
        <v/>
      </c>
      <c r="F404">
        <f>IF($F$1=0,0,IFERROR(VALUE(SUBSTITUTE(SUBSTITUTE(SUBSTITUTE(INDEX(貼り付け!$A$1:$BZ$3001,403,$F$1)&amp;"",",",""),"¥",""),"￥","")),0))</f>
        <v/>
      </c>
      <c r="G404">
        <f>IF(ISNUMBER(B404),YEAR(B404),"")</f>
        <v/>
      </c>
      <c r="H404">
        <f>IF(ISNUMBER(B404),MONTH(B404),"")</f>
        <v/>
      </c>
      <c r="I404">
        <f>IFERROR(IF($B$1=0,"",IF(ISNUMBER(INDEX(貼り付け!$A$1:$BZ$3001,403,$B$1)),"",SUBSTITUTE(SUBSTITUTE(SUBSTITUTE(SUBSTITUTE(TRIM(LEFT(INDEX(貼り付け!$A$1:$BZ$3001,403,$B$1)&amp;"",FIND(" ",TRIM(INDEX(貼り付け!$A$1:$BZ$3001,403,$B$1)&amp;"")&amp;" ")-1)),"/","-"),"年","-"),"月","-"),"日",""))),"")</f>
        <v/>
      </c>
      <c r="J404">
        <f>IFERROR(MID(I404,FIND("-",I404)+1,99),"")</f>
        <v/>
      </c>
    </row>
    <row r="405">
      <c r="B405">
        <f>IFERROR(IF($B$1=0,"",IF(INDEX(貼り付け!$A$1:$BZ$3001,404,$B$1)="","",IF(ISNUMBER(INDEX(貼り付け!$A$1:$BZ$3001,404,$B$1)),INT(INDEX(貼り付け!$A$1:$BZ$3001,404,$B$1)),DATE(VALUE(LEFT(I405,FIND("-",I405)-1)),VALUE(LEFT(J405,FIND("-",J405)-1)),VALUE(MID(J405,FIND("-",J405)+1,99)))))),"")</f>
        <v/>
      </c>
      <c r="C405">
        <f>IF($C$1=0,0,IFERROR(VALUE(SUBSTITUTE(SUBSTITUTE(SUBSTITUTE(INDEX(貼り付け!$A$1:$BZ$3001,404,$C$1)&amp;"",",",""),"¥",""),"￥","")),0))</f>
        <v/>
      </c>
      <c r="D405">
        <f>IF($D$1=0,0,IFERROR(VALUE(SUBSTITUTE(SUBSTITUTE(SUBSTITUTE(INDEX(貼り付け!$A$1:$BZ$3001,404,$D$1)&amp;"",",",""),"¥",""),"￥","")),0))</f>
        <v/>
      </c>
      <c r="E405">
        <f>IF($E$1=0,0,IFERROR(VALUE(SUBSTITUTE(SUBSTITUTE(SUBSTITUTE(INDEX(貼り付け!$A$1:$BZ$3001,404,$E$1)&amp;"",",",""),"¥",""),"￥","")),0))</f>
        <v/>
      </c>
      <c r="F405">
        <f>IF($F$1=0,0,IFERROR(VALUE(SUBSTITUTE(SUBSTITUTE(SUBSTITUTE(INDEX(貼り付け!$A$1:$BZ$3001,404,$F$1)&amp;"",",",""),"¥",""),"￥","")),0))</f>
        <v/>
      </c>
      <c r="G405">
        <f>IF(ISNUMBER(B405),YEAR(B405),"")</f>
        <v/>
      </c>
      <c r="H405">
        <f>IF(ISNUMBER(B405),MONTH(B405),"")</f>
        <v/>
      </c>
      <c r="I405">
        <f>IFERROR(IF($B$1=0,"",IF(ISNUMBER(INDEX(貼り付け!$A$1:$BZ$3001,404,$B$1)),"",SUBSTITUTE(SUBSTITUTE(SUBSTITUTE(SUBSTITUTE(TRIM(LEFT(INDEX(貼り付け!$A$1:$BZ$3001,404,$B$1)&amp;"",FIND(" ",TRIM(INDEX(貼り付け!$A$1:$BZ$3001,404,$B$1)&amp;"")&amp;" ")-1)),"/","-"),"年","-"),"月","-"),"日",""))),"")</f>
        <v/>
      </c>
      <c r="J405">
        <f>IFERROR(MID(I405,FIND("-",I405)+1,99),"")</f>
        <v/>
      </c>
    </row>
    <row r="406">
      <c r="B406">
        <f>IFERROR(IF($B$1=0,"",IF(INDEX(貼り付け!$A$1:$BZ$3001,405,$B$1)="","",IF(ISNUMBER(INDEX(貼り付け!$A$1:$BZ$3001,405,$B$1)),INT(INDEX(貼り付け!$A$1:$BZ$3001,405,$B$1)),DATE(VALUE(LEFT(I406,FIND("-",I406)-1)),VALUE(LEFT(J406,FIND("-",J406)-1)),VALUE(MID(J406,FIND("-",J406)+1,99)))))),"")</f>
        <v/>
      </c>
      <c r="C406">
        <f>IF($C$1=0,0,IFERROR(VALUE(SUBSTITUTE(SUBSTITUTE(SUBSTITUTE(INDEX(貼り付け!$A$1:$BZ$3001,405,$C$1)&amp;"",",",""),"¥",""),"￥","")),0))</f>
        <v/>
      </c>
      <c r="D406">
        <f>IF($D$1=0,0,IFERROR(VALUE(SUBSTITUTE(SUBSTITUTE(SUBSTITUTE(INDEX(貼り付け!$A$1:$BZ$3001,405,$D$1)&amp;"",",",""),"¥",""),"￥","")),0))</f>
        <v/>
      </c>
      <c r="E406">
        <f>IF($E$1=0,0,IFERROR(VALUE(SUBSTITUTE(SUBSTITUTE(SUBSTITUTE(INDEX(貼り付け!$A$1:$BZ$3001,405,$E$1)&amp;"",",",""),"¥",""),"￥","")),0))</f>
        <v/>
      </c>
      <c r="F406">
        <f>IF($F$1=0,0,IFERROR(VALUE(SUBSTITUTE(SUBSTITUTE(SUBSTITUTE(INDEX(貼り付け!$A$1:$BZ$3001,405,$F$1)&amp;"",",",""),"¥",""),"￥","")),0))</f>
        <v/>
      </c>
      <c r="G406">
        <f>IF(ISNUMBER(B406),YEAR(B406),"")</f>
        <v/>
      </c>
      <c r="H406">
        <f>IF(ISNUMBER(B406),MONTH(B406),"")</f>
        <v/>
      </c>
      <c r="I406">
        <f>IFERROR(IF($B$1=0,"",IF(ISNUMBER(INDEX(貼り付け!$A$1:$BZ$3001,405,$B$1)),"",SUBSTITUTE(SUBSTITUTE(SUBSTITUTE(SUBSTITUTE(TRIM(LEFT(INDEX(貼り付け!$A$1:$BZ$3001,405,$B$1)&amp;"",FIND(" ",TRIM(INDEX(貼り付け!$A$1:$BZ$3001,405,$B$1)&amp;"")&amp;" ")-1)),"/","-"),"年","-"),"月","-"),"日",""))),"")</f>
        <v/>
      </c>
      <c r="J406">
        <f>IFERROR(MID(I406,FIND("-",I406)+1,99),"")</f>
        <v/>
      </c>
    </row>
    <row r="407">
      <c r="B407">
        <f>IFERROR(IF($B$1=0,"",IF(INDEX(貼り付け!$A$1:$BZ$3001,406,$B$1)="","",IF(ISNUMBER(INDEX(貼り付け!$A$1:$BZ$3001,406,$B$1)),INT(INDEX(貼り付け!$A$1:$BZ$3001,406,$B$1)),DATE(VALUE(LEFT(I407,FIND("-",I407)-1)),VALUE(LEFT(J407,FIND("-",J407)-1)),VALUE(MID(J407,FIND("-",J407)+1,99)))))),"")</f>
        <v/>
      </c>
      <c r="C407">
        <f>IF($C$1=0,0,IFERROR(VALUE(SUBSTITUTE(SUBSTITUTE(SUBSTITUTE(INDEX(貼り付け!$A$1:$BZ$3001,406,$C$1)&amp;"",",",""),"¥",""),"￥","")),0))</f>
        <v/>
      </c>
      <c r="D407">
        <f>IF($D$1=0,0,IFERROR(VALUE(SUBSTITUTE(SUBSTITUTE(SUBSTITUTE(INDEX(貼り付け!$A$1:$BZ$3001,406,$D$1)&amp;"",",",""),"¥",""),"￥","")),0))</f>
        <v/>
      </c>
      <c r="E407">
        <f>IF($E$1=0,0,IFERROR(VALUE(SUBSTITUTE(SUBSTITUTE(SUBSTITUTE(INDEX(貼り付け!$A$1:$BZ$3001,406,$E$1)&amp;"",",",""),"¥",""),"￥","")),0))</f>
        <v/>
      </c>
      <c r="F407">
        <f>IF($F$1=0,0,IFERROR(VALUE(SUBSTITUTE(SUBSTITUTE(SUBSTITUTE(INDEX(貼り付け!$A$1:$BZ$3001,406,$F$1)&amp;"",",",""),"¥",""),"￥","")),0))</f>
        <v/>
      </c>
      <c r="G407">
        <f>IF(ISNUMBER(B407),YEAR(B407),"")</f>
        <v/>
      </c>
      <c r="H407">
        <f>IF(ISNUMBER(B407),MONTH(B407),"")</f>
        <v/>
      </c>
      <c r="I407">
        <f>IFERROR(IF($B$1=0,"",IF(ISNUMBER(INDEX(貼り付け!$A$1:$BZ$3001,406,$B$1)),"",SUBSTITUTE(SUBSTITUTE(SUBSTITUTE(SUBSTITUTE(TRIM(LEFT(INDEX(貼り付け!$A$1:$BZ$3001,406,$B$1)&amp;"",FIND(" ",TRIM(INDEX(貼り付け!$A$1:$BZ$3001,406,$B$1)&amp;"")&amp;" ")-1)),"/","-"),"年","-"),"月","-"),"日",""))),"")</f>
        <v/>
      </c>
      <c r="J407">
        <f>IFERROR(MID(I407,FIND("-",I407)+1,99),"")</f>
        <v/>
      </c>
    </row>
    <row r="408">
      <c r="B408">
        <f>IFERROR(IF($B$1=0,"",IF(INDEX(貼り付け!$A$1:$BZ$3001,407,$B$1)="","",IF(ISNUMBER(INDEX(貼り付け!$A$1:$BZ$3001,407,$B$1)),INT(INDEX(貼り付け!$A$1:$BZ$3001,407,$B$1)),DATE(VALUE(LEFT(I408,FIND("-",I408)-1)),VALUE(LEFT(J408,FIND("-",J408)-1)),VALUE(MID(J408,FIND("-",J408)+1,99)))))),"")</f>
        <v/>
      </c>
      <c r="C408">
        <f>IF($C$1=0,0,IFERROR(VALUE(SUBSTITUTE(SUBSTITUTE(SUBSTITUTE(INDEX(貼り付け!$A$1:$BZ$3001,407,$C$1)&amp;"",",",""),"¥",""),"￥","")),0))</f>
        <v/>
      </c>
      <c r="D408">
        <f>IF($D$1=0,0,IFERROR(VALUE(SUBSTITUTE(SUBSTITUTE(SUBSTITUTE(INDEX(貼り付け!$A$1:$BZ$3001,407,$D$1)&amp;"",",",""),"¥",""),"￥","")),0))</f>
        <v/>
      </c>
      <c r="E408">
        <f>IF($E$1=0,0,IFERROR(VALUE(SUBSTITUTE(SUBSTITUTE(SUBSTITUTE(INDEX(貼り付け!$A$1:$BZ$3001,407,$E$1)&amp;"",",",""),"¥",""),"￥","")),0))</f>
        <v/>
      </c>
      <c r="F408">
        <f>IF($F$1=0,0,IFERROR(VALUE(SUBSTITUTE(SUBSTITUTE(SUBSTITUTE(INDEX(貼り付け!$A$1:$BZ$3001,407,$F$1)&amp;"",",",""),"¥",""),"￥","")),0))</f>
        <v/>
      </c>
      <c r="G408">
        <f>IF(ISNUMBER(B408),YEAR(B408),"")</f>
        <v/>
      </c>
      <c r="H408">
        <f>IF(ISNUMBER(B408),MONTH(B408),"")</f>
        <v/>
      </c>
      <c r="I408">
        <f>IFERROR(IF($B$1=0,"",IF(ISNUMBER(INDEX(貼り付け!$A$1:$BZ$3001,407,$B$1)),"",SUBSTITUTE(SUBSTITUTE(SUBSTITUTE(SUBSTITUTE(TRIM(LEFT(INDEX(貼り付け!$A$1:$BZ$3001,407,$B$1)&amp;"",FIND(" ",TRIM(INDEX(貼り付け!$A$1:$BZ$3001,407,$B$1)&amp;"")&amp;" ")-1)),"/","-"),"年","-"),"月","-"),"日",""))),"")</f>
        <v/>
      </c>
      <c r="J408">
        <f>IFERROR(MID(I408,FIND("-",I408)+1,99),"")</f>
        <v/>
      </c>
    </row>
    <row r="409">
      <c r="B409">
        <f>IFERROR(IF($B$1=0,"",IF(INDEX(貼り付け!$A$1:$BZ$3001,408,$B$1)="","",IF(ISNUMBER(INDEX(貼り付け!$A$1:$BZ$3001,408,$B$1)),INT(INDEX(貼り付け!$A$1:$BZ$3001,408,$B$1)),DATE(VALUE(LEFT(I409,FIND("-",I409)-1)),VALUE(LEFT(J409,FIND("-",J409)-1)),VALUE(MID(J409,FIND("-",J409)+1,99)))))),"")</f>
        <v/>
      </c>
      <c r="C409">
        <f>IF($C$1=0,0,IFERROR(VALUE(SUBSTITUTE(SUBSTITUTE(SUBSTITUTE(INDEX(貼り付け!$A$1:$BZ$3001,408,$C$1)&amp;"",",",""),"¥",""),"￥","")),0))</f>
        <v/>
      </c>
      <c r="D409">
        <f>IF($D$1=0,0,IFERROR(VALUE(SUBSTITUTE(SUBSTITUTE(SUBSTITUTE(INDEX(貼り付け!$A$1:$BZ$3001,408,$D$1)&amp;"",",",""),"¥",""),"￥","")),0))</f>
        <v/>
      </c>
      <c r="E409">
        <f>IF($E$1=0,0,IFERROR(VALUE(SUBSTITUTE(SUBSTITUTE(SUBSTITUTE(INDEX(貼り付け!$A$1:$BZ$3001,408,$E$1)&amp;"",",",""),"¥",""),"￥","")),0))</f>
        <v/>
      </c>
      <c r="F409">
        <f>IF($F$1=0,0,IFERROR(VALUE(SUBSTITUTE(SUBSTITUTE(SUBSTITUTE(INDEX(貼り付け!$A$1:$BZ$3001,408,$F$1)&amp;"",",",""),"¥",""),"￥","")),0))</f>
        <v/>
      </c>
      <c r="G409">
        <f>IF(ISNUMBER(B409),YEAR(B409),"")</f>
        <v/>
      </c>
      <c r="H409">
        <f>IF(ISNUMBER(B409),MONTH(B409),"")</f>
        <v/>
      </c>
      <c r="I409">
        <f>IFERROR(IF($B$1=0,"",IF(ISNUMBER(INDEX(貼り付け!$A$1:$BZ$3001,408,$B$1)),"",SUBSTITUTE(SUBSTITUTE(SUBSTITUTE(SUBSTITUTE(TRIM(LEFT(INDEX(貼り付け!$A$1:$BZ$3001,408,$B$1)&amp;"",FIND(" ",TRIM(INDEX(貼り付け!$A$1:$BZ$3001,408,$B$1)&amp;"")&amp;" ")-1)),"/","-"),"年","-"),"月","-"),"日",""))),"")</f>
        <v/>
      </c>
      <c r="J409">
        <f>IFERROR(MID(I409,FIND("-",I409)+1,99),"")</f>
        <v/>
      </c>
    </row>
    <row r="410">
      <c r="B410">
        <f>IFERROR(IF($B$1=0,"",IF(INDEX(貼り付け!$A$1:$BZ$3001,409,$B$1)="","",IF(ISNUMBER(INDEX(貼り付け!$A$1:$BZ$3001,409,$B$1)),INT(INDEX(貼り付け!$A$1:$BZ$3001,409,$B$1)),DATE(VALUE(LEFT(I410,FIND("-",I410)-1)),VALUE(LEFT(J410,FIND("-",J410)-1)),VALUE(MID(J410,FIND("-",J410)+1,99)))))),"")</f>
        <v/>
      </c>
      <c r="C410">
        <f>IF($C$1=0,0,IFERROR(VALUE(SUBSTITUTE(SUBSTITUTE(SUBSTITUTE(INDEX(貼り付け!$A$1:$BZ$3001,409,$C$1)&amp;"",",",""),"¥",""),"￥","")),0))</f>
        <v/>
      </c>
      <c r="D410">
        <f>IF($D$1=0,0,IFERROR(VALUE(SUBSTITUTE(SUBSTITUTE(SUBSTITUTE(INDEX(貼り付け!$A$1:$BZ$3001,409,$D$1)&amp;"",",",""),"¥",""),"￥","")),0))</f>
        <v/>
      </c>
      <c r="E410">
        <f>IF($E$1=0,0,IFERROR(VALUE(SUBSTITUTE(SUBSTITUTE(SUBSTITUTE(INDEX(貼り付け!$A$1:$BZ$3001,409,$E$1)&amp;"",",",""),"¥",""),"￥","")),0))</f>
        <v/>
      </c>
      <c r="F410">
        <f>IF($F$1=0,0,IFERROR(VALUE(SUBSTITUTE(SUBSTITUTE(SUBSTITUTE(INDEX(貼り付け!$A$1:$BZ$3001,409,$F$1)&amp;"",",",""),"¥",""),"￥","")),0))</f>
        <v/>
      </c>
      <c r="G410">
        <f>IF(ISNUMBER(B410),YEAR(B410),"")</f>
        <v/>
      </c>
      <c r="H410">
        <f>IF(ISNUMBER(B410),MONTH(B410),"")</f>
        <v/>
      </c>
      <c r="I410">
        <f>IFERROR(IF($B$1=0,"",IF(ISNUMBER(INDEX(貼り付け!$A$1:$BZ$3001,409,$B$1)),"",SUBSTITUTE(SUBSTITUTE(SUBSTITUTE(SUBSTITUTE(TRIM(LEFT(INDEX(貼り付け!$A$1:$BZ$3001,409,$B$1)&amp;"",FIND(" ",TRIM(INDEX(貼り付け!$A$1:$BZ$3001,409,$B$1)&amp;"")&amp;" ")-1)),"/","-"),"年","-"),"月","-"),"日",""))),"")</f>
        <v/>
      </c>
      <c r="J410">
        <f>IFERROR(MID(I410,FIND("-",I410)+1,99),"")</f>
        <v/>
      </c>
    </row>
    <row r="411">
      <c r="B411">
        <f>IFERROR(IF($B$1=0,"",IF(INDEX(貼り付け!$A$1:$BZ$3001,410,$B$1)="","",IF(ISNUMBER(INDEX(貼り付け!$A$1:$BZ$3001,410,$B$1)),INT(INDEX(貼り付け!$A$1:$BZ$3001,410,$B$1)),DATE(VALUE(LEFT(I411,FIND("-",I411)-1)),VALUE(LEFT(J411,FIND("-",J411)-1)),VALUE(MID(J411,FIND("-",J411)+1,99)))))),"")</f>
        <v/>
      </c>
      <c r="C411">
        <f>IF($C$1=0,0,IFERROR(VALUE(SUBSTITUTE(SUBSTITUTE(SUBSTITUTE(INDEX(貼り付け!$A$1:$BZ$3001,410,$C$1)&amp;"",",",""),"¥",""),"￥","")),0))</f>
        <v/>
      </c>
      <c r="D411">
        <f>IF($D$1=0,0,IFERROR(VALUE(SUBSTITUTE(SUBSTITUTE(SUBSTITUTE(INDEX(貼り付け!$A$1:$BZ$3001,410,$D$1)&amp;"",",",""),"¥",""),"￥","")),0))</f>
        <v/>
      </c>
      <c r="E411">
        <f>IF($E$1=0,0,IFERROR(VALUE(SUBSTITUTE(SUBSTITUTE(SUBSTITUTE(INDEX(貼り付け!$A$1:$BZ$3001,410,$E$1)&amp;"",",",""),"¥",""),"￥","")),0))</f>
        <v/>
      </c>
      <c r="F411">
        <f>IF($F$1=0,0,IFERROR(VALUE(SUBSTITUTE(SUBSTITUTE(SUBSTITUTE(INDEX(貼り付け!$A$1:$BZ$3001,410,$F$1)&amp;"",",",""),"¥",""),"￥","")),0))</f>
        <v/>
      </c>
      <c r="G411">
        <f>IF(ISNUMBER(B411),YEAR(B411),"")</f>
        <v/>
      </c>
      <c r="H411">
        <f>IF(ISNUMBER(B411),MONTH(B411),"")</f>
        <v/>
      </c>
      <c r="I411">
        <f>IFERROR(IF($B$1=0,"",IF(ISNUMBER(INDEX(貼り付け!$A$1:$BZ$3001,410,$B$1)),"",SUBSTITUTE(SUBSTITUTE(SUBSTITUTE(SUBSTITUTE(TRIM(LEFT(INDEX(貼り付け!$A$1:$BZ$3001,410,$B$1)&amp;"",FIND(" ",TRIM(INDEX(貼り付け!$A$1:$BZ$3001,410,$B$1)&amp;"")&amp;" ")-1)),"/","-"),"年","-"),"月","-"),"日",""))),"")</f>
        <v/>
      </c>
      <c r="J411">
        <f>IFERROR(MID(I411,FIND("-",I411)+1,99),"")</f>
        <v/>
      </c>
    </row>
    <row r="412">
      <c r="B412">
        <f>IFERROR(IF($B$1=0,"",IF(INDEX(貼り付け!$A$1:$BZ$3001,411,$B$1)="","",IF(ISNUMBER(INDEX(貼り付け!$A$1:$BZ$3001,411,$B$1)),INT(INDEX(貼り付け!$A$1:$BZ$3001,411,$B$1)),DATE(VALUE(LEFT(I412,FIND("-",I412)-1)),VALUE(LEFT(J412,FIND("-",J412)-1)),VALUE(MID(J412,FIND("-",J412)+1,99)))))),"")</f>
        <v/>
      </c>
      <c r="C412">
        <f>IF($C$1=0,0,IFERROR(VALUE(SUBSTITUTE(SUBSTITUTE(SUBSTITUTE(INDEX(貼り付け!$A$1:$BZ$3001,411,$C$1)&amp;"",",",""),"¥",""),"￥","")),0))</f>
        <v/>
      </c>
      <c r="D412">
        <f>IF($D$1=0,0,IFERROR(VALUE(SUBSTITUTE(SUBSTITUTE(SUBSTITUTE(INDEX(貼り付け!$A$1:$BZ$3001,411,$D$1)&amp;"",",",""),"¥",""),"￥","")),0))</f>
        <v/>
      </c>
      <c r="E412">
        <f>IF($E$1=0,0,IFERROR(VALUE(SUBSTITUTE(SUBSTITUTE(SUBSTITUTE(INDEX(貼り付け!$A$1:$BZ$3001,411,$E$1)&amp;"",",",""),"¥",""),"￥","")),0))</f>
        <v/>
      </c>
      <c r="F412">
        <f>IF($F$1=0,0,IFERROR(VALUE(SUBSTITUTE(SUBSTITUTE(SUBSTITUTE(INDEX(貼り付け!$A$1:$BZ$3001,411,$F$1)&amp;"",",",""),"¥",""),"￥","")),0))</f>
        <v/>
      </c>
      <c r="G412">
        <f>IF(ISNUMBER(B412),YEAR(B412),"")</f>
        <v/>
      </c>
      <c r="H412">
        <f>IF(ISNUMBER(B412),MONTH(B412),"")</f>
        <v/>
      </c>
      <c r="I412">
        <f>IFERROR(IF($B$1=0,"",IF(ISNUMBER(INDEX(貼り付け!$A$1:$BZ$3001,411,$B$1)),"",SUBSTITUTE(SUBSTITUTE(SUBSTITUTE(SUBSTITUTE(TRIM(LEFT(INDEX(貼り付け!$A$1:$BZ$3001,411,$B$1)&amp;"",FIND(" ",TRIM(INDEX(貼り付け!$A$1:$BZ$3001,411,$B$1)&amp;"")&amp;" ")-1)),"/","-"),"年","-"),"月","-"),"日",""))),"")</f>
        <v/>
      </c>
      <c r="J412">
        <f>IFERROR(MID(I412,FIND("-",I412)+1,99),"")</f>
        <v/>
      </c>
    </row>
    <row r="413">
      <c r="B413">
        <f>IFERROR(IF($B$1=0,"",IF(INDEX(貼り付け!$A$1:$BZ$3001,412,$B$1)="","",IF(ISNUMBER(INDEX(貼り付け!$A$1:$BZ$3001,412,$B$1)),INT(INDEX(貼り付け!$A$1:$BZ$3001,412,$B$1)),DATE(VALUE(LEFT(I413,FIND("-",I413)-1)),VALUE(LEFT(J413,FIND("-",J413)-1)),VALUE(MID(J413,FIND("-",J413)+1,99)))))),"")</f>
        <v/>
      </c>
      <c r="C413">
        <f>IF($C$1=0,0,IFERROR(VALUE(SUBSTITUTE(SUBSTITUTE(SUBSTITUTE(INDEX(貼り付け!$A$1:$BZ$3001,412,$C$1)&amp;"",",",""),"¥",""),"￥","")),0))</f>
        <v/>
      </c>
      <c r="D413">
        <f>IF($D$1=0,0,IFERROR(VALUE(SUBSTITUTE(SUBSTITUTE(SUBSTITUTE(INDEX(貼り付け!$A$1:$BZ$3001,412,$D$1)&amp;"",",",""),"¥",""),"￥","")),0))</f>
        <v/>
      </c>
      <c r="E413">
        <f>IF($E$1=0,0,IFERROR(VALUE(SUBSTITUTE(SUBSTITUTE(SUBSTITUTE(INDEX(貼り付け!$A$1:$BZ$3001,412,$E$1)&amp;"",",",""),"¥",""),"￥","")),0))</f>
        <v/>
      </c>
      <c r="F413">
        <f>IF($F$1=0,0,IFERROR(VALUE(SUBSTITUTE(SUBSTITUTE(SUBSTITUTE(INDEX(貼り付け!$A$1:$BZ$3001,412,$F$1)&amp;"",",",""),"¥",""),"￥","")),0))</f>
        <v/>
      </c>
      <c r="G413">
        <f>IF(ISNUMBER(B413),YEAR(B413),"")</f>
        <v/>
      </c>
      <c r="H413">
        <f>IF(ISNUMBER(B413),MONTH(B413),"")</f>
        <v/>
      </c>
      <c r="I413">
        <f>IFERROR(IF($B$1=0,"",IF(ISNUMBER(INDEX(貼り付け!$A$1:$BZ$3001,412,$B$1)),"",SUBSTITUTE(SUBSTITUTE(SUBSTITUTE(SUBSTITUTE(TRIM(LEFT(INDEX(貼り付け!$A$1:$BZ$3001,412,$B$1)&amp;"",FIND(" ",TRIM(INDEX(貼り付け!$A$1:$BZ$3001,412,$B$1)&amp;"")&amp;" ")-1)),"/","-"),"年","-"),"月","-"),"日",""))),"")</f>
        <v/>
      </c>
      <c r="J413">
        <f>IFERROR(MID(I413,FIND("-",I413)+1,99),"")</f>
        <v/>
      </c>
    </row>
    <row r="414">
      <c r="B414">
        <f>IFERROR(IF($B$1=0,"",IF(INDEX(貼り付け!$A$1:$BZ$3001,413,$B$1)="","",IF(ISNUMBER(INDEX(貼り付け!$A$1:$BZ$3001,413,$B$1)),INT(INDEX(貼り付け!$A$1:$BZ$3001,413,$B$1)),DATE(VALUE(LEFT(I414,FIND("-",I414)-1)),VALUE(LEFT(J414,FIND("-",J414)-1)),VALUE(MID(J414,FIND("-",J414)+1,99)))))),"")</f>
        <v/>
      </c>
      <c r="C414">
        <f>IF($C$1=0,0,IFERROR(VALUE(SUBSTITUTE(SUBSTITUTE(SUBSTITUTE(INDEX(貼り付け!$A$1:$BZ$3001,413,$C$1)&amp;"",",",""),"¥",""),"￥","")),0))</f>
        <v/>
      </c>
      <c r="D414">
        <f>IF($D$1=0,0,IFERROR(VALUE(SUBSTITUTE(SUBSTITUTE(SUBSTITUTE(INDEX(貼り付け!$A$1:$BZ$3001,413,$D$1)&amp;"",",",""),"¥",""),"￥","")),0))</f>
        <v/>
      </c>
      <c r="E414">
        <f>IF($E$1=0,0,IFERROR(VALUE(SUBSTITUTE(SUBSTITUTE(SUBSTITUTE(INDEX(貼り付け!$A$1:$BZ$3001,413,$E$1)&amp;"",",",""),"¥",""),"￥","")),0))</f>
        <v/>
      </c>
      <c r="F414">
        <f>IF($F$1=0,0,IFERROR(VALUE(SUBSTITUTE(SUBSTITUTE(SUBSTITUTE(INDEX(貼り付け!$A$1:$BZ$3001,413,$F$1)&amp;"",",",""),"¥",""),"￥","")),0))</f>
        <v/>
      </c>
      <c r="G414">
        <f>IF(ISNUMBER(B414),YEAR(B414),"")</f>
        <v/>
      </c>
      <c r="H414">
        <f>IF(ISNUMBER(B414),MONTH(B414),"")</f>
        <v/>
      </c>
      <c r="I414">
        <f>IFERROR(IF($B$1=0,"",IF(ISNUMBER(INDEX(貼り付け!$A$1:$BZ$3001,413,$B$1)),"",SUBSTITUTE(SUBSTITUTE(SUBSTITUTE(SUBSTITUTE(TRIM(LEFT(INDEX(貼り付け!$A$1:$BZ$3001,413,$B$1)&amp;"",FIND(" ",TRIM(INDEX(貼り付け!$A$1:$BZ$3001,413,$B$1)&amp;"")&amp;" ")-1)),"/","-"),"年","-"),"月","-"),"日",""))),"")</f>
        <v/>
      </c>
      <c r="J414">
        <f>IFERROR(MID(I414,FIND("-",I414)+1,99),"")</f>
        <v/>
      </c>
    </row>
    <row r="415">
      <c r="B415">
        <f>IFERROR(IF($B$1=0,"",IF(INDEX(貼り付け!$A$1:$BZ$3001,414,$B$1)="","",IF(ISNUMBER(INDEX(貼り付け!$A$1:$BZ$3001,414,$B$1)),INT(INDEX(貼り付け!$A$1:$BZ$3001,414,$B$1)),DATE(VALUE(LEFT(I415,FIND("-",I415)-1)),VALUE(LEFT(J415,FIND("-",J415)-1)),VALUE(MID(J415,FIND("-",J415)+1,99)))))),"")</f>
        <v/>
      </c>
      <c r="C415">
        <f>IF($C$1=0,0,IFERROR(VALUE(SUBSTITUTE(SUBSTITUTE(SUBSTITUTE(INDEX(貼り付け!$A$1:$BZ$3001,414,$C$1)&amp;"",",",""),"¥",""),"￥","")),0))</f>
        <v/>
      </c>
      <c r="D415">
        <f>IF($D$1=0,0,IFERROR(VALUE(SUBSTITUTE(SUBSTITUTE(SUBSTITUTE(INDEX(貼り付け!$A$1:$BZ$3001,414,$D$1)&amp;"",",",""),"¥",""),"￥","")),0))</f>
        <v/>
      </c>
      <c r="E415">
        <f>IF($E$1=0,0,IFERROR(VALUE(SUBSTITUTE(SUBSTITUTE(SUBSTITUTE(INDEX(貼り付け!$A$1:$BZ$3001,414,$E$1)&amp;"",",",""),"¥",""),"￥","")),0))</f>
        <v/>
      </c>
      <c r="F415">
        <f>IF($F$1=0,0,IFERROR(VALUE(SUBSTITUTE(SUBSTITUTE(SUBSTITUTE(INDEX(貼り付け!$A$1:$BZ$3001,414,$F$1)&amp;"",",",""),"¥",""),"￥","")),0))</f>
        <v/>
      </c>
      <c r="G415">
        <f>IF(ISNUMBER(B415),YEAR(B415),"")</f>
        <v/>
      </c>
      <c r="H415">
        <f>IF(ISNUMBER(B415),MONTH(B415),"")</f>
        <v/>
      </c>
      <c r="I415">
        <f>IFERROR(IF($B$1=0,"",IF(ISNUMBER(INDEX(貼り付け!$A$1:$BZ$3001,414,$B$1)),"",SUBSTITUTE(SUBSTITUTE(SUBSTITUTE(SUBSTITUTE(TRIM(LEFT(INDEX(貼り付け!$A$1:$BZ$3001,414,$B$1)&amp;"",FIND(" ",TRIM(INDEX(貼り付け!$A$1:$BZ$3001,414,$B$1)&amp;"")&amp;" ")-1)),"/","-"),"年","-"),"月","-"),"日",""))),"")</f>
        <v/>
      </c>
      <c r="J415">
        <f>IFERROR(MID(I415,FIND("-",I415)+1,99),"")</f>
        <v/>
      </c>
    </row>
    <row r="416">
      <c r="B416">
        <f>IFERROR(IF($B$1=0,"",IF(INDEX(貼り付け!$A$1:$BZ$3001,415,$B$1)="","",IF(ISNUMBER(INDEX(貼り付け!$A$1:$BZ$3001,415,$B$1)),INT(INDEX(貼り付け!$A$1:$BZ$3001,415,$B$1)),DATE(VALUE(LEFT(I416,FIND("-",I416)-1)),VALUE(LEFT(J416,FIND("-",J416)-1)),VALUE(MID(J416,FIND("-",J416)+1,99)))))),"")</f>
        <v/>
      </c>
      <c r="C416">
        <f>IF($C$1=0,0,IFERROR(VALUE(SUBSTITUTE(SUBSTITUTE(SUBSTITUTE(INDEX(貼り付け!$A$1:$BZ$3001,415,$C$1)&amp;"",",",""),"¥",""),"￥","")),0))</f>
        <v/>
      </c>
      <c r="D416">
        <f>IF($D$1=0,0,IFERROR(VALUE(SUBSTITUTE(SUBSTITUTE(SUBSTITUTE(INDEX(貼り付け!$A$1:$BZ$3001,415,$D$1)&amp;"",",",""),"¥",""),"￥","")),0))</f>
        <v/>
      </c>
      <c r="E416">
        <f>IF($E$1=0,0,IFERROR(VALUE(SUBSTITUTE(SUBSTITUTE(SUBSTITUTE(INDEX(貼り付け!$A$1:$BZ$3001,415,$E$1)&amp;"",",",""),"¥",""),"￥","")),0))</f>
        <v/>
      </c>
      <c r="F416">
        <f>IF($F$1=0,0,IFERROR(VALUE(SUBSTITUTE(SUBSTITUTE(SUBSTITUTE(INDEX(貼り付け!$A$1:$BZ$3001,415,$F$1)&amp;"",",",""),"¥",""),"￥","")),0))</f>
        <v/>
      </c>
      <c r="G416">
        <f>IF(ISNUMBER(B416),YEAR(B416),"")</f>
        <v/>
      </c>
      <c r="H416">
        <f>IF(ISNUMBER(B416),MONTH(B416),"")</f>
        <v/>
      </c>
      <c r="I416">
        <f>IFERROR(IF($B$1=0,"",IF(ISNUMBER(INDEX(貼り付け!$A$1:$BZ$3001,415,$B$1)),"",SUBSTITUTE(SUBSTITUTE(SUBSTITUTE(SUBSTITUTE(TRIM(LEFT(INDEX(貼り付け!$A$1:$BZ$3001,415,$B$1)&amp;"",FIND(" ",TRIM(INDEX(貼り付け!$A$1:$BZ$3001,415,$B$1)&amp;"")&amp;" ")-1)),"/","-"),"年","-"),"月","-"),"日",""))),"")</f>
        <v/>
      </c>
      <c r="J416">
        <f>IFERROR(MID(I416,FIND("-",I416)+1,99),"")</f>
        <v/>
      </c>
    </row>
    <row r="417">
      <c r="B417">
        <f>IFERROR(IF($B$1=0,"",IF(INDEX(貼り付け!$A$1:$BZ$3001,416,$B$1)="","",IF(ISNUMBER(INDEX(貼り付け!$A$1:$BZ$3001,416,$B$1)),INT(INDEX(貼り付け!$A$1:$BZ$3001,416,$B$1)),DATE(VALUE(LEFT(I417,FIND("-",I417)-1)),VALUE(LEFT(J417,FIND("-",J417)-1)),VALUE(MID(J417,FIND("-",J417)+1,99)))))),"")</f>
        <v/>
      </c>
      <c r="C417">
        <f>IF($C$1=0,0,IFERROR(VALUE(SUBSTITUTE(SUBSTITUTE(SUBSTITUTE(INDEX(貼り付け!$A$1:$BZ$3001,416,$C$1)&amp;"",",",""),"¥",""),"￥","")),0))</f>
        <v/>
      </c>
      <c r="D417">
        <f>IF($D$1=0,0,IFERROR(VALUE(SUBSTITUTE(SUBSTITUTE(SUBSTITUTE(INDEX(貼り付け!$A$1:$BZ$3001,416,$D$1)&amp;"",",",""),"¥",""),"￥","")),0))</f>
        <v/>
      </c>
      <c r="E417">
        <f>IF($E$1=0,0,IFERROR(VALUE(SUBSTITUTE(SUBSTITUTE(SUBSTITUTE(INDEX(貼り付け!$A$1:$BZ$3001,416,$E$1)&amp;"",",",""),"¥",""),"￥","")),0))</f>
        <v/>
      </c>
      <c r="F417">
        <f>IF($F$1=0,0,IFERROR(VALUE(SUBSTITUTE(SUBSTITUTE(SUBSTITUTE(INDEX(貼り付け!$A$1:$BZ$3001,416,$F$1)&amp;"",",",""),"¥",""),"￥","")),0))</f>
        <v/>
      </c>
      <c r="G417">
        <f>IF(ISNUMBER(B417),YEAR(B417),"")</f>
        <v/>
      </c>
      <c r="H417">
        <f>IF(ISNUMBER(B417),MONTH(B417),"")</f>
        <v/>
      </c>
      <c r="I417">
        <f>IFERROR(IF($B$1=0,"",IF(ISNUMBER(INDEX(貼り付け!$A$1:$BZ$3001,416,$B$1)),"",SUBSTITUTE(SUBSTITUTE(SUBSTITUTE(SUBSTITUTE(TRIM(LEFT(INDEX(貼り付け!$A$1:$BZ$3001,416,$B$1)&amp;"",FIND(" ",TRIM(INDEX(貼り付け!$A$1:$BZ$3001,416,$B$1)&amp;"")&amp;" ")-1)),"/","-"),"年","-"),"月","-"),"日",""))),"")</f>
        <v/>
      </c>
      <c r="J417">
        <f>IFERROR(MID(I417,FIND("-",I417)+1,99),"")</f>
        <v/>
      </c>
    </row>
    <row r="418">
      <c r="B418">
        <f>IFERROR(IF($B$1=0,"",IF(INDEX(貼り付け!$A$1:$BZ$3001,417,$B$1)="","",IF(ISNUMBER(INDEX(貼り付け!$A$1:$BZ$3001,417,$B$1)),INT(INDEX(貼り付け!$A$1:$BZ$3001,417,$B$1)),DATE(VALUE(LEFT(I418,FIND("-",I418)-1)),VALUE(LEFT(J418,FIND("-",J418)-1)),VALUE(MID(J418,FIND("-",J418)+1,99)))))),"")</f>
        <v/>
      </c>
      <c r="C418">
        <f>IF($C$1=0,0,IFERROR(VALUE(SUBSTITUTE(SUBSTITUTE(SUBSTITUTE(INDEX(貼り付け!$A$1:$BZ$3001,417,$C$1)&amp;"",",",""),"¥",""),"￥","")),0))</f>
        <v/>
      </c>
      <c r="D418">
        <f>IF($D$1=0,0,IFERROR(VALUE(SUBSTITUTE(SUBSTITUTE(SUBSTITUTE(INDEX(貼り付け!$A$1:$BZ$3001,417,$D$1)&amp;"",",",""),"¥",""),"￥","")),0))</f>
        <v/>
      </c>
      <c r="E418">
        <f>IF($E$1=0,0,IFERROR(VALUE(SUBSTITUTE(SUBSTITUTE(SUBSTITUTE(INDEX(貼り付け!$A$1:$BZ$3001,417,$E$1)&amp;"",",",""),"¥",""),"￥","")),0))</f>
        <v/>
      </c>
      <c r="F418">
        <f>IF($F$1=0,0,IFERROR(VALUE(SUBSTITUTE(SUBSTITUTE(SUBSTITUTE(INDEX(貼り付け!$A$1:$BZ$3001,417,$F$1)&amp;"",",",""),"¥",""),"￥","")),0))</f>
        <v/>
      </c>
      <c r="G418">
        <f>IF(ISNUMBER(B418),YEAR(B418),"")</f>
        <v/>
      </c>
      <c r="H418">
        <f>IF(ISNUMBER(B418),MONTH(B418),"")</f>
        <v/>
      </c>
      <c r="I418">
        <f>IFERROR(IF($B$1=0,"",IF(ISNUMBER(INDEX(貼り付け!$A$1:$BZ$3001,417,$B$1)),"",SUBSTITUTE(SUBSTITUTE(SUBSTITUTE(SUBSTITUTE(TRIM(LEFT(INDEX(貼り付け!$A$1:$BZ$3001,417,$B$1)&amp;"",FIND(" ",TRIM(INDEX(貼り付け!$A$1:$BZ$3001,417,$B$1)&amp;"")&amp;" ")-1)),"/","-"),"年","-"),"月","-"),"日",""))),"")</f>
        <v/>
      </c>
      <c r="J418">
        <f>IFERROR(MID(I418,FIND("-",I418)+1,99),"")</f>
        <v/>
      </c>
    </row>
    <row r="419">
      <c r="B419">
        <f>IFERROR(IF($B$1=0,"",IF(INDEX(貼り付け!$A$1:$BZ$3001,418,$B$1)="","",IF(ISNUMBER(INDEX(貼り付け!$A$1:$BZ$3001,418,$B$1)),INT(INDEX(貼り付け!$A$1:$BZ$3001,418,$B$1)),DATE(VALUE(LEFT(I419,FIND("-",I419)-1)),VALUE(LEFT(J419,FIND("-",J419)-1)),VALUE(MID(J419,FIND("-",J419)+1,99)))))),"")</f>
        <v/>
      </c>
      <c r="C419">
        <f>IF($C$1=0,0,IFERROR(VALUE(SUBSTITUTE(SUBSTITUTE(SUBSTITUTE(INDEX(貼り付け!$A$1:$BZ$3001,418,$C$1)&amp;"",",",""),"¥",""),"￥","")),0))</f>
        <v/>
      </c>
      <c r="D419">
        <f>IF($D$1=0,0,IFERROR(VALUE(SUBSTITUTE(SUBSTITUTE(SUBSTITUTE(INDEX(貼り付け!$A$1:$BZ$3001,418,$D$1)&amp;"",",",""),"¥",""),"￥","")),0))</f>
        <v/>
      </c>
      <c r="E419">
        <f>IF($E$1=0,0,IFERROR(VALUE(SUBSTITUTE(SUBSTITUTE(SUBSTITUTE(INDEX(貼り付け!$A$1:$BZ$3001,418,$E$1)&amp;"",",",""),"¥",""),"￥","")),0))</f>
        <v/>
      </c>
      <c r="F419">
        <f>IF($F$1=0,0,IFERROR(VALUE(SUBSTITUTE(SUBSTITUTE(SUBSTITUTE(INDEX(貼り付け!$A$1:$BZ$3001,418,$F$1)&amp;"",",",""),"¥",""),"￥","")),0))</f>
        <v/>
      </c>
      <c r="G419">
        <f>IF(ISNUMBER(B419),YEAR(B419),"")</f>
        <v/>
      </c>
      <c r="H419">
        <f>IF(ISNUMBER(B419),MONTH(B419),"")</f>
        <v/>
      </c>
      <c r="I419">
        <f>IFERROR(IF($B$1=0,"",IF(ISNUMBER(INDEX(貼り付け!$A$1:$BZ$3001,418,$B$1)),"",SUBSTITUTE(SUBSTITUTE(SUBSTITUTE(SUBSTITUTE(TRIM(LEFT(INDEX(貼り付け!$A$1:$BZ$3001,418,$B$1)&amp;"",FIND(" ",TRIM(INDEX(貼り付け!$A$1:$BZ$3001,418,$B$1)&amp;"")&amp;" ")-1)),"/","-"),"年","-"),"月","-"),"日",""))),"")</f>
        <v/>
      </c>
      <c r="J419">
        <f>IFERROR(MID(I419,FIND("-",I419)+1,99),"")</f>
        <v/>
      </c>
    </row>
    <row r="420">
      <c r="B420">
        <f>IFERROR(IF($B$1=0,"",IF(INDEX(貼り付け!$A$1:$BZ$3001,419,$B$1)="","",IF(ISNUMBER(INDEX(貼り付け!$A$1:$BZ$3001,419,$B$1)),INT(INDEX(貼り付け!$A$1:$BZ$3001,419,$B$1)),DATE(VALUE(LEFT(I420,FIND("-",I420)-1)),VALUE(LEFT(J420,FIND("-",J420)-1)),VALUE(MID(J420,FIND("-",J420)+1,99)))))),"")</f>
        <v/>
      </c>
      <c r="C420">
        <f>IF($C$1=0,0,IFERROR(VALUE(SUBSTITUTE(SUBSTITUTE(SUBSTITUTE(INDEX(貼り付け!$A$1:$BZ$3001,419,$C$1)&amp;"",",",""),"¥",""),"￥","")),0))</f>
        <v/>
      </c>
      <c r="D420">
        <f>IF($D$1=0,0,IFERROR(VALUE(SUBSTITUTE(SUBSTITUTE(SUBSTITUTE(INDEX(貼り付け!$A$1:$BZ$3001,419,$D$1)&amp;"",",",""),"¥",""),"￥","")),0))</f>
        <v/>
      </c>
      <c r="E420">
        <f>IF($E$1=0,0,IFERROR(VALUE(SUBSTITUTE(SUBSTITUTE(SUBSTITUTE(INDEX(貼り付け!$A$1:$BZ$3001,419,$E$1)&amp;"",",",""),"¥",""),"￥","")),0))</f>
        <v/>
      </c>
      <c r="F420">
        <f>IF($F$1=0,0,IFERROR(VALUE(SUBSTITUTE(SUBSTITUTE(SUBSTITUTE(INDEX(貼り付け!$A$1:$BZ$3001,419,$F$1)&amp;"",",",""),"¥",""),"￥","")),0))</f>
        <v/>
      </c>
      <c r="G420">
        <f>IF(ISNUMBER(B420),YEAR(B420),"")</f>
        <v/>
      </c>
      <c r="H420">
        <f>IF(ISNUMBER(B420),MONTH(B420),"")</f>
        <v/>
      </c>
      <c r="I420">
        <f>IFERROR(IF($B$1=0,"",IF(ISNUMBER(INDEX(貼り付け!$A$1:$BZ$3001,419,$B$1)),"",SUBSTITUTE(SUBSTITUTE(SUBSTITUTE(SUBSTITUTE(TRIM(LEFT(INDEX(貼り付け!$A$1:$BZ$3001,419,$B$1)&amp;"",FIND(" ",TRIM(INDEX(貼り付け!$A$1:$BZ$3001,419,$B$1)&amp;"")&amp;" ")-1)),"/","-"),"年","-"),"月","-"),"日",""))),"")</f>
        <v/>
      </c>
      <c r="J420">
        <f>IFERROR(MID(I420,FIND("-",I420)+1,99),"")</f>
        <v/>
      </c>
    </row>
    <row r="421">
      <c r="B421">
        <f>IFERROR(IF($B$1=0,"",IF(INDEX(貼り付け!$A$1:$BZ$3001,420,$B$1)="","",IF(ISNUMBER(INDEX(貼り付け!$A$1:$BZ$3001,420,$B$1)),INT(INDEX(貼り付け!$A$1:$BZ$3001,420,$B$1)),DATE(VALUE(LEFT(I421,FIND("-",I421)-1)),VALUE(LEFT(J421,FIND("-",J421)-1)),VALUE(MID(J421,FIND("-",J421)+1,99)))))),"")</f>
        <v/>
      </c>
      <c r="C421">
        <f>IF($C$1=0,0,IFERROR(VALUE(SUBSTITUTE(SUBSTITUTE(SUBSTITUTE(INDEX(貼り付け!$A$1:$BZ$3001,420,$C$1)&amp;"",",",""),"¥",""),"￥","")),0))</f>
        <v/>
      </c>
      <c r="D421">
        <f>IF($D$1=0,0,IFERROR(VALUE(SUBSTITUTE(SUBSTITUTE(SUBSTITUTE(INDEX(貼り付け!$A$1:$BZ$3001,420,$D$1)&amp;"",",",""),"¥",""),"￥","")),0))</f>
        <v/>
      </c>
      <c r="E421">
        <f>IF($E$1=0,0,IFERROR(VALUE(SUBSTITUTE(SUBSTITUTE(SUBSTITUTE(INDEX(貼り付け!$A$1:$BZ$3001,420,$E$1)&amp;"",",",""),"¥",""),"￥","")),0))</f>
        <v/>
      </c>
      <c r="F421">
        <f>IF($F$1=0,0,IFERROR(VALUE(SUBSTITUTE(SUBSTITUTE(SUBSTITUTE(INDEX(貼り付け!$A$1:$BZ$3001,420,$F$1)&amp;"",",",""),"¥",""),"￥","")),0))</f>
        <v/>
      </c>
      <c r="G421">
        <f>IF(ISNUMBER(B421),YEAR(B421),"")</f>
        <v/>
      </c>
      <c r="H421">
        <f>IF(ISNUMBER(B421),MONTH(B421),"")</f>
        <v/>
      </c>
      <c r="I421">
        <f>IFERROR(IF($B$1=0,"",IF(ISNUMBER(INDEX(貼り付け!$A$1:$BZ$3001,420,$B$1)),"",SUBSTITUTE(SUBSTITUTE(SUBSTITUTE(SUBSTITUTE(TRIM(LEFT(INDEX(貼り付け!$A$1:$BZ$3001,420,$B$1)&amp;"",FIND(" ",TRIM(INDEX(貼り付け!$A$1:$BZ$3001,420,$B$1)&amp;"")&amp;" ")-1)),"/","-"),"年","-"),"月","-"),"日",""))),"")</f>
        <v/>
      </c>
      <c r="J421">
        <f>IFERROR(MID(I421,FIND("-",I421)+1,99),"")</f>
        <v/>
      </c>
    </row>
    <row r="422">
      <c r="B422">
        <f>IFERROR(IF($B$1=0,"",IF(INDEX(貼り付け!$A$1:$BZ$3001,421,$B$1)="","",IF(ISNUMBER(INDEX(貼り付け!$A$1:$BZ$3001,421,$B$1)),INT(INDEX(貼り付け!$A$1:$BZ$3001,421,$B$1)),DATE(VALUE(LEFT(I422,FIND("-",I422)-1)),VALUE(LEFT(J422,FIND("-",J422)-1)),VALUE(MID(J422,FIND("-",J422)+1,99)))))),"")</f>
        <v/>
      </c>
      <c r="C422">
        <f>IF($C$1=0,0,IFERROR(VALUE(SUBSTITUTE(SUBSTITUTE(SUBSTITUTE(INDEX(貼り付け!$A$1:$BZ$3001,421,$C$1)&amp;"",",",""),"¥",""),"￥","")),0))</f>
        <v/>
      </c>
      <c r="D422">
        <f>IF($D$1=0,0,IFERROR(VALUE(SUBSTITUTE(SUBSTITUTE(SUBSTITUTE(INDEX(貼り付け!$A$1:$BZ$3001,421,$D$1)&amp;"",",",""),"¥",""),"￥","")),0))</f>
        <v/>
      </c>
      <c r="E422">
        <f>IF($E$1=0,0,IFERROR(VALUE(SUBSTITUTE(SUBSTITUTE(SUBSTITUTE(INDEX(貼り付け!$A$1:$BZ$3001,421,$E$1)&amp;"",",",""),"¥",""),"￥","")),0))</f>
        <v/>
      </c>
      <c r="F422">
        <f>IF($F$1=0,0,IFERROR(VALUE(SUBSTITUTE(SUBSTITUTE(SUBSTITUTE(INDEX(貼り付け!$A$1:$BZ$3001,421,$F$1)&amp;"",",",""),"¥",""),"￥","")),0))</f>
        <v/>
      </c>
      <c r="G422">
        <f>IF(ISNUMBER(B422),YEAR(B422),"")</f>
        <v/>
      </c>
      <c r="H422">
        <f>IF(ISNUMBER(B422),MONTH(B422),"")</f>
        <v/>
      </c>
      <c r="I422">
        <f>IFERROR(IF($B$1=0,"",IF(ISNUMBER(INDEX(貼り付け!$A$1:$BZ$3001,421,$B$1)),"",SUBSTITUTE(SUBSTITUTE(SUBSTITUTE(SUBSTITUTE(TRIM(LEFT(INDEX(貼り付け!$A$1:$BZ$3001,421,$B$1)&amp;"",FIND(" ",TRIM(INDEX(貼り付け!$A$1:$BZ$3001,421,$B$1)&amp;"")&amp;" ")-1)),"/","-"),"年","-"),"月","-"),"日",""))),"")</f>
        <v/>
      </c>
      <c r="J422">
        <f>IFERROR(MID(I422,FIND("-",I422)+1,99),"")</f>
        <v/>
      </c>
    </row>
    <row r="423">
      <c r="B423">
        <f>IFERROR(IF($B$1=0,"",IF(INDEX(貼り付け!$A$1:$BZ$3001,422,$B$1)="","",IF(ISNUMBER(INDEX(貼り付け!$A$1:$BZ$3001,422,$B$1)),INT(INDEX(貼り付け!$A$1:$BZ$3001,422,$B$1)),DATE(VALUE(LEFT(I423,FIND("-",I423)-1)),VALUE(LEFT(J423,FIND("-",J423)-1)),VALUE(MID(J423,FIND("-",J423)+1,99)))))),"")</f>
        <v/>
      </c>
      <c r="C423">
        <f>IF($C$1=0,0,IFERROR(VALUE(SUBSTITUTE(SUBSTITUTE(SUBSTITUTE(INDEX(貼り付け!$A$1:$BZ$3001,422,$C$1)&amp;"",",",""),"¥",""),"￥","")),0))</f>
        <v/>
      </c>
      <c r="D423">
        <f>IF($D$1=0,0,IFERROR(VALUE(SUBSTITUTE(SUBSTITUTE(SUBSTITUTE(INDEX(貼り付け!$A$1:$BZ$3001,422,$D$1)&amp;"",",",""),"¥",""),"￥","")),0))</f>
        <v/>
      </c>
      <c r="E423">
        <f>IF($E$1=0,0,IFERROR(VALUE(SUBSTITUTE(SUBSTITUTE(SUBSTITUTE(INDEX(貼り付け!$A$1:$BZ$3001,422,$E$1)&amp;"",",",""),"¥",""),"￥","")),0))</f>
        <v/>
      </c>
      <c r="F423">
        <f>IF($F$1=0,0,IFERROR(VALUE(SUBSTITUTE(SUBSTITUTE(SUBSTITUTE(INDEX(貼り付け!$A$1:$BZ$3001,422,$F$1)&amp;"",",",""),"¥",""),"￥","")),0))</f>
        <v/>
      </c>
      <c r="G423">
        <f>IF(ISNUMBER(B423),YEAR(B423),"")</f>
        <v/>
      </c>
      <c r="H423">
        <f>IF(ISNUMBER(B423),MONTH(B423),"")</f>
        <v/>
      </c>
      <c r="I423">
        <f>IFERROR(IF($B$1=0,"",IF(ISNUMBER(INDEX(貼り付け!$A$1:$BZ$3001,422,$B$1)),"",SUBSTITUTE(SUBSTITUTE(SUBSTITUTE(SUBSTITUTE(TRIM(LEFT(INDEX(貼り付け!$A$1:$BZ$3001,422,$B$1)&amp;"",FIND(" ",TRIM(INDEX(貼り付け!$A$1:$BZ$3001,422,$B$1)&amp;"")&amp;" ")-1)),"/","-"),"年","-"),"月","-"),"日",""))),"")</f>
        <v/>
      </c>
      <c r="J423">
        <f>IFERROR(MID(I423,FIND("-",I423)+1,99),"")</f>
        <v/>
      </c>
    </row>
    <row r="424">
      <c r="B424">
        <f>IFERROR(IF($B$1=0,"",IF(INDEX(貼り付け!$A$1:$BZ$3001,423,$B$1)="","",IF(ISNUMBER(INDEX(貼り付け!$A$1:$BZ$3001,423,$B$1)),INT(INDEX(貼り付け!$A$1:$BZ$3001,423,$B$1)),DATE(VALUE(LEFT(I424,FIND("-",I424)-1)),VALUE(LEFT(J424,FIND("-",J424)-1)),VALUE(MID(J424,FIND("-",J424)+1,99)))))),"")</f>
        <v/>
      </c>
      <c r="C424">
        <f>IF($C$1=0,0,IFERROR(VALUE(SUBSTITUTE(SUBSTITUTE(SUBSTITUTE(INDEX(貼り付け!$A$1:$BZ$3001,423,$C$1)&amp;"",",",""),"¥",""),"￥","")),0))</f>
        <v/>
      </c>
      <c r="D424">
        <f>IF($D$1=0,0,IFERROR(VALUE(SUBSTITUTE(SUBSTITUTE(SUBSTITUTE(INDEX(貼り付け!$A$1:$BZ$3001,423,$D$1)&amp;"",",",""),"¥",""),"￥","")),0))</f>
        <v/>
      </c>
      <c r="E424">
        <f>IF($E$1=0,0,IFERROR(VALUE(SUBSTITUTE(SUBSTITUTE(SUBSTITUTE(INDEX(貼り付け!$A$1:$BZ$3001,423,$E$1)&amp;"",",",""),"¥",""),"￥","")),0))</f>
        <v/>
      </c>
      <c r="F424">
        <f>IF($F$1=0,0,IFERROR(VALUE(SUBSTITUTE(SUBSTITUTE(SUBSTITUTE(INDEX(貼り付け!$A$1:$BZ$3001,423,$F$1)&amp;"",",",""),"¥",""),"￥","")),0))</f>
        <v/>
      </c>
      <c r="G424">
        <f>IF(ISNUMBER(B424),YEAR(B424),"")</f>
        <v/>
      </c>
      <c r="H424">
        <f>IF(ISNUMBER(B424),MONTH(B424),"")</f>
        <v/>
      </c>
      <c r="I424">
        <f>IFERROR(IF($B$1=0,"",IF(ISNUMBER(INDEX(貼り付け!$A$1:$BZ$3001,423,$B$1)),"",SUBSTITUTE(SUBSTITUTE(SUBSTITUTE(SUBSTITUTE(TRIM(LEFT(INDEX(貼り付け!$A$1:$BZ$3001,423,$B$1)&amp;"",FIND(" ",TRIM(INDEX(貼り付け!$A$1:$BZ$3001,423,$B$1)&amp;"")&amp;" ")-1)),"/","-"),"年","-"),"月","-"),"日",""))),"")</f>
        <v/>
      </c>
      <c r="J424">
        <f>IFERROR(MID(I424,FIND("-",I424)+1,99),"")</f>
        <v/>
      </c>
    </row>
    <row r="425">
      <c r="B425">
        <f>IFERROR(IF($B$1=0,"",IF(INDEX(貼り付け!$A$1:$BZ$3001,424,$B$1)="","",IF(ISNUMBER(INDEX(貼り付け!$A$1:$BZ$3001,424,$B$1)),INT(INDEX(貼り付け!$A$1:$BZ$3001,424,$B$1)),DATE(VALUE(LEFT(I425,FIND("-",I425)-1)),VALUE(LEFT(J425,FIND("-",J425)-1)),VALUE(MID(J425,FIND("-",J425)+1,99)))))),"")</f>
        <v/>
      </c>
      <c r="C425">
        <f>IF($C$1=0,0,IFERROR(VALUE(SUBSTITUTE(SUBSTITUTE(SUBSTITUTE(INDEX(貼り付け!$A$1:$BZ$3001,424,$C$1)&amp;"",",",""),"¥",""),"￥","")),0))</f>
        <v/>
      </c>
      <c r="D425">
        <f>IF($D$1=0,0,IFERROR(VALUE(SUBSTITUTE(SUBSTITUTE(SUBSTITUTE(INDEX(貼り付け!$A$1:$BZ$3001,424,$D$1)&amp;"",",",""),"¥",""),"￥","")),0))</f>
        <v/>
      </c>
      <c r="E425">
        <f>IF($E$1=0,0,IFERROR(VALUE(SUBSTITUTE(SUBSTITUTE(SUBSTITUTE(INDEX(貼り付け!$A$1:$BZ$3001,424,$E$1)&amp;"",",",""),"¥",""),"￥","")),0))</f>
        <v/>
      </c>
      <c r="F425">
        <f>IF($F$1=0,0,IFERROR(VALUE(SUBSTITUTE(SUBSTITUTE(SUBSTITUTE(INDEX(貼り付け!$A$1:$BZ$3001,424,$F$1)&amp;"",",",""),"¥",""),"￥","")),0))</f>
        <v/>
      </c>
      <c r="G425">
        <f>IF(ISNUMBER(B425),YEAR(B425),"")</f>
        <v/>
      </c>
      <c r="H425">
        <f>IF(ISNUMBER(B425),MONTH(B425),"")</f>
        <v/>
      </c>
      <c r="I425">
        <f>IFERROR(IF($B$1=0,"",IF(ISNUMBER(INDEX(貼り付け!$A$1:$BZ$3001,424,$B$1)),"",SUBSTITUTE(SUBSTITUTE(SUBSTITUTE(SUBSTITUTE(TRIM(LEFT(INDEX(貼り付け!$A$1:$BZ$3001,424,$B$1)&amp;"",FIND(" ",TRIM(INDEX(貼り付け!$A$1:$BZ$3001,424,$B$1)&amp;"")&amp;" ")-1)),"/","-"),"年","-"),"月","-"),"日",""))),"")</f>
        <v/>
      </c>
      <c r="J425">
        <f>IFERROR(MID(I425,FIND("-",I425)+1,99),"")</f>
        <v/>
      </c>
    </row>
    <row r="426">
      <c r="B426">
        <f>IFERROR(IF($B$1=0,"",IF(INDEX(貼り付け!$A$1:$BZ$3001,425,$B$1)="","",IF(ISNUMBER(INDEX(貼り付け!$A$1:$BZ$3001,425,$B$1)),INT(INDEX(貼り付け!$A$1:$BZ$3001,425,$B$1)),DATE(VALUE(LEFT(I426,FIND("-",I426)-1)),VALUE(LEFT(J426,FIND("-",J426)-1)),VALUE(MID(J426,FIND("-",J426)+1,99)))))),"")</f>
        <v/>
      </c>
      <c r="C426">
        <f>IF($C$1=0,0,IFERROR(VALUE(SUBSTITUTE(SUBSTITUTE(SUBSTITUTE(INDEX(貼り付け!$A$1:$BZ$3001,425,$C$1)&amp;"",",",""),"¥",""),"￥","")),0))</f>
        <v/>
      </c>
      <c r="D426">
        <f>IF($D$1=0,0,IFERROR(VALUE(SUBSTITUTE(SUBSTITUTE(SUBSTITUTE(INDEX(貼り付け!$A$1:$BZ$3001,425,$D$1)&amp;"",",",""),"¥",""),"￥","")),0))</f>
        <v/>
      </c>
      <c r="E426">
        <f>IF($E$1=0,0,IFERROR(VALUE(SUBSTITUTE(SUBSTITUTE(SUBSTITUTE(INDEX(貼り付け!$A$1:$BZ$3001,425,$E$1)&amp;"",",",""),"¥",""),"￥","")),0))</f>
        <v/>
      </c>
      <c r="F426">
        <f>IF($F$1=0,0,IFERROR(VALUE(SUBSTITUTE(SUBSTITUTE(SUBSTITUTE(INDEX(貼り付け!$A$1:$BZ$3001,425,$F$1)&amp;"",",",""),"¥",""),"￥","")),0))</f>
        <v/>
      </c>
      <c r="G426">
        <f>IF(ISNUMBER(B426),YEAR(B426),"")</f>
        <v/>
      </c>
      <c r="H426">
        <f>IF(ISNUMBER(B426),MONTH(B426),"")</f>
        <v/>
      </c>
      <c r="I426">
        <f>IFERROR(IF($B$1=0,"",IF(ISNUMBER(INDEX(貼り付け!$A$1:$BZ$3001,425,$B$1)),"",SUBSTITUTE(SUBSTITUTE(SUBSTITUTE(SUBSTITUTE(TRIM(LEFT(INDEX(貼り付け!$A$1:$BZ$3001,425,$B$1)&amp;"",FIND(" ",TRIM(INDEX(貼り付け!$A$1:$BZ$3001,425,$B$1)&amp;"")&amp;" ")-1)),"/","-"),"年","-"),"月","-"),"日",""))),"")</f>
        <v/>
      </c>
      <c r="J426">
        <f>IFERROR(MID(I426,FIND("-",I426)+1,99),"")</f>
        <v/>
      </c>
    </row>
    <row r="427">
      <c r="B427">
        <f>IFERROR(IF($B$1=0,"",IF(INDEX(貼り付け!$A$1:$BZ$3001,426,$B$1)="","",IF(ISNUMBER(INDEX(貼り付け!$A$1:$BZ$3001,426,$B$1)),INT(INDEX(貼り付け!$A$1:$BZ$3001,426,$B$1)),DATE(VALUE(LEFT(I427,FIND("-",I427)-1)),VALUE(LEFT(J427,FIND("-",J427)-1)),VALUE(MID(J427,FIND("-",J427)+1,99)))))),"")</f>
        <v/>
      </c>
      <c r="C427">
        <f>IF($C$1=0,0,IFERROR(VALUE(SUBSTITUTE(SUBSTITUTE(SUBSTITUTE(INDEX(貼り付け!$A$1:$BZ$3001,426,$C$1)&amp;"",",",""),"¥",""),"￥","")),0))</f>
        <v/>
      </c>
      <c r="D427">
        <f>IF($D$1=0,0,IFERROR(VALUE(SUBSTITUTE(SUBSTITUTE(SUBSTITUTE(INDEX(貼り付け!$A$1:$BZ$3001,426,$D$1)&amp;"",",",""),"¥",""),"￥","")),0))</f>
        <v/>
      </c>
      <c r="E427">
        <f>IF($E$1=0,0,IFERROR(VALUE(SUBSTITUTE(SUBSTITUTE(SUBSTITUTE(INDEX(貼り付け!$A$1:$BZ$3001,426,$E$1)&amp;"",",",""),"¥",""),"￥","")),0))</f>
        <v/>
      </c>
      <c r="F427">
        <f>IF($F$1=0,0,IFERROR(VALUE(SUBSTITUTE(SUBSTITUTE(SUBSTITUTE(INDEX(貼り付け!$A$1:$BZ$3001,426,$F$1)&amp;"",",",""),"¥",""),"￥","")),0))</f>
        <v/>
      </c>
      <c r="G427">
        <f>IF(ISNUMBER(B427),YEAR(B427),"")</f>
        <v/>
      </c>
      <c r="H427">
        <f>IF(ISNUMBER(B427),MONTH(B427),"")</f>
        <v/>
      </c>
      <c r="I427">
        <f>IFERROR(IF($B$1=0,"",IF(ISNUMBER(INDEX(貼り付け!$A$1:$BZ$3001,426,$B$1)),"",SUBSTITUTE(SUBSTITUTE(SUBSTITUTE(SUBSTITUTE(TRIM(LEFT(INDEX(貼り付け!$A$1:$BZ$3001,426,$B$1)&amp;"",FIND(" ",TRIM(INDEX(貼り付け!$A$1:$BZ$3001,426,$B$1)&amp;"")&amp;" ")-1)),"/","-"),"年","-"),"月","-"),"日",""))),"")</f>
        <v/>
      </c>
      <c r="J427">
        <f>IFERROR(MID(I427,FIND("-",I427)+1,99),"")</f>
        <v/>
      </c>
    </row>
    <row r="428">
      <c r="B428">
        <f>IFERROR(IF($B$1=0,"",IF(INDEX(貼り付け!$A$1:$BZ$3001,427,$B$1)="","",IF(ISNUMBER(INDEX(貼り付け!$A$1:$BZ$3001,427,$B$1)),INT(INDEX(貼り付け!$A$1:$BZ$3001,427,$B$1)),DATE(VALUE(LEFT(I428,FIND("-",I428)-1)),VALUE(LEFT(J428,FIND("-",J428)-1)),VALUE(MID(J428,FIND("-",J428)+1,99)))))),"")</f>
        <v/>
      </c>
      <c r="C428">
        <f>IF($C$1=0,0,IFERROR(VALUE(SUBSTITUTE(SUBSTITUTE(SUBSTITUTE(INDEX(貼り付け!$A$1:$BZ$3001,427,$C$1)&amp;"",",",""),"¥",""),"￥","")),0))</f>
        <v/>
      </c>
      <c r="D428">
        <f>IF($D$1=0,0,IFERROR(VALUE(SUBSTITUTE(SUBSTITUTE(SUBSTITUTE(INDEX(貼り付け!$A$1:$BZ$3001,427,$D$1)&amp;"",",",""),"¥",""),"￥","")),0))</f>
        <v/>
      </c>
      <c r="E428">
        <f>IF($E$1=0,0,IFERROR(VALUE(SUBSTITUTE(SUBSTITUTE(SUBSTITUTE(INDEX(貼り付け!$A$1:$BZ$3001,427,$E$1)&amp;"",",",""),"¥",""),"￥","")),0))</f>
        <v/>
      </c>
      <c r="F428">
        <f>IF($F$1=0,0,IFERROR(VALUE(SUBSTITUTE(SUBSTITUTE(SUBSTITUTE(INDEX(貼り付け!$A$1:$BZ$3001,427,$F$1)&amp;"",",",""),"¥",""),"￥","")),0))</f>
        <v/>
      </c>
      <c r="G428">
        <f>IF(ISNUMBER(B428),YEAR(B428),"")</f>
        <v/>
      </c>
      <c r="H428">
        <f>IF(ISNUMBER(B428),MONTH(B428),"")</f>
        <v/>
      </c>
      <c r="I428">
        <f>IFERROR(IF($B$1=0,"",IF(ISNUMBER(INDEX(貼り付け!$A$1:$BZ$3001,427,$B$1)),"",SUBSTITUTE(SUBSTITUTE(SUBSTITUTE(SUBSTITUTE(TRIM(LEFT(INDEX(貼り付け!$A$1:$BZ$3001,427,$B$1)&amp;"",FIND(" ",TRIM(INDEX(貼り付け!$A$1:$BZ$3001,427,$B$1)&amp;"")&amp;" ")-1)),"/","-"),"年","-"),"月","-"),"日",""))),"")</f>
        <v/>
      </c>
      <c r="J428">
        <f>IFERROR(MID(I428,FIND("-",I428)+1,99),"")</f>
        <v/>
      </c>
    </row>
    <row r="429">
      <c r="B429">
        <f>IFERROR(IF($B$1=0,"",IF(INDEX(貼り付け!$A$1:$BZ$3001,428,$B$1)="","",IF(ISNUMBER(INDEX(貼り付け!$A$1:$BZ$3001,428,$B$1)),INT(INDEX(貼り付け!$A$1:$BZ$3001,428,$B$1)),DATE(VALUE(LEFT(I429,FIND("-",I429)-1)),VALUE(LEFT(J429,FIND("-",J429)-1)),VALUE(MID(J429,FIND("-",J429)+1,99)))))),"")</f>
        <v/>
      </c>
      <c r="C429">
        <f>IF($C$1=0,0,IFERROR(VALUE(SUBSTITUTE(SUBSTITUTE(SUBSTITUTE(INDEX(貼り付け!$A$1:$BZ$3001,428,$C$1)&amp;"",",",""),"¥",""),"￥","")),0))</f>
        <v/>
      </c>
      <c r="D429">
        <f>IF($D$1=0,0,IFERROR(VALUE(SUBSTITUTE(SUBSTITUTE(SUBSTITUTE(INDEX(貼り付け!$A$1:$BZ$3001,428,$D$1)&amp;"",",",""),"¥",""),"￥","")),0))</f>
        <v/>
      </c>
      <c r="E429">
        <f>IF($E$1=0,0,IFERROR(VALUE(SUBSTITUTE(SUBSTITUTE(SUBSTITUTE(INDEX(貼り付け!$A$1:$BZ$3001,428,$E$1)&amp;"",",",""),"¥",""),"￥","")),0))</f>
        <v/>
      </c>
      <c r="F429">
        <f>IF($F$1=0,0,IFERROR(VALUE(SUBSTITUTE(SUBSTITUTE(SUBSTITUTE(INDEX(貼り付け!$A$1:$BZ$3001,428,$F$1)&amp;"",",",""),"¥",""),"￥","")),0))</f>
        <v/>
      </c>
      <c r="G429">
        <f>IF(ISNUMBER(B429),YEAR(B429),"")</f>
        <v/>
      </c>
      <c r="H429">
        <f>IF(ISNUMBER(B429),MONTH(B429),"")</f>
        <v/>
      </c>
      <c r="I429">
        <f>IFERROR(IF($B$1=0,"",IF(ISNUMBER(INDEX(貼り付け!$A$1:$BZ$3001,428,$B$1)),"",SUBSTITUTE(SUBSTITUTE(SUBSTITUTE(SUBSTITUTE(TRIM(LEFT(INDEX(貼り付け!$A$1:$BZ$3001,428,$B$1)&amp;"",FIND(" ",TRIM(INDEX(貼り付け!$A$1:$BZ$3001,428,$B$1)&amp;"")&amp;" ")-1)),"/","-"),"年","-"),"月","-"),"日",""))),"")</f>
        <v/>
      </c>
      <c r="J429">
        <f>IFERROR(MID(I429,FIND("-",I429)+1,99),"")</f>
        <v/>
      </c>
    </row>
    <row r="430">
      <c r="B430">
        <f>IFERROR(IF($B$1=0,"",IF(INDEX(貼り付け!$A$1:$BZ$3001,429,$B$1)="","",IF(ISNUMBER(INDEX(貼り付け!$A$1:$BZ$3001,429,$B$1)),INT(INDEX(貼り付け!$A$1:$BZ$3001,429,$B$1)),DATE(VALUE(LEFT(I430,FIND("-",I430)-1)),VALUE(LEFT(J430,FIND("-",J430)-1)),VALUE(MID(J430,FIND("-",J430)+1,99)))))),"")</f>
        <v/>
      </c>
      <c r="C430">
        <f>IF($C$1=0,0,IFERROR(VALUE(SUBSTITUTE(SUBSTITUTE(SUBSTITUTE(INDEX(貼り付け!$A$1:$BZ$3001,429,$C$1)&amp;"",",",""),"¥",""),"￥","")),0))</f>
        <v/>
      </c>
      <c r="D430">
        <f>IF($D$1=0,0,IFERROR(VALUE(SUBSTITUTE(SUBSTITUTE(SUBSTITUTE(INDEX(貼り付け!$A$1:$BZ$3001,429,$D$1)&amp;"",",",""),"¥",""),"￥","")),0))</f>
        <v/>
      </c>
      <c r="E430">
        <f>IF($E$1=0,0,IFERROR(VALUE(SUBSTITUTE(SUBSTITUTE(SUBSTITUTE(INDEX(貼り付け!$A$1:$BZ$3001,429,$E$1)&amp;"",",",""),"¥",""),"￥","")),0))</f>
        <v/>
      </c>
      <c r="F430">
        <f>IF($F$1=0,0,IFERROR(VALUE(SUBSTITUTE(SUBSTITUTE(SUBSTITUTE(INDEX(貼り付け!$A$1:$BZ$3001,429,$F$1)&amp;"",",",""),"¥",""),"￥","")),0))</f>
        <v/>
      </c>
      <c r="G430">
        <f>IF(ISNUMBER(B430),YEAR(B430),"")</f>
        <v/>
      </c>
      <c r="H430">
        <f>IF(ISNUMBER(B430),MONTH(B430),"")</f>
        <v/>
      </c>
      <c r="I430">
        <f>IFERROR(IF($B$1=0,"",IF(ISNUMBER(INDEX(貼り付け!$A$1:$BZ$3001,429,$B$1)),"",SUBSTITUTE(SUBSTITUTE(SUBSTITUTE(SUBSTITUTE(TRIM(LEFT(INDEX(貼り付け!$A$1:$BZ$3001,429,$B$1)&amp;"",FIND(" ",TRIM(INDEX(貼り付け!$A$1:$BZ$3001,429,$B$1)&amp;"")&amp;" ")-1)),"/","-"),"年","-"),"月","-"),"日",""))),"")</f>
        <v/>
      </c>
      <c r="J430">
        <f>IFERROR(MID(I430,FIND("-",I430)+1,99),"")</f>
        <v/>
      </c>
    </row>
    <row r="431">
      <c r="B431">
        <f>IFERROR(IF($B$1=0,"",IF(INDEX(貼り付け!$A$1:$BZ$3001,430,$B$1)="","",IF(ISNUMBER(INDEX(貼り付け!$A$1:$BZ$3001,430,$B$1)),INT(INDEX(貼り付け!$A$1:$BZ$3001,430,$B$1)),DATE(VALUE(LEFT(I431,FIND("-",I431)-1)),VALUE(LEFT(J431,FIND("-",J431)-1)),VALUE(MID(J431,FIND("-",J431)+1,99)))))),"")</f>
        <v/>
      </c>
      <c r="C431">
        <f>IF($C$1=0,0,IFERROR(VALUE(SUBSTITUTE(SUBSTITUTE(SUBSTITUTE(INDEX(貼り付け!$A$1:$BZ$3001,430,$C$1)&amp;"",",",""),"¥",""),"￥","")),0))</f>
        <v/>
      </c>
      <c r="D431">
        <f>IF($D$1=0,0,IFERROR(VALUE(SUBSTITUTE(SUBSTITUTE(SUBSTITUTE(INDEX(貼り付け!$A$1:$BZ$3001,430,$D$1)&amp;"",",",""),"¥",""),"￥","")),0))</f>
        <v/>
      </c>
      <c r="E431">
        <f>IF($E$1=0,0,IFERROR(VALUE(SUBSTITUTE(SUBSTITUTE(SUBSTITUTE(INDEX(貼り付け!$A$1:$BZ$3001,430,$E$1)&amp;"",",",""),"¥",""),"￥","")),0))</f>
        <v/>
      </c>
      <c r="F431">
        <f>IF($F$1=0,0,IFERROR(VALUE(SUBSTITUTE(SUBSTITUTE(SUBSTITUTE(INDEX(貼り付け!$A$1:$BZ$3001,430,$F$1)&amp;"",",",""),"¥",""),"￥","")),0))</f>
        <v/>
      </c>
      <c r="G431">
        <f>IF(ISNUMBER(B431),YEAR(B431),"")</f>
        <v/>
      </c>
      <c r="H431">
        <f>IF(ISNUMBER(B431),MONTH(B431),"")</f>
        <v/>
      </c>
      <c r="I431">
        <f>IFERROR(IF($B$1=0,"",IF(ISNUMBER(INDEX(貼り付け!$A$1:$BZ$3001,430,$B$1)),"",SUBSTITUTE(SUBSTITUTE(SUBSTITUTE(SUBSTITUTE(TRIM(LEFT(INDEX(貼り付け!$A$1:$BZ$3001,430,$B$1)&amp;"",FIND(" ",TRIM(INDEX(貼り付け!$A$1:$BZ$3001,430,$B$1)&amp;"")&amp;" ")-1)),"/","-"),"年","-"),"月","-"),"日",""))),"")</f>
        <v/>
      </c>
      <c r="J431">
        <f>IFERROR(MID(I431,FIND("-",I431)+1,99),"")</f>
        <v/>
      </c>
    </row>
    <row r="432">
      <c r="B432">
        <f>IFERROR(IF($B$1=0,"",IF(INDEX(貼り付け!$A$1:$BZ$3001,431,$B$1)="","",IF(ISNUMBER(INDEX(貼り付け!$A$1:$BZ$3001,431,$B$1)),INT(INDEX(貼り付け!$A$1:$BZ$3001,431,$B$1)),DATE(VALUE(LEFT(I432,FIND("-",I432)-1)),VALUE(LEFT(J432,FIND("-",J432)-1)),VALUE(MID(J432,FIND("-",J432)+1,99)))))),"")</f>
        <v/>
      </c>
      <c r="C432">
        <f>IF($C$1=0,0,IFERROR(VALUE(SUBSTITUTE(SUBSTITUTE(SUBSTITUTE(INDEX(貼り付け!$A$1:$BZ$3001,431,$C$1)&amp;"",",",""),"¥",""),"￥","")),0))</f>
        <v/>
      </c>
      <c r="D432">
        <f>IF($D$1=0,0,IFERROR(VALUE(SUBSTITUTE(SUBSTITUTE(SUBSTITUTE(INDEX(貼り付け!$A$1:$BZ$3001,431,$D$1)&amp;"",",",""),"¥",""),"￥","")),0))</f>
        <v/>
      </c>
      <c r="E432">
        <f>IF($E$1=0,0,IFERROR(VALUE(SUBSTITUTE(SUBSTITUTE(SUBSTITUTE(INDEX(貼り付け!$A$1:$BZ$3001,431,$E$1)&amp;"",",",""),"¥",""),"￥","")),0))</f>
        <v/>
      </c>
      <c r="F432">
        <f>IF($F$1=0,0,IFERROR(VALUE(SUBSTITUTE(SUBSTITUTE(SUBSTITUTE(INDEX(貼り付け!$A$1:$BZ$3001,431,$F$1)&amp;"",",",""),"¥",""),"￥","")),0))</f>
        <v/>
      </c>
      <c r="G432">
        <f>IF(ISNUMBER(B432),YEAR(B432),"")</f>
        <v/>
      </c>
      <c r="H432">
        <f>IF(ISNUMBER(B432),MONTH(B432),"")</f>
        <v/>
      </c>
      <c r="I432">
        <f>IFERROR(IF($B$1=0,"",IF(ISNUMBER(INDEX(貼り付け!$A$1:$BZ$3001,431,$B$1)),"",SUBSTITUTE(SUBSTITUTE(SUBSTITUTE(SUBSTITUTE(TRIM(LEFT(INDEX(貼り付け!$A$1:$BZ$3001,431,$B$1)&amp;"",FIND(" ",TRIM(INDEX(貼り付け!$A$1:$BZ$3001,431,$B$1)&amp;"")&amp;" ")-1)),"/","-"),"年","-"),"月","-"),"日",""))),"")</f>
        <v/>
      </c>
      <c r="J432">
        <f>IFERROR(MID(I432,FIND("-",I432)+1,99),"")</f>
        <v/>
      </c>
    </row>
    <row r="433">
      <c r="B433">
        <f>IFERROR(IF($B$1=0,"",IF(INDEX(貼り付け!$A$1:$BZ$3001,432,$B$1)="","",IF(ISNUMBER(INDEX(貼り付け!$A$1:$BZ$3001,432,$B$1)),INT(INDEX(貼り付け!$A$1:$BZ$3001,432,$B$1)),DATE(VALUE(LEFT(I433,FIND("-",I433)-1)),VALUE(LEFT(J433,FIND("-",J433)-1)),VALUE(MID(J433,FIND("-",J433)+1,99)))))),"")</f>
        <v/>
      </c>
      <c r="C433">
        <f>IF($C$1=0,0,IFERROR(VALUE(SUBSTITUTE(SUBSTITUTE(SUBSTITUTE(INDEX(貼り付け!$A$1:$BZ$3001,432,$C$1)&amp;"",",",""),"¥",""),"￥","")),0))</f>
        <v/>
      </c>
      <c r="D433">
        <f>IF($D$1=0,0,IFERROR(VALUE(SUBSTITUTE(SUBSTITUTE(SUBSTITUTE(INDEX(貼り付け!$A$1:$BZ$3001,432,$D$1)&amp;"",",",""),"¥",""),"￥","")),0))</f>
        <v/>
      </c>
      <c r="E433">
        <f>IF($E$1=0,0,IFERROR(VALUE(SUBSTITUTE(SUBSTITUTE(SUBSTITUTE(INDEX(貼り付け!$A$1:$BZ$3001,432,$E$1)&amp;"",",",""),"¥",""),"￥","")),0))</f>
        <v/>
      </c>
      <c r="F433">
        <f>IF($F$1=0,0,IFERROR(VALUE(SUBSTITUTE(SUBSTITUTE(SUBSTITUTE(INDEX(貼り付け!$A$1:$BZ$3001,432,$F$1)&amp;"",",",""),"¥",""),"￥","")),0))</f>
        <v/>
      </c>
      <c r="G433">
        <f>IF(ISNUMBER(B433),YEAR(B433),"")</f>
        <v/>
      </c>
      <c r="H433">
        <f>IF(ISNUMBER(B433),MONTH(B433),"")</f>
        <v/>
      </c>
      <c r="I433">
        <f>IFERROR(IF($B$1=0,"",IF(ISNUMBER(INDEX(貼り付け!$A$1:$BZ$3001,432,$B$1)),"",SUBSTITUTE(SUBSTITUTE(SUBSTITUTE(SUBSTITUTE(TRIM(LEFT(INDEX(貼り付け!$A$1:$BZ$3001,432,$B$1)&amp;"",FIND(" ",TRIM(INDEX(貼り付け!$A$1:$BZ$3001,432,$B$1)&amp;"")&amp;" ")-1)),"/","-"),"年","-"),"月","-"),"日",""))),"")</f>
        <v/>
      </c>
      <c r="J433">
        <f>IFERROR(MID(I433,FIND("-",I433)+1,99),"")</f>
        <v/>
      </c>
    </row>
    <row r="434">
      <c r="B434">
        <f>IFERROR(IF($B$1=0,"",IF(INDEX(貼り付け!$A$1:$BZ$3001,433,$B$1)="","",IF(ISNUMBER(INDEX(貼り付け!$A$1:$BZ$3001,433,$B$1)),INT(INDEX(貼り付け!$A$1:$BZ$3001,433,$B$1)),DATE(VALUE(LEFT(I434,FIND("-",I434)-1)),VALUE(LEFT(J434,FIND("-",J434)-1)),VALUE(MID(J434,FIND("-",J434)+1,99)))))),"")</f>
        <v/>
      </c>
      <c r="C434">
        <f>IF($C$1=0,0,IFERROR(VALUE(SUBSTITUTE(SUBSTITUTE(SUBSTITUTE(INDEX(貼り付け!$A$1:$BZ$3001,433,$C$1)&amp;"",",",""),"¥",""),"￥","")),0))</f>
        <v/>
      </c>
      <c r="D434">
        <f>IF($D$1=0,0,IFERROR(VALUE(SUBSTITUTE(SUBSTITUTE(SUBSTITUTE(INDEX(貼り付け!$A$1:$BZ$3001,433,$D$1)&amp;"",",",""),"¥",""),"￥","")),0))</f>
        <v/>
      </c>
      <c r="E434">
        <f>IF($E$1=0,0,IFERROR(VALUE(SUBSTITUTE(SUBSTITUTE(SUBSTITUTE(INDEX(貼り付け!$A$1:$BZ$3001,433,$E$1)&amp;"",",",""),"¥",""),"￥","")),0))</f>
        <v/>
      </c>
      <c r="F434">
        <f>IF($F$1=0,0,IFERROR(VALUE(SUBSTITUTE(SUBSTITUTE(SUBSTITUTE(INDEX(貼り付け!$A$1:$BZ$3001,433,$F$1)&amp;"",",",""),"¥",""),"￥","")),0))</f>
        <v/>
      </c>
      <c r="G434">
        <f>IF(ISNUMBER(B434),YEAR(B434),"")</f>
        <v/>
      </c>
      <c r="H434">
        <f>IF(ISNUMBER(B434),MONTH(B434),"")</f>
        <v/>
      </c>
      <c r="I434">
        <f>IFERROR(IF($B$1=0,"",IF(ISNUMBER(INDEX(貼り付け!$A$1:$BZ$3001,433,$B$1)),"",SUBSTITUTE(SUBSTITUTE(SUBSTITUTE(SUBSTITUTE(TRIM(LEFT(INDEX(貼り付け!$A$1:$BZ$3001,433,$B$1)&amp;"",FIND(" ",TRIM(INDEX(貼り付け!$A$1:$BZ$3001,433,$B$1)&amp;"")&amp;" ")-1)),"/","-"),"年","-"),"月","-"),"日",""))),"")</f>
        <v/>
      </c>
      <c r="J434">
        <f>IFERROR(MID(I434,FIND("-",I434)+1,99),"")</f>
        <v/>
      </c>
    </row>
    <row r="435">
      <c r="B435">
        <f>IFERROR(IF($B$1=0,"",IF(INDEX(貼り付け!$A$1:$BZ$3001,434,$B$1)="","",IF(ISNUMBER(INDEX(貼り付け!$A$1:$BZ$3001,434,$B$1)),INT(INDEX(貼り付け!$A$1:$BZ$3001,434,$B$1)),DATE(VALUE(LEFT(I435,FIND("-",I435)-1)),VALUE(LEFT(J435,FIND("-",J435)-1)),VALUE(MID(J435,FIND("-",J435)+1,99)))))),"")</f>
        <v/>
      </c>
      <c r="C435">
        <f>IF($C$1=0,0,IFERROR(VALUE(SUBSTITUTE(SUBSTITUTE(SUBSTITUTE(INDEX(貼り付け!$A$1:$BZ$3001,434,$C$1)&amp;"",",",""),"¥",""),"￥","")),0))</f>
        <v/>
      </c>
      <c r="D435">
        <f>IF($D$1=0,0,IFERROR(VALUE(SUBSTITUTE(SUBSTITUTE(SUBSTITUTE(INDEX(貼り付け!$A$1:$BZ$3001,434,$D$1)&amp;"",",",""),"¥",""),"￥","")),0))</f>
        <v/>
      </c>
      <c r="E435">
        <f>IF($E$1=0,0,IFERROR(VALUE(SUBSTITUTE(SUBSTITUTE(SUBSTITUTE(INDEX(貼り付け!$A$1:$BZ$3001,434,$E$1)&amp;"",",",""),"¥",""),"￥","")),0))</f>
        <v/>
      </c>
      <c r="F435">
        <f>IF($F$1=0,0,IFERROR(VALUE(SUBSTITUTE(SUBSTITUTE(SUBSTITUTE(INDEX(貼り付け!$A$1:$BZ$3001,434,$F$1)&amp;"",",",""),"¥",""),"￥","")),0))</f>
        <v/>
      </c>
      <c r="G435">
        <f>IF(ISNUMBER(B435),YEAR(B435),"")</f>
        <v/>
      </c>
      <c r="H435">
        <f>IF(ISNUMBER(B435),MONTH(B435),"")</f>
        <v/>
      </c>
      <c r="I435">
        <f>IFERROR(IF($B$1=0,"",IF(ISNUMBER(INDEX(貼り付け!$A$1:$BZ$3001,434,$B$1)),"",SUBSTITUTE(SUBSTITUTE(SUBSTITUTE(SUBSTITUTE(TRIM(LEFT(INDEX(貼り付け!$A$1:$BZ$3001,434,$B$1)&amp;"",FIND(" ",TRIM(INDEX(貼り付け!$A$1:$BZ$3001,434,$B$1)&amp;"")&amp;" ")-1)),"/","-"),"年","-"),"月","-"),"日",""))),"")</f>
        <v/>
      </c>
      <c r="J435">
        <f>IFERROR(MID(I435,FIND("-",I435)+1,99),"")</f>
        <v/>
      </c>
    </row>
    <row r="436">
      <c r="B436">
        <f>IFERROR(IF($B$1=0,"",IF(INDEX(貼り付け!$A$1:$BZ$3001,435,$B$1)="","",IF(ISNUMBER(INDEX(貼り付け!$A$1:$BZ$3001,435,$B$1)),INT(INDEX(貼り付け!$A$1:$BZ$3001,435,$B$1)),DATE(VALUE(LEFT(I436,FIND("-",I436)-1)),VALUE(LEFT(J436,FIND("-",J436)-1)),VALUE(MID(J436,FIND("-",J436)+1,99)))))),"")</f>
        <v/>
      </c>
      <c r="C436">
        <f>IF($C$1=0,0,IFERROR(VALUE(SUBSTITUTE(SUBSTITUTE(SUBSTITUTE(INDEX(貼り付け!$A$1:$BZ$3001,435,$C$1)&amp;"",",",""),"¥",""),"￥","")),0))</f>
        <v/>
      </c>
      <c r="D436">
        <f>IF($D$1=0,0,IFERROR(VALUE(SUBSTITUTE(SUBSTITUTE(SUBSTITUTE(INDEX(貼り付け!$A$1:$BZ$3001,435,$D$1)&amp;"",",",""),"¥",""),"￥","")),0))</f>
        <v/>
      </c>
      <c r="E436">
        <f>IF($E$1=0,0,IFERROR(VALUE(SUBSTITUTE(SUBSTITUTE(SUBSTITUTE(INDEX(貼り付け!$A$1:$BZ$3001,435,$E$1)&amp;"",",",""),"¥",""),"￥","")),0))</f>
        <v/>
      </c>
      <c r="F436">
        <f>IF($F$1=0,0,IFERROR(VALUE(SUBSTITUTE(SUBSTITUTE(SUBSTITUTE(INDEX(貼り付け!$A$1:$BZ$3001,435,$F$1)&amp;"",",",""),"¥",""),"￥","")),0))</f>
        <v/>
      </c>
      <c r="G436">
        <f>IF(ISNUMBER(B436),YEAR(B436),"")</f>
        <v/>
      </c>
      <c r="H436">
        <f>IF(ISNUMBER(B436),MONTH(B436),"")</f>
        <v/>
      </c>
      <c r="I436">
        <f>IFERROR(IF($B$1=0,"",IF(ISNUMBER(INDEX(貼り付け!$A$1:$BZ$3001,435,$B$1)),"",SUBSTITUTE(SUBSTITUTE(SUBSTITUTE(SUBSTITUTE(TRIM(LEFT(INDEX(貼り付け!$A$1:$BZ$3001,435,$B$1)&amp;"",FIND(" ",TRIM(INDEX(貼り付け!$A$1:$BZ$3001,435,$B$1)&amp;"")&amp;" ")-1)),"/","-"),"年","-"),"月","-"),"日",""))),"")</f>
        <v/>
      </c>
      <c r="J436">
        <f>IFERROR(MID(I436,FIND("-",I436)+1,99),"")</f>
        <v/>
      </c>
    </row>
    <row r="437">
      <c r="B437">
        <f>IFERROR(IF($B$1=0,"",IF(INDEX(貼り付け!$A$1:$BZ$3001,436,$B$1)="","",IF(ISNUMBER(INDEX(貼り付け!$A$1:$BZ$3001,436,$B$1)),INT(INDEX(貼り付け!$A$1:$BZ$3001,436,$B$1)),DATE(VALUE(LEFT(I437,FIND("-",I437)-1)),VALUE(LEFT(J437,FIND("-",J437)-1)),VALUE(MID(J437,FIND("-",J437)+1,99)))))),"")</f>
        <v/>
      </c>
      <c r="C437">
        <f>IF($C$1=0,0,IFERROR(VALUE(SUBSTITUTE(SUBSTITUTE(SUBSTITUTE(INDEX(貼り付け!$A$1:$BZ$3001,436,$C$1)&amp;"",",",""),"¥",""),"￥","")),0))</f>
        <v/>
      </c>
      <c r="D437">
        <f>IF($D$1=0,0,IFERROR(VALUE(SUBSTITUTE(SUBSTITUTE(SUBSTITUTE(INDEX(貼り付け!$A$1:$BZ$3001,436,$D$1)&amp;"",",",""),"¥",""),"￥","")),0))</f>
        <v/>
      </c>
      <c r="E437">
        <f>IF($E$1=0,0,IFERROR(VALUE(SUBSTITUTE(SUBSTITUTE(SUBSTITUTE(INDEX(貼り付け!$A$1:$BZ$3001,436,$E$1)&amp;"",",",""),"¥",""),"￥","")),0))</f>
        <v/>
      </c>
      <c r="F437">
        <f>IF($F$1=0,0,IFERROR(VALUE(SUBSTITUTE(SUBSTITUTE(SUBSTITUTE(INDEX(貼り付け!$A$1:$BZ$3001,436,$F$1)&amp;"",",",""),"¥",""),"￥","")),0))</f>
        <v/>
      </c>
      <c r="G437">
        <f>IF(ISNUMBER(B437),YEAR(B437),"")</f>
        <v/>
      </c>
      <c r="H437">
        <f>IF(ISNUMBER(B437),MONTH(B437),"")</f>
        <v/>
      </c>
      <c r="I437">
        <f>IFERROR(IF($B$1=0,"",IF(ISNUMBER(INDEX(貼り付け!$A$1:$BZ$3001,436,$B$1)),"",SUBSTITUTE(SUBSTITUTE(SUBSTITUTE(SUBSTITUTE(TRIM(LEFT(INDEX(貼り付け!$A$1:$BZ$3001,436,$B$1)&amp;"",FIND(" ",TRIM(INDEX(貼り付け!$A$1:$BZ$3001,436,$B$1)&amp;"")&amp;" ")-1)),"/","-"),"年","-"),"月","-"),"日",""))),"")</f>
        <v/>
      </c>
      <c r="J437">
        <f>IFERROR(MID(I437,FIND("-",I437)+1,99),"")</f>
        <v/>
      </c>
    </row>
    <row r="438">
      <c r="B438">
        <f>IFERROR(IF($B$1=0,"",IF(INDEX(貼り付け!$A$1:$BZ$3001,437,$B$1)="","",IF(ISNUMBER(INDEX(貼り付け!$A$1:$BZ$3001,437,$B$1)),INT(INDEX(貼り付け!$A$1:$BZ$3001,437,$B$1)),DATE(VALUE(LEFT(I438,FIND("-",I438)-1)),VALUE(LEFT(J438,FIND("-",J438)-1)),VALUE(MID(J438,FIND("-",J438)+1,99)))))),"")</f>
        <v/>
      </c>
      <c r="C438">
        <f>IF($C$1=0,0,IFERROR(VALUE(SUBSTITUTE(SUBSTITUTE(SUBSTITUTE(INDEX(貼り付け!$A$1:$BZ$3001,437,$C$1)&amp;"",",",""),"¥",""),"￥","")),0))</f>
        <v/>
      </c>
      <c r="D438">
        <f>IF($D$1=0,0,IFERROR(VALUE(SUBSTITUTE(SUBSTITUTE(SUBSTITUTE(INDEX(貼り付け!$A$1:$BZ$3001,437,$D$1)&amp;"",",",""),"¥",""),"￥","")),0))</f>
        <v/>
      </c>
      <c r="E438">
        <f>IF($E$1=0,0,IFERROR(VALUE(SUBSTITUTE(SUBSTITUTE(SUBSTITUTE(INDEX(貼り付け!$A$1:$BZ$3001,437,$E$1)&amp;"",",",""),"¥",""),"￥","")),0))</f>
        <v/>
      </c>
      <c r="F438">
        <f>IF($F$1=0,0,IFERROR(VALUE(SUBSTITUTE(SUBSTITUTE(SUBSTITUTE(INDEX(貼り付け!$A$1:$BZ$3001,437,$F$1)&amp;"",",",""),"¥",""),"￥","")),0))</f>
        <v/>
      </c>
      <c r="G438">
        <f>IF(ISNUMBER(B438),YEAR(B438),"")</f>
        <v/>
      </c>
      <c r="H438">
        <f>IF(ISNUMBER(B438),MONTH(B438),"")</f>
        <v/>
      </c>
      <c r="I438">
        <f>IFERROR(IF($B$1=0,"",IF(ISNUMBER(INDEX(貼り付け!$A$1:$BZ$3001,437,$B$1)),"",SUBSTITUTE(SUBSTITUTE(SUBSTITUTE(SUBSTITUTE(TRIM(LEFT(INDEX(貼り付け!$A$1:$BZ$3001,437,$B$1)&amp;"",FIND(" ",TRIM(INDEX(貼り付け!$A$1:$BZ$3001,437,$B$1)&amp;"")&amp;" ")-1)),"/","-"),"年","-"),"月","-"),"日",""))),"")</f>
        <v/>
      </c>
      <c r="J438">
        <f>IFERROR(MID(I438,FIND("-",I438)+1,99),"")</f>
        <v/>
      </c>
    </row>
    <row r="439">
      <c r="B439">
        <f>IFERROR(IF($B$1=0,"",IF(INDEX(貼り付け!$A$1:$BZ$3001,438,$B$1)="","",IF(ISNUMBER(INDEX(貼り付け!$A$1:$BZ$3001,438,$B$1)),INT(INDEX(貼り付け!$A$1:$BZ$3001,438,$B$1)),DATE(VALUE(LEFT(I439,FIND("-",I439)-1)),VALUE(LEFT(J439,FIND("-",J439)-1)),VALUE(MID(J439,FIND("-",J439)+1,99)))))),"")</f>
        <v/>
      </c>
      <c r="C439">
        <f>IF($C$1=0,0,IFERROR(VALUE(SUBSTITUTE(SUBSTITUTE(SUBSTITUTE(INDEX(貼り付け!$A$1:$BZ$3001,438,$C$1)&amp;"",",",""),"¥",""),"￥","")),0))</f>
        <v/>
      </c>
      <c r="D439">
        <f>IF($D$1=0,0,IFERROR(VALUE(SUBSTITUTE(SUBSTITUTE(SUBSTITUTE(INDEX(貼り付け!$A$1:$BZ$3001,438,$D$1)&amp;"",",",""),"¥",""),"￥","")),0))</f>
        <v/>
      </c>
      <c r="E439">
        <f>IF($E$1=0,0,IFERROR(VALUE(SUBSTITUTE(SUBSTITUTE(SUBSTITUTE(INDEX(貼り付け!$A$1:$BZ$3001,438,$E$1)&amp;"",",",""),"¥",""),"￥","")),0))</f>
        <v/>
      </c>
      <c r="F439">
        <f>IF($F$1=0,0,IFERROR(VALUE(SUBSTITUTE(SUBSTITUTE(SUBSTITUTE(INDEX(貼り付け!$A$1:$BZ$3001,438,$F$1)&amp;"",",",""),"¥",""),"￥","")),0))</f>
        <v/>
      </c>
      <c r="G439">
        <f>IF(ISNUMBER(B439),YEAR(B439),"")</f>
        <v/>
      </c>
      <c r="H439">
        <f>IF(ISNUMBER(B439),MONTH(B439),"")</f>
        <v/>
      </c>
      <c r="I439">
        <f>IFERROR(IF($B$1=0,"",IF(ISNUMBER(INDEX(貼り付け!$A$1:$BZ$3001,438,$B$1)),"",SUBSTITUTE(SUBSTITUTE(SUBSTITUTE(SUBSTITUTE(TRIM(LEFT(INDEX(貼り付け!$A$1:$BZ$3001,438,$B$1)&amp;"",FIND(" ",TRIM(INDEX(貼り付け!$A$1:$BZ$3001,438,$B$1)&amp;"")&amp;" ")-1)),"/","-"),"年","-"),"月","-"),"日",""))),"")</f>
        <v/>
      </c>
      <c r="J439">
        <f>IFERROR(MID(I439,FIND("-",I439)+1,99),"")</f>
        <v/>
      </c>
    </row>
    <row r="440">
      <c r="B440">
        <f>IFERROR(IF($B$1=0,"",IF(INDEX(貼り付け!$A$1:$BZ$3001,439,$B$1)="","",IF(ISNUMBER(INDEX(貼り付け!$A$1:$BZ$3001,439,$B$1)),INT(INDEX(貼り付け!$A$1:$BZ$3001,439,$B$1)),DATE(VALUE(LEFT(I440,FIND("-",I440)-1)),VALUE(LEFT(J440,FIND("-",J440)-1)),VALUE(MID(J440,FIND("-",J440)+1,99)))))),"")</f>
        <v/>
      </c>
      <c r="C440">
        <f>IF($C$1=0,0,IFERROR(VALUE(SUBSTITUTE(SUBSTITUTE(SUBSTITUTE(INDEX(貼り付け!$A$1:$BZ$3001,439,$C$1)&amp;"",",",""),"¥",""),"￥","")),0))</f>
        <v/>
      </c>
      <c r="D440">
        <f>IF($D$1=0,0,IFERROR(VALUE(SUBSTITUTE(SUBSTITUTE(SUBSTITUTE(INDEX(貼り付け!$A$1:$BZ$3001,439,$D$1)&amp;"",",",""),"¥",""),"￥","")),0))</f>
        <v/>
      </c>
      <c r="E440">
        <f>IF($E$1=0,0,IFERROR(VALUE(SUBSTITUTE(SUBSTITUTE(SUBSTITUTE(INDEX(貼り付け!$A$1:$BZ$3001,439,$E$1)&amp;"",",",""),"¥",""),"￥","")),0))</f>
        <v/>
      </c>
      <c r="F440">
        <f>IF($F$1=0,0,IFERROR(VALUE(SUBSTITUTE(SUBSTITUTE(SUBSTITUTE(INDEX(貼り付け!$A$1:$BZ$3001,439,$F$1)&amp;"",",",""),"¥",""),"￥","")),0))</f>
        <v/>
      </c>
      <c r="G440">
        <f>IF(ISNUMBER(B440),YEAR(B440),"")</f>
        <v/>
      </c>
      <c r="H440">
        <f>IF(ISNUMBER(B440),MONTH(B440),"")</f>
        <v/>
      </c>
      <c r="I440">
        <f>IFERROR(IF($B$1=0,"",IF(ISNUMBER(INDEX(貼り付け!$A$1:$BZ$3001,439,$B$1)),"",SUBSTITUTE(SUBSTITUTE(SUBSTITUTE(SUBSTITUTE(TRIM(LEFT(INDEX(貼り付け!$A$1:$BZ$3001,439,$B$1)&amp;"",FIND(" ",TRIM(INDEX(貼り付け!$A$1:$BZ$3001,439,$B$1)&amp;"")&amp;" ")-1)),"/","-"),"年","-"),"月","-"),"日",""))),"")</f>
        <v/>
      </c>
      <c r="J440">
        <f>IFERROR(MID(I440,FIND("-",I440)+1,99),"")</f>
        <v/>
      </c>
    </row>
    <row r="441">
      <c r="B441">
        <f>IFERROR(IF($B$1=0,"",IF(INDEX(貼り付け!$A$1:$BZ$3001,440,$B$1)="","",IF(ISNUMBER(INDEX(貼り付け!$A$1:$BZ$3001,440,$B$1)),INT(INDEX(貼り付け!$A$1:$BZ$3001,440,$B$1)),DATE(VALUE(LEFT(I441,FIND("-",I441)-1)),VALUE(LEFT(J441,FIND("-",J441)-1)),VALUE(MID(J441,FIND("-",J441)+1,99)))))),"")</f>
        <v/>
      </c>
      <c r="C441">
        <f>IF($C$1=0,0,IFERROR(VALUE(SUBSTITUTE(SUBSTITUTE(SUBSTITUTE(INDEX(貼り付け!$A$1:$BZ$3001,440,$C$1)&amp;"",",",""),"¥",""),"￥","")),0))</f>
        <v/>
      </c>
      <c r="D441">
        <f>IF($D$1=0,0,IFERROR(VALUE(SUBSTITUTE(SUBSTITUTE(SUBSTITUTE(INDEX(貼り付け!$A$1:$BZ$3001,440,$D$1)&amp;"",",",""),"¥",""),"￥","")),0))</f>
        <v/>
      </c>
      <c r="E441">
        <f>IF($E$1=0,0,IFERROR(VALUE(SUBSTITUTE(SUBSTITUTE(SUBSTITUTE(INDEX(貼り付け!$A$1:$BZ$3001,440,$E$1)&amp;"",",",""),"¥",""),"￥","")),0))</f>
        <v/>
      </c>
      <c r="F441">
        <f>IF($F$1=0,0,IFERROR(VALUE(SUBSTITUTE(SUBSTITUTE(SUBSTITUTE(INDEX(貼り付け!$A$1:$BZ$3001,440,$F$1)&amp;"",",",""),"¥",""),"￥","")),0))</f>
        <v/>
      </c>
      <c r="G441">
        <f>IF(ISNUMBER(B441),YEAR(B441),"")</f>
        <v/>
      </c>
      <c r="H441">
        <f>IF(ISNUMBER(B441),MONTH(B441),"")</f>
        <v/>
      </c>
      <c r="I441">
        <f>IFERROR(IF($B$1=0,"",IF(ISNUMBER(INDEX(貼り付け!$A$1:$BZ$3001,440,$B$1)),"",SUBSTITUTE(SUBSTITUTE(SUBSTITUTE(SUBSTITUTE(TRIM(LEFT(INDEX(貼り付け!$A$1:$BZ$3001,440,$B$1)&amp;"",FIND(" ",TRIM(INDEX(貼り付け!$A$1:$BZ$3001,440,$B$1)&amp;"")&amp;" ")-1)),"/","-"),"年","-"),"月","-"),"日",""))),"")</f>
        <v/>
      </c>
      <c r="J441">
        <f>IFERROR(MID(I441,FIND("-",I441)+1,99),"")</f>
        <v/>
      </c>
    </row>
    <row r="442">
      <c r="B442">
        <f>IFERROR(IF($B$1=0,"",IF(INDEX(貼り付け!$A$1:$BZ$3001,441,$B$1)="","",IF(ISNUMBER(INDEX(貼り付け!$A$1:$BZ$3001,441,$B$1)),INT(INDEX(貼り付け!$A$1:$BZ$3001,441,$B$1)),DATE(VALUE(LEFT(I442,FIND("-",I442)-1)),VALUE(LEFT(J442,FIND("-",J442)-1)),VALUE(MID(J442,FIND("-",J442)+1,99)))))),"")</f>
        <v/>
      </c>
      <c r="C442">
        <f>IF($C$1=0,0,IFERROR(VALUE(SUBSTITUTE(SUBSTITUTE(SUBSTITUTE(INDEX(貼り付け!$A$1:$BZ$3001,441,$C$1)&amp;"",",",""),"¥",""),"￥","")),0))</f>
        <v/>
      </c>
      <c r="D442">
        <f>IF($D$1=0,0,IFERROR(VALUE(SUBSTITUTE(SUBSTITUTE(SUBSTITUTE(INDEX(貼り付け!$A$1:$BZ$3001,441,$D$1)&amp;"",",",""),"¥",""),"￥","")),0))</f>
        <v/>
      </c>
      <c r="E442">
        <f>IF($E$1=0,0,IFERROR(VALUE(SUBSTITUTE(SUBSTITUTE(SUBSTITUTE(INDEX(貼り付け!$A$1:$BZ$3001,441,$E$1)&amp;"",",",""),"¥",""),"￥","")),0))</f>
        <v/>
      </c>
      <c r="F442">
        <f>IF($F$1=0,0,IFERROR(VALUE(SUBSTITUTE(SUBSTITUTE(SUBSTITUTE(INDEX(貼り付け!$A$1:$BZ$3001,441,$F$1)&amp;"",",",""),"¥",""),"￥","")),0))</f>
        <v/>
      </c>
      <c r="G442">
        <f>IF(ISNUMBER(B442),YEAR(B442),"")</f>
        <v/>
      </c>
      <c r="H442">
        <f>IF(ISNUMBER(B442),MONTH(B442),"")</f>
        <v/>
      </c>
      <c r="I442">
        <f>IFERROR(IF($B$1=0,"",IF(ISNUMBER(INDEX(貼り付け!$A$1:$BZ$3001,441,$B$1)),"",SUBSTITUTE(SUBSTITUTE(SUBSTITUTE(SUBSTITUTE(TRIM(LEFT(INDEX(貼り付け!$A$1:$BZ$3001,441,$B$1)&amp;"",FIND(" ",TRIM(INDEX(貼り付け!$A$1:$BZ$3001,441,$B$1)&amp;"")&amp;" ")-1)),"/","-"),"年","-"),"月","-"),"日",""))),"")</f>
        <v/>
      </c>
      <c r="J442">
        <f>IFERROR(MID(I442,FIND("-",I442)+1,99),"")</f>
        <v/>
      </c>
    </row>
    <row r="443">
      <c r="B443">
        <f>IFERROR(IF($B$1=0,"",IF(INDEX(貼り付け!$A$1:$BZ$3001,442,$B$1)="","",IF(ISNUMBER(INDEX(貼り付け!$A$1:$BZ$3001,442,$B$1)),INT(INDEX(貼り付け!$A$1:$BZ$3001,442,$B$1)),DATE(VALUE(LEFT(I443,FIND("-",I443)-1)),VALUE(LEFT(J443,FIND("-",J443)-1)),VALUE(MID(J443,FIND("-",J443)+1,99)))))),"")</f>
        <v/>
      </c>
      <c r="C443">
        <f>IF($C$1=0,0,IFERROR(VALUE(SUBSTITUTE(SUBSTITUTE(SUBSTITUTE(INDEX(貼り付け!$A$1:$BZ$3001,442,$C$1)&amp;"",",",""),"¥",""),"￥","")),0))</f>
        <v/>
      </c>
      <c r="D443">
        <f>IF($D$1=0,0,IFERROR(VALUE(SUBSTITUTE(SUBSTITUTE(SUBSTITUTE(INDEX(貼り付け!$A$1:$BZ$3001,442,$D$1)&amp;"",",",""),"¥",""),"￥","")),0))</f>
        <v/>
      </c>
      <c r="E443">
        <f>IF($E$1=0,0,IFERROR(VALUE(SUBSTITUTE(SUBSTITUTE(SUBSTITUTE(INDEX(貼り付け!$A$1:$BZ$3001,442,$E$1)&amp;"",",",""),"¥",""),"￥","")),0))</f>
        <v/>
      </c>
      <c r="F443">
        <f>IF($F$1=0,0,IFERROR(VALUE(SUBSTITUTE(SUBSTITUTE(SUBSTITUTE(INDEX(貼り付け!$A$1:$BZ$3001,442,$F$1)&amp;"",",",""),"¥",""),"￥","")),0))</f>
        <v/>
      </c>
      <c r="G443">
        <f>IF(ISNUMBER(B443),YEAR(B443),"")</f>
        <v/>
      </c>
      <c r="H443">
        <f>IF(ISNUMBER(B443),MONTH(B443),"")</f>
        <v/>
      </c>
      <c r="I443">
        <f>IFERROR(IF($B$1=0,"",IF(ISNUMBER(INDEX(貼り付け!$A$1:$BZ$3001,442,$B$1)),"",SUBSTITUTE(SUBSTITUTE(SUBSTITUTE(SUBSTITUTE(TRIM(LEFT(INDEX(貼り付け!$A$1:$BZ$3001,442,$B$1)&amp;"",FIND(" ",TRIM(INDEX(貼り付け!$A$1:$BZ$3001,442,$B$1)&amp;"")&amp;" ")-1)),"/","-"),"年","-"),"月","-"),"日",""))),"")</f>
        <v/>
      </c>
      <c r="J443">
        <f>IFERROR(MID(I443,FIND("-",I443)+1,99),"")</f>
        <v/>
      </c>
    </row>
    <row r="444">
      <c r="B444">
        <f>IFERROR(IF($B$1=0,"",IF(INDEX(貼り付け!$A$1:$BZ$3001,443,$B$1)="","",IF(ISNUMBER(INDEX(貼り付け!$A$1:$BZ$3001,443,$B$1)),INT(INDEX(貼り付け!$A$1:$BZ$3001,443,$B$1)),DATE(VALUE(LEFT(I444,FIND("-",I444)-1)),VALUE(LEFT(J444,FIND("-",J444)-1)),VALUE(MID(J444,FIND("-",J444)+1,99)))))),"")</f>
        <v/>
      </c>
      <c r="C444">
        <f>IF($C$1=0,0,IFERROR(VALUE(SUBSTITUTE(SUBSTITUTE(SUBSTITUTE(INDEX(貼り付け!$A$1:$BZ$3001,443,$C$1)&amp;"",",",""),"¥",""),"￥","")),0))</f>
        <v/>
      </c>
      <c r="D444">
        <f>IF($D$1=0,0,IFERROR(VALUE(SUBSTITUTE(SUBSTITUTE(SUBSTITUTE(INDEX(貼り付け!$A$1:$BZ$3001,443,$D$1)&amp;"",",",""),"¥",""),"￥","")),0))</f>
        <v/>
      </c>
      <c r="E444">
        <f>IF($E$1=0,0,IFERROR(VALUE(SUBSTITUTE(SUBSTITUTE(SUBSTITUTE(INDEX(貼り付け!$A$1:$BZ$3001,443,$E$1)&amp;"",",",""),"¥",""),"￥","")),0))</f>
        <v/>
      </c>
      <c r="F444">
        <f>IF($F$1=0,0,IFERROR(VALUE(SUBSTITUTE(SUBSTITUTE(SUBSTITUTE(INDEX(貼り付け!$A$1:$BZ$3001,443,$F$1)&amp;"",",",""),"¥",""),"￥","")),0))</f>
        <v/>
      </c>
      <c r="G444">
        <f>IF(ISNUMBER(B444),YEAR(B444),"")</f>
        <v/>
      </c>
      <c r="H444">
        <f>IF(ISNUMBER(B444),MONTH(B444),"")</f>
        <v/>
      </c>
      <c r="I444">
        <f>IFERROR(IF($B$1=0,"",IF(ISNUMBER(INDEX(貼り付け!$A$1:$BZ$3001,443,$B$1)),"",SUBSTITUTE(SUBSTITUTE(SUBSTITUTE(SUBSTITUTE(TRIM(LEFT(INDEX(貼り付け!$A$1:$BZ$3001,443,$B$1)&amp;"",FIND(" ",TRIM(INDEX(貼り付け!$A$1:$BZ$3001,443,$B$1)&amp;"")&amp;" ")-1)),"/","-"),"年","-"),"月","-"),"日",""))),"")</f>
        <v/>
      </c>
      <c r="J444">
        <f>IFERROR(MID(I444,FIND("-",I444)+1,99),"")</f>
        <v/>
      </c>
    </row>
    <row r="445">
      <c r="B445">
        <f>IFERROR(IF($B$1=0,"",IF(INDEX(貼り付け!$A$1:$BZ$3001,444,$B$1)="","",IF(ISNUMBER(INDEX(貼り付け!$A$1:$BZ$3001,444,$B$1)),INT(INDEX(貼り付け!$A$1:$BZ$3001,444,$B$1)),DATE(VALUE(LEFT(I445,FIND("-",I445)-1)),VALUE(LEFT(J445,FIND("-",J445)-1)),VALUE(MID(J445,FIND("-",J445)+1,99)))))),"")</f>
        <v/>
      </c>
      <c r="C445">
        <f>IF($C$1=0,0,IFERROR(VALUE(SUBSTITUTE(SUBSTITUTE(SUBSTITUTE(INDEX(貼り付け!$A$1:$BZ$3001,444,$C$1)&amp;"",",",""),"¥",""),"￥","")),0))</f>
        <v/>
      </c>
      <c r="D445">
        <f>IF($D$1=0,0,IFERROR(VALUE(SUBSTITUTE(SUBSTITUTE(SUBSTITUTE(INDEX(貼り付け!$A$1:$BZ$3001,444,$D$1)&amp;"",",",""),"¥",""),"￥","")),0))</f>
        <v/>
      </c>
      <c r="E445">
        <f>IF($E$1=0,0,IFERROR(VALUE(SUBSTITUTE(SUBSTITUTE(SUBSTITUTE(INDEX(貼り付け!$A$1:$BZ$3001,444,$E$1)&amp;"",",",""),"¥",""),"￥","")),0))</f>
        <v/>
      </c>
      <c r="F445">
        <f>IF($F$1=0,0,IFERROR(VALUE(SUBSTITUTE(SUBSTITUTE(SUBSTITUTE(INDEX(貼り付け!$A$1:$BZ$3001,444,$F$1)&amp;"",",",""),"¥",""),"￥","")),0))</f>
        <v/>
      </c>
      <c r="G445">
        <f>IF(ISNUMBER(B445),YEAR(B445),"")</f>
        <v/>
      </c>
      <c r="H445">
        <f>IF(ISNUMBER(B445),MONTH(B445),"")</f>
        <v/>
      </c>
      <c r="I445">
        <f>IFERROR(IF($B$1=0,"",IF(ISNUMBER(INDEX(貼り付け!$A$1:$BZ$3001,444,$B$1)),"",SUBSTITUTE(SUBSTITUTE(SUBSTITUTE(SUBSTITUTE(TRIM(LEFT(INDEX(貼り付け!$A$1:$BZ$3001,444,$B$1)&amp;"",FIND(" ",TRIM(INDEX(貼り付け!$A$1:$BZ$3001,444,$B$1)&amp;"")&amp;" ")-1)),"/","-"),"年","-"),"月","-"),"日",""))),"")</f>
        <v/>
      </c>
      <c r="J445">
        <f>IFERROR(MID(I445,FIND("-",I445)+1,99),"")</f>
        <v/>
      </c>
    </row>
    <row r="446">
      <c r="B446">
        <f>IFERROR(IF($B$1=0,"",IF(INDEX(貼り付け!$A$1:$BZ$3001,445,$B$1)="","",IF(ISNUMBER(INDEX(貼り付け!$A$1:$BZ$3001,445,$B$1)),INT(INDEX(貼り付け!$A$1:$BZ$3001,445,$B$1)),DATE(VALUE(LEFT(I446,FIND("-",I446)-1)),VALUE(LEFT(J446,FIND("-",J446)-1)),VALUE(MID(J446,FIND("-",J446)+1,99)))))),"")</f>
        <v/>
      </c>
      <c r="C446">
        <f>IF($C$1=0,0,IFERROR(VALUE(SUBSTITUTE(SUBSTITUTE(SUBSTITUTE(INDEX(貼り付け!$A$1:$BZ$3001,445,$C$1)&amp;"",",",""),"¥",""),"￥","")),0))</f>
        <v/>
      </c>
      <c r="D446">
        <f>IF($D$1=0,0,IFERROR(VALUE(SUBSTITUTE(SUBSTITUTE(SUBSTITUTE(INDEX(貼り付け!$A$1:$BZ$3001,445,$D$1)&amp;"",",",""),"¥",""),"￥","")),0))</f>
        <v/>
      </c>
      <c r="E446">
        <f>IF($E$1=0,0,IFERROR(VALUE(SUBSTITUTE(SUBSTITUTE(SUBSTITUTE(INDEX(貼り付け!$A$1:$BZ$3001,445,$E$1)&amp;"",",",""),"¥",""),"￥","")),0))</f>
        <v/>
      </c>
      <c r="F446">
        <f>IF($F$1=0,0,IFERROR(VALUE(SUBSTITUTE(SUBSTITUTE(SUBSTITUTE(INDEX(貼り付け!$A$1:$BZ$3001,445,$F$1)&amp;"",",",""),"¥",""),"￥","")),0))</f>
        <v/>
      </c>
      <c r="G446">
        <f>IF(ISNUMBER(B446),YEAR(B446),"")</f>
        <v/>
      </c>
      <c r="H446">
        <f>IF(ISNUMBER(B446),MONTH(B446),"")</f>
        <v/>
      </c>
      <c r="I446">
        <f>IFERROR(IF($B$1=0,"",IF(ISNUMBER(INDEX(貼り付け!$A$1:$BZ$3001,445,$B$1)),"",SUBSTITUTE(SUBSTITUTE(SUBSTITUTE(SUBSTITUTE(TRIM(LEFT(INDEX(貼り付け!$A$1:$BZ$3001,445,$B$1)&amp;"",FIND(" ",TRIM(INDEX(貼り付け!$A$1:$BZ$3001,445,$B$1)&amp;"")&amp;" ")-1)),"/","-"),"年","-"),"月","-"),"日",""))),"")</f>
        <v/>
      </c>
      <c r="J446">
        <f>IFERROR(MID(I446,FIND("-",I446)+1,99),"")</f>
        <v/>
      </c>
    </row>
    <row r="447">
      <c r="B447">
        <f>IFERROR(IF($B$1=0,"",IF(INDEX(貼り付け!$A$1:$BZ$3001,446,$B$1)="","",IF(ISNUMBER(INDEX(貼り付け!$A$1:$BZ$3001,446,$B$1)),INT(INDEX(貼り付け!$A$1:$BZ$3001,446,$B$1)),DATE(VALUE(LEFT(I447,FIND("-",I447)-1)),VALUE(LEFT(J447,FIND("-",J447)-1)),VALUE(MID(J447,FIND("-",J447)+1,99)))))),"")</f>
        <v/>
      </c>
      <c r="C447">
        <f>IF($C$1=0,0,IFERROR(VALUE(SUBSTITUTE(SUBSTITUTE(SUBSTITUTE(INDEX(貼り付け!$A$1:$BZ$3001,446,$C$1)&amp;"",",",""),"¥",""),"￥","")),0))</f>
        <v/>
      </c>
      <c r="D447">
        <f>IF($D$1=0,0,IFERROR(VALUE(SUBSTITUTE(SUBSTITUTE(SUBSTITUTE(INDEX(貼り付け!$A$1:$BZ$3001,446,$D$1)&amp;"",",",""),"¥",""),"￥","")),0))</f>
        <v/>
      </c>
      <c r="E447">
        <f>IF($E$1=0,0,IFERROR(VALUE(SUBSTITUTE(SUBSTITUTE(SUBSTITUTE(INDEX(貼り付け!$A$1:$BZ$3001,446,$E$1)&amp;"",",",""),"¥",""),"￥","")),0))</f>
        <v/>
      </c>
      <c r="F447">
        <f>IF($F$1=0,0,IFERROR(VALUE(SUBSTITUTE(SUBSTITUTE(SUBSTITUTE(INDEX(貼り付け!$A$1:$BZ$3001,446,$F$1)&amp;"",",",""),"¥",""),"￥","")),0))</f>
        <v/>
      </c>
      <c r="G447">
        <f>IF(ISNUMBER(B447),YEAR(B447),"")</f>
        <v/>
      </c>
      <c r="H447">
        <f>IF(ISNUMBER(B447),MONTH(B447),"")</f>
        <v/>
      </c>
      <c r="I447">
        <f>IFERROR(IF($B$1=0,"",IF(ISNUMBER(INDEX(貼り付け!$A$1:$BZ$3001,446,$B$1)),"",SUBSTITUTE(SUBSTITUTE(SUBSTITUTE(SUBSTITUTE(TRIM(LEFT(INDEX(貼り付け!$A$1:$BZ$3001,446,$B$1)&amp;"",FIND(" ",TRIM(INDEX(貼り付け!$A$1:$BZ$3001,446,$B$1)&amp;"")&amp;" ")-1)),"/","-"),"年","-"),"月","-"),"日",""))),"")</f>
        <v/>
      </c>
      <c r="J447">
        <f>IFERROR(MID(I447,FIND("-",I447)+1,99),"")</f>
        <v/>
      </c>
    </row>
    <row r="448">
      <c r="B448">
        <f>IFERROR(IF($B$1=0,"",IF(INDEX(貼り付け!$A$1:$BZ$3001,447,$B$1)="","",IF(ISNUMBER(INDEX(貼り付け!$A$1:$BZ$3001,447,$B$1)),INT(INDEX(貼り付け!$A$1:$BZ$3001,447,$B$1)),DATE(VALUE(LEFT(I448,FIND("-",I448)-1)),VALUE(LEFT(J448,FIND("-",J448)-1)),VALUE(MID(J448,FIND("-",J448)+1,99)))))),"")</f>
        <v/>
      </c>
      <c r="C448">
        <f>IF($C$1=0,0,IFERROR(VALUE(SUBSTITUTE(SUBSTITUTE(SUBSTITUTE(INDEX(貼り付け!$A$1:$BZ$3001,447,$C$1)&amp;"",",",""),"¥",""),"￥","")),0))</f>
        <v/>
      </c>
      <c r="D448">
        <f>IF($D$1=0,0,IFERROR(VALUE(SUBSTITUTE(SUBSTITUTE(SUBSTITUTE(INDEX(貼り付け!$A$1:$BZ$3001,447,$D$1)&amp;"",",",""),"¥",""),"￥","")),0))</f>
        <v/>
      </c>
      <c r="E448">
        <f>IF($E$1=0,0,IFERROR(VALUE(SUBSTITUTE(SUBSTITUTE(SUBSTITUTE(INDEX(貼り付け!$A$1:$BZ$3001,447,$E$1)&amp;"",",",""),"¥",""),"￥","")),0))</f>
        <v/>
      </c>
      <c r="F448">
        <f>IF($F$1=0,0,IFERROR(VALUE(SUBSTITUTE(SUBSTITUTE(SUBSTITUTE(INDEX(貼り付け!$A$1:$BZ$3001,447,$F$1)&amp;"",",",""),"¥",""),"￥","")),0))</f>
        <v/>
      </c>
      <c r="G448">
        <f>IF(ISNUMBER(B448),YEAR(B448),"")</f>
        <v/>
      </c>
      <c r="H448">
        <f>IF(ISNUMBER(B448),MONTH(B448),"")</f>
        <v/>
      </c>
      <c r="I448">
        <f>IFERROR(IF($B$1=0,"",IF(ISNUMBER(INDEX(貼り付け!$A$1:$BZ$3001,447,$B$1)),"",SUBSTITUTE(SUBSTITUTE(SUBSTITUTE(SUBSTITUTE(TRIM(LEFT(INDEX(貼り付け!$A$1:$BZ$3001,447,$B$1)&amp;"",FIND(" ",TRIM(INDEX(貼り付け!$A$1:$BZ$3001,447,$B$1)&amp;"")&amp;" ")-1)),"/","-"),"年","-"),"月","-"),"日",""))),"")</f>
        <v/>
      </c>
      <c r="J448">
        <f>IFERROR(MID(I448,FIND("-",I448)+1,99),"")</f>
        <v/>
      </c>
    </row>
    <row r="449">
      <c r="B449">
        <f>IFERROR(IF($B$1=0,"",IF(INDEX(貼り付け!$A$1:$BZ$3001,448,$B$1)="","",IF(ISNUMBER(INDEX(貼り付け!$A$1:$BZ$3001,448,$B$1)),INT(INDEX(貼り付け!$A$1:$BZ$3001,448,$B$1)),DATE(VALUE(LEFT(I449,FIND("-",I449)-1)),VALUE(LEFT(J449,FIND("-",J449)-1)),VALUE(MID(J449,FIND("-",J449)+1,99)))))),"")</f>
        <v/>
      </c>
      <c r="C449">
        <f>IF($C$1=0,0,IFERROR(VALUE(SUBSTITUTE(SUBSTITUTE(SUBSTITUTE(INDEX(貼り付け!$A$1:$BZ$3001,448,$C$1)&amp;"",",",""),"¥",""),"￥","")),0))</f>
        <v/>
      </c>
      <c r="D449">
        <f>IF($D$1=0,0,IFERROR(VALUE(SUBSTITUTE(SUBSTITUTE(SUBSTITUTE(INDEX(貼り付け!$A$1:$BZ$3001,448,$D$1)&amp;"",",",""),"¥",""),"￥","")),0))</f>
        <v/>
      </c>
      <c r="E449">
        <f>IF($E$1=0,0,IFERROR(VALUE(SUBSTITUTE(SUBSTITUTE(SUBSTITUTE(INDEX(貼り付け!$A$1:$BZ$3001,448,$E$1)&amp;"",",",""),"¥",""),"￥","")),0))</f>
        <v/>
      </c>
      <c r="F449">
        <f>IF($F$1=0,0,IFERROR(VALUE(SUBSTITUTE(SUBSTITUTE(SUBSTITUTE(INDEX(貼り付け!$A$1:$BZ$3001,448,$F$1)&amp;"",",",""),"¥",""),"￥","")),0))</f>
        <v/>
      </c>
      <c r="G449">
        <f>IF(ISNUMBER(B449),YEAR(B449),"")</f>
        <v/>
      </c>
      <c r="H449">
        <f>IF(ISNUMBER(B449),MONTH(B449),"")</f>
        <v/>
      </c>
      <c r="I449">
        <f>IFERROR(IF($B$1=0,"",IF(ISNUMBER(INDEX(貼り付け!$A$1:$BZ$3001,448,$B$1)),"",SUBSTITUTE(SUBSTITUTE(SUBSTITUTE(SUBSTITUTE(TRIM(LEFT(INDEX(貼り付け!$A$1:$BZ$3001,448,$B$1)&amp;"",FIND(" ",TRIM(INDEX(貼り付け!$A$1:$BZ$3001,448,$B$1)&amp;"")&amp;" ")-1)),"/","-"),"年","-"),"月","-"),"日",""))),"")</f>
        <v/>
      </c>
      <c r="J449">
        <f>IFERROR(MID(I449,FIND("-",I449)+1,99),"")</f>
        <v/>
      </c>
    </row>
    <row r="450">
      <c r="B450">
        <f>IFERROR(IF($B$1=0,"",IF(INDEX(貼り付け!$A$1:$BZ$3001,449,$B$1)="","",IF(ISNUMBER(INDEX(貼り付け!$A$1:$BZ$3001,449,$B$1)),INT(INDEX(貼り付け!$A$1:$BZ$3001,449,$B$1)),DATE(VALUE(LEFT(I450,FIND("-",I450)-1)),VALUE(LEFT(J450,FIND("-",J450)-1)),VALUE(MID(J450,FIND("-",J450)+1,99)))))),"")</f>
        <v/>
      </c>
      <c r="C450">
        <f>IF($C$1=0,0,IFERROR(VALUE(SUBSTITUTE(SUBSTITUTE(SUBSTITUTE(INDEX(貼り付け!$A$1:$BZ$3001,449,$C$1)&amp;"",",",""),"¥",""),"￥","")),0))</f>
        <v/>
      </c>
      <c r="D450">
        <f>IF($D$1=0,0,IFERROR(VALUE(SUBSTITUTE(SUBSTITUTE(SUBSTITUTE(INDEX(貼り付け!$A$1:$BZ$3001,449,$D$1)&amp;"",",",""),"¥",""),"￥","")),0))</f>
        <v/>
      </c>
      <c r="E450">
        <f>IF($E$1=0,0,IFERROR(VALUE(SUBSTITUTE(SUBSTITUTE(SUBSTITUTE(INDEX(貼り付け!$A$1:$BZ$3001,449,$E$1)&amp;"",",",""),"¥",""),"￥","")),0))</f>
        <v/>
      </c>
      <c r="F450">
        <f>IF($F$1=0,0,IFERROR(VALUE(SUBSTITUTE(SUBSTITUTE(SUBSTITUTE(INDEX(貼り付け!$A$1:$BZ$3001,449,$F$1)&amp;"",",",""),"¥",""),"￥","")),0))</f>
        <v/>
      </c>
      <c r="G450">
        <f>IF(ISNUMBER(B450),YEAR(B450),"")</f>
        <v/>
      </c>
      <c r="H450">
        <f>IF(ISNUMBER(B450),MONTH(B450),"")</f>
        <v/>
      </c>
      <c r="I450">
        <f>IFERROR(IF($B$1=0,"",IF(ISNUMBER(INDEX(貼り付け!$A$1:$BZ$3001,449,$B$1)),"",SUBSTITUTE(SUBSTITUTE(SUBSTITUTE(SUBSTITUTE(TRIM(LEFT(INDEX(貼り付け!$A$1:$BZ$3001,449,$B$1)&amp;"",FIND(" ",TRIM(INDEX(貼り付け!$A$1:$BZ$3001,449,$B$1)&amp;"")&amp;" ")-1)),"/","-"),"年","-"),"月","-"),"日",""))),"")</f>
        <v/>
      </c>
      <c r="J450">
        <f>IFERROR(MID(I450,FIND("-",I450)+1,99),"")</f>
        <v/>
      </c>
    </row>
    <row r="451">
      <c r="B451">
        <f>IFERROR(IF($B$1=0,"",IF(INDEX(貼り付け!$A$1:$BZ$3001,450,$B$1)="","",IF(ISNUMBER(INDEX(貼り付け!$A$1:$BZ$3001,450,$B$1)),INT(INDEX(貼り付け!$A$1:$BZ$3001,450,$B$1)),DATE(VALUE(LEFT(I451,FIND("-",I451)-1)),VALUE(LEFT(J451,FIND("-",J451)-1)),VALUE(MID(J451,FIND("-",J451)+1,99)))))),"")</f>
        <v/>
      </c>
      <c r="C451">
        <f>IF($C$1=0,0,IFERROR(VALUE(SUBSTITUTE(SUBSTITUTE(SUBSTITUTE(INDEX(貼り付け!$A$1:$BZ$3001,450,$C$1)&amp;"",",",""),"¥",""),"￥","")),0))</f>
        <v/>
      </c>
      <c r="D451">
        <f>IF($D$1=0,0,IFERROR(VALUE(SUBSTITUTE(SUBSTITUTE(SUBSTITUTE(INDEX(貼り付け!$A$1:$BZ$3001,450,$D$1)&amp;"",",",""),"¥",""),"￥","")),0))</f>
        <v/>
      </c>
      <c r="E451">
        <f>IF($E$1=0,0,IFERROR(VALUE(SUBSTITUTE(SUBSTITUTE(SUBSTITUTE(INDEX(貼り付け!$A$1:$BZ$3001,450,$E$1)&amp;"",",",""),"¥",""),"￥","")),0))</f>
        <v/>
      </c>
      <c r="F451">
        <f>IF($F$1=0,0,IFERROR(VALUE(SUBSTITUTE(SUBSTITUTE(SUBSTITUTE(INDEX(貼り付け!$A$1:$BZ$3001,450,$F$1)&amp;"",",",""),"¥",""),"￥","")),0))</f>
        <v/>
      </c>
      <c r="G451">
        <f>IF(ISNUMBER(B451),YEAR(B451),"")</f>
        <v/>
      </c>
      <c r="H451">
        <f>IF(ISNUMBER(B451),MONTH(B451),"")</f>
        <v/>
      </c>
      <c r="I451">
        <f>IFERROR(IF($B$1=0,"",IF(ISNUMBER(INDEX(貼り付け!$A$1:$BZ$3001,450,$B$1)),"",SUBSTITUTE(SUBSTITUTE(SUBSTITUTE(SUBSTITUTE(TRIM(LEFT(INDEX(貼り付け!$A$1:$BZ$3001,450,$B$1)&amp;"",FIND(" ",TRIM(INDEX(貼り付け!$A$1:$BZ$3001,450,$B$1)&amp;"")&amp;" ")-1)),"/","-"),"年","-"),"月","-"),"日",""))),"")</f>
        <v/>
      </c>
      <c r="J451">
        <f>IFERROR(MID(I451,FIND("-",I451)+1,99),"")</f>
        <v/>
      </c>
    </row>
    <row r="452">
      <c r="B452">
        <f>IFERROR(IF($B$1=0,"",IF(INDEX(貼り付け!$A$1:$BZ$3001,451,$B$1)="","",IF(ISNUMBER(INDEX(貼り付け!$A$1:$BZ$3001,451,$B$1)),INT(INDEX(貼り付け!$A$1:$BZ$3001,451,$B$1)),DATE(VALUE(LEFT(I452,FIND("-",I452)-1)),VALUE(LEFT(J452,FIND("-",J452)-1)),VALUE(MID(J452,FIND("-",J452)+1,99)))))),"")</f>
        <v/>
      </c>
      <c r="C452">
        <f>IF($C$1=0,0,IFERROR(VALUE(SUBSTITUTE(SUBSTITUTE(SUBSTITUTE(INDEX(貼り付け!$A$1:$BZ$3001,451,$C$1)&amp;"",",",""),"¥",""),"￥","")),0))</f>
        <v/>
      </c>
      <c r="D452">
        <f>IF($D$1=0,0,IFERROR(VALUE(SUBSTITUTE(SUBSTITUTE(SUBSTITUTE(INDEX(貼り付け!$A$1:$BZ$3001,451,$D$1)&amp;"",",",""),"¥",""),"￥","")),0))</f>
        <v/>
      </c>
      <c r="E452">
        <f>IF($E$1=0,0,IFERROR(VALUE(SUBSTITUTE(SUBSTITUTE(SUBSTITUTE(INDEX(貼り付け!$A$1:$BZ$3001,451,$E$1)&amp;"",",",""),"¥",""),"￥","")),0))</f>
        <v/>
      </c>
      <c r="F452">
        <f>IF($F$1=0,0,IFERROR(VALUE(SUBSTITUTE(SUBSTITUTE(SUBSTITUTE(INDEX(貼り付け!$A$1:$BZ$3001,451,$F$1)&amp;"",",",""),"¥",""),"￥","")),0))</f>
        <v/>
      </c>
      <c r="G452">
        <f>IF(ISNUMBER(B452),YEAR(B452),"")</f>
        <v/>
      </c>
      <c r="H452">
        <f>IF(ISNUMBER(B452),MONTH(B452),"")</f>
        <v/>
      </c>
      <c r="I452">
        <f>IFERROR(IF($B$1=0,"",IF(ISNUMBER(INDEX(貼り付け!$A$1:$BZ$3001,451,$B$1)),"",SUBSTITUTE(SUBSTITUTE(SUBSTITUTE(SUBSTITUTE(TRIM(LEFT(INDEX(貼り付け!$A$1:$BZ$3001,451,$B$1)&amp;"",FIND(" ",TRIM(INDEX(貼り付け!$A$1:$BZ$3001,451,$B$1)&amp;"")&amp;" ")-1)),"/","-"),"年","-"),"月","-"),"日",""))),"")</f>
        <v/>
      </c>
      <c r="J452">
        <f>IFERROR(MID(I452,FIND("-",I452)+1,99),"")</f>
        <v/>
      </c>
    </row>
    <row r="453">
      <c r="B453">
        <f>IFERROR(IF($B$1=0,"",IF(INDEX(貼り付け!$A$1:$BZ$3001,452,$B$1)="","",IF(ISNUMBER(INDEX(貼り付け!$A$1:$BZ$3001,452,$B$1)),INT(INDEX(貼り付け!$A$1:$BZ$3001,452,$B$1)),DATE(VALUE(LEFT(I453,FIND("-",I453)-1)),VALUE(LEFT(J453,FIND("-",J453)-1)),VALUE(MID(J453,FIND("-",J453)+1,99)))))),"")</f>
        <v/>
      </c>
      <c r="C453">
        <f>IF($C$1=0,0,IFERROR(VALUE(SUBSTITUTE(SUBSTITUTE(SUBSTITUTE(INDEX(貼り付け!$A$1:$BZ$3001,452,$C$1)&amp;"",",",""),"¥",""),"￥","")),0))</f>
        <v/>
      </c>
      <c r="D453">
        <f>IF($D$1=0,0,IFERROR(VALUE(SUBSTITUTE(SUBSTITUTE(SUBSTITUTE(INDEX(貼り付け!$A$1:$BZ$3001,452,$D$1)&amp;"",",",""),"¥",""),"￥","")),0))</f>
        <v/>
      </c>
      <c r="E453">
        <f>IF($E$1=0,0,IFERROR(VALUE(SUBSTITUTE(SUBSTITUTE(SUBSTITUTE(INDEX(貼り付け!$A$1:$BZ$3001,452,$E$1)&amp;"",",",""),"¥",""),"￥","")),0))</f>
        <v/>
      </c>
      <c r="F453">
        <f>IF($F$1=0,0,IFERROR(VALUE(SUBSTITUTE(SUBSTITUTE(SUBSTITUTE(INDEX(貼り付け!$A$1:$BZ$3001,452,$F$1)&amp;"",",",""),"¥",""),"￥","")),0))</f>
        <v/>
      </c>
      <c r="G453">
        <f>IF(ISNUMBER(B453),YEAR(B453),"")</f>
        <v/>
      </c>
      <c r="H453">
        <f>IF(ISNUMBER(B453),MONTH(B453),"")</f>
        <v/>
      </c>
      <c r="I453">
        <f>IFERROR(IF($B$1=0,"",IF(ISNUMBER(INDEX(貼り付け!$A$1:$BZ$3001,452,$B$1)),"",SUBSTITUTE(SUBSTITUTE(SUBSTITUTE(SUBSTITUTE(TRIM(LEFT(INDEX(貼り付け!$A$1:$BZ$3001,452,$B$1)&amp;"",FIND(" ",TRIM(INDEX(貼り付け!$A$1:$BZ$3001,452,$B$1)&amp;"")&amp;" ")-1)),"/","-"),"年","-"),"月","-"),"日",""))),"")</f>
        <v/>
      </c>
      <c r="J453">
        <f>IFERROR(MID(I453,FIND("-",I453)+1,99),"")</f>
        <v/>
      </c>
    </row>
    <row r="454">
      <c r="B454">
        <f>IFERROR(IF($B$1=0,"",IF(INDEX(貼り付け!$A$1:$BZ$3001,453,$B$1)="","",IF(ISNUMBER(INDEX(貼り付け!$A$1:$BZ$3001,453,$B$1)),INT(INDEX(貼り付け!$A$1:$BZ$3001,453,$B$1)),DATE(VALUE(LEFT(I454,FIND("-",I454)-1)),VALUE(LEFT(J454,FIND("-",J454)-1)),VALUE(MID(J454,FIND("-",J454)+1,99)))))),"")</f>
        <v/>
      </c>
      <c r="C454">
        <f>IF($C$1=0,0,IFERROR(VALUE(SUBSTITUTE(SUBSTITUTE(SUBSTITUTE(INDEX(貼り付け!$A$1:$BZ$3001,453,$C$1)&amp;"",",",""),"¥",""),"￥","")),0))</f>
        <v/>
      </c>
      <c r="D454">
        <f>IF($D$1=0,0,IFERROR(VALUE(SUBSTITUTE(SUBSTITUTE(SUBSTITUTE(INDEX(貼り付け!$A$1:$BZ$3001,453,$D$1)&amp;"",",",""),"¥",""),"￥","")),0))</f>
        <v/>
      </c>
      <c r="E454">
        <f>IF($E$1=0,0,IFERROR(VALUE(SUBSTITUTE(SUBSTITUTE(SUBSTITUTE(INDEX(貼り付け!$A$1:$BZ$3001,453,$E$1)&amp;"",",",""),"¥",""),"￥","")),0))</f>
        <v/>
      </c>
      <c r="F454">
        <f>IF($F$1=0,0,IFERROR(VALUE(SUBSTITUTE(SUBSTITUTE(SUBSTITUTE(INDEX(貼り付け!$A$1:$BZ$3001,453,$F$1)&amp;"",",",""),"¥",""),"￥","")),0))</f>
        <v/>
      </c>
      <c r="G454">
        <f>IF(ISNUMBER(B454),YEAR(B454),"")</f>
        <v/>
      </c>
      <c r="H454">
        <f>IF(ISNUMBER(B454),MONTH(B454),"")</f>
        <v/>
      </c>
      <c r="I454">
        <f>IFERROR(IF($B$1=0,"",IF(ISNUMBER(INDEX(貼り付け!$A$1:$BZ$3001,453,$B$1)),"",SUBSTITUTE(SUBSTITUTE(SUBSTITUTE(SUBSTITUTE(TRIM(LEFT(INDEX(貼り付け!$A$1:$BZ$3001,453,$B$1)&amp;"",FIND(" ",TRIM(INDEX(貼り付け!$A$1:$BZ$3001,453,$B$1)&amp;"")&amp;" ")-1)),"/","-"),"年","-"),"月","-"),"日",""))),"")</f>
        <v/>
      </c>
      <c r="J454">
        <f>IFERROR(MID(I454,FIND("-",I454)+1,99),"")</f>
        <v/>
      </c>
    </row>
    <row r="455">
      <c r="B455">
        <f>IFERROR(IF($B$1=0,"",IF(INDEX(貼り付け!$A$1:$BZ$3001,454,$B$1)="","",IF(ISNUMBER(INDEX(貼り付け!$A$1:$BZ$3001,454,$B$1)),INT(INDEX(貼り付け!$A$1:$BZ$3001,454,$B$1)),DATE(VALUE(LEFT(I455,FIND("-",I455)-1)),VALUE(LEFT(J455,FIND("-",J455)-1)),VALUE(MID(J455,FIND("-",J455)+1,99)))))),"")</f>
        <v/>
      </c>
      <c r="C455">
        <f>IF($C$1=0,0,IFERROR(VALUE(SUBSTITUTE(SUBSTITUTE(SUBSTITUTE(INDEX(貼り付け!$A$1:$BZ$3001,454,$C$1)&amp;"",",",""),"¥",""),"￥","")),0))</f>
        <v/>
      </c>
      <c r="D455">
        <f>IF($D$1=0,0,IFERROR(VALUE(SUBSTITUTE(SUBSTITUTE(SUBSTITUTE(INDEX(貼り付け!$A$1:$BZ$3001,454,$D$1)&amp;"",",",""),"¥",""),"￥","")),0))</f>
        <v/>
      </c>
      <c r="E455">
        <f>IF($E$1=0,0,IFERROR(VALUE(SUBSTITUTE(SUBSTITUTE(SUBSTITUTE(INDEX(貼り付け!$A$1:$BZ$3001,454,$E$1)&amp;"",",",""),"¥",""),"￥","")),0))</f>
        <v/>
      </c>
      <c r="F455">
        <f>IF($F$1=0,0,IFERROR(VALUE(SUBSTITUTE(SUBSTITUTE(SUBSTITUTE(INDEX(貼り付け!$A$1:$BZ$3001,454,$F$1)&amp;"",",",""),"¥",""),"￥","")),0))</f>
        <v/>
      </c>
      <c r="G455">
        <f>IF(ISNUMBER(B455),YEAR(B455),"")</f>
        <v/>
      </c>
      <c r="H455">
        <f>IF(ISNUMBER(B455),MONTH(B455),"")</f>
        <v/>
      </c>
      <c r="I455">
        <f>IFERROR(IF($B$1=0,"",IF(ISNUMBER(INDEX(貼り付け!$A$1:$BZ$3001,454,$B$1)),"",SUBSTITUTE(SUBSTITUTE(SUBSTITUTE(SUBSTITUTE(TRIM(LEFT(INDEX(貼り付け!$A$1:$BZ$3001,454,$B$1)&amp;"",FIND(" ",TRIM(INDEX(貼り付け!$A$1:$BZ$3001,454,$B$1)&amp;"")&amp;" ")-1)),"/","-"),"年","-"),"月","-"),"日",""))),"")</f>
        <v/>
      </c>
      <c r="J455">
        <f>IFERROR(MID(I455,FIND("-",I455)+1,99),"")</f>
        <v/>
      </c>
    </row>
    <row r="456">
      <c r="B456">
        <f>IFERROR(IF($B$1=0,"",IF(INDEX(貼り付け!$A$1:$BZ$3001,455,$B$1)="","",IF(ISNUMBER(INDEX(貼り付け!$A$1:$BZ$3001,455,$B$1)),INT(INDEX(貼り付け!$A$1:$BZ$3001,455,$B$1)),DATE(VALUE(LEFT(I456,FIND("-",I456)-1)),VALUE(LEFT(J456,FIND("-",J456)-1)),VALUE(MID(J456,FIND("-",J456)+1,99)))))),"")</f>
        <v/>
      </c>
      <c r="C456">
        <f>IF($C$1=0,0,IFERROR(VALUE(SUBSTITUTE(SUBSTITUTE(SUBSTITUTE(INDEX(貼り付け!$A$1:$BZ$3001,455,$C$1)&amp;"",",",""),"¥",""),"￥","")),0))</f>
        <v/>
      </c>
      <c r="D456">
        <f>IF($D$1=0,0,IFERROR(VALUE(SUBSTITUTE(SUBSTITUTE(SUBSTITUTE(INDEX(貼り付け!$A$1:$BZ$3001,455,$D$1)&amp;"",",",""),"¥",""),"￥","")),0))</f>
        <v/>
      </c>
      <c r="E456">
        <f>IF($E$1=0,0,IFERROR(VALUE(SUBSTITUTE(SUBSTITUTE(SUBSTITUTE(INDEX(貼り付け!$A$1:$BZ$3001,455,$E$1)&amp;"",",",""),"¥",""),"￥","")),0))</f>
        <v/>
      </c>
      <c r="F456">
        <f>IF($F$1=0,0,IFERROR(VALUE(SUBSTITUTE(SUBSTITUTE(SUBSTITUTE(INDEX(貼り付け!$A$1:$BZ$3001,455,$F$1)&amp;"",",",""),"¥",""),"￥","")),0))</f>
        <v/>
      </c>
      <c r="G456">
        <f>IF(ISNUMBER(B456),YEAR(B456),"")</f>
        <v/>
      </c>
      <c r="H456">
        <f>IF(ISNUMBER(B456),MONTH(B456),"")</f>
        <v/>
      </c>
      <c r="I456">
        <f>IFERROR(IF($B$1=0,"",IF(ISNUMBER(INDEX(貼り付け!$A$1:$BZ$3001,455,$B$1)),"",SUBSTITUTE(SUBSTITUTE(SUBSTITUTE(SUBSTITUTE(TRIM(LEFT(INDEX(貼り付け!$A$1:$BZ$3001,455,$B$1)&amp;"",FIND(" ",TRIM(INDEX(貼り付け!$A$1:$BZ$3001,455,$B$1)&amp;"")&amp;" ")-1)),"/","-"),"年","-"),"月","-"),"日",""))),"")</f>
        <v/>
      </c>
      <c r="J456">
        <f>IFERROR(MID(I456,FIND("-",I456)+1,99),"")</f>
        <v/>
      </c>
    </row>
    <row r="457">
      <c r="B457">
        <f>IFERROR(IF($B$1=0,"",IF(INDEX(貼り付け!$A$1:$BZ$3001,456,$B$1)="","",IF(ISNUMBER(INDEX(貼り付け!$A$1:$BZ$3001,456,$B$1)),INT(INDEX(貼り付け!$A$1:$BZ$3001,456,$B$1)),DATE(VALUE(LEFT(I457,FIND("-",I457)-1)),VALUE(LEFT(J457,FIND("-",J457)-1)),VALUE(MID(J457,FIND("-",J457)+1,99)))))),"")</f>
        <v/>
      </c>
      <c r="C457">
        <f>IF($C$1=0,0,IFERROR(VALUE(SUBSTITUTE(SUBSTITUTE(SUBSTITUTE(INDEX(貼り付け!$A$1:$BZ$3001,456,$C$1)&amp;"",",",""),"¥",""),"￥","")),0))</f>
        <v/>
      </c>
      <c r="D457">
        <f>IF($D$1=0,0,IFERROR(VALUE(SUBSTITUTE(SUBSTITUTE(SUBSTITUTE(INDEX(貼り付け!$A$1:$BZ$3001,456,$D$1)&amp;"",",",""),"¥",""),"￥","")),0))</f>
        <v/>
      </c>
      <c r="E457">
        <f>IF($E$1=0,0,IFERROR(VALUE(SUBSTITUTE(SUBSTITUTE(SUBSTITUTE(INDEX(貼り付け!$A$1:$BZ$3001,456,$E$1)&amp;"",",",""),"¥",""),"￥","")),0))</f>
        <v/>
      </c>
      <c r="F457">
        <f>IF($F$1=0,0,IFERROR(VALUE(SUBSTITUTE(SUBSTITUTE(SUBSTITUTE(INDEX(貼り付け!$A$1:$BZ$3001,456,$F$1)&amp;"",",",""),"¥",""),"￥","")),0))</f>
        <v/>
      </c>
      <c r="G457">
        <f>IF(ISNUMBER(B457),YEAR(B457),"")</f>
        <v/>
      </c>
      <c r="H457">
        <f>IF(ISNUMBER(B457),MONTH(B457),"")</f>
        <v/>
      </c>
      <c r="I457">
        <f>IFERROR(IF($B$1=0,"",IF(ISNUMBER(INDEX(貼り付け!$A$1:$BZ$3001,456,$B$1)),"",SUBSTITUTE(SUBSTITUTE(SUBSTITUTE(SUBSTITUTE(TRIM(LEFT(INDEX(貼り付け!$A$1:$BZ$3001,456,$B$1)&amp;"",FIND(" ",TRIM(INDEX(貼り付け!$A$1:$BZ$3001,456,$B$1)&amp;"")&amp;" ")-1)),"/","-"),"年","-"),"月","-"),"日",""))),"")</f>
        <v/>
      </c>
      <c r="J457">
        <f>IFERROR(MID(I457,FIND("-",I457)+1,99),"")</f>
        <v/>
      </c>
    </row>
    <row r="458">
      <c r="B458">
        <f>IFERROR(IF($B$1=0,"",IF(INDEX(貼り付け!$A$1:$BZ$3001,457,$B$1)="","",IF(ISNUMBER(INDEX(貼り付け!$A$1:$BZ$3001,457,$B$1)),INT(INDEX(貼り付け!$A$1:$BZ$3001,457,$B$1)),DATE(VALUE(LEFT(I458,FIND("-",I458)-1)),VALUE(LEFT(J458,FIND("-",J458)-1)),VALUE(MID(J458,FIND("-",J458)+1,99)))))),"")</f>
        <v/>
      </c>
      <c r="C458">
        <f>IF($C$1=0,0,IFERROR(VALUE(SUBSTITUTE(SUBSTITUTE(SUBSTITUTE(INDEX(貼り付け!$A$1:$BZ$3001,457,$C$1)&amp;"",",",""),"¥",""),"￥","")),0))</f>
        <v/>
      </c>
      <c r="D458">
        <f>IF($D$1=0,0,IFERROR(VALUE(SUBSTITUTE(SUBSTITUTE(SUBSTITUTE(INDEX(貼り付け!$A$1:$BZ$3001,457,$D$1)&amp;"",",",""),"¥",""),"￥","")),0))</f>
        <v/>
      </c>
      <c r="E458">
        <f>IF($E$1=0,0,IFERROR(VALUE(SUBSTITUTE(SUBSTITUTE(SUBSTITUTE(INDEX(貼り付け!$A$1:$BZ$3001,457,$E$1)&amp;"",",",""),"¥",""),"￥","")),0))</f>
        <v/>
      </c>
      <c r="F458">
        <f>IF($F$1=0,0,IFERROR(VALUE(SUBSTITUTE(SUBSTITUTE(SUBSTITUTE(INDEX(貼り付け!$A$1:$BZ$3001,457,$F$1)&amp;"",",",""),"¥",""),"￥","")),0))</f>
        <v/>
      </c>
      <c r="G458">
        <f>IF(ISNUMBER(B458),YEAR(B458),"")</f>
        <v/>
      </c>
      <c r="H458">
        <f>IF(ISNUMBER(B458),MONTH(B458),"")</f>
        <v/>
      </c>
      <c r="I458">
        <f>IFERROR(IF($B$1=0,"",IF(ISNUMBER(INDEX(貼り付け!$A$1:$BZ$3001,457,$B$1)),"",SUBSTITUTE(SUBSTITUTE(SUBSTITUTE(SUBSTITUTE(TRIM(LEFT(INDEX(貼り付け!$A$1:$BZ$3001,457,$B$1)&amp;"",FIND(" ",TRIM(INDEX(貼り付け!$A$1:$BZ$3001,457,$B$1)&amp;"")&amp;" ")-1)),"/","-"),"年","-"),"月","-"),"日",""))),"")</f>
        <v/>
      </c>
      <c r="J458">
        <f>IFERROR(MID(I458,FIND("-",I458)+1,99),"")</f>
        <v/>
      </c>
    </row>
    <row r="459">
      <c r="B459">
        <f>IFERROR(IF($B$1=0,"",IF(INDEX(貼り付け!$A$1:$BZ$3001,458,$B$1)="","",IF(ISNUMBER(INDEX(貼り付け!$A$1:$BZ$3001,458,$B$1)),INT(INDEX(貼り付け!$A$1:$BZ$3001,458,$B$1)),DATE(VALUE(LEFT(I459,FIND("-",I459)-1)),VALUE(LEFT(J459,FIND("-",J459)-1)),VALUE(MID(J459,FIND("-",J459)+1,99)))))),"")</f>
        <v/>
      </c>
      <c r="C459">
        <f>IF($C$1=0,0,IFERROR(VALUE(SUBSTITUTE(SUBSTITUTE(SUBSTITUTE(INDEX(貼り付け!$A$1:$BZ$3001,458,$C$1)&amp;"",",",""),"¥",""),"￥","")),0))</f>
        <v/>
      </c>
      <c r="D459">
        <f>IF($D$1=0,0,IFERROR(VALUE(SUBSTITUTE(SUBSTITUTE(SUBSTITUTE(INDEX(貼り付け!$A$1:$BZ$3001,458,$D$1)&amp;"",",",""),"¥",""),"￥","")),0))</f>
        <v/>
      </c>
      <c r="E459">
        <f>IF($E$1=0,0,IFERROR(VALUE(SUBSTITUTE(SUBSTITUTE(SUBSTITUTE(INDEX(貼り付け!$A$1:$BZ$3001,458,$E$1)&amp;"",",",""),"¥",""),"￥","")),0))</f>
        <v/>
      </c>
      <c r="F459">
        <f>IF($F$1=0,0,IFERROR(VALUE(SUBSTITUTE(SUBSTITUTE(SUBSTITUTE(INDEX(貼り付け!$A$1:$BZ$3001,458,$F$1)&amp;"",",",""),"¥",""),"￥","")),0))</f>
        <v/>
      </c>
      <c r="G459">
        <f>IF(ISNUMBER(B459),YEAR(B459),"")</f>
        <v/>
      </c>
      <c r="H459">
        <f>IF(ISNUMBER(B459),MONTH(B459),"")</f>
        <v/>
      </c>
      <c r="I459">
        <f>IFERROR(IF($B$1=0,"",IF(ISNUMBER(INDEX(貼り付け!$A$1:$BZ$3001,458,$B$1)),"",SUBSTITUTE(SUBSTITUTE(SUBSTITUTE(SUBSTITUTE(TRIM(LEFT(INDEX(貼り付け!$A$1:$BZ$3001,458,$B$1)&amp;"",FIND(" ",TRIM(INDEX(貼り付け!$A$1:$BZ$3001,458,$B$1)&amp;"")&amp;" ")-1)),"/","-"),"年","-"),"月","-"),"日",""))),"")</f>
        <v/>
      </c>
      <c r="J459">
        <f>IFERROR(MID(I459,FIND("-",I459)+1,99),"")</f>
        <v/>
      </c>
    </row>
    <row r="460">
      <c r="B460">
        <f>IFERROR(IF($B$1=0,"",IF(INDEX(貼り付け!$A$1:$BZ$3001,459,$B$1)="","",IF(ISNUMBER(INDEX(貼り付け!$A$1:$BZ$3001,459,$B$1)),INT(INDEX(貼り付け!$A$1:$BZ$3001,459,$B$1)),DATE(VALUE(LEFT(I460,FIND("-",I460)-1)),VALUE(LEFT(J460,FIND("-",J460)-1)),VALUE(MID(J460,FIND("-",J460)+1,99)))))),"")</f>
        <v/>
      </c>
      <c r="C460">
        <f>IF($C$1=0,0,IFERROR(VALUE(SUBSTITUTE(SUBSTITUTE(SUBSTITUTE(INDEX(貼り付け!$A$1:$BZ$3001,459,$C$1)&amp;"",",",""),"¥",""),"￥","")),0))</f>
        <v/>
      </c>
      <c r="D460">
        <f>IF($D$1=0,0,IFERROR(VALUE(SUBSTITUTE(SUBSTITUTE(SUBSTITUTE(INDEX(貼り付け!$A$1:$BZ$3001,459,$D$1)&amp;"",",",""),"¥",""),"￥","")),0))</f>
        <v/>
      </c>
      <c r="E460">
        <f>IF($E$1=0,0,IFERROR(VALUE(SUBSTITUTE(SUBSTITUTE(SUBSTITUTE(INDEX(貼り付け!$A$1:$BZ$3001,459,$E$1)&amp;"",",",""),"¥",""),"￥","")),0))</f>
        <v/>
      </c>
      <c r="F460">
        <f>IF($F$1=0,0,IFERROR(VALUE(SUBSTITUTE(SUBSTITUTE(SUBSTITUTE(INDEX(貼り付け!$A$1:$BZ$3001,459,$F$1)&amp;"",",",""),"¥",""),"￥","")),0))</f>
        <v/>
      </c>
      <c r="G460">
        <f>IF(ISNUMBER(B460),YEAR(B460),"")</f>
        <v/>
      </c>
      <c r="H460">
        <f>IF(ISNUMBER(B460),MONTH(B460),"")</f>
        <v/>
      </c>
      <c r="I460">
        <f>IFERROR(IF($B$1=0,"",IF(ISNUMBER(INDEX(貼り付け!$A$1:$BZ$3001,459,$B$1)),"",SUBSTITUTE(SUBSTITUTE(SUBSTITUTE(SUBSTITUTE(TRIM(LEFT(INDEX(貼り付け!$A$1:$BZ$3001,459,$B$1)&amp;"",FIND(" ",TRIM(INDEX(貼り付け!$A$1:$BZ$3001,459,$B$1)&amp;"")&amp;" ")-1)),"/","-"),"年","-"),"月","-"),"日",""))),"")</f>
        <v/>
      </c>
      <c r="J460">
        <f>IFERROR(MID(I460,FIND("-",I460)+1,99),"")</f>
        <v/>
      </c>
    </row>
    <row r="461">
      <c r="B461">
        <f>IFERROR(IF($B$1=0,"",IF(INDEX(貼り付け!$A$1:$BZ$3001,460,$B$1)="","",IF(ISNUMBER(INDEX(貼り付け!$A$1:$BZ$3001,460,$B$1)),INT(INDEX(貼り付け!$A$1:$BZ$3001,460,$B$1)),DATE(VALUE(LEFT(I461,FIND("-",I461)-1)),VALUE(LEFT(J461,FIND("-",J461)-1)),VALUE(MID(J461,FIND("-",J461)+1,99)))))),"")</f>
        <v/>
      </c>
      <c r="C461">
        <f>IF($C$1=0,0,IFERROR(VALUE(SUBSTITUTE(SUBSTITUTE(SUBSTITUTE(INDEX(貼り付け!$A$1:$BZ$3001,460,$C$1)&amp;"",",",""),"¥",""),"￥","")),0))</f>
        <v/>
      </c>
      <c r="D461">
        <f>IF($D$1=0,0,IFERROR(VALUE(SUBSTITUTE(SUBSTITUTE(SUBSTITUTE(INDEX(貼り付け!$A$1:$BZ$3001,460,$D$1)&amp;"",",",""),"¥",""),"￥","")),0))</f>
        <v/>
      </c>
      <c r="E461">
        <f>IF($E$1=0,0,IFERROR(VALUE(SUBSTITUTE(SUBSTITUTE(SUBSTITUTE(INDEX(貼り付け!$A$1:$BZ$3001,460,$E$1)&amp;"",",",""),"¥",""),"￥","")),0))</f>
        <v/>
      </c>
      <c r="F461">
        <f>IF($F$1=0,0,IFERROR(VALUE(SUBSTITUTE(SUBSTITUTE(SUBSTITUTE(INDEX(貼り付け!$A$1:$BZ$3001,460,$F$1)&amp;"",",",""),"¥",""),"￥","")),0))</f>
        <v/>
      </c>
      <c r="G461">
        <f>IF(ISNUMBER(B461),YEAR(B461),"")</f>
        <v/>
      </c>
      <c r="H461">
        <f>IF(ISNUMBER(B461),MONTH(B461),"")</f>
        <v/>
      </c>
      <c r="I461">
        <f>IFERROR(IF($B$1=0,"",IF(ISNUMBER(INDEX(貼り付け!$A$1:$BZ$3001,460,$B$1)),"",SUBSTITUTE(SUBSTITUTE(SUBSTITUTE(SUBSTITUTE(TRIM(LEFT(INDEX(貼り付け!$A$1:$BZ$3001,460,$B$1)&amp;"",FIND(" ",TRIM(INDEX(貼り付け!$A$1:$BZ$3001,460,$B$1)&amp;"")&amp;" ")-1)),"/","-"),"年","-"),"月","-"),"日",""))),"")</f>
        <v/>
      </c>
      <c r="J461">
        <f>IFERROR(MID(I461,FIND("-",I461)+1,99),"")</f>
        <v/>
      </c>
    </row>
    <row r="462">
      <c r="B462">
        <f>IFERROR(IF($B$1=0,"",IF(INDEX(貼り付け!$A$1:$BZ$3001,461,$B$1)="","",IF(ISNUMBER(INDEX(貼り付け!$A$1:$BZ$3001,461,$B$1)),INT(INDEX(貼り付け!$A$1:$BZ$3001,461,$B$1)),DATE(VALUE(LEFT(I462,FIND("-",I462)-1)),VALUE(LEFT(J462,FIND("-",J462)-1)),VALUE(MID(J462,FIND("-",J462)+1,99)))))),"")</f>
        <v/>
      </c>
      <c r="C462">
        <f>IF($C$1=0,0,IFERROR(VALUE(SUBSTITUTE(SUBSTITUTE(SUBSTITUTE(INDEX(貼り付け!$A$1:$BZ$3001,461,$C$1)&amp;"",",",""),"¥",""),"￥","")),0))</f>
        <v/>
      </c>
      <c r="D462">
        <f>IF($D$1=0,0,IFERROR(VALUE(SUBSTITUTE(SUBSTITUTE(SUBSTITUTE(INDEX(貼り付け!$A$1:$BZ$3001,461,$D$1)&amp;"",",",""),"¥",""),"￥","")),0))</f>
        <v/>
      </c>
      <c r="E462">
        <f>IF($E$1=0,0,IFERROR(VALUE(SUBSTITUTE(SUBSTITUTE(SUBSTITUTE(INDEX(貼り付け!$A$1:$BZ$3001,461,$E$1)&amp;"",",",""),"¥",""),"￥","")),0))</f>
        <v/>
      </c>
      <c r="F462">
        <f>IF($F$1=0,0,IFERROR(VALUE(SUBSTITUTE(SUBSTITUTE(SUBSTITUTE(INDEX(貼り付け!$A$1:$BZ$3001,461,$F$1)&amp;"",",",""),"¥",""),"￥","")),0))</f>
        <v/>
      </c>
      <c r="G462">
        <f>IF(ISNUMBER(B462),YEAR(B462),"")</f>
        <v/>
      </c>
      <c r="H462">
        <f>IF(ISNUMBER(B462),MONTH(B462),"")</f>
        <v/>
      </c>
      <c r="I462">
        <f>IFERROR(IF($B$1=0,"",IF(ISNUMBER(INDEX(貼り付け!$A$1:$BZ$3001,461,$B$1)),"",SUBSTITUTE(SUBSTITUTE(SUBSTITUTE(SUBSTITUTE(TRIM(LEFT(INDEX(貼り付け!$A$1:$BZ$3001,461,$B$1)&amp;"",FIND(" ",TRIM(INDEX(貼り付け!$A$1:$BZ$3001,461,$B$1)&amp;"")&amp;" ")-1)),"/","-"),"年","-"),"月","-"),"日",""))),"")</f>
        <v/>
      </c>
      <c r="J462">
        <f>IFERROR(MID(I462,FIND("-",I462)+1,99),"")</f>
        <v/>
      </c>
    </row>
    <row r="463">
      <c r="B463">
        <f>IFERROR(IF($B$1=0,"",IF(INDEX(貼り付け!$A$1:$BZ$3001,462,$B$1)="","",IF(ISNUMBER(INDEX(貼り付け!$A$1:$BZ$3001,462,$B$1)),INT(INDEX(貼り付け!$A$1:$BZ$3001,462,$B$1)),DATE(VALUE(LEFT(I463,FIND("-",I463)-1)),VALUE(LEFT(J463,FIND("-",J463)-1)),VALUE(MID(J463,FIND("-",J463)+1,99)))))),"")</f>
        <v/>
      </c>
      <c r="C463">
        <f>IF($C$1=0,0,IFERROR(VALUE(SUBSTITUTE(SUBSTITUTE(SUBSTITUTE(INDEX(貼り付け!$A$1:$BZ$3001,462,$C$1)&amp;"",",",""),"¥",""),"￥","")),0))</f>
        <v/>
      </c>
      <c r="D463">
        <f>IF($D$1=0,0,IFERROR(VALUE(SUBSTITUTE(SUBSTITUTE(SUBSTITUTE(INDEX(貼り付け!$A$1:$BZ$3001,462,$D$1)&amp;"",",",""),"¥",""),"￥","")),0))</f>
        <v/>
      </c>
      <c r="E463">
        <f>IF($E$1=0,0,IFERROR(VALUE(SUBSTITUTE(SUBSTITUTE(SUBSTITUTE(INDEX(貼り付け!$A$1:$BZ$3001,462,$E$1)&amp;"",",",""),"¥",""),"￥","")),0))</f>
        <v/>
      </c>
      <c r="F463">
        <f>IF($F$1=0,0,IFERROR(VALUE(SUBSTITUTE(SUBSTITUTE(SUBSTITUTE(INDEX(貼り付け!$A$1:$BZ$3001,462,$F$1)&amp;"",",",""),"¥",""),"￥","")),0))</f>
        <v/>
      </c>
      <c r="G463">
        <f>IF(ISNUMBER(B463),YEAR(B463),"")</f>
        <v/>
      </c>
      <c r="H463">
        <f>IF(ISNUMBER(B463),MONTH(B463),"")</f>
        <v/>
      </c>
      <c r="I463">
        <f>IFERROR(IF($B$1=0,"",IF(ISNUMBER(INDEX(貼り付け!$A$1:$BZ$3001,462,$B$1)),"",SUBSTITUTE(SUBSTITUTE(SUBSTITUTE(SUBSTITUTE(TRIM(LEFT(INDEX(貼り付け!$A$1:$BZ$3001,462,$B$1)&amp;"",FIND(" ",TRIM(INDEX(貼り付け!$A$1:$BZ$3001,462,$B$1)&amp;"")&amp;" ")-1)),"/","-"),"年","-"),"月","-"),"日",""))),"")</f>
        <v/>
      </c>
      <c r="J463">
        <f>IFERROR(MID(I463,FIND("-",I463)+1,99),"")</f>
        <v/>
      </c>
    </row>
    <row r="464">
      <c r="B464">
        <f>IFERROR(IF($B$1=0,"",IF(INDEX(貼り付け!$A$1:$BZ$3001,463,$B$1)="","",IF(ISNUMBER(INDEX(貼り付け!$A$1:$BZ$3001,463,$B$1)),INT(INDEX(貼り付け!$A$1:$BZ$3001,463,$B$1)),DATE(VALUE(LEFT(I464,FIND("-",I464)-1)),VALUE(LEFT(J464,FIND("-",J464)-1)),VALUE(MID(J464,FIND("-",J464)+1,99)))))),"")</f>
        <v/>
      </c>
      <c r="C464">
        <f>IF($C$1=0,0,IFERROR(VALUE(SUBSTITUTE(SUBSTITUTE(SUBSTITUTE(INDEX(貼り付け!$A$1:$BZ$3001,463,$C$1)&amp;"",",",""),"¥",""),"￥","")),0))</f>
        <v/>
      </c>
      <c r="D464">
        <f>IF($D$1=0,0,IFERROR(VALUE(SUBSTITUTE(SUBSTITUTE(SUBSTITUTE(INDEX(貼り付け!$A$1:$BZ$3001,463,$D$1)&amp;"",",",""),"¥",""),"￥","")),0))</f>
        <v/>
      </c>
      <c r="E464">
        <f>IF($E$1=0,0,IFERROR(VALUE(SUBSTITUTE(SUBSTITUTE(SUBSTITUTE(INDEX(貼り付け!$A$1:$BZ$3001,463,$E$1)&amp;"",",",""),"¥",""),"￥","")),0))</f>
        <v/>
      </c>
      <c r="F464">
        <f>IF($F$1=0,0,IFERROR(VALUE(SUBSTITUTE(SUBSTITUTE(SUBSTITUTE(INDEX(貼り付け!$A$1:$BZ$3001,463,$F$1)&amp;"",",",""),"¥",""),"￥","")),0))</f>
        <v/>
      </c>
      <c r="G464">
        <f>IF(ISNUMBER(B464),YEAR(B464),"")</f>
        <v/>
      </c>
      <c r="H464">
        <f>IF(ISNUMBER(B464),MONTH(B464),"")</f>
        <v/>
      </c>
      <c r="I464">
        <f>IFERROR(IF($B$1=0,"",IF(ISNUMBER(INDEX(貼り付け!$A$1:$BZ$3001,463,$B$1)),"",SUBSTITUTE(SUBSTITUTE(SUBSTITUTE(SUBSTITUTE(TRIM(LEFT(INDEX(貼り付け!$A$1:$BZ$3001,463,$B$1)&amp;"",FIND(" ",TRIM(INDEX(貼り付け!$A$1:$BZ$3001,463,$B$1)&amp;"")&amp;" ")-1)),"/","-"),"年","-"),"月","-"),"日",""))),"")</f>
        <v/>
      </c>
      <c r="J464">
        <f>IFERROR(MID(I464,FIND("-",I464)+1,99),"")</f>
        <v/>
      </c>
    </row>
    <row r="465">
      <c r="B465">
        <f>IFERROR(IF($B$1=0,"",IF(INDEX(貼り付け!$A$1:$BZ$3001,464,$B$1)="","",IF(ISNUMBER(INDEX(貼り付け!$A$1:$BZ$3001,464,$B$1)),INT(INDEX(貼り付け!$A$1:$BZ$3001,464,$B$1)),DATE(VALUE(LEFT(I465,FIND("-",I465)-1)),VALUE(LEFT(J465,FIND("-",J465)-1)),VALUE(MID(J465,FIND("-",J465)+1,99)))))),"")</f>
        <v/>
      </c>
      <c r="C465">
        <f>IF($C$1=0,0,IFERROR(VALUE(SUBSTITUTE(SUBSTITUTE(SUBSTITUTE(INDEX(貼り付け!$A$1:$BZ$3001,464,$C$1)&amp;"",",",""),"¥",""),"￥","")),0))</f>
        <v/>
      </c>
      <c r="D465">
        <f>IF($D$1=0,0,IFERROR(VALUE(SUBSTITUTE(SUBSTITUTE(SUBSTITUTE(INDEX(貼り付け!$A$1:$BZ$3001,464,$D$1)&amp;"",",",""),"¥",""),"￥","")),0))</f>
        <v/>
      </c>
      <c r="E465">
        <f>IF($E$1=0,0,IFERROR(VALUE(SUBSTITUTE(SUBSTITUTE(SUBSTITUTE(INDEX(貼り付け!$A$1:$BZ$3001,464,$E$1)&amp;"",",",""),"¥",""),"￥","")),0))</f>
        <v/>
      </c>
      <c r="F465">
        <f>IF($F$1=0,0,IFERROR(VALUE(SUBSTITUTE(SUBSTITUTE(SUBSTITUTE(INDEX(貼り付け!$A$1:$BZ$3001,464,$F$1)&amp;"",",",""),"¥",""),"￥","")),0))</f>
        <v/>
      </c>
      <c r="G465">
        <f>IF(ISNUMBER(B465),YEAR(B465),"")</f>
        <v/>
      </c>
      <c r="H465">
        <f>IF(ISNUMBER(B465),MONTH(B465),"")</f>
        <v/>
      </c>
      <c r="I465">
        <f>IFERROR(IF($B$1=0,"",IF(ISNUMBER(INDEX(貼り付け!$A$1:$BZ$3001,464,$B$1)),"",SUBSTITUTE(SUBSTITUTE(SUBSTITUTE(SUBSTITUTE(TRIM(LEFT(INDEX(貼り付け!$A$1:$BZ$3001,464,$B$1)&amp;"",FIND(" ",TRIM(INDEX(貼り付け!$A$1:$BZ$3001,464,$B$1)&amp;"")&amp;" ")-1)),"/","-"),"年","-"),"月","-"),"日",""))),"")</f>
        <v/>
      </c>
      <c r="J465">
        <f>IFERROR(MID(I465,FIND("-",I465)+1,99),"")</f>
        <v/>
      </c>
    </row>
    <row r="466">
      <c r="B466">
        <f>IFERROR(IF($B$1=0,"",IF(INDEX(貼り付け!$A$1:$BZ$3001,465,$B$1)="","",IF(ISNUMBER(INDEX(貼り付け!$A$1:$BZ$3001,465,$B$1)),INT(INDEX(貼り付け!$A$1:$BZ$3001,465,$B$1)),DATE(VALUE(LEFT(I466,FIND("-",I466)-1)),VALUE(LEFT(J466,FIND("-",J466)-1)),VALUE(MID(J466,FIND("-",J466)+1,99)))))),"")</f>
        <v/>
      </c>
      <c r="C466">
        <f>IF($C$1=0,0,IFERROR(VALUE(SUBSTITUTE(SUBSTITUTE(SUBSTITUTE(INDEX(貼り付け!$A$1:$BZ$3001,465,$C$1)&amp;"",",",""),"¥",""),"￥","")),0))</f>
        <v/>
      </c>
      <c r="D466">
        <f>IF($D$1=0,0,IFERROR(VALUE(SUBSTITUTE(SUBSTITUTE(SUBSTITUTE(INDEX(貼り付け!$A$1:$BZ$3001,465,$D$1)&amp;"",",",""),"¥",""),"￥","")),0))</f>
        <v/>
      </c>
      <c r="E466">
        <f>IF($E$1=0,0,IFERROR(VALUE(SUBSTITUTE(SUBSTITUTE(SUBSTITUTE(INDEX(貼り付け!$A$1:$BZ$3001,465,$E$1)&amp;"",",",""),"¥",""),"￥","")),0))</f>
        <v/>
      </c>
      <c r="F466">
        <f>IF($F$1=0,0,IFERROR(VALUE(SUBSTITUTE(SUBSTITUTE(SUBSTITUTE(INDEX(貼り付け!$A$1:$BZ$3001,465,$F$1)&amp;"",",",""),"¥",""),"￥","")),0))</f>
        <v/>
      </c>
      <c r="G466">
        <f>IF(ISNUMBER(B466),YEAR(B466),"")</f>
        <v/>
      </c>
      <c r="H466">
        <f>IF(ISNUMBER(B466),MONTH(B466),"")</f>
        <v/>
      </c>
      <c r="I466">
        <f>IFERROR(IF($B$1=0,"",IF(ISNUMBER(INDEX(貼り付け!$A$1:$BZ$3001,465,$B$1)),"",SUBSTITUTE(SUBSTITUTE(SUBSTITUTE(SUBSTITUTE(TRIM(LEFT(INDEX(貼り付け!$A$1:$BZ$3001,465,$B$1)&amp;"",FIND(" ",TRIM(INDEX(貼り付け!$A$1:$BZ$3001,465,$B$1)&amp;"")&amp;" ")-1)),"/","-"),"年","-"),"月","-"),"日",""))),"")</f>
        <v/>
      </c>
      <c r="J466">
        <f>IFERROR(MID(I466,FIND("-",I466)+1,99),"")</f>
        <v/>
      </c>
    </row>
    <row r="467">
      <c r="B467">
        <f>IFERROR(IF($B$1=0,"",IF(INDEX(貼り付け!$A$1:$BZ$3001,466,$B$1)="","",IF(ISNUMBER(INDEX(貼り付け!$A$1:$BZ$3001,466,$B$1)),INT(INDEX(貼り付け!$A$1:$BZ$3001,466,$B$1)),DATE(VALUE(LEFT(I467,FIND("-",I467)-1)),VALUE(LEFT(J467,FIND("-",J467)-1)),VALUE(MID(J467,FIND("-",J467)+1,99)))))),"")</f>
        <v/>
      </c>
      <c r="C467">
        <f>IF($C$1=0,0,IFERROR(VALUE(SUBSTITUTE(SUBSTITUTE(SUBSTITUTE(INDEX(貼り付け!$A$1:$BZ$3001,466,$C$1)&amp;"",",",""),"¥",""),"￥","")),0))</f>
        <v/>
      </c>
      <c r="D467">
        <f>IF($D$1=0,0,IFERROR(VALUE(SUBSTITUTE(SUBSTITUTE(SUBSTITUTE(INDEX(貼り付け!$A$1:$BZ$3001,466,$D$1)&amp;"",",",""),"¥",""),"￥","")),0))</f>
        <v/>
      </c>
      <c r="E467">
        <f>IF($E$1=0,0,IFERROR(VALUE(SUBSTITUTE(SUBSTITUTE(SUBSTITUTE(INDEX(貼り付け!$A$1:$BZ$3001,466,$E$1)&amp;"",",",""),"¥",""),"￥","")),0))</f>
        <v/>
      </c>
      <c r="F467">
        <f>IF($F$1=0,0,IFERROR(VALUE(SUBSTITUTE(SUBSTITUTE(SUBSTITUTE(INDEX(貼り付け!$A$1:$BZ$3001,466,$F$1)&amp;"",",",""),"¥",""),"￥","")),0))</f>
        <v/>
      </c>
      <c r="G467">
        <f>IF(ISNUMBER(B467),YEAR(B467),"")</f>
        <v/>
      </c>
      <c r="H467">
        <f>IF(ISNUMBER(B467),MONTH(B467),"")</f>
        <v/>
      </c>
      <c r="I467">
        <f>IFERROR(IF($B$1=0,"",IF(ISNUMBER(INDEX(貼り付け!$A$1:$BZ$3001,466,$B$1)),"",SUBSTITUTE(SUBSTITUTE(SUBSTITUTE(SUBSTITUTE(TRIM(LEFT(INDEX(貼り付け!$A$1:$BZ$3001,466,$B$1)&amp;"",FIND(" ",TRIM(INDEX(貼り付け!$A$1:$BZ$3001,466,$B$1)&amp;"")&amp;" ")-1)),"/","-"),"年","-"),"月","-"),"日",""))),"")</f>
        <v/>
      </c>
      <c r="J467">
        <f>IFERROR(MID(I467,FIND("-",I467)+1,99),"")</f>
        <v/>
      </c>
    </row>
    <row r="468">
      <c r="B468">
        <f>IFERROR(IF($B$1=0,"",IF(INDEX(貼り付け!$A$1:$BZ$3001,467,$B$1)="","",IF(ISNUMBER(INDEX(貼り付け!$A$1:$BZ$3001,467,$B$1)),INT(INDEX(貼り付け!$A$1:$BZ$3001,467,$B$1)),DATE(VALUE(LEFT(I468,FIND("-",I468)-1)),VALUE(LEFT(J468,FIND("-",J468)-1)),VALUE(MID(J468,FIND("-",J468)+1,99)))))),"")</f>
        <v/>
      </c>
      <c r="C468">
        <f>IF($C$1=0,0,IFERROR(VALUE(SUBSTITUTE(SUBSTITUTE(SUBSTITUTE(INDEX(貼り付け!$A$1:$BZ$3001,467,$C$1)&amp;"",",",""),"¥",""),"￥","")),0))</f>
        <v/>
      </c>
      <c r="D468">
        <f>IF($D$1=0,0,IFERROR(VALUE(SUBSTITUTE(SUBSTITUTE(SUBSTITUTE(INDEX(貼り付け!$A$1:$BZ$3001,467,$D$1)&amp;"",",",""),"¥",""),"￥","")),0))</f>
        <v/>
      </c>
      <c r="E468">
        <f>IF($E$1=0,0,IFERROR(VALUE(SUBSTITUTE(SUBSTITUTE(SUBSTITUTE(INDEX(貼り付け!$A$1:$BZ$3001,467,$E$1)&amp;"",",",""),"¥",""),"￥","")),0))</f>
        <v/>
      </c>
      <c r="F468">
        <f>IF($F$1=0,0,IFERROR(VALUE(SUBSTITUTE(SUBSTITUTE(SUBSTITUTE(INDEX(貼り付け!$A$1:$BZ$3001,467,$F$1)&amp;"",",",""),"¥",""),"￥","")),0))</f>
        <v/>
      </c>
      <c r="G468">
        <f>IF(ISNUMBER(B468),YEAR(B468),"")</f>
        <v/>
      </c>
      <c r="H468">
        <f>IF(ISNUMBER(B468),MONTH(B468),"")</f>
        <v/>
      </c>
      <c r="I468">
        <f>IFERROR(IF($B$1=0,"",IF(ISNUMBER(INDEX(貼り付け!$A$1:$BZ$3001,467,$B$1)),"",SUBSTITUTE(SUBSTITUTE(SUBSTITUTE(SUBSTITUTE(TRIM(LEFT(INDEX(貼り付け!$A$1:$BZ$3001,467,$B$1)&amp;"",FIND(" ",TRIM(INDEX(貼り付け!$A$1:$BZ$3001,467,$B$1)&amp;"")&amp;" ")-1)),"/","-"),"年","-"),"月","-"),"日",""))),"")</f>
        <v/>
      </c>
      <c r="J468">
        <f>IFERROR(MID(I468,FIND("-",I468)+1,99),"")</f>
        <v/>
      </c>
    </row>
    <row r="469">
      <c r="B469">
        <f>IFERROR(IF($B$1=0,"",IF(INDEX(貼り付け!$A$1:$BZ$3001,468,$B$1)="","",IF(ISNUMBER(INDEX(貼り付け!$A$1:$BZ$3001,468,$B$1)),INT(INDEX(貼り付け!$A$1:$BZ$3001,468,$B$1)),DATE(VALUE(LEFT(I469,FIND("-",I469)-1)),VALUE(LEFT(J469,FIND("-",J469)-1)),VALUE(MID(J469,FIND("-",J469)+1,99)))))),"")</f>
        <v/>
      </c>
      <c r="C469">
        <f>IF($C$1=0,0,IFERROR(VALUE(SUBSTITUTE(SUBSTITUTE(SUBSTITUTE(INDEX(貼り付け!$A$1:$BZ$3001,468,$C$1)&amp;"",",",""),"¥",""),"￥","")),0))</f>
        <v/>
      </c>
      <c r="D469">
        <f>IF($D$1=0,0,IFERROR(VALUE(SUBSTITUTE(SUBSTITUTE(SUBSTITUTE(INDEX(貼り付け!$A$1:$BZ$3001,468,$D$1)&amp;"",",",""),"¥",""),"￥","")),0))</f>
        <v/>
      </c>
      <c r="E469">
        <f>IF($E$1=0,0,IFERROR(VALUE(SUBSTITUTE(SUBSTITUTE(SUBSTITUTE(INDEX(貼り付け!$A$1:$BZ$3001,468,$E$1)&amp;"",",",""),"¥",""),"￥","")),0))</f>
        <v/>
      </c>
      <c r="F469">
        <f>IF($F$1=0,0,IFERROR(VALUE(SUBSTITUTE(SUBSTITUTE(SUBSTITUTE(INDEX(貼り付け!$A$1:$BZ$3001,468,$F$1)&amp;"",",",""),"¥",""),"￥","")),0))</f>
        <v/>
      </c>
      <c r="G469">
        <f>IF(ISNUMBER(B469),YEAR(B469),"")</f>
        <v/>
      </c>
      <c r="H469">
        <f>IF(ISNUMBER(B469),MONTH(B469),"")</f>
        <v/>
      </c>
      <c r="I469">
        <f>IFERROR(IF($B$1=0,"",IF(ISNUMBER(INDEX(貼り付け!$A$1:$BZ$3001,468,$B$1)),"",SUBSTITUTE(SUBSTITUTE(SUBSTITUTE(SUBSTITUTE(TRIM(LEFT(INDEX(貼り付け!$A$1:$BZ$3001,468,$B$1)&amp;"",FIND(" ",TRIM(INDEX(貼り付け!$A$1:$BZ$3001,468,$B$1)&amp;"")&amp;" ")-1)),"/","-"),"年","-"),"月","-"),"日",""))),"")</f>
        <v/>
      </c>
      <c r="J469">
        <f>IFERROR(MID(I469,FIND("-",I469)+1,99),"")</f>
        <v/>
      </c>
    </row>
    <row r="470">
      <c r="B470">
        <f>IFERROR(IF($B$1=0,"",IF(INDEX(貼り付け!$A$1:$BZ$3001,469,$B$1)="","",IF(ISNUMBER(INDEX(貼り付け!$A$1:$BZ$3001,469,$B$1)),INT(INDEX(貼り付け!$A$1:$BZ$3001,469,$B$1)),DATE(VALUE(LEFT(I470,FIND("-",I470)-1)),VALUE(LEFT(J470,FIND("-",J470)-1)),VALUE(MID(J470,FIND("-",J470)+1,99)))))),"")</f>
        <v/>
      </c>
      <c r="C470">
        <f>IF($C$1=0,0,IFERROR(VALUE(SUBSTITUTE(SUBSTITUTE(SUBSTITUTE(INDEX(貼り付け!$A$1:$BZ$3001,469,$C$1)&amp;"",",",""),"¥",""),"￥","")),0))</f>
        <v/>
      </c>
      <c r="D470">
        <f>IF($D$1=0,0,IFERROR(VALUE(SUBSTITUTE(SUBSTITUTE(SUBSTITUTE(INDEX(貼り付け!$A$1:$BZ$3001,469,$D$1)&amp;"",",",""),"¥",""),"￥","")),0))</f>
        <v/>
      </c>
      <c r="E470">
        <f>IF($E$1=0,0,IFERROR(VALUE(SUBSTITUTE(SUBSTITUTE(SUBSTITUTE(INDEX(貼り付け!$A$1:$BZ$3001,469,$E$1)&amp;"",",",""),"¥",""),"￥","")),0))</f>
        <v/>
      </c>
      <c r="F470">
        <f>IF($F$1=0,0,IFERROR(VALUE(SUBSTITUTE(SUBSTITUTE(SUBSTITUTE(INDEX(貼り付け!$A$1:$BZ$3001,469,$F$1)&amp;"",",",""),"¥",""),"￥","")),0))</f>
        <v/>
      </c>
      <c r="G470">
        <f>IF(ISNUMBER(B470),YEAR(B470),"")</f>
        <v/>
      </c>
      <c r="H470">
        <f>IF(ISNUMBER(B470),MONTH(B470),"")</f>
        <v/>
      </c>
      <c r="I470">
        <f>IFERROR(IF($B$1=0,"",IF(ISNUMBER(INDEX(貼り付け!$A$1:$BZ$3001,469,$B$1)),"",SUBSTITUTE(SUBSTITUTE(SUBSTITUTE(SUBSTITUTE(TRIM(LEFT(INDEX(貼り付け!$A$1:$BZ$3001,469,$B$1)&amp;"",FIND(" ",TRIM(INDEX(貼り付け!$A$1:$BZ$3001,469,$B$1)&amp;"")&amp;" ")-1)),"/","-"),"年","-"),"月","-"),"日",""))),"")</f>
        <v/>
      </c>
      <c r="J470">
        <f>IFERROR(MID(I470,FIND("-",I470)+1,99),"")</f>
        <v/>
      </c>
    </row>
    <row r="471">
      <c r="B471">
        <f>IFERROR(IF($B$1=0,"",IF(INDEX(貼り付け!$A$1:$BZ$3001,470,$B$1)="","",IF(ISNUMBER(INDEX(貼り付け!$A$1:$BZ$3001,470,$B$1)),INT(INDEX(貼り付け!$A$1:$BZ$3001,470,$B$1)),DATE(VALUE(LEFT(I471,FIND("-",I471)-1)),VALUE(LEFT(J471,FIND("-",J471)-1)),VALUE(MID(J471,FIND("-",J471)+1,99)))))),"")</f>
        <v/>
      </c>
      <c r="C471">
        <f>IF($C$1=0,0,IFERROR(VALUE(SUBSTITUTE(SUBSTITUTE(SUBSTITUTE(INDEX(貼り付け!$A$1:$BZ$3001,470,$C$1)&amp;"",",",""),"¥",""),"￥","")),0))</f>
        <v/>
      </c>
      <c r="D471">
        <f>IF($D$1=0,0,IFERROR(VALUE(SUBSTITUTE(SUBSTITUTE(SUBSTITUTE(INDEX(貼り付け!$A$1:$BZ$3001,470,$D$1)&amp;"",",",""),"¥",""),"￥","")),0))</f>
        <v/>
      </c>
      <c r="E471">
        <f>IF($E$1=0,0,IFERROR(VALUE(SUBSTITUTE(SUBSTITUTE(SUBSTITUTE(INDEX(貼り付け!$A$1:$BZ$3001,470,$E$1)&amp;"",",",""),"¥",""),"￥","")),0))</f>
        <v/>
      </c>
      <c r="F471">
        <f>IF($F$1=0,0,IFERROR(VALUE(SUBSTITUTE(SUBSTITUTE(SUBSTITUTE(INDEX(貼り付け!$A$1:$BZ$3001,470,$F$1)&amp;"",",",""),"¥",""),"￥","")),0))</f>
        <v/>
      </c>
      <c r="G471">
        <f>IF(ISNUMBER(B471),YEAR(B471),"")</f>
        <v/>
      </c>
      <c r="H471">
        <f>IF(ISNUMBER(B471),MONTH(B471),"")</f>
        <v/>
      </c>
      <c r="I471">
        <f>IFERROR(IF($B$1=0,"",IF(ISNUMBER(INDEX(貼り付け!$A$1:$BZ$3001,470,$B$1)),"",SUBSTITUTE(SUBSTITUTE(SUBSTITUTE(SUBSTITUTE(TRIM(LEFT(INDEX(貼り付け!$A$1:$BZ$3001,470,$B$1)&amp;"",FIND(" ",TRIM(INDEX(貼り付け!$A$1:$BZ$3001,470,$B$1)&amp;"")&amp;" ")-1)),"/","-"),"年","-"),"月","-"),"日",""))),"")</f>
        <v/>
      </c>
      <c r="J471">
        <f>IFERROR(MID(I471,FIND("-",I471)+1,99),"")</f>
        <v/>
      </c>
    </row>
    <row r="472">
      <c r="B472">
        <f>IFERROR(IF($B$1=0,"",IF(INDEX(貼り付け!$A$1:$BZ$3001,471,$B$1)="","",IF(ISNUMBER(INDEX(貼り付け!$A$1:$BZ$3001,471,$B$1)),INT(INDEX(貼り付け!$A$1:$BZ$3001,471,$B$1)),DATE(VALUE(LEFT(I472,FIND("-",I472)-1)),VALUE(LEFT(J472,FIND("-",J472)-1)),VALUE(MID(J472,FIND("-",J472)+1,99)))))),"")</f>
        <v/>
      </c>
      <c r="C472">
        <f>IF($C$1=0,0,IFERROR(VALUE(SUBSTITUTE(SUBSTITUTE(SUBSTITUTE(INDEX(貼り付け!$A$1:$BZ$3001,471,$C$1)&amp;"",",",""),"¥",""),"￥","")),0))</f>
        <v/>
      </c>
      <c r="D472">
        <f>IF($D$1=0,0,IFERROR(VALUE(SUBSTITUTE(SUBSTITUTE(SUBSTITUTE(INDEX(貼り付け!$A$1:$BZ$3001,471,$D$1)&amp;"",",",""),"¥",""),"￥","")),0))</f>
        <v/>
      </c>
      <c r="E472">
        <f>IF($E$1=0,0,IFERROR(VALUE(SUBSTITUTE(SUBSTITUTE(SUBSTITUTE(INDEX(貼り付け!$A$1:$BZ$3001,471,$E$1)&amp;"",",",""),"¥",""),"￥","")),0))</f>
        <v/>
      </c>
      <c r="F472">
        <f>IF($F$1=0,0,IFERROR(VALUE(SUBSTITUTE(SUBSTITUTE(SUBSTITUTE(INDEX(貼り付け!$A$1:$BZ$3001,471,$F$1)&amp;"",",",""),"¥",""),"￥","")),0))</f>
        <v/>
      </c>
      <c r="G472">
        <f>IF(ISNUMBER(B472),YEAR(B472),"")</f>
        <v/>
      </c>
      <c r="H472">
        <f>IF(ISNUMBER(B472),MONTH(B472),"")</f>
        <v/>
      </c>
      <c r="I472">
        <f>IFERROR(IF($B$1=0,"",IF(ISNUMBER(INDEX(貼り付け!$A$1:$BZ$3001,471,$B$1)),"",SUBSTITUTE(SUBSTITUTE(SUBSTITUTE(SUBSTITUTE(TRIM(LEFT(INDEX(貼り付け!$A$1:$BZ$3001,471,$B$1)&amp;"",FIND(" ",TRIM(INDEX(貼り付け!$A$1:$BZ$3001,471,$B$1)&amp;"")&amp;" ")-1)),"/","-"),"年","-"),"月","-"),"日",""))),"")</f>
        <v/>
      </c>
      <c r="J472">
        <f>IFERROR(MID(I472,FIND("-",I472)+1,99),"")</f>
        <v/>
      </c>
    </row>
    <row r="473">
      <c r="B473">
        <f>IFERROR(IF($B$1=0,"",IF(INDEX(貼り付け!$A$1:$BZ$3001,472,$B$1)="","",IF(ISNUMBER(INDEX(貼り付け!$A$1:$BZ$3001,472,$B$1)),INT(INDEX(貼り付け!$A$1:$BZ$3001,472,$B$1)),DATE(VALUE(LEFT(I473,FIND("-",I473)-1)),VALUE(LEFT(J473,FIND("-",J473)-1)),VALUE(MID(J473,FIND("-",J473)+1,99)))))),"")</f>
        <v/>
      </c>
      <c r="C473">
        <f>IF($C$1=0,0,IFERROR(VALUE(SUBSTITUTE(SUBSTITUTE(SUBSTITUTE(INDEX(貼り付け!$A$1:$BZ$3001,472,$C$1)&amp;"",",",""),"¥",""),"￥","")),0))</f>
        <v/>
      </c>
      <c r="D473">
        <f>IF($D$1=0,0,IFERROR(VALUE(SUBSTITUTE(SUBSTITUTE(SUBSTITUTE(INDEX(貼り付け!$A$1:$BZ$3001,472,$D$1)&amp;"",",",""),"¥",""),"￥","")),0))</f>
        <v/>
      </c>
      <c r="E473">
        <f>IF($E$1=0,0,IFERROR(VALUE(SUBSTITUTE(SUBSTITUTE(SUBSTITUTE(INDEX(貼り付け!$A$1:$BZ$3001,472,$E$1)&amp;"",",",""),"¥",""),"￥","")),0))</f>
        <v/>
      </c>
      <c r="F473">
        <f>IF($F$1=0,0,IFERROR(VALUE(SUBSTITUTE(SUBSTITUTE(SUBSTITUTE(INDEX(貼り付け!$A$1:$BZ$3001,472,$F$1)&amp;"",",",""),"¥",""),"￥","")),0))</f>
        <v/>
      </c>
      <c r="G473">
        <f>IF(ISNUMBER(B473),YEAR(B473),"")</f>
        <v/>
      </c>
      <c r="H473">
        <f>IF(ISNUMBER(B473),MONTH(B473),"")</f>
        <v/>
      </c>
      <c r="I473">
        <f>IFERROR(IF($B$1=0,"",IF(ISNUMBER(INDEX(貼り付け!$A$1:$BZ$3001,472,$B$1)),"",SUBSTITUTE(SUBSTITUTE(SUBSTITUTE(SUBSTITUTE(TRIM(LEFT(INDEX(貼り付け!$A$1:$BZ$3001,472,$B$1)&amp;"",FIND(" ",TRIM(INDEX(貼り付け!$A$1:$BZ$3001,472,$B$1)&amp;"")&amp;" ")-1)),"/","-"),"年","-"),"月","-"),"日",""))),"")</f>
        <v/>
      </c>
      <c r="J473">
        <f>IFERROR(MID(I473,FIND("-",I473)+1,99),"")</f>
        <v/>
      </c>
    </row>
    <row r="474">
      <c r="B474">
        <f>IFERROR(IF($B$1=0,"",IF(INDEX(貼り付け!$A$1:$BZ$3001,473,$B$1)="","",IF(ISNUMBER(INDEX(貼り付け!$A$1:$BZ$3001,473,$B$1)),INT(INDEX(貼り付け!$A$1:$BZ$3001,473,$B$1)),DATE(VALUE(LEFT(I474,FIND("-",I474)-1)),VALUE(LEFT(J474,FIND("-",J474)-1)),VALUE(MID(J474,FIND("-",J474)+1,99)))))),"")</f>
        <v/>
      </c>
      <c r="C474">
        <f>IF($C$1=0,0,IFERROR(VALUE(SUBSTITUTE(SUBSTITUTE(SUBSTITUTE(INDEX(貼り付け!$A$1:$BZ$3001,473,$C$1)&amp;"",",",""),"¥",""),"￥","")),0))</f>
        <v/>
      </c>
      <c r="D474">
        <f>IF($D$1=0,0,IFERROR(VALUE(SUBSTITUTE(SUBSTITUTE(SUBSTITUTE(INDEX(貼り付け!$A$1:$BZ$3001,473,$D$1)&amp;"",",",""),"¥",""),"￥","")),0))</f>
        <v/>
      </c>
      <c r="E474">
        <f>IF($E$1=0,0,IFERROR(VALUE(SUBSTITUTE(SUBSTITUTE(SUBSTITUTE(INDEX(貼り付け!$A$1:$BZ$3001,473,$E$1)&amp;"",",",""),"¥",""),"￥","")),0))</f>
        <v/>
      </c>
      <c r="F474">
        <f>IF($F$1=0,0,IFERROR(VALUE(SUBSTITUTE(SUBSTITUTE(SUBSTITUTE(INDEX(貼り付け!$A$1:$BZ$3001,473,$F$1)&amp;"",",",""),"¥",""),"￥","")),0))</f>
        <v/>
      </c>
      <c r="G474">
        <f>IF(ISNUMBER(B474),YEAR(B474),"")</f>
        <v/>
      </c>
      <c r="H474">
        <f>IF(ISNUMBER(B474),MONTH(B474),"")</f>
        <v/>
      </c>
      <c r="I474">
        <f>IFERROR(IF($B$1=0,"",IF(ISNUMBER(INDEX(貼り付け!$A$1:$BZ$3001,473,$B$1)),"",SUBSTITUTE(SUBSTITUTE(SUBSTITUTE(SUBSTITUTE(TRIM(LEFT(INDEX(貼り付け!$A$1:$BZ$3001,473,$B$1)&amp;"",FIND(" ",TRIM(INDEX(貼り付け!$A$1:$BZ$3001,473,$B$1)&amp;"")&amp;" ")-1)),"/","-"),"年","-"),"月","-"),"日",""))),"")</f>
        <v/>
      </c>
      <c r="J474">
        <f>IFERROR(MID(I474,FIND("-",I474)+1,99),"")</f>
        <v/>
      </c>
    </row>
    <row r="475">
      <c r="B475">
        <f>IFERROR(IF($B$1=0,"",IF(INDEX(貼り付け!$A$1:$BZ$3001,474,$B$1)="","",IF(ISNUMBER(INDEX(貼り付け!$A$1:$BZ$3001,474,$B$1)),INT(INDEX(貼り付け!$A$1:$BZ$3001,474,$B$1)),DATE(VALUE(LEFT(I475,FIND("-",I475)-1)),VALUE(LEFT(J475,FIND("-",J475)-1)),VALUE(MID(J475,FIND("-",J475)+1,99)))))),"")</f>
        <v/>
      </c>
      <c r="C475">
        <f>IF($C$1=0,0,IFERROR(VALUE(SUBSTITUTE(SUBSTITUTE(SUBSTITUTE(INDEX(貼り付け!$A$1:$BZ$3001,474,$C$1)&amp;"",",",""),"¥",""),"￥","")),0))</f>
        <v/>
      </c>
      <c r="D475">
        <f>IF($D$1=0,0,IFERROR(VALUE(SUBSTITUTE(SUBSTITUTE(SUBSTITUTE(INDEX(貼り付け!$A$1:$BZ$3001,474,$D$1)&amp;"",",",""),"¥",""),"￥","")),0))</f>
        <v/>
      </c>
      <c r="E475">
        <f>IF($E$1=0,0,IFERROR(VALUE(SUBSTITUTE(SUBSTITUTE(SUBSTITUTE(INDEX(貼り付け!$A$1:$BZ$3001,474,$E$1)&amp;"",",",""),"¥",""),"￥","")),0))</f>
        <v/>
      </c>
      <c r="F475">
        <f>IF($F$1=0,0,IFERROR(VALUE(SUBSTITUTE(SUBSTITUTE(SUBSTITUTE(INDEX(貼り付け!$A$1:$BZ$3001,474,$F$1)&amp;"",",",""),"¥",""),"￥","")),0))</f>
        <v/>
      </c>
      <c r="G475">
        <f>IF(ISNUMBER(B475),YEAR(B475),"")</f>
        <v/>
      </c>
      <c r="H475">
        <f>IF(ISNUMBER(B475),MONTH(B475),"")</f>
        <v/>
      </c>
      <c r="I475">
        <f>IFERROR(IF($B$1=0,"",IF(ISNUMBER(INDEX(貼り付け!$A$1:$BZ$3001,474,$B$1)),"",SUBSTITUTE(SUBSTITUTE(SUBSTITUTE(SUBSTITUTE(TRIM(LEFT(INDEX(貼り付け!$A$1:$BZ$3001,474,$B$1)&amp;"",FIND(" ",TRIM(INDEX(貼り付け!$A$1:$BZ$3001,474,$B$1)&amp;"")&amp;" ")-1)),"/","-"),"年","-"),"月","-"),"日",""))),"")</f>
        <v/>
      </c>
      <c r="J475">
        <f>IFERROR(MID(I475,FIND("-",I475)+1,99),"")</f>
        <v/>
      </c>
    </row>
    <row r="476">
      <c r="B476">
        <f>IFERROR(IF($B$1=0,"",IF(INDEX(貼り付け!$A$1:$BZ$3001,475,$B$1)="","",IF(ISNUMBER(INDEX(貼り付け!$A$1:$BZ$3001,475,$B$1)),INT(INDEX(貼り付け!$A$1:$BZ$3001,475,$B$1)),DATE(VALUE(LEFT(I476,FIND("-",I476)-1)),VALUE(LEFT(J476,FIND("-",J476)-1)),VALUE(MID(J476,FIND("-",J476)+1,99)))))),"")</f>
        <v/>
      </c>
      <c r="C476">
        <f>IF($C$1=0,0,IFERROR(VALUE(SUBSTITUTE(SUBSTITUTE(SUBSTITUTE(INDEX(貼り付け!$A$1:$BZ$3001,475,$C$1)&amp;"",",",""),"¥",""),"￥","")),0))</f>
        <v/>
      </c>
      <c r="D476">
        <f>IF($D$1=0,0,IFERROR(VALUE(SUBSTITUTE(SUBSTITUTE(SUBSTITUTE(INDEX(貼り付け!$A$1:$BZ$3001,475,$D$1)&amp;"",",",""),"¥",""),"￥","")),0))</f>
        <v/>
      </c>
      <c r="E476">
        <f>IF($E$1=0,0,IFERROR(VALUE(SUBSTITUTE(SUBSTITUTE(SUBSTITUTE(INDEX(貼り付け!$A$1:$BZ$3001,475,$E$1)&amp;"",",",""),"¥",""),"￥","")),0))</f>
        <v/>
      </c>
      <c r="F476">
        <f>IF($F$1=0,0,IFERROR(VALUE(SUBSTITUTE(SUBSTITUTE(SUBSTITUTE(INDEX(貼り付け!$A$1:$BZ$3001,475,$F$1)&amp;"",",",""),"¥",""),"￥","")),0))</f>
        <v/>
      </c>
      <c r="G476">
        <f>IF(ISNUMBER(B476),YEAR(B476),"")</f>
        <v/>
      </c>
      <c r="H476">
        <f>IF(ISNUMBER(B476),MONTH(B476),"")</f>
        <v/>
      </c>
      <c r="I476">
        <f>IFERROR(IF($B$1=0,"",IF(ISNUMBER(INDEX(貼り付け!$A$1:$BZ$3001,475,$B$1)),"",SUBSTITUTE(SUBSTITUTE(SUBSTITUTE(SUBSTITUTE(TRIM(LEFT(INDEX(貼り付け!$A$1:$BZ$3001,475,$B$1)&amp;"",FIND(" ",TRIM(INDEX(貼り付け!$A$1:$BZ$3001,475,$B$1)&amp;"")&amp;" ")-1)),"/","-"),"年","-"),"月","-"),"日",""))),"")</f>
        <v/>
      </c>
      <c r="J476">
        <f>IFERROR(MID(I476,FIND("-",I476)+1,99),"")</f>
        <v/>
      </c>
    </row>
    <row r="477">
      <c r="B477">
        <f>IFERROR(IF($B$1=0,"",IF(INDEX(貼り付け!$A$1:$BZ$3001,476,$B$1)="","",IF(ISNUMBER(INDEX(貼り付け!$A$1:$BZ$3001,476,$B$1)),INT(INDEX(貼り付け!$A$1:$BZ$3001,476,$B$1)),DATE(VALUE(LEFT(I477,FIND("-",I477)-1)),VALUE(LEFT(J477,FIND("-",J477)-1)),VALUE(MID(J477,FIND("-",J477)+1,99)))))),"")</f>
        <v/>
      </c>
      <c r="C477">
        <f>IF($C$1=0,0,IFERROR(VALUE(SUBSTITUTE(SUBSTITUTE(SUBSTITUTE(INDEX(貼り付け!$A$1:$BZ$3001,476,$C$1)&amp;"",",",""),"¥",""),"￥","")),0))</f>
        <v/>
      </c>
      <c r="D477">
        <f>IF($D$1=0,0,IFERROR(VALUE(SUBSTITUTE(SUBSTITUTE(SUBSTITUTE(INDEX(貼り付け!$A$1:$BZ$3001,476,$D$1)&amp;"",",",""),"¥",""),"￥","")),0))</f>
        <v/>
      </c>
      <c r="E477">
        <f>IF($E$1=0,0,IFERROR(VALUE(SUBSTITUTE(SUBSTITUTE(SUBSTITUTE(INDEX(貼り付け!$A$1:$BZ$3001,476,$E$1)&amp;"",",",""),"¥",""),"￥","")),0))</f>
        <v/>
      </c>
      <c r="F477">
        <f>IF($F$1=0,0,IFERROR(VALUE(SUBSTITUTE(SUBSTITUTE(SUBSTITUTE(INDEX(貼り付け!$A$1:$BZ$3001,476,$F$1)&amp;"",",",""),"¥",""),"￥","")),0))</f>
        <v/>
      </c>
      <c r="G477">
        <f>IF(ISNUMBER(B477),YEAR(B477),"")</f>
        <v/>
      </c>
      <c r="H477">
        <f>IF(ISNUMBER(B477),MONTH(B477),"")</f>
        <v/>
      </c>
      <c r="I477">
        <f>IFERROR(IF($B$1=0,"",IF(ISNUMBER(INDEX(貼り付け!$A$1:$BZ$3001,476,$B$1)),"",SUBSTITUTE(SUBSTITUTE(SUBSTITUTE(SUBSTITUTE(TRIM(LEFT(INDEX(貼り付け!$A$1:$BZ$3001,476,$B$1)&amp;"",FIND(" ",TRIM(INDEX(貼り付け!$A$1:$BZ$3001,476,$B$1)&amp;"")&amp;" ")-1)),"/","-"),"年","-"),"月","-"),"日",""))),"")</f>
        <v/>
      </c>
      <c r="J477">
        <f>IFERROR(MID(I477,FIND("-",I477)+1,99),"")</f>
        <v/>
      </c>
    </row>
    <row r="478">
      <c r="B478">
        <f>IFERROR(IF($B$1=0,"",IF(INDEX(貼り付け!$A$1:$BZ$3001,477,$B$1)="","",IF(ISNUMBER(INDEX(貼り付け!$A$1:$BZ$3001,477,$B$1)),INT(INDEX(貼り付け!$A$1:$BZ$3001,477,$B$1)),DATE(VALUE(LEFT(I478,FIND("-",I478)-1)),VALUE(LEFT(J478,FIND("-",J478)-1)),VALUE(MID(J478,FIND("-",J478)+1,99)))))),"")</f>
        <v/>
      </c>
      <c r="C478">
        <f>IF($C$1=0,0,IFERROR(VALUE(SUBSTITUTE(SUBSTITUTE(SUBSTITUTE(INDEX(貼り付け!$A$1:$BZ$3001,477,$C$1)&amp;"",",",""),"¥",""),"￥","")),0))</f>
        <v/>
      </c>
      <c r="D478">
        <f>IF($D$1=0,0,IFERROR(VALUE(SUBSTITUTE(SUBSTITUTE(SUBSTITUTE(INDEX(貼り付け!$A$1:$BZ$3001,477,$D$1)&amp;"",",",""),"¥",""),"￥","")),0))</f>
        <v/>
      </c>
      <c r="E478">
        <f>IF($E$1=0,0,IFERROR(VALUE(SUBSTITUTE(SUBSTITUTE(SUBSTITUTE(INDEX(貼り付け!$A$1:$BZ$3001,477,$E$1)&amp;"",",",""),"¥",""),"￥","")),0))</f>
        <v/>
      </c>
      <c r="F478">
        <f>IF($F$1=0,0,IFERROR(VALUE(SUBSTITUTE(SUBSTITUTE(SUBSTITUTE(INDEX(貼り付け!$A$1:$BZ$3001,477,$F$1)&amp;"",",",""),"¥",""),"￥","")),0))</f>
        <v/>
      </c>
      <c r="G478">
        <f>IF(ISNUMBER(B478),YEAR(B478),"")</f>
        <v/>
      </c>
      <c r="H478">
        <f>IF(ISNUMBER(B478),MONTH(B478),"")</f>
        <v/>
      </c>
      <c r="I478">
        <f>IFERROR(IF($B$1=0,"",IF(ISNUMBER(INDEX(貼り付け!$A$1:$BZ$3001,477,$B$1)),"",SUBSTITUTE(SUBSTITUTE(SUBSTITUTE(SUBSTITUTE(TRIM(LEFT(INDEX(貼り付け!$A$1:$BZ$3001,477,$B$1)&amp;"",FIND(" ",TRIM(INDEX(貼り付け!$A$1:$BZ$3001,477,$B$1)&amp;"")&amp;" ")-1)),"/","-"),"年","-"),"月","-"),"日",""))),"")</f>
        <v/>
      </c>
      <c r="J478">
        <f>IFERROR(MID(I478,FIND("-",I478)+1,99),"")</f>
        <v/>
      </c>
    </row>
    <row r="479">
      <c r="B479">
        <f>IFERROR(IF($B$1=0,"",IF(INDEX(貼り付け!$A$1:$BZ$3001,478,$B$1)="","",IF(ISNUMBER(INDEX(貼り付け!$A$1:$BZ$3001,478,$B$1)),INT(INDEX(貼り付け!$A$1:$BZ$3001,478,$B$1)),DATE(VALUE(LEFT(I479,FIND("-",I479)-1)),VALUE(LEFT(J479,FIND("-",J479)-1)),VALUE(MID(J479,FIND("-",J479)+1,99)))))),"")</f>
        <v/>
      </c>
      <c r="C479">
        <f>IF($C$1=0,0,IFERROR(VALUE(SUBSTITUTE(SUBSTITUTE(SUBSTITUTE(INDEX(貼り付け!$A$1:$BZ$3001,478,$C$1)&amp;"",",",""),"¥",""),"￥","")),0))</f>
        <v/>
      </c>
      <c r="D479">
        <f>IF($D$1=0,0,IFERROR(VALUE(SUBSTITUTE(SUBSTITUTE(SUBSTITUTE(INDEX(貼り付け!$A$1:$BZ$3001,478,$D$1)&amp;"",",",""),"¥",""),"￥","")),0))</f>
        <v/>
      </c>
      <c r="E479">
        <f>IF($E$1=0,0,IFERROR(VALUE(SUBSTITUTE(SUBSTITUTE(SUBSTITUTE(INDEX(貼り付け!$A$1:$BZ$3001,478,$E$1)&amp;"",",",""),"¥",""),"￥","")),0))</f>
        <v/>
      </c>
      <c r="F479">
        <f>IF($F$1=0,0,IFERROR(VALUE(SUBSTITUTE(SUBSTITUTE(SUBSTITUTE(INDEX(貼り付け!$A$1:$BZ$3001,478,$F$1)&amp;"",",",""),"¥",""),"￥","")),0))</f>
        <v/>
      </c>
      <c r="G479">
        <f>IF(ISNUMBER(B479),YEAR(B479),"")</f>
        <v/>
      </c>
      <c r="H479">
        <f>IF(ISNUMBER(B479),MONTH(B479),"")</f>
        <v/>
      </c>
      <c r="I479">
        <f>IFERROR(IF($B$1=0,"",IF(ISNUMBER(INDEX(貼り付け!$A$1:$BZ$3001,478,$B$1)),"",SUBSTITUTE(SUBSTITUTE(SUBSTITUTE(SUBSTITUTE(TRIM(LEFT(INDEX(貼り付け!$A$1:$BZ$3001,478,$B$1)&amp;"",FIND(" ",TRIM(INDEX(貼り付け!$A$1:$BZ$3001,478,$B$1)&amp;"")&amp;" ")-1)),"/","-"),"年","-"),"月","-"),"日",""))),"")</f>
        <v/>
      </c>
      <c r="J479">
        <f>IFERROR(MID(I479,FIND("-",I479)+1,99),"")</f>
        <v/>
      </c>
    </row>
    <row r="480">
      <c r="B480">
        <f>IFERROR(IF($B$1=0,"",IF(INDEX(貼り付け!$A$1:$BZ$3001,479,$B$1)="","",IF(ISNUMBER(INDEX(貼り付け!$A$1:$BZ$3001,479,$B$1)),INT(INDEX(貼り付け!$A$1:$BZ$3001,479,$B$1)),DATE(VALUE(LEFT(I480,FIND("-",I480)-1)),VALUE(LEFT(J480,FIND("-",J480)-1)),VALUE(MID(J480,FIND("-",J480)+1,99)))))),"")</f>
        <v/>
      </c>
      <c r="C480">
        <f>IF($C$1=0,0,IFERROR(VALUE(SUBSTITUTE(SUBSTITUTE(SUBSTITUTE(INDEX(貼り付け!$A$1:$BZ$3001,479,$C$1)&amp;"",",",""),"¥",""),"￥","")),0))</f>
        <v/>
      </c>
      <c r="D480">
        <f>IF($D$1=0,0,IFERROR(VALUE(SUBSTITUTE(SUBSTITUTE(SUBSTITUTE(INDEX(貼り付け!$A$1:$BZ$3001,479,$D$1)&amp;"",",",""),"¥",""),"￥","")),0))</f>
        <v/>
      </c>
      <c r="E480">
        <f>IF($E$1=0,0,IFERROR(VALUE(SUBSTITUTE(SUBSTITUTE(SUBSTITUTE(INDEX(貼り付け!$A$1:$BZ$3001,479,$E$1)&amp;"",",",""),"¥",""),"￥","")),0))</f>
        <v/>
      </c>
      <c r="F480">
        <f>IF($F$1=0,0,IFERROR(VALUE(SUBSTITUTE(SUBSTITUTE(SUBSTITUTE(INDEX(貼り付け!$A$1:$BZ$3001,479,$F$1)&amp;"",",",""),"¥",""),"￥","")),0))</f>
        <v/>
      </c>
      <c r="G480">
        <f>IF(ISNUMBER(B480),YEAR(B480),"")</f>
        <v/>
      </c>
      <c r="H480">
        <f>IF(ISNUMBER(B480),MONTH(B480),"")</f>
        <v/>
      </c>
      <c r="I480">
        <f>IFERROR(IF($B$1=0,"",IF(ISNUMBER(INDEX(貼り付け!$A$1:$BZ$3001,479,$B$1)),"",SUBSTITUTE(SUBSTITUTE(SUBSTITUTE(SUBSTITUTE(TRIM(LEFT(INDEX(貼り付け!$A$1:$BZ$3001,479,$B$1)&amp;"",FIND(" ",TRIM(INDEX(貼り付け!$A$1:$BZ$3001,479,$B$1)&amp;"")&amp;" ")-1)),"/","-"),"年","-"),"月","-"),"日",""))),"")</f>
        <v/>
      </c>
      <c r="J480">
        <f>IFERROR(MID(I480,FIND("-",I480)+1,99),"")</f>
        <v/>
      </c>
    </row>
    <row r="481">
      <c r="B481">
        <f>IFERROR(IF($B$1=0,"",IF(INDEX(貼り付け!$A$1:$BZ$3001,480,$B$1)="","",IF(ISNUMBER(INDEX(貼り付け!$A$1:$BZ$3001,480,$B$1)),INT(INDEX(貼り付け!$A$1:$BZ$3001,480,$B$1)),DATE(VALUE(LEFT(I481,FIND("-",I481)-1)),VALUE(LEFT(J481,FIND("-",J481)-1)),VALUE(MID(J481,FIND("-",J481)+1,99)))))),"")</f>
        <v/>
      </c>
      <c r="C481">
        <f>IF($C$1=0,0,IFERROR(VALUE(SUBSTITUTE(SUBSTITUTE(SUBSTITUTE(INDEX(貼り付け!$A$1:$BZ$3001,480,$C$1)&amp;"",",",""),"¥",""),"￥","")),0))</f>
        <v/>
      </c>
      <c r="D481">
        <f>IF($D$1=0,0,IFERROR(VALUE(SUBSTITUTE(SUBSTITUTE(SUBSTITUTE(INDEX(貼り付け!$A$1:$BZ$3001,480,$D$1)&amp;"",",",""),"¥",""),"￥","")),0))</f>
        <v/>
      </c>
      <c r="E481">
        <f>IF($E$1=0,0,IFERROR(VALUE(SUBSTITUTE(SUBSTITUTE(SUBSTITUTE(INDEX(貼り付け!$A$1:$BZ$3001,480,$E$1)&amp;"",",",""),"¥",""),"￥","")),0))</f>
        <v/>
      </c>
      <c r="F481">
        <f>IF($F$1=0,0,IFERROR(VALUE(SUBSTITUTE(SUBSTITUTE(SUBSTITUTE(INDEX(貼り付け!$A$1:$BZ$3001,480,$F$1)&amp;"",",",""),"¥",""),"￥","")),0))</f>
        <v/>
      </c>
      <c r="G481">
        <f>IF(ISNUMBER(B481),YEAR(B481),"")</f>
        <v/>
      </c>
      <c r="H481">
        <f>IF(ISNUMBER(B481),MONTH(B481),"")</f>
        <v/>
      </c>
      <c r="I481">
        <f>IFERROR(IF($B$1=0,"",IF(ISNUMBER(INDEX(貼り付け!$A$1:$BZ$3001,480,$B$1)),"",SUBSTITUTE(SUBSTITUTE(SUBSTITUTE(SUBSTITUTE(TRIM(LEFT(INDEX(貼り付け!$A$1:$BZ$3001,480,$B$1)&amp;"",FIND(" ",TRIM(INDEX(貼り付け!$A$1:$BZ$3001,480,$B$1)&amp;"")&amp;" ")-1)),"/","-"),"年","-"),"月","-"),"日",""))),"")</f>
        <v/>
      </c>
      <c r="J481">
        <f>IFERROR(MID(I481,FIND("-",I481)+1,99),"")</f>
        <v/>
      </c>
    </row>
    <row r="482">
      <c r="B482">
        <f>IFERROR(IF($B$1=0,"",IF(INDEX(貼り付け!$A$1:$BZ$3001,481,$B$1)="","",IF(ISNUMBER(INDEX(貼り付け!$A$1:$BZ$3001,481,$B$1)),INT(INDEX(貼り付け!$A$1:$BZ$3001,481,$B$1)),DATE(VALUE(LEFT(I482,FIND("-",I482)-1)),VALUE(LEFT(J482,FIND("-",J482)-1)),VALUE(MID(J482,FIND("-",J482)+1,99)))))),"")</f>
        <v/>
      </c>
      <c r="C482">
        <f>IF($C$1=0,0,IFERROR(VALUE(SUBSTITUTE(SUBSTITUTE(SUBSTITUTE(INDEX(貼り付け!$A$1:$BZ$3001,481,$C$1)&amp;"",",",""),"¥",""),"￥","")),0))</f>
        <v/>
      </c>
      <c r="D482">
        <f>IF($D$1=0,0,IFERROR(VALUE(SUBSTITUTE(SUBSTITUTE(SUBSTITUTE(INDEX(貼り付け!$A$1:$BZ$3001,481,$D$1)&amp;"",",",""),"¥",""),"￥","")),0))</f>
        <v/>
      </c>
      <c r="E482">
        <f>IF($E$1=0,0,IFERROR(VALUE(SUBSTITUTE(SUBSTITUTE(SUBSTITUTE(INDEX(貼り付け!$A$1:$BZ$3001,481,$E$1)&amp;"",",",""),"¥",""),"￥","")),0))</f>
        <v/>
      </c>
      <c r="F482">
        <f>IF($F$1=0,0,IFERROR(VALUE(SUBSTITUTE(SUBSTITUTE(SUBSTITUTE(INDEX(貼り付け!$A$1:$BZ$3001,481,$F$1)&amp;"",",",""),"¥",""),"￥","")),0))</f>
        <v/>
      </c>
      <c r="G482">
        <f>IF(ISNUMBER(B482),YEAR(B482),"")</f>
        <v/>
      </c>
      <c r="H482">
        <f>IF(ISNUMBER(B482),MONTH(B482),"")</f>
        <v/>
      </c>
      <c r="I482">
        <f>IFERROR(IF($B$1=0,"",IF(ISNUMBER(INDEX(貼り付け!$A$1:$BZ$3001,481,$B$1)),"",SUBSTITUTE(SUBSTITUTE(SUBSTITUTE(SUBSTITUTE(TRIM(LEFT(INDEX(貼り付け!$A$1:$BZ$3001,481,$B$1)&amp;"",FIND(" ",TRIM(INDEX(貼り付け!$A$1:$BZ$3001,481,$B$1)&amp;"")&amp;" ")-1)),"/","-"),"年","-"),"月","-"),"日",""))),"")</f>
        <v/>
      </c>
      <c r="J482">
        <f>IFERROR(MID(I482,FIND("-",I482)+1,99),"")</f>
        <v/>
      </c>
    </row>
    <row r="483">
      <c r="B483">
        <f>IFERROR(IF($B$1=0,"",IF(INDEX(貼り付け!$A$1:$BZ$3001,482,$B$1)="","",IF(ISNUMBER(INDEX(貼り付け!$A$1:$BZ$3001,482,$B$1)),INT(INDEX(貼り付け!$A$1:$BZ$3001,482,$B$1)),DATE(VALUE(LEFT(I483,FIND("-",I483)-1)),VALUE(LEFT(J483,FIND("-",J483)-1)),VALUE(MID(J483,FIND("-",J483)+1,99)))))),"")</f>
        <v/>
      </c>
      <c r="C483">
        <f>IF($C$1=0,0,IFERROR(VALUE(SUBSTITUTE(SUBSTITUTE(SUBSTITUTE(INDEX(貼り付け!$A$1:$BZ$3001,482,$C$1)&amp;"",",",""),"¥",""),"￥","")),0))</f>
        <v/>
      </c>
      <c r="D483">
        <f>IF($D$1=0,0,IFERROR(VALUE(SUBSTITUTE(SUBSTITUTE(SUBSTITUTE(INDEX(貼り付け!$A$1:$BZ$3001,482,$D$1)&amp;"",",",""),"¥",""),"￥","")),0))</f>
        <v/>
      </c>
      <c r="E483">
        <f>IF($E$1=0,0,IFERROR(VALUE(SUBSTITUTE(SUBSTITUTE(SUBSTITUTE(INDEX(貼り付け!$A$1:$BZ$3001,482,$E$1)&amp;"",",",""),"¥",""),"￥","")),0))</f>
        <v/>
      </c>
      <c r="F483">
        <f>IF($F$1=0,0,IFERROR(VALUE(SUBSTITUTE(SUBSTITUTE(SUBSTITUTE(INDEX(貼り付け!$A$1:$BZ$3001,482,$F$1)&amp;"",",",""),"¥",""),"￥","")),0))</f>
        <v/>
      </c>
      <c r="G483">
        <f>IF(ISNUMBER(B483),YEAR(B483),"")</f>
        <v/>
      </c>
      <c r="H483">
        <f>IF(ISNUMBER(B483),MONTH(B483),"")</f>
        <v/>
      </c>
      <c r="I483">
        <f>IFERROR(IF($B$1=0,"",IF(ISNUMBER(INDEX(貼り付け!$A$1:$BZ$3001,482,$B$1)),"",SUBSTITUTE(SUBSTITUTE(SUBSTITUTE(SUBSTITUTE(TRIM(LEFT(INDEX(貼り付け!$A$1:$BZ$3001,482,$B$1)&amp;"",FIND(" ",TRIM(INDEX(貼り付け!$A$1:$BZ$3001,482,$B$1)&amp;"")&amp;" ")-1)),"/","-"),"年","-"),"月","-"),"日",""))),"")</f>
        <v/>
      </c>
      <c r="J483">
        <f>IFERROR(MID(I483,FIND("-",I483)+1,99),"")</f>
        <v/>
      </c>
    </row>
    <row r="484">
      <c r="B484">
        <f>IFERROR(IF($B$1=0,"",IF(INDEX(貼り付け!$A$1:$BZ$3001,483,$B$1)="","",IF(ISNUMBER(INDEX(貼り付け!$A$1:$BZ$3001,483,$B$1)),INT(INDEX(貼り付け!$A$1:$BZ$3001,483,$B$1)),DATE(VALUE(LEFT(I484,FIND("-",I484)-1)),VALUE(LEFT(J484,FIND("-",J484)-1)),VALUE(MID(J484,FIND("-",J484)+1,99)))))),"")</f>
        <v/>
      </c>
      <c r="C484">
        <f>IF($C$1=0,0,IFERROR(VALUE(SUBSTITUTE(SUBSTITUTE(SUBSTITUTE(INDEX(貼り付け!$A$1:$BZ$3001,483,$C$1)&amp;"",",",""),"¥",""),"￥","")),0))</f>
        <v/>
      </c>
      <c r="D484">
        <f>IF($D$1=0,0,IFERROR(VALUE(SUBSTITUTE(SUBSTITUTE(SUBSTITUTE(INDEX(貼り付け!$A$1:$BZ$3001,483,$D$1)&amp;"",",",""),"¥",""),"￥","")),0))</f>
        <v/>
      </c>
      <c r="E484">
        <f>IF($E$1=0,0,IFERROR(VALUE(SUBSTITUTE(SUBSTITUTE(SUBSTITUTE(INDEX(貼り付け!$A$1:$BZ$3001,483,$E$1)&amp;"",",",""),"¥",""),"￥","")),0))</f>
        <v/>
      </c>
      <c r="F484">
        <f>IF($F$1=0,0,IFERROR(VALUE(SUBSTITUTE(SUBSTITUTE(SUBSTITUTE(INDEX(貼り付け!$A$1:$BZ$3001,483,$F$1)&amp;"",",",""),"¥",""),"￥","")),0))</f>
        <v/>
      </c>
      <c r="G484">
        <f>IF(ISNUMBER(B484),YEAR(B484),"")</f>
        <v/>
      </c>
      <c r="H484">
        <f>IF(ISNUMBER(B484),MONTH(B484),"")</f>
        <v/>
      </c>
      <c r="I484">
        <f>IFERROR(IF($B$1=0,"",IF(ISNUMBER(INDEX(貼り付け!$A$1:$BZ$3001,483,$B$1)),"",SUBSTITUTE(SUBSTITUTE(SUBSTITUTE(SUBSTITUTE(TRIM(LEFT(INDEX(貼り付け!$A$1:$BZ$3001,483,$B$1)&amp;"",FIND(" ",TRIM(INDEX(貼り付け!$A$1:$BZ$3001,483,$B$1)&amp;"")&amp;" ")-1)),"/","-"),"年","-"),"月","-"),"日",""))),"")</f>
        <v/>
      </c>
      <c r="J484">
        <f>IFERROR(MID(I484,FIND("-",I484)+1,99),"")</f>
        <v/>
      </c>
    </row>
    <row r="485">
      <c r="B485">
        <f>IFERROR(IF($B$1=0,"",IF(INDEX(貼り付け!$A$1:$BZ$3001,484,$B$1)="","",IF(ISNUMBER(INDEX(貼り付け!$A$1:$BZ$3001,484,$B$1)),INT(INDEX(貼り付け!$A$1:$BZ$3001,484,$B$1)),DATE(VALUE(LEFT(I485,FIND("-",I485)-1)),VALUE(LEFT(J485,FIND("-",J485)-1)),VALUE(MID(J485,FIND("-",J485)+1,99)))))),"")</f>
        <v/>
      </c>
      <c r="C485">
        <f>IF($C$1=0,0,IFERROR(VALUE(SUBSTITUTE(SUBSTITUTE(SUBSTITUTE(INDEX(貼り付け!$A$1:$BZ$3001,484,$C$1)&amp;"",",",""),"¥",""),"￥","")),0))</f>
        <v/>
      </c>
      <c r="D485">
        <f>IF($D$1=0,0,IFERROR(VALUE(SUBSTITUTE(SUBSTITUTE(SUBSTITUTE(INDEX(貼り付け!$A$1:$BZ$3001,484,$D$1)&amp;"",",",""),"¥",""),"￥","")),0))</f>
        <v/>
      </c>
      <c r="E485">
        <f>IF($E$1=0,0,IFERROR(VALUE(SUBSTITUTE(SUBSTITUTE(SUBSTITUTE(INDEX(貼り付け!$A$1:$BZ$3001,484,$E$1)&amp;"",",",""),"¥",""),"￥","")),0))</f>
        <v/>
      </c>
      <c r="F485">
        <f>IF($F$1=0,0,IFERROR(VALUE(SUBSTITUTE(SUBSTITUTE(SUBSTITUTE(INDEX(貼り付け!$A$1:$BZ$3001,484,$F$1)&amp;"",",",""),"¥",""),"￥","")),0))</f>
        <v/>
      </c>
      <c r="G485">
        <f>IF(ISNUMBER(B485),YEAR(B485),"")</f>
        <v/>
      </c>
      <c r="H485">
        <f>IF(ISNUMBER(B485),MONTH(B485),"")</f>
        <v/>
      </c>
      <c r="I485">
        <f>IFERROR(IF($B$1=0,"",IF(ISNUMBER(INDEX(貼り付け!$A$1:$BZ$3001,484,$B$1)),"",SUBSTITUTE(SUBSTITUTE(SUBSTITUTE(SUBSTITUTE(TRIM(LEFT(INDEX(貼り付け!$A$1:$BZ$3001,484,$B$1)&amp;"",FIND(" ",TRIM(INDEX(貼り付け!$A$1:$BZ$3001,484,$B$1)&amp;"")&amp;" ")-1)),"/","-"),"年","-"),"月","-"),"日",""))),"")</f>
        <v/>
      </c>
      <c r="J485">
        <f>IFERROR(MID(I485,FIND("-",I485)+1,99),"")</f>
        <v/>
      </c>
    </row>
    <row r="486">
      <c r="B486">
        <f>IFERROR(IF($B$1=0,"",IF(INDEX(貼り付け!$A$1:$BZ$3001,485,$B$1)="","",IF(ISNUMBER(INDEX(貼り付け!$A$1:$BZ$3001,485,$B$1)),INT(INDEX(貼り付け!$A$1:$BZ$3001,485,$B$1)),DATE(VALUE(LEFT(I486,FIND("-",I486)-1)),VALUE(LEFT(J486,FIND("-",J486)-1)),VALUE(MID(J486,FIND("-",J486)+1,99)))))),"")</f>
        <v/>
      </c>
      <c r="C486">
        <f>IF($C$1=0,0,IFERROR(VALUE(SUBSTITUTE(SUBSTITUTE(SUBSTITUTE(INDEX(貼り付け!$A$1:$BZ$3001,485,$C$1)&amp;"",",",""),"¥",""),"￥","")),0))</f>
        <v/>
      </c>
      <c r="D486">
        <f>IF($D$1=0,0,IFERROR(VALUE(SUBSTITUTE(SUBSTITUTE(SUBSTITUTE(INDEX(貼り付け!$A$1:$BZ$3001,485,$D$1)&amp;"",",",""),"¥",""),"￥","")),0))</f>
        <v/>
      </c>
      <c r="E486">
        <f>IF($E$1=0,0,IFERROR(VALUE(SUBSTITUTE(SUBSTITUTE(SUBSTITUTE(INDEX(貼り付け!$A$1:$BZ$3001,485,$E$1)&amp;"",",",""),"¥",""),"￥","")),0))</f>
        <v/>
      </c>
      <c r="F486">
        <f>IF($F$1=0,0,IFERROR(VALUE(SUBSTITUTE(SUBSTITUTE(SUBSTITUTE(INDEX(貼り付け!$A$1:$BZ$3001,485,$F$1)&amp;"",",",""),"¥",""),"￥","")),0))</f>
        <v/>
      </c>
      <c r="G486">
        <f>IF(ISNUMBER(B486),YEAR(B486),"")</f>
        <v/>
      </c>
      <c r="H486">
        <f>IF(ISNUMBER(B486),MONTH(B486),"")</f>
        <v/>
      </c>
      <c r="I486">
        <f>IFERROR(IF($B$1=0,"",IF(ISNUMBER(INDEX(貼り付け!$A$1:$BZ$3001,485,$B$1)),"",SUBSTITUTE(SUBSTITUTE(SUBSTITUTE(SUBSTITUTE(TRIM(LEFT(INDEX(貼り付け!$A$1:$BZ$3001,485,$B$1)&amp;"",FIND(" ",TRIM(INDEX(貼り付け!$A$1:$BZ$3001,485,$B$1)&amp;"")&amp;" ")-1)),"/","-"),"年","-"),"月","-"),"日",""))),"")</f>
        <v/>
      </c>
      <c r="J486">
        <f>IFERROR(MID(I486,FIND("-",I486)+1,99),"")</f>
        <v/>
      </c>
    </row>
    <row r="487">
      <c r="B487">
        <f>IFERROR(IF($B$1=0,"",IF(INDEX(貼り付け!$A$1:$BZ$3001,486,$B$1)="","",IF(ISNUMBER(INDEX(貼り付け!$A$1:$BZ$3001,486,$B$1)),INT(INDEX(貼り付け!$A$1:$BZ$3001,486,$B$1)),DATE(VALUE(LEFT(I487,FIND("-",I487)-1)),VALUE(LEFT(J487,FIND("-",J487)-1)),VALUE(MID(J487,FIND("-",J487)+1,99)))))),"")</f>
        <v/>
      </c>
      <c r="C487">
        <f>IF($C$1=0,0,IFERROR(VALUE(SUBSTITUTE(SUBSTITUTE(SUBSTITUTE(INDEX(貼り付け!$A$1:$BZ$3001,486,$C$1)&amp;"",",",""),"¥",""),"￥","")),0))</f>
        <v/>
      </c>
      <c r="D487">
        <f>IF($D$1=0,0,IFERROR(VALUE(SUBSTITUTE(SUBSTITUTE(SUBSTITUTE(INDEX(貼り付け!$A$1:$BZ$3001,486,$D$1)&amp;"",",",""),"¥",""),"￥","")),0))</f>
        <v/>
      </c>
      <c r="E487">
        <f>IF($E$1=0,0,IFERROR(VALUE(SUBSTITUTE(SUBSTITUTE(SUBSTITUTE(INDEX(貼り付け!$A$1:$BZ$3001,486,$E$1)&amp;"",",",""),"¥",""),"￥","")),0))</f>
        <v/>
      </c>
      <c r="F487">
        <f>IF($F$1=0,0,IFERROR(VALUE(SUBSTITUTE(SUBSTITUTE(SUBSTITUTE(INDEX(貼り付け!$A$1:$BZ$3001,486,$F$1)&amp;"",",",""),"¥",""),"￥","")),0))</f>
        <v/>
      </c>
      <c r="G487">
        <f>IF(ISNUMBER(B487),YEAR(B487),"")</f>
        <v/>
      </c>
      <c r="H487">
        <f>IF(ISNUMBER(B487),MONTH(B487),"")</f>
        <v/>
      </c>
      <c r="I487">
        <f>IFERROR(IF($B$1=0,"",IF(ISNUMBER(INDEX(貼り付け!$A$1:$BZ$3001,486,$B$1)),"",SUBSTITUTE(SUBSTITUTE(SUBSTITUTE(SUBSTITUTE(TRIM(LEFT(INDEX(貼り付け!$A$1:$BZ$3001,486,$B$1)&amp;"",FIND(" ",TRIM(INDEX(貼り付け!$A$1:$BZ$3001,486,$B$1)&amp;"")&amp;" ")-1)),"/","-"),"年","-"),"月","-"),"日",""))),"")</f>
        <v/>
      </c>
      <c r="J487">
        <f>IFERROR(MID(I487,FIND("-",I487)+1,99),"")</f>
        <v/>
      </c>
    </row>
    <row r="488">
      <c r="B488">
        <f>IFERROR(IF($B$1=0,"",IF(INDEX(貼り付け!$A$1:$BZ$3001,487,$B$1)="","",IF(ISNUMBER(INDEX(貼り付け!$A$1:$BZ$3001,487,$B$1)),INT(INDEX(貼り付け!$A$1:$BZ$3001,487,$B$1)),DATE(VALUE(LEFT(I488,FIND("-",I488)-1)),VALUE(LEFT(J488,FIND("-",J488)-1)),VALUE(MID(J488,FIND("-",J488)+1,99)))))),"")</f>
        <v/>
      </c>
      <c r="C488">
        <f>IF($C$1=0,0,IFERROR(VALUE(SUBSTITUTE(SUBSTITUTE(SUBSTITUTE(INDEX(貼り付け!$A$1:$BZ$3001,487,$C$1)&amp;"",",",""),"¥",""),"￥","")),0))</f>
        <v/>
      </c>
      <c r="D488">
        <f>IF($D$1=0,0,IFERROR(VALUE(SUBSTITUTE(SUBSTITUTE(SUBSTITUTE(INDEX(貼り付け!$A$1:$BZ$3001,487,$D$1)&amp;"",",",""),"¥",""),"￥","")),0))</f>
        <v/>
      </c>
      <c r="E488">
        <f>IF($E$1=0,0,IFERROR(VALUE(SUBSTITUTE(SUBSTITUTE(SUBSTITUTE(INDEX(貼り付け!$A$1:$BZ$3001,487,$E$1)&amp;"",",",""),"¥",""),"￥","")),0))</f>
        <v/>
      </c>
      <c r="F488">
        <f>IF($F$1=0,0,IFERROR(VALUE(SUBSTITUTE(SUBSTITUTE(SUBSTITUTE(INDEX(貼り付け!$A$1:$BZ$3001,487,$F$1)&amp;"",",",""),"¥",""),"￥","")),0))</f>
        <v/>
      </c>
      <c r="G488">
        <f>IF(ISNUMBER(B488),YEAR(B488),"")</f>
        <v/>
      </c>
      <c r="H488">
        <f>IF(ISNUMBER(B488),MONTH(B488),"")</f>
        <v/>
      </c>
      <c r="I488">
        <f>IFERROR(IF($B$1=0,"",IF(ISNUMBER(INDEX(貼り付け!$A$1:$BZ$3001,487,$B$1)),"",SUBSTITUTE(SUBSTITUTE(SUBSTITUTE(SUBSTITUTE(TRIM(LEFT(INDEX(貼り付け!$A$1:$BZ$3001,487,$B$1)&amp;"",FIND(" ",TRIM(INDEX(貼り付け!$A$1:$BZ$3001,487,$B$1)&amp;"")&amp;" ")-1)),"/","-"),"年","-"),"月","-"),"日",""))),"")</f>
        <v/>
      </c>
      <c r="J488">
        <f>IFERROR(MID(I488,FIND("-",I488)+1,99),"")</f>
        <v/>
      </c>
    </row>
    <row r="489">
      <c r="B489">
        <f>IFERROR(IF($B$1=0,"",IF(INDEX(貼り付け!$A$1:$BZ$3001,488,$B$1)="","",IF(ISNUMBER(INDEX(貼り付け!$A$1:$BZ$3001,488,$B$1)),INT(INDEX(貼り付け!$A$1:$BZ$3001,488,$B$1)),DATE(VALUE(LEFT(I489,FIND("-",I489)-1)),VALUE(LEFT(J489,FIND("-",J489)-1)),VALUE(MID(J489,FIND("-",J489)+1,99)))))),"")</f>
        <v/>
      </c>
      <c r="C489">
        <f>IF($C$1=0,0,IFERROR(VALUE(SUBSTITUTE(SUBSTITUTE(SUBSTITUTE(INDEX(貼り付け!$A$1:$BZ$3001,488,$C$1)&amp;"",",",""),"¥",""),"￥","")),0))</f>
        <v/>
      </c>
      <c r="D489">
        <f>IF($D$1=0,0,IFERROR(VALUE(SUBSTITUTE(SUBSTITUTE(SUBSTITUTE(INDEX(貼り付け!$A$1:$BZ$3001,488,$D$1)&amp;"",",",""),"¥",""),"￥","")),0))</f>
        <v/>
      </c>
      <c r="E489">
        <f>IF($E$1=0,0,IFERROR(VALUE(SUBSTITUTE(SUBSTITUTE(SUBSTITUTE(INDEX(貼り付け!$A$1:$BZ$3001,488,$E$1)&amp;"",",",""),"¥",""),"￥","")),0))</f>
        <v/>
      </c>
      <c r="F489">
        <f>IF($F$1=0,0,IFERROR(VALUE(SUBSTITUTE(SUBSTITUTE(SUBSTITUTE(INDEX(貼り付け!$A$1:$BZ$3001,488,$F$1)&amp;"",",",""),"¥",""),"￥","")),0))</f>
        <v/>
      </c>
      <c r="G489">
        <f>IF(ISNUMBER(B489),YEAR(B489),"")</f>
        <v/>
      </c>
      <c r="H489">
        <f>IF(ISNUMBER(B489),MONTH(B489),"")</f>
        <v/>
      </c>
      <c r="I489">
        <f>IFERROR(IF($B$1=0,"",IF(ISNUMBER(INDEX(貼り付け!$A$1:$BZ$3001,488,$B$1)),"",SUBSTITUTE(SUBSTITUTE(SUBSTITUTE(SUBSTITUTE(TRIM(LEFT(INDEX(貼り付け!$A$1:$BZ$3001,488,$B$1)&amp;"",FIND(" ",TRIM(INDEX(貼り付け!$A$1:$BZ$3001,488,$B$1)&amp;"")&amp;" ")-1)),"/","-"),"年","-"),"月","-"),"日",""))),"")</f>
        <v/>
      </c>
      <c r="J489">
        <f>IFERROR(MID(I489,FIND("-",I489)+1,99),"")</f>
        <v/>
      </c>
    </row>
    <row r="490">
      <c r="B490">
        <f>IFERROR(IF($B$1=0,"",IF(INDEX(貼り付け!$A$1:$BZ$3001,489,$B$1)="","",IF(ISNUMBER(INDEX(貼り付け!$A$1:$BZ$3001,489,$B$1)),INT(INDEX(貼り付け!$A$1:$BZ$3001,489,$B$1)),DATE(VALUE(LEFT(I490,FIND("-",I490)-1)),VALUE(LEFT(J490,FIND("-",J490)-1)),VALUE(MID(J490,FIND("-",J490)+1,99)))))),"")</f>
        <v/>
      </c>
      <c r="C490">
        <f>IF($C$1=0,0,IFERROR(VALUE(SUBSTITUTE(SUBSTITUTE(SUBSTITUTE(INDEX(貼り付け!$A$1:$BZ$3001,489,$C$1)&amp;"",",",""),"¥",""),"￥","")),0))</f>
        <v/>
      </c>
      <c r="D490">
        <f>IF($D$1=0,0,IFERROR(VALUE(SUBSTITUTE(SUBSTITUTE(SUBSTITUTE(INDEX(貼り付け!$A$1:$BZ$3001,489,$D$1)&amp;"",",",""),"¥",""),"￥","")),0))</f>
        <v/>
      </c>
      <c r="E490">
        <f>IF($E$1=0,0,IFERROR(VALUE(SUBSTITUTE(SUBSTITUTE(SUBSTITUTE(INDEX(貼り付け!$A$1:$BZ$3001,489,$E$1)&amp;"",",",""),"¥",""),"￥","")),0))</f>
        <v/>
      </c>
      <c r="F490">
        <f>IF($F$1=0,0,IFERROR(VALUE(SUBSTITUTE(SUBSTITUTE(SUBSTITUTE(INDEX(貼り付け!$A$1:$BZ$3001,489,$F$1)&amp;"",",",""),"¥",""),"￥","")),0))</f>
        <v/>
      </c>
      <c r="G490">
        <f>IF(ISNUMBER(B490),YEAR(B490),"")</f>
        <v/>
      </c>
      <c r="H490">
        <f>IF(ISNUMBER(B490),MONTH(B490),"")</f>
        <v/>
      </c>
      <c r="I490">
        <f>IFERROR(IF($B$1=0,"",IF(ISNUMBER(INDEX(貼り付け!$A$1:$BZ$3001,489,$B$1)),"",SUBSTITUTE(SUBSTITUTE(SUBSTITUTE(SUBSTITUTE(TRIM(LEFT(INDEX(貼り付け!$A$1:$BZ$3001,489,$B$1)&amp;"",FIND(" ",TRIM(INDEX(貼り付け!$A$1:$BZ$3001,489,$B$1)&amp;"")&amp;" ")-1)),"/","-"),"年","-"),"月","-"),"日",""))),"")</f>
        <v/>
      </c>
      <c r="J490">
        <f>IFERROR(MID(I490,FIND("-",I490)+1,99),"")</f>
        <v/>
      </c>
    </row>
    <row r="491">
      <c r="B491">
        <f>IFERROR(IF($B$1=0,"",IF(INDEX(貼り付け!$A$1:$BZ$3001,490,$B$1)="","",IF(ISNUMBER(INDEX(貼り付け!$A$1:$BZ$3001,490,$B$1)),INT(INDEX(貼り付け!$A$1:$BZ$3001,490,$B$1)),DATE(VALUE(LEFT(I491,FIND("-",I491)-1)),VALUE(LEFT(J491,FIND("-",J491)-1)),VALUE(MID(J491,FIND("-",J491)+1,99)))))),"")</f>
        <v/>
      </c>
      <c r="C491">
        <f>IF($C$1=0,0,IFERROR(VALUE(SUBSTITUTE(SUBSTITUTE(SUBSTITUTE(INDEX(貼り付け!$A$1:$BZ$3001,490,$C$1)&amp;"",",",""),"¥",""),"￥","")),0))</f>
        <v/>
      </c>
      <c r="D491">
        <f>IF($D$1=0,0,IFERROR(VALUE(SUBSTITUTE(SUBSTITUTE(SUBSTITUTE(INDEX(貼り付け!$A$1:$BZ$3001,490,$D$1)&amp;"",",",""),"¥",""),"￥","")),0))</f>
        <v/>
      </c>
      <c r="E491">
        <f>IF($E$1=0,0,IFERROR(VALUE(SUBSTITUTE(SUBSTITUTE(SUBSTITUTE(INDEX(貼り付け!$A$1:$BZ$3001,490,$E$1)&amp;"",",",""),"¥",""),"￥","")),0))</f>
        <v/>
      </c>
      <c r="F491">
        <f>IF($F$1=0,0,IFERROR(VALUE(SUBSTITUTE(SUBSTITUTE(SUBSTITUTE(INDEX(貼り付け!$A$1:$BZ$3001,490,$F$1)&amp;"",",",""),"¥",""),"￥","")),0))</f>
        <v/>
      </c>
      <c r="G491">
        <f>IF(ISNUMBER(B491),YEAR(B491),"")</f>
        <v/>
      </c>
      <c r="H491">
        <f>IF(ISNUMBER(B491),MONTH(B491),"")</f>
        <v/>
      </c>
      <c r="I491">
        <f>IFERROR(IF($B$1=0,"",IF(ISNUMBER(INDEX(貼り付け!$A$1:$BZ$3001,490,$B$1)),"",SUBSTITUTE(SUBSTITUTE(SUBSTITUTE(SUBSTITUTE(TRIM(LEFT(INDEX(貼り付け!$A$1:$BZ$3001,490,$B$1)&amp;"",FIND(" ",TRIM(INDEX(貼り付け!$A$1:$BZ$3001,490,$B$1)&amp;"")&amp;" ")-1)),"/","-"),"年","-"),"月","-"),"日",""))),"")</f>
        <v/>
      </c>
      <c r="J491">
        <f>IFERROR(MID(I491,FIND("-",I491)+1,99),"")</f>
        <v/>
      </c>
    </row>
    <row r="492">
      <c r="B492">
        <f>IFERROR(IF($B$1=0,"",IF(INDEX(貼り付け!$A$1:$BZ$3001,491,$B$1)="","",IF(ISNUMBER(INDEX(貼り付け!$A$1:$BZ$3001,491,$B$1)),INT(INDEX(貼り付け!$A$1:$BZ$3001,491,$B$1)),DATE(VALUE(LEFT(I492,FIND("-",I492)-1)),VALUE(LEFT(J492,FIND("-",J492)-1)),VALUE(MID(J492,FIND("-",J492)+1,99)))))),"")</f>
        <v/>
      </c>
      <c r="C492">
        <f>IF($C$1=0,0,IFERROR(VALUE(SUBSTITUTE(SUBSTITUTE(SUBSTITUTE(INDEX(貼り付け!$A$1:$BZ$3001,491,$C$1)&amp;"",",",""),"¥",""),"￥","")),0))</f>
        <v/>
      </c>
      <c r="D492">
        <f>IF($D$1=0,0,IFERROR(VALUE(SUBSTITUTE(SUBSTITUTE(SUBSTITUTE(INDEX(貼り付け!$A$1:$BZ$3001,491,$D$1)&amp;"",",",""),"¥",""),"￥","")),0))</f>
        <v/>
      </c>
      <c r="E492">
        <f>IF($E$1=0,0,IFERROR(VALUE(SUBSTITUTE(SUBSTITUTE(SUBSTITUTE(INDEX(貼り付け!$A$1:$BZ$3001,491,$E$1)&amp;"",",",""),"¥",""),"￥","")),0))</f>
        <v/>
      </c>
      <c r="F492">
        <f>IF($F$1=0,0,IFERROR(VALUE(SUBSTITUTE(SUBSTITUTE(SUBSTITUTE(INDEX(貼り付け!$A$1:$BZ$3001,491,$F$1)&amp;"",",",""),"¥",""),"￥","")),0))</f>
        <v/>
      </c>
      <c r="G492">
        <f>IF(ISNUMBER(B492),YEAR(B492),"")</f>
        <v/>
      </c>
      <c r="H492">
        <f>IF(ISNUMBER(B492),MONTH(B492),"")</f>
        <v/>
      </c>
      <c r="I492">
        <f>IFERROR(IF($B$1=0,"",IF(ISNUMBER(INDEX(貼り付け!$A$1:$BZ$3001,491,$B$1)),"",SUBSTITUTE(SUBSTITUTE(SUBSTITUTE(SUBSTITUTE(TRIM(LEFT(INDEX(貼り付け!$A$1:$BZ$3001,491,$B$1)&amp;"",FIND(" ",TRIM(INDEX(貼り付け!$A$1:$BZ$3001,491,$B$1)&amp;"")&amp;" ")-1)),"/","-"),"年","-"),"月","-"),"日",""))),"")</f>
        <v/>
      </c>
      <c r="J492">
        <f>IFERROR(MID(I492,FIND("-",I492)+1,99),"")</f>
        <v/>
      </c>
    </row>
    <row r="493">
      <c r="B493">
        <f>IFERROR(IF($B$1=0,"",IF(INDEX(貼り付け!$A$1:$BZ$3001,492,$B$1)="","",IF(ISNUMBER(INDEX(貼り付け!$A$1:$BZ$3001,492,$B$1)),INT(INDEX(貼り付け!$A$1:$BZ$3001,492,$B$1)),DATE(VALUE(LEFT(I493,FIND("-",I493)-1)),VALUE(LEFT(J493,FIND("-",J493)-1)),VALUE(MID(J493,FIND("-",J493)+1,99)))))),"")</f>
        <v/>
      </c>
      <c r="C493">
        <f>IF($C$1=0,0,IFERROR(VALUE(SUBSTITUTE(SUBSTITUTE(SUBSTITUTE(INDEX(貼り付け!$A$1:$BZ$3001,492,$C$1)&amp;"",",",""),"¥",""),"￥","")),0))</f>
        <v/>
      </c>
      <c r="D493">
        <f>IF($D$1=0,0,IFERROR(VALUE(SUBSTITUTE(SUBSTITUTE(SUBSTITUTE(INDEX(貼り付け!$A$1:$BZ$3001,492,$D$1)&amp;"",",",""),"¥",""),"￥","")),0))</f>
        <v/>
      </c>
      <c r="E493">
        <f>IF($E$1=0,0,IFERROR(VALUE(SUBSTITUTE(SUBSTITUTE(SUBSTITUTE(INDEX(貼り付け!$A$1:$BZ$3001,492,$E$1)&amp;"",",",""),"¥",""),"￥","")),0))</f>
        <v/>
      </c>
      <c r="F493">
        <f>IF($F$1=0,0,IFERROR(VALUE(SUBSTITUTE(SUBSTITUTE(SUBSTITUTE(INDEX(貼り付け!$A$1:$BZ$3001,492,$F$1)&amp;"",",",""),"¥",""),"￥","")),0))</f>
        <v/>
      </c>
      <c r="G493">
        <f>IF(ISNUMBER(B493),YEAR(B493),"")</f>
        <v/>
      </c>
      <c r="H493">
        <f>IF(ISNUMBER(B493),MONTH(B493),"")</f>
        <v/>
      </c>
      <c r="I493">
        <f>IFERROR(IF($B$1=0,"",IF(ISNUMBER(INDEX(貼り付け!$A$1:$BZ$3001,492,$B$1)),"",SUBSTITUTE(SUBSTITUTE(SUBSTITUTE(SUBSTITUTE(TRIM(LEFT(INDEX(貼り付け!$A$1:$BZ$3001,492,$B$1)&amp;"",FIND(" ",TRIM(INDEX(貼り付け!$A$1:$BZ$3001,492,$B$1)&amp;"")&amp;" ")-1)),"/","-"),"年","-"),"月","-"),"日",""))),"")</f>
        <v/>
      </c>
      <c r="J493">
        <f>IFERROR(MID(I493,FIND("-",I493)+1,99),"")</f>
        <v/>
      </c>
    </row>
    <row r="494">
      <c r="B494">
        <f>IFERROR(IF($B$1=0,"",IF(INDEX(貼り付け!$A$1:$BZ$3001,493,$B$1)="","",IF(ISNUMBER(INDEX(貼り付け!$A$1:$BZ$3001,493,$B$1)),INT(INDEX(貼り付け!$A$1:$BZ$3001,493,$B$1)),DATE(VALUE(LEFT(I494,FIND("-",I494)-1)),VALUE(LEFT(J494,FIND("-",J494)-1)),VALUE(MID(J494,FIND("-",J494)+1,99)))))),"")</f>
        <v/>
      </c>
      <c r="C494">
        <f>IF($C$1=0,0,IFERROR(VALUE(SUBSTITUTE(SUBSTITUTE(SUBSTITUTE(INDEX(貼り付け!$A$1:$BZ$3001,493,$C$1)&amp;"",",",""),"¥",""),"￥","")),0))</f>
        <v/>
      </c>
      <c r="D494">
        <f>IF($D$1=0,0,IFERROR(VALUE(SUBSTITUTE(SUBSTITUTE(SUBSTITUTE(INDEX(貼り付け!$A$1:$BZ$3001,493,$D$1)&amp;"",",",""),"¥",""),"￥","")),0))</f>
        <v/>
      </c>
      <c r="E494">
        <f>IF($E$1=0,0,IFERROR(VALUE(SUBSTITUTE(SUBSTITUTE(SUBSTITUTE(INDEX(貼り付け!$A$1:$BZ$3001,493,$E$1)&amp;"",",",""),"¥",""),"￥","")),0))</f>
        <v/>
      </c>
      <c r="F494">
        <f>IF($F$1=0,0,IFERROR(VALUE(SUBSTITUTE(SUBSTITUTE(SUBSTITUTE(INDEX(貼り付け!$A$1:$BZ$3001,493,$F$1)&amp;"",",",""),"¥",""),"￥","")),0))</f>
        <v/>
      </c>
      <c r="G494">
        <f>IF(ISNUMBER(B494),YEAR(B494),"")</f>
        <v/>
      </c>
      <c r="H494">
        <f>IF(ISNUMBER(B494),MONTH(B494),"")</f>
        <v/>
      </c>
      <c r="I494">
        <f>IFERROR(IF($B$1=0,"",IF(ISNUMBER(INDEX(貼り付け!$A$1:$BZ$3001,493,$B$1)),"",SUBSTITUTE(SUBSTITUTE(SUBSTITUTE(SUBSTITUTE(TRIM(LEFT(INDEX(貼り付け!$A$1:$BZ$3001,493,$B$1)&amp;"",FIND(" ",TRIM(INDEX(貼り付け!$A$1:$BZ$3001,493,$B$1)&amp;"")&amp;" ")-1)),"/","-"),"年","-"),"月","-"),"日",""))),"")</f>
        <v/>
      </c>
      <c r="J494">
        <f>IFERROR(MID(I494,FIND("-",I494)+1,99),"")</f>
        <v/>
      </c>
    </row>
    <row r="495">
      <c r="B495">
        <f>IFERROR(IF($B$1=0,"",IF(INDEX(貼り付け!$A$1:$BZ$3001,494,$B$1)="","",IF(ISNUMBER(INDEX(貼り付け!$A$1:$BZ$3001,494,$B$1)),INT(INDEX(貼り付け!$A$1:$BZ$3001,494,$B$1)),DATE(VALUE(LEFT(I495,FIND("-",I495)-1)),VALUE(LEFT(J495,FIND("-",J495)-1)),VALUE(MID(J495,FIND("-",J495)+1,99)))))),"")</f>
        <v/>
      </c>
      <c r="C495">
        <f>IF($C$1=0,0,IFERROR(VALUE(SUBSTITUTE(SUBSTITUTE(SUBSTITUTE(INDEX(貼り付け!$A$1:$BZ$3001,494,$C$1)&amp;"",",",""),"¥",""),"￥","")),0))</f>
        <v/>
      </c>
      <c r="D495">
        <f>IF($D$1=0,0,IFERROR(VALUE(SUBSTITUTE(SUBSTITUTE(SUBSTITUTE(INDEX(貼り付け!$A$1:$BZ$3001,494,$D$1)&amp;"",",",""),"¥",""),"￥","")),0))</f>
        <v/>
      </c>
      <c r="E495">
        <f>IF($E$1=0,0,IFERROR(VALUE(SUBSTITUTE(SUBSTITUTE(SUBSTITUTE(INDEX(貼り付け!$A$1:$BZ$3001,494,$E$1)&amp;"",",",""),"¥",""),"￥","")),0))</f>
        <v/>
      </c>
      <c r="F495">
        <f>IF($F$1=0,0,IFERROR(VALUE(SUBSTITUTE(SUBSTITUTE(SUBSTITUTE(INDEX(貼り付け!$A$1:$BZ$3001,494,$F$1)&amp;"",",",""),"¥",""),"￥","")),0))</f>
        <v/>
      </c>
      <c r="G495">
        <f>IF(ISNUMBER(B495),YEAR(B495),"")</f>
        <v/>
      </c>
      <c r="H495">
        <f>IF(ISNUMBER(B495),MONTH(B495),"")</f>
        <v/>
      </c>
      <c r="I495">
        <f>IFERROR(IF($B$1=0,"",IF(ISNUMBER(INDEX(貼り付け!$A$1:$BZ$3001,494,$B$1)),"",SUBSTITUTE(SUBSTITUTE(SUBSTITUTE(SUBSTITUTE(TRIM(LEFT(INDEX(貼り付け!$A$1:$BZ$3001,494,$B$1)&amp;"",FIND(" ",TRIM(INDEX(貼り付け!$A$1:$BZ$3001,494,$B$1)&amp;"")&amp;" ")-1)),"/","-"),"年","-"),"月","-"),"日",""))),"")</f>
        <v/>
      </c>
      <c r="J495">
        <f>IFERROR(MID(I495,FIND("-",I495)+1,99),"")</f>
        <v/>
      </c>
    </row>
    <row r="496">
      <c r="B496">
        <f>IFERROR(IF($B$1=0,"",IF(INDEX(貼り付け!$A$1:$BZ$3001,495,$B$1)="","",IF(ISNUMBER(INDEX(貼り付け!$A$1:$BZ$3001,495,$B$1)),INT(INDEX(貼り付け!$A$1:$BZ$3001,495,$B$1)),DATE(VALUE(LEFT(I496,FIND("-",I496)-1)),VALUE(LEFT(J496,FIND("-",J496)-1)),VALUE(MID(J496,FIND("-",J496)+1,99)))))),"")</f>
        <v/>
      </c>
      <c r="C496">
        <f>IF($C$1=0,0,IFERROR(VALUE(SUBSTITUTE(SUBSTITUTE(SUBSTITUTE(INDEX(貼り付け!$A$1:$BZ$3001,495,$C$1)&amp;"",",",""),"¥",""),"￥","")),0))</f>
        <v/>
      </c>
      <c r="D496">
        <f>IF($D$1=0,0,IFERROR(VALUE(SUBSTITUTE(SUBSTITUTE(SUBSTITUTE(INDEX(貼り付け!$A$1:$BZ$3001,495,$D$1)&amp;"",",",""),"¥",""),"￥","")),0))</f>
        <v/>
      </c>
      <c r="E496">
        <f>IF($E$1=0,0,IFERROR(VALUE(SUBSTITUTE(SUBSTITUTE(SUBSTITUTE(INDEX(貼り付け!$A$1:$BZ$3001,495,$E$1)&amp;"",",",""),"¥",""),"￥","")),0))</f>
        <v/>
      </c>
      <c r="F496">
        <f>IF($F$1=0,0,IFERROR(VALUE(SUBSTITUTE(SUBSTITUTE(SUBSTITUTE(INDEX(貼り付け!$A$1:$BZ$3001,495,$F$1)&amp;"",",",""),"¥",""),"￥","")),0))</f>
        <v/>
      </c>
      <c r="G496">
        <f>IF(ISNUMBER(B496),YEAR(B496),"")</f>
        <v/>
      </c>
      <c r="H496">
        <f>IF(ISNUMBER(B496),MONTH(B496),"")</f>
        <v/>
      </c>
      <c r="I496">
        <f>IFERROR(IF($B$1=0,"",IF(ISNUMBER(INDEX(貼り付け!$A$1:$BZ$3001,495,$B$1)),"",SUBSTITUTE(SUBSTITUTE(SUBSTITUTE(SUBSTITUTE(TRIM(LEFT(INDEX(貼り付け!$A$1:$BZ$3001,495,$B$1)&amp;"",FIND(" ",TRIM(INDEX(貼り付け!$A$1:$BZ$3001,495,$B$1)&amp;"")&amp;" ")-1)),"/","-"),"年","-"),"月","-"),"日",""))),"")</f>
        <v/>
      </c>
      <c r="J496">
        <f>IFERROR(MID(I496,FIND("-",I496)+1,99),"")</f>
        <v/>
      </c>
    </row>
    <row r="497">
      <c r="B497">
        <f>IFERROR(IF($B$1=0,"",IF(INDEX(貼り付け!$A$1:$BZ$3001,496,$B$1)="","",IF(ISNUMBER(INDEX(貼り付け!$A$1:$BZ$3001,496,$B$1)),INT(INDEX(貼り付け!$A$1:$BZ$3001,496,$B$1)),DATE(VALUE(LEFT(I497,FIND("-",I497)-1)),VALUE(LEFT(J497,FIND("-",J497)-1)),VALUE(MID(J497,FIND("-",J497)+1,99)))))),"")</f>
        <v/>
      </c>
      <c r="C497">
        <f>IF($C$1=0,0,IFERROR(VALUE(SUBSTITUTE(SUBSTITUTE(SUBSTITUTE(INDEX(貼り付け!$A$1:$BZ$3001,496,$C$1)&amp;"",",",""),"¥",""),"￥","")),0))</f>
        <v/>
      </c>
      <c r="D497">
        <f>IF($D$1=0,0,IFERROR(VALUE(SUBSTITUTE(SUBSTITUTE(SUBSTITUTE(INDEX(貼り付け!$A$1:$BZ$3001,496,$D$1)&amp;"",",",""),"¥",""),"￥","")),0))</f>
        <v/>
      </c>
      <c r="E497">
        <f>IF($E$1=0,0,IFERROR(VALUE(SUBSTITUTE(SUBSTITUTE(SUBSTITUTE(INDEX(貼り付け!$A$1:$BZ$3001,496,$E$1)&amp;"",",",""),"¥",""),"￥","")),0))</f>
        <v/>
      </c>
      <c r="F497">
        <f>IF($F$1=0,0,IFERROR(VALUE(SUBSTITUTE(SUBSTITUTE(SUBSTITUTE(INDEX(貼り付け!$A$1:$BZ$3001,496,$F$1)&amp;"",",",""),"¥",""),"￥","")),0))</f>
        <v/>
      </c>
      <c r="G497">
        <f>IF(ISNUMBER(B497),YEAR(B497),"")</f>
        <v/>
      </c>
      <c r="H497">
        <f>IF(ISNUMBER(B497),MONTH(B497),"")</f>
        <v/>
      </c>
      <c r="I497">
        <f>IFERROR(IF($B$1=0,"",IF(ISNUMBER(INDEX(貼り付け!$A$1:$BZ$3001,496,$B$1)),"",SUBSTITUTE(SUBSTITUTE(SUBSTITUTE(SUBSTITUTE(TRIM(LEFT(INDEX(貼り付け!$A$1:$BZ$3001,496,$B$1)&amp;"",FIND(" ",TRIM(INDEX(貼り付け!$A$1:$BZ$3001,496,$B$1)&amp;"")&amp;" ")-1)),"/","-"),"年","-"),"月","-"),"日",""))),"")</f>
        <v/>
      </c>
      <c r="J497">
        <f>IFERROR(MID(I497,FIND("-",I497)+1,99),"")</f>
        <v/>
      </c>
    </row>
    <row r="498">
      <c r="B498">
        <f>IFERROR(IF($B$1=0,"",IF(INDEX(貼り付け!$A$1:$BZ$3001,497,$B$1)="","",IF(ISNUMBER(INDEX(貼り付け!$A$1:$BZ$3001,497,$B$1)),INT(INDEX(貼り付け!$A$1:$BZ$3001,497,$B$1)),DATE(VALUE(LEFT(I498,FIND("-",I498)-1)),VALUE(LEFT(J498,FIND("-",J498)-1)),VALUE(MID(J498,FIND("-",J498)+1,99)))))),"")</f>
        <v/>
      </c>
      <c r="C498">
        <f>IF($C$1=0,0,IFERROR(VALUE(SUBSTITUTE(SUBSTITUTE(SUBSTITUTE(INDEX(貼り付け!$A$1:$BZ$3001,497,$C$1)&amp;"",",",""),"¥",""),"￥","")),0))</f>
        <v/>
      </c>
      <c r="D498">
        <f>IF($D$1=0,0,IFERROR(VALUE(SUBSTITUTE(SUBSTITUTE(SUBSTITUTE(INDEX(貼り付け!$A$1:$BZ$3001,497,$D$1)&amp;"",",",""),"¥",""),"￥","")),0))</f>
        <v/>
      </c>
      <c r="E498">
        <f>IF($E$1=0,0,IFERROR(VALUE(SUBSTITUTE(SUBSTITUTE(SUBSTITUTE(INDEX(貼り付け!$A$1:$BZ$3001,497,$E$1)&amp;"",",",""),"¥",""),"￥","")),0))</f>
        <v/>
      </c>
      <c r="F498">
        <f>IF($F$1=0,0,IFERROR(VALUE(SUBSTITUTE(SUBSTITUTE(SUBSTITUTE(INDEX(貼り付け!$A$1:$BZ$3001,497,$F$1)&amp;"",",",""),"¥",""),"￥","")),0))</f>
        <v/>
      </c>
      <c r="G498">
        <f>IF(ISNUMBER(B498),YEAR(B498),"")</f>
        <v/>
      </c>
      <c r="H498">
        <f>IF(ISNUMBER(B498),MONTH(B498),"")</f>
        <v/>
      </c>
      <c r="I498">
        <f>IFERROR(IF($B$1=0,"",IF(ISNUMBER(INDEX(貼り付け!$A$1:$BZ$3001,497,$B$1)),"",SUBSTITUTE(SUBSTITUTE(SUBSTITUTE(SUBSTITUTE(TRIM(LEFT(INDEX(貼り付け!$A$1:$BZ$3001,497,$B$1)&amp;"",FIND(" ",TRIM(INDEX(貼り付け!$A$1:$BZ$3001,497,$B$1)&amp;"")&amp;" ")-1)),"/","-"),"年","-"),"月","-"),"日",""))),"")</f>
        <v/>
      </c>
      <c r="J498">
        <f>IFERROR(MID(I498,FIND("-",I498)+1,99),"")</f>
        <v/>
      </c>
    </row>
    <row r="499">
      <c r="B499">
        <f>IFERROR(IF($B$1=0,"",IF(INDEX(貼り付け!$A$1:$BZ$3001,498,$B$1)="","",IF(ISNUMBER(INDEX(貼り付け!$A$1:$BZ$3001,498,$B$1)),INT(INDEX(貼り付け!$A$1:$BZ$3001,498,$B$1)),DATE(VALUE(LEFT(I499,FIND("-",I499)-1)),VALUE(LEFT(J499,FIND("-",J499)-1)),VALUE(MID(J499,FIND("-",J499)+1,99)))))),"")</f>
        <v/>
      </c>
      <c r="C499">
        <f>IF($C$1=0,0,IFERROR(VALUE(SUBSTITUTE(SUBSTITUTE(SUBSTITUTE(INDEX(貼り付け!$A$1:$BZ$3001,498,$C$1)&amp;"",",",""),"¥",""),"￥","")),0))</f>
        <v/>
      </c>
      <c r="D499">
        <f>IF($D$1=0,0,IFERROR(VALUE(SUBSTITUTE(SUBSTITUTE(SUBSTITUTE(INDEX(貼り付け!$A$1:$BZ$3001,498,$D$1)&amp;"",",",""),"¥",""),"￥","")),0))</f>
        <v/>
      </c>
      <c r="E499">
        <f>IF($E$1=0,0,IFERROR(VALUE(SUBSTITUTE(SUBSTITUTE(SUBSTITUTE(INDEX(貼り付け!$A$1:$BZ$3001,498,$E$1)&amp;"",",",""),"¥",""),"￥","")),0))</f>
        <v/>
      </c>
      <c r="F499">
        <f>IF($F$1=0,0,IFERROR(VALUE(SUBSTITUTE(SUBSTITUTE(SUBSTITUTE(INDEX(貼り付け!$A$1:$BZ$3001,498,$F$1)&amp;"",",",""),"¥",""),"￥","")),0))</f>
        <v/>
      </c>
      <c r="G499">
        <f>IF(ISNUMBER(B499),YEAR(B499),"")</f>
        <v/>
      </c>
      <c r="H499">
        <f>IF(ISNUMBER(B499),MONTH(B499),"")</f>
        <v/>
      </c>
      <c r="I499">
        <f>IFERROR(IF($B$1=0,"",IF(ISNUMBER(INDEX(貼り付け!$A$1:$BZ$3001,498,$B$1)),"",SUBSTITUTE(SUBSTITUTE(SUBSTITUTE(SUBSTITUTE(TRIM(LEFT(INDEX(貼り付け!$A$1:$BZ$3001,498,$B$1)&amp;"",FIND(" ",TRIM(INDEX(貼り付け!$A$1:$BZ$3001,498,$B$1)&amp;"")&amp;" ")-1)),"/","-"),"年","-"),"月","-"),"日",""))),"")</f>
        <v/>
      </c>
      <c r="J499">
        <f>IFERROR(MID(I499,FIND("-",I499)+1,99),"")</f>
        <v/>
      </c>
    </row>
    <row r="500">
      <c r="B500">
        <f>IFERROR(IF($B$1=0,"",IF(INDEX(貼り付け!$A$1:$BZ$3001,499,$B$1)="","",IF(ISNUMBER(INDEX(貼り付け!$A$1:$BZ$3001,499,$B$1)),INT(INDEX(貼り付け!$A$1:$BZ$3001,499,$B$1)),DATE(VALUE(LEFT(I500,FIND("-",I500)-1)),VALUE(LEFT(J500,FIND("-",J500)-1)),VALUE(MID(J500,FIND("-",J500)+1,99)))))),"")</f>
        <v/>
      </c>
      <c r="C500">
        <f>IF($C$1=0,0,IFERROR(VALUE(SUBSTITUTE(SUBSTITUTE(SUBSTITUTE(INDEX(貼り付け!$A$1:$BZ$3001,499,$C$1)&amp;"",",",""),"¥",""),"￥","")),0))</f>
        <v/>
      </c>
      <c r="D500">
        <f>IF($D$1=0,0,IFERROR(VALUE(SUBSTITUTE(SUBSTITUTE(SUBSTITUTE(INDEX(貼り付け!$A$1:$BZ$3001,499,$D$1)&amp;"",",",""),"¥",""),"￥","")),0))</f>
        <v/>
      </c>
      <c r="E500">
        <f>IF($E$1=0,0,IFERROR(VALUE(SUBSTITUTE(SUBSTITUTE(SUBSTITUTE(INDEX(貼り付け!$A$1:$BZ$3001,499,$E$1)&amp;"",",",""),"¥",""),"￥","")),0))</f>
        <v/>
      </c>
      <c r="F500">
        <f>IF($F$1=0,0,IFERROR(VALUE(SUBSTITUTE(SUBSTITUTE(SUBSTITUTE(INDEX(貼り付け!$A$1:$BZ$3001,499,$F$1)&amp;"",",",""),"¥",""),"￥","")),0))</f>
        <v/>
      </c>
      <c r="G500">
        <f>IF(ISNUMBER(B500),YEAR(B500),"")</f>
        <v/>
      </c>
      <c r="H500">
        <f>IF(ISNUMBER(B500),MONTH(B500),"")</f>
        <v/>
      </c>
      <c r="I500">
        <f>IFERROR(IF($B$1=0,"",IF(ISNUMBER(INDEX(貼り付け!$A$1:$BZ$3001,499,$B$1)),"",SUBSTITUTE(SUBSTITUTE(SUBSTITUTE(SUBSTITUTE(TRIM(LEFT(INDEX(貼り付け!$A$1:$BZ$3001,499,$B$1)&amp;"",FIND(" ",TRIM(INDEX(貼り付け!$A$1:$BZ$3001,499,$B$1)&amp;"")&amp;" ")-1)),"/","-"),"年","-"),"月","-"),"日",""))),"")</f>
        <v/>
      </c>
      <c r="J500">
        <f>IFERROR(MID(I500,FIND("-",I500)+1,99),"")</f>
        <v/>
      </c>
    </row>
    <row r="501">
      <c r="B501">
        <f>IFERROR(IF($B$1=0,"",IF(INDEX(貼り付け!$A$1:$BZ$3001,500,$B$1)="","",IF(ISNUMBER(INDEX(貼り付け!$A$1:$BZ$3001,500,$B$1)),INT(INDEX(貼り付け!$A$1:$BZ$3001,500,$B$1)),DATE(VALUE(LEFT(I501,FIND("-",I501)-1)),VALUE(LEFT(J501,FIND("-",J501)-1)),VALUE(MID(J501,FIND("-",J501)+1,99)))))),"")</f>
        <v/>
      </c>
      <c r="C501">
        <f>IF($C$1=0,0,IFERROR(VALUE(SUBSTITUTE(SUBSTITUTE(SUBSTITUTE(INDEX(貼り付け!$A$1:$BZ$3001,500,$C$1)&amp;"",",",""),"¥",""),"￥","")),0))</f>
        <v/>
      </c>
      <c r="D501">
        <f>IF($D$1=0,0,IFERROR(VALUE(SUBSTITUTE(SUBSTITUTE(SUBSTITUTE(INDEX(貼り付け!$A$1:$BZ$3001,500,$D$1)&amp;"",",",""),"¥",""),"￥","")),0))</f>
        <v/>
      </c>
      <c r="E501">
        <f>IF($E$1=0,0,IFERROR(VALUE(SUBSTITUTE(SUBSTITUTE(SUBSTITUTE(INDEX(貼り付け!$A$1:$BZ$3001,500,$E$1)&amp;"",",",""),"¥",""),"￥","")),0))</f>
        <v/>
      </c>
      <c r="F501">
        <f>IF($F$1=0,0,IFERROR(VALUE(SUBSTITUTE(SUBSTITUTE(SUBSTITUTE(INDEX(貼り付け!$A$1:$BZ$3001,500,$F$1)&amp;"",",",""),"¥",""),"￥","")),0))</f>
        <v/>
      </c>
      <c r="G501">
        <f>IF(ISNUMBER(B501),YEAR(B501),"")</f>
        <v/>
      </c>
      <c r="H501">
        <f>IF(ISNUMBER(B501),MONTH(B501),"")</f>
        <v/>
      </c>
      <c r="I501">
        <f>IFERROR(IF($B$1=0,"",IF(ISNUMBER(INDEX(貼り付け!$A$1:$BZ$3001,500,$B$1)),"",SUBSTITUTE(SUBSTITUTE(SUBSTITUTE(SUBSTITUTE(TRIM(LEFT(INDEX(貼り付け!$A$1:$BZ$3001,500,$B$1)&amp;"",FIND(" ",TRIM(INDEX(貼り付け!$A$1:$BZ$3001,500,$B$1)&amp;"")&amp;" ")-1)),"/","-"),"年","-"),"月","-"),"日",""))),"")</f>
        <v/>
      </c>
      <c r="J501">
        <f>IFERROR(MID(I501,FIND("-",I501)+1,99),"")</f>
        <v/>
      </c>
    </row>
    <row r="502">
      <c r="B502">
        <f>IFERROR(IF($B$1=0,"",IF(INDEX(貼り付け!$A$1:$BZ$3001,501,$B$1)="","",IF(ISNUMBER(INDEX(貼り付け!$A$1:$BZ$3001,501,$B$1)),INT(INDEX(貼り付け!$A$1:$BZ$3001,501,$B$1)),DATE(VALUE(LEFT(I502,FIND("-",I502)-1)),VALUE(LEFT(J502,FIND("-",J502)-1)),VALUE(MID(J502,FIND("-",J502)+1,99)))))),"")</f>
        <v/>
      </c>
      <c r="C502">
        <f>IF($C$1=0,0,IFERROR(VALUE(SUBSTITUTE(SUBSTITUTE(SUBSTITUTE(INDEX(貼り付け!$A$1:$BZ$3001,501,$C$1)&amp;"",",",""),"¥",""),"￥","")),0))</f>
        <v/>
      </c>
      <c r="D502">
        <f>IF($D$1=0,0,IFERROR(VALUE(SUBSTITUTE(SUBSTITUTE(SUBSTITUTE(INDEX(貼り付け!$A$1:$BZ$3001,501,$D$1)&amp;"",",",""),"¥",""),"￥","")),0))</f>
        <v/>
      </c>
      <c r="E502">
        <f>IF($E$1=0,0,IFERROR(VALUE(SUBSTITUTE(SUBSTITUTE(SUBSTITUTE(INDEX(貼り付け!$A$1:$BZ$3001,501,$E$1)&amp;"",",",""),"¥",""),"￥","")),0))</f>
        <v/>
      </c>
      <c r="F502">
        <f>IF($F$1=0,0,IFERROR(VALUE(SUBSTITUTE(SUBSTITUTE(SUBSTITUTE(INDEX(貼り付け!$A$1:$BZ$3001,501,$F$1)&amp;"",",",""),"¥",""),"￥","")),0))</f>
        <v/>
      </c>
      <c r="G502">
        <f>IF(ISNUMBER(B502),YEAR(B502),"")</f>
        <v/>
      </c>
      <c r="H502">
        <f>IF(ISNUMBER(B502),MONTH(B502),"")</f>
        <v/>
      </c>
      <c r="I502">
        <f>IFERROR(IF($B$1=0,"",IF(ISNUMBER(INDEX(貼り付け!$A$1:$BZ$3001,501,$B$1)),"",SUBSTITUTE(SUBSTITUTE(SUBSTITUTE(SUBSTITUTE(TRIM(LEFT(INDEX(貼り付け!$A$1:$BZ$3001,501,$B$1)&amp;"",FIND(" ",TRIM(INDEX(貼り付け!$A$1:$BZ$3001,501,$B$1)&amp;"")&amp;" ")-1)),"/","-"),"年","-"),"月","-"),"日",""))),"")</f>
        <v/>
      </c>
      <c r="J502">
        <f>IFERROR(MID(I502,FIND("-",I502)+1,99),"")</f>
        <v/>
      </c>
    </row>
    <row r="503">
      <c r="B503">
        <f>IFERROR(IF($B$1=0,"",IF(INDEX(貼り付け!$A$1:$BZ$3001,502,$B$1)="","",IF(ISNUMBER(INDEX(貼り付け!$A$1:$BZ$3001,502,$B$1)),INT(INDEX(貼り付け!$A$1:$BZ$3001,502,$B$1)),DATE(VALUE(LEFT(I503,FIND("-",I503)-1)),VALUE(LEFT(J503,FIND("-",J503)-1)),VALUE(MID(J503,FIND("-",J503)+1,99)))))),"")</f>
        <v/>
      </c>
      <c r="C503">
        <f>IF($C$1=0,0,IFERROR(VALUE(SUBSTITUTE(SUBSTITUTE(SUBSTITUTE(INDEX(貼り付け!$A$1:$BZ$3001,502,$C$1)&amp;"",",",""),"¥",""),"￥","")),0))</f>
        <v/>
      </c>
      <c r="D503">
        <f>IF($D$1=0,0,IFERROR(VALUE(SUBSTITUTE(SUBSTITUTE(SUBSTITUTE(INDEX(貼り付け!$A$1:$BZ$3001,502,$D$1)&amp;"",",",""),"¥",""),"￥","")),0))</f>
        <v/>
      </c>
      <c r="E503">
        <f>IF($E$1=0,0,IFERROR(VALUE(SUBSTITUTE(SUBSTITUTE(SUBSTITUTE(INDEX(貼り付け!$A$1:$BZ$3001,502,$E$1)&amp;"",",",""),"¥",""),"￥","")),0))</f>
        <v/>
      </c>
      <c r="F503">
        <f>IF($F$1=0,0,IFERROR(VALUE(SUBSTITUTE(SUBSTITUTE(SUBSTITUTE(INDEX(貼り付け!$A$1:$BZ$3001,502,$F$1)&amp;"",",",""),"¥",""),"￥","")),0))</f>
        <v/>
      </c>
      <c r="G503">
        <f>IF(ISNUMBER(B503),YEAR(B503),"")</f>
        <v/>
      </c>
      <c r="H503">
        <f>IF(ISNUMBER(B503),MONTH(B503),"")</f>
        <v/>
      </c>
      <c r="I503">
        <f>IFERROR(IF($B$1=0,"",IF(ISNUMBER(INDEX(貼り付け!$A$1:$BZ$3001,502,$B$1)),"",SUBSTITUTE(SUBSTITUTE(SUBSTITUTE(SUBSTITUTE(TRIM(LEFT(INDEX(貼り付け!$A$1:$BZ$3001,502,$B$1)&amp;"",FIND(" ",TRIM(INDEX(貼り付け!$A$1:$BZ$3001,502,$B$1)&amp;"")&amp;" ")-1)),"/","-"),"年","-"),"月","-"),"日",""))),"")</f>
        <v/>
      </c>
      <c r="J503">
        <f>IFERROR(MID(I503,FIND("-",I503)+1,99),"")</f>
        <v/>
      </c>
    </row>
    <row r="504">
      <c r="B504">
        <f>IFERROR(IF($B$1=0,"",IF(INDEX(貼り付け!$A$1:$BZ$3001,503,$B$1)="","",IF(ISNUMBER(INDEX(貼り付け!$A$1:$BZ$3001,503,$B$1)),INT(INDEX(貼り付け!$A$1:$BZ$3001,503,$B$1)),DATE(VALUE(LEFT(I504,FIND("-",I504)-1)),VALUE(LEFT(J504,FIND("-",J504)-1)),VALUE(MID(J504,FIND("-",J504)+1,99)))))),"")</f>
        <v/>
      </c>
      <c r="C504">
        <f>IF($C$1=0,0,IFERROR(VALUE(SUBSTITUTE(SUBSTITUTE(SUBSTITUTE(INDEX(貼り付け!$A$1:$BZ$3001,503,$C$1)&amp;"",",",""),"¥",""),"￥","")),0))</f>
        <v/>
      </c>
      <c r="D504">
        <f>IF($D$1=0,0,IFERROR(VALUE(SUBSTITUTE(SUBSTITUTE(SUBSTITUTE(INDEX(貼り付け!$A$1:$BZ$3001,503,$D$1)&amp;"",",",""),"¥",""),"￥","")),0))</f>
        <v/>
      </c>
      <c r="E504">
        <f>IF($E$1=0,0,IFERROR(VALUE(SUBSTITUTE(SUBSTITUTE(SUBSTITUTE(INDEX(貼り付け!$A$1:$BZ$3001,503,$E$1)&amp;"",",",""),"¥",""),"￥","")),0))</f>
        <v/>
      </c>
      <c r="F504">
        <f>IF($F$1=0,0,IFERROR(VALUE(SUBSTITUTE(SUBSTITUTE(SUBSTITUTE(INDEX(貼り付け!$A$1:$BZ$3001,503,$F$1)&amp;"",",",""),"¥",""),"￥","")),0))</f>
        <v/>
      </c>
      <c r="G504">
        <f>IF(ISNUMBER(B504),YEAR(B504),"")</f>
        <v/>
      </c>
      <c r="H504">
        <f>IF(ISNUMBER(B504),MONTH(B504),"")</f>
        <v/>
      </c>
      <c r="I504">
        <f>IFERROR(IF($B$1=0,"",IF(ISNUMBER(INDEX(貼り付け!$A$1:$BZ$3001,503,$B$1)),"",SUBSTITUTE(SUBSTITUTE(SUBSTITUTE(SUBSTITUTE(TRIM(LEFT(INDEX(貼り付け!$A$1:$BZ$3001,503,$B$1)&amp;"",FIND(" ",TRIM(INDEX(貼り付け!$A$1:$BZ$3001,503,$B$1)&amp;"")&amp;" ")-1)),"/","-"),"年","-"),"月","-"),"日",""))),"")</f>
        <v/>
      </c>
      <c r="J504">
        <f>IFERROR(MID(I504,FIND("-",I504)+1,99),"")</f>
        <v/>
      </c>
    </row>
    <row r="505">
      <c r="B505">
        <f>IFERROR(IF($B$1=0,"",IF(INDEX(貼り付け!$A$1:$BZ$3001,504,$B$1)="","",IF(ISNUMBER(INDEX(貼り付け!$A$1:$BZ$3001,504,$B$1)),INT(INDEX(貼り付け!$A$1:$BZ$3001,504,$B$1)),DATE(VALUE(LEFT(I505,FIND("-",I505)-1)),VALUE(LEFT(J505,FIND("-",J505)-1)),VALUE(MID(J505,FIND("-",J505)+1,99)))))),"")</f>
        <v/>
      </c>
      <c r="C505">
        <f>IF($C$1=0,0,IFERROR(VALUE(SUBSTITUTE(SUBSTITUTE(SUBSTITUTE(INDEX(貼り付け!$A$1:$BZ$3001,504,$C$1)&amp;"",",",""),"¥",""),"￥","")),0))</f>
        <v/>
      </c>
      <c r="D505">
        <f>IF($D$1=0,0,IFERROR(VALUE(SUBSTITUTE(SUBSTITUTE(SUBSTITUTE(INDEX(貼り付け!$A$1:$BZ$3001,504,$D$1)&amp;"",",",""),"¥",""),"￥","")),0))</f>
        <v/>
      </c>
      <c r="E505">
        <f>IF($E$1=0,0,IFERROR(VALUE(SUBSTITUTE(SUBSTITUTE(SUBSTITUTE(INDEX(貼り付け!$A$1:$BZ$3001,504,$E$1)&amp;"",",",""),"¥",""),"￥","")),0))</f>
        <v/>
      </c>
      <c r="F505">
        <f>IF($F$1=0,0,IFERROR(VALUE(SUBSTITUTE(SUBSTITUTE(SUBSTITUTE(INDEX(貼り付け!$A$1:$BZ$3001,504,$F$1)&amp;"",",",""),"¥",""),"￥","")),0))</f>
        <v/>
      </c>
      <c r="G505">
        <f>IF(ISNUMBER(B505),YEAR(B505),"")</f>
        <v/>
      </c>
      <c r="H505">
        <f>IF(ISNUMBER(B505),MONTH(B505),"")</f>
        <v/>
      </c>
      <c r="I505">
        <f>IFERROR(IF($B$1=0,"",IF(ISNUMBER(INDEX(貼り付け!$A$1:$BZ$3001,504,$B$1)),"",SUBSTITUTE(SUBSTITUTE(SUBSTITUTE(SUBSTITUTE(TRIM(LEFT(INDEX(貼り付け!$A$1:$BZ$3001,504,$B$1)&amp;"",FIND(" ",TRIM(INDEX(貼り付け!$A$1:$BZ$3001,504,$B$1)&amp;"")&amp;" ")-1)),"/","-"),"年","-"),"月","-"),"日",""))),"")</f>
        <v/>
      </c>
      <c r="J505">
        <f>IFERROR(MID(I505,FIND("-",I505)+1,99),"")</f>
        <v/>
      </c>
    </row>
    <row r="506">
      <c r="B506">
        <f>IFERROR(IF($B$1=0,"",IF(INDEX(貼り付け!$A$1:$BZ$3001,505,$B$1)="","",IF(ISNUMBER(INDEX(貼り付け!$A$1:$BZ$3001,505,$B$1)),INT(INDEX(貼り付け!$A$1:$BZ$3001,505,$B$1)),DATE(VALUE(LEFT(I506,FIND("-",I506)-1)),VALUE(LEFT(J506,FIND("-",J506)-1)),VALUE(MID(J506,FIND("-",J506)+1,99)))))),"")</f>
        <v/>
      </c>
      <c r="C506">
        <f>IF($C$1=0,0,IFERROR(VALUE(SUBSTITUTE(SUBSTITUTE(SUBSTITUTE(INDEX(貼り付け!$A$1:$BZ$3001,505,$C$1)&amp;"",",",""),"¥",""),"￥","")),0))</f>
        <v/>
      </c>
      <c r="D506">
        <f>IF($D$1=0,0,IFERROR(VALUE(SUBSTITUTE(SUBSTITUTE(SUBSTITUTE(INDEX(貼り付け!$A$1:$BZ$3001,505,$D$1)&amp;"",",",""),"¥",""),"￥","")),0))</f>
        <v/>
      </c>
      <c r="E506">
        <f>IF($E$1=0,0,IFERROR(VALUE(SUBSTITUTE(SUBSTITUTE(SUBSTITUTE(INDEX(貼り付け!$A$1:$BZ$3001,505,$E$1)&amp;"",",",""),"¥",""),"￥","")),0))</f>
        <v/>
      </c>
      <c r="F506">
        <f>IF($F$1=0,0,IFERROR(VALUE(SUBSTITUTE(SUBSTITUTE(SUBSTITUTE(INDEX(貼り付け!$A$1:$BZ$3001,505,$F$1)&amp;"",",",""),"¥",""),"￥","")),0))</f>
        <v/>
      </c>
      <c r="G506">
        <f>IF(ISNUMBER(B506),YEAR(B506),"")</f>
        <v/>
      </c>
      <c r="H506">
        <f>IF(ISNUMBER(B506),MONTH(B506),"")</f>
        <v/>
      </c>
      <c r="I506">
        <f>IFERROR(IF($B$1=0,"",IF(ISNUMBER(INDEX(貼り付け!$A$1:$BZ$3001,505,$B$1)),"",SUBSTITUTE(SUBSTITUTE(SUBSTITUTE(SUBSTITUTE(TRIM(LEFT(INDEX(貼り付け!$A$1:$BZ$3001,505,$B$1)&amp;"",FIND(" ",TRIM(INDEX(貼り付け!$A$1:$BZ$3001,505,$B$1)&amp;"")&amp;" ")-1)),"/","-"),"年","-"),"月","-"),"日",""))),"")</f>
        <v/>
      </c>
      <c r="J506">
        <f>IFERROR(MID(I506,FIND("-",I506)+1,99),"")</f>
        <v/>
      </c>
    </row>
    <row r="507">
      <c r="B507">
        <f>IFERROR(IF($B$1=0,"",IF(INDEX(貼り付け!$A$1:$BZ$3001,506,$B$1)="","",IF(ISNUMBER(INDEX(貼り付け!$A$1:$BZ$3001,506,$B$1)),INT(INDEX(貼り付け!$A$1:$BZ$3001,506,$B$1)),DATE(VALUE(LEFT(I507,FIND("-",I507)-1)),VALUE(LEFT(J507,FIND("-",J507)-1)),VALUE(MID(J507,FIND("-",J507)+1,99)))))),"")</f>
        <v/>
      </c>
      <c r="C507">
        <f>IF($C$1=0,0,IFERROR(VALUE(SUBSTITUTE(SUBSTITUTE(SUBSTITUTE(INDEX(貼り付け!$A$1:$BZ$3001,506,$C$1)&amp;"",",",""),"¥",""),"￥","")),0))</f>
        <v/>
      </c>
      <c r="D507">
        <f>IF($D$1=0,0,IFERROR(VALUE(SUBSTITUTE(SUBSTITUTE(SUBSTITUTE(INDEX(貼り付け!$A$1:$BZ$3001,506,$D$1)&amp;"",",",""),"¥",""),"￥","")),0))</f>
        <v/>
      </c>
      <c r="E507">
        <f>IF($E$1=0,0,IFERROR(VALUE(SUBSTITUTE(SUBSTITUTE(SUBSTITUTE(INDEX(貼り付け!$A$1:$BZ$3001,506,$E$1)&amp;"",",",""),"¥",""),"￥","")),0))</f>
        <v/>
      </c>
      <c r="F507">
        <f>IF($F$1=0,0,IFERROR(VALUE(SUBSTITUTE(SUBSTITUTE(SUBSTITUTE(INDEX(貼り付け!$A$1:$BZ$3001,506,$F$1)&amp;"",",",""),"¥",""),"￥","")),0))</f>
        <v/>
      </c>
      <c r="G507">
        <f>IF(ISNUMBER(B507),YEAR(B507),"")</f>
        <v/>
      </c>
      <c r="H507">
        <f>IF(ISNUMBER(B507),MONTH(B507),"")</f>
        <v/>
      </c>
      <c r="I507">
        <f>IFERROR(IF($B$1=0,"",IF(ISNUMBER(INDEX(貼り付け!$A$1:$BZ$3001,506,$B$1)),"",SUBSTITUTE(SUBSTITUTE(SUBSTITUTE(SUBSTITUTE(TRIM(LEFT(INDEX(貼り付け!$A$1:$BZ$3001,506,$B$1)&amp;"",FIND(" ",TRIM(INDEX(貼り付け!$A$1:$BZ$3001,506,$B$1)&amp;"")&amp;" ")-1)),"/","-"),"年","-"),"月","-"),"日",""))),"")</f>
        <v/>
      </c>
      <c r="J507">
        <f>IFERROR(MID(I507,FIND("-",I507)+1,99),"")</f>
        <v/>
      </c>
    </row>
    <row r="508">
      <c r="B508">
        <f>IFERROR(IF($B$1=0,"",IF(INDEX(貼り付け!$A$1:$BZ$3001,507,$B$1)="","",IF(ISNUMBER(INDEX(貼り付け!$A$1:$BZ$3001,507,$B$1)),INT(INDEX(貼り付け!$A$1:$BZ$3001,507,$B$1)),DATE(VALUE(LEFT(I508,FIND("-",I508)-1)),VALUE(LEFT(J508,FIND("-",J508)-1)),VALUE(MID(J508,FIND("-",J508)+1,99)))))),"")</f>
        <v/>
      </c>
      <c r="C508">
        <f>IF($C$1=0,0,IFERROR(VALUE(SUBSTITUTE(SUBSTITUTE(SUBSTITUTE(INDEX(貼り付け!$A$1:$BZ$3001,507,$C$1)&amp;"",",",""),"¥",""),"￥","")),0))</f>
        <v/>
      </c>
      <c r="D508">
        <f>IF($D$1=0,0,IFERROR(VALUE(SUBSTITUTE(SUBSTITUTE(SUBSTITUTE(INDEX(貼り付け!$A$1:$BZ$3001,507,$D$1)&amp;"",",",""),"¥",""),"￥","")),0))</f>
        <v/>
      </c>
      <c r="E508">
        <f>IF($E$1=0,0,IFERROR(VALUE(SUBSTITUTE(SUBSTITUTE(SUBSTITUTE(INDEX(貼り付け!$A$1:$BZ$3001,507,$E$1)&amp;"",",",""),"¥",""),"￥","")),0))</f>
        <v/>
      </c>
      <c r="F508">
        <f>IF($F$1=0,0,IFERROR(VALUE(SUBSTITUTE(SUBSTITUTE(SUBSTITUTE(INDEX(貼り付け!$A$1:$BZ$3001,507,$F$1)&amp;"",",",""),"¥",""),"￥","")),0))</f>
        <v/>
      </c>
      <c r="G508">
        <f>IF(ISNUMBER(B508),YEAR(B508),"")</f>
        <v/>
      </c>
      <c r="H508">
        <f>IF(ISNUMBER(B508),MONTH(B508),"")</f>
        <v/>
      </c>
      <c r="I508">
        <f>IFERROR(IF($B$1=0,"",IF(ISNUMBER(INDEX(貼り付け!$A$1:$BZ$3001,507,$B$1)),"",SUBSTITUTE(SUBSTITUTE(SUBSTITUTE(SUBSTITUTE(TRIM(LEFT(INDEX(貼り付け!$A$1:$BZ$3001,507,$B$1)&amp;"",FIND(" ",TRIM(INDEX(貼り付け!$A$1:$BZ$3001,507,$B$1)&amp;"")&amp;" ")-1)),"/","-"),"年","-"),"月","-"),"日",""))),"")</f>
        <v/>
      </c>
      <c r="J508">
        <f>IFERROR(MID(I508,FIND("-",I508)+1,99),"")</f>
        <v/>
      </c>
    </row>
    <row r="509">
      <c r="B509">
        <f>IFERROR(IF($B$1=0,"",IF(INDEX(貼り付け!$A$1:$BZ$3001,508,$B$1)="","",IF(ISNUMBER(INDEX(貼り付け!$A$1:$BZ$3001,508,$B$1)),INT(INDEX(貼り付け!$A$1:$BZ$3001,508,$B$1)),DATE(VALUE(LEFT(I509,FIND("-",I509)-1)),VALUE(LEFT(J509,FIND("-",J509)-1)),VALUE(MID(J509,FIND("-",J509)+1,99)))))),"")</f>
        <v/>
      </c>
      <c r="C509">
        <f>IF($C$1=0,0,IFERROR(VALUE(SUBSTITUTE(SUBSTITUTE(SUBSTITUTE(INDEX(貼り付け!$A$1:$BZ$3001,508,$C$1)&amp;"",",",""),"¥",""),"￥","")),0))</f>
        <v/>
      </c>
      <c r="D509">
        <f>IF($D$1=0,0,IFERROR(VALUE(SUBSTITUTE(SUBSTITUTE(SUBSTITUTE(INDEX(貼り付け!$A$1:$BZ$3001,508,$D$1)&amp;"",",",""),"¥",""),"￥","")),0))</f>
        <v/>
      </c>
      <c r="E509">
        <f>IF($E$1=0,0,IFERROR(VALUE(SUBSTITUTE(SUBSTITUTE(SUBSTITUTE(INDEX(貼り付け!$A$1:$BZ$3001,508,$E$1)&amp;"",",",""),"¥",""),"￥","")),0))</f>
        <v/>
      </c>
      <c r="F509">
        <f>IF($F$1=0,0,IFERROR(VALUE(SUBSTITUTE(SUBSTITUTE(SUBSTITUTE(INDEX(貼り付け!$A$1:$BZ$3001,508,$F$1)&amp;"",",",""),"¥",""),"￥","")),0))</f>
        <v/>
      </c>
      <c r="G509">
        <f>IF(ISNUMBER(B509),YEAR(B509),"")</f>
        <v/>
      </c>
      <c r="H509">
        <f>IF(ISNUMBER(B509),MONTH(B509),"")</f>
        <v/>
      </c>
      <c r="I509">
        <f>IFERROR(IF($B$1=0,"",IF(ISNUMBER(INDEX(貼り付け!$A$1:$BZ$3001,508,$B$1)),"",SUBSTITUTE(SUBSTITUTE(SUBSTITUTE(SUBSTITUTE(TRIM(LEFT(INDEX(貼り付け!$A$1:$BZ$3001,508,$B$1)&amp;"",FIND(" ",TRIM(INDEX(貼り付け!$A$1:$BZ$3001,508,$B$1)&amp;"")&amp;" ")-1)),"/","-"),"年","-"),"月","-"),"日",""))),"")</f>
        <v/>
      </c>
      <c r="J509">
        <f>IFERROR(MID(I509,FIND("-",I509)+1,99),"")</f>
        <v/>
      </c>
    </row>
    <row r="510">
      <c r="B510">
        <f>IFERROR(IF($B$1=0,"",IF(INDEX(貼り付け!$A$1:$BZ$3001,509,$B$1)="","",IF(ISNUMBER(INDEX(貼り付け!$A$1:$BZ$3001,509,$B$1)),INT(INDEX(貼り付け!$A$1:$BZ$3001,509,$B$1)),DATE(VALUE(LEFT(I510,FIND("-",I510)-1)),VALUE(LEFT(J510,FIND("-",J510)-1)),VALUE(MID(J510,FIND("-",J510)+1,99)))))),"")</f>
        <v/>
      </c>
      <c r="C510">
        <f>IF($C$1=0,0,IFERROR(VALUE(SUBSTITUTE(SUBSTITUTE(SUBSTITUTE(INDEX(貼り付け!$A$1:$BZ$3001,509,$C$1)&amp;"",",",""),"¥",""),"￥","")),0))</f>
        <v/>
      </c>
      <c r="D510">
        <f>IF($D$1=0,0,IFERROR(VALUE(SUBSTITUTE(SUBSTITUTE(SUBSTITUTE(INDEX(貼り付け!$A$1:$BZ$3001,509,$D$1)&amp;"",",",""),"¥",""),"￥","")),0))</f>
        <v/>
      </c>
      <c r="E510">
        <f>IF($E$1=0,0,IFERROR(VALUE(SUBSTITUTE(SUBSTITUTE(SUBSTITUTE(INDEX(貼り付け!$A$1:$BZ$3001,509,$E$1)&amp;"",",",""),"¥",""),"￥","")),0))</f>
        <v/>
      </c>
      <c r="F510">
        <f>IF($F$1=0,0,IFERROR(VALUE(SUBSTITUTE(SUBSTITUTE(SUBSTITUTE(INDEX(貼り付け!$A$1:$BZ$3001,509,$F$1)&amp;"",",",""),"¥",""),"￥","")),0))</f>
        <v/>
      </c>
      <c r="G510">
        <f>IF(ISNUMBER(B510),YEAR(B510),"")</f>
        <v/>
      </c>
      <c r="H510">
        <f>IF(ISNUMBER(B510),MONTH(B510),"")</f>
        <v/>
      </c>
      <c r="I510">
        <f>IFERROR(IF($B$1=0,"",IF(ISNUMBER(INDEX(貼り付け!$A$1:$BZ$3001,509,$B$1)),"",SUBSTITUTE(SUBSTITUTE(SUBSTITUTE(SUBSTITUTE(TRIM(LEFT(INDEX(貼り付け!$A$1:$BZ$3001,509,$B$1)&amp;"",FIND(" ",TRIM(INDEX(貼り付け!$A$1:$BZ$3001,509,$B$1)&amp;"")&amp;" ")-1)),"/","-"),"年","-"),"月","-"),"日",""))),"")</f>
        <v/>
      </c>
      <c r="J510">
        <f>IFERROR(MID(I510,FIND("-",I510)+1,99),"")</f>
        <v/>
      </c>
    </row>
    <row r="511">
      <c r="B511">
        <f>IFERROR(IF($B$1=0,"",IF(INDEX(貼り付け!$A$1:$BZ$3001,510,$B$1)="","",IF(ISNUMBER(INDEX(貼り付け!$A$1:$BZ$3001,510,$B$1)),INT(INDEX(貼り付け!$A$1:$BZ$3001,510,$B$1)),DATE(VALUE(LEFT(I511,FIND("-",I511)-1)),VALUE(LEFT(J511,FIND("-",J511)-1)),VALUE(MID(J511,FIND("-",J511)+1,99)))))),"")</f>
        <v/>
      </c>
      <c r="C511">
        <f>IF($C$1=0,0,IFERROR(VALUE(SUBSTITUTE(SUBSTITUTE(SUBSTITUTE(INDEX(貼り付け!$A$1:$BZ$3001,510,$C$1)&amp;"",",",""),"¥",""),"￥","")),0))</f>
        <v/>
      </c>
      <c r="D511">
        <f>IF($D$1=0,0,IFERROR(VALUE(SUBSTITUTE(SUBSTITUTE(SUBSTITUTE(INDEX(貼り付け!$A$1:$BZ$3001,510,$D$1)&amp;"",",",""),"¥",""),"￥","")),0))</f>
        <v/>
      </c>
      <c r="E511">
        <f>IF($E$1=0,0,IFERROR(VALUE(SUBSTITUTE(SUBSTITUTE(SUBSTITUTE(INDEX(貼り付け!$A$1:$BZ$3001,510,$E$1)&amp;"",",",""),"¥",""),"￥","")),0))</f>
        <v/>
      </c>
      <c r="F511">
        <f>IF($F$1=0,0,IFERROR(VALUE(SUBSTITUTE(SUBSTITUTE(SUBSTITUTE(INDEX(貼り付け!$A$1:$BZ$3001,510,$F$1)&amp;"",",",""),"¥",""),"￥","")),0))</f>
        <v/>
      </c>
      <c r="G511">
        <f>IF(ISNUMBER(B511),YEAR(B511),"")</f>
        <v/>
      </c>
      <c r="H511">
        <f>IF(ISNUMBER(B511),MONTH(B511),"")</f>
        <v/>
      </c>
      <c r="I511">
        <f>IFERROR(IF($B$1=0,"",IF(ISNUMBER(INDEX(貼り付け!$A$1:$BZ$3001,510,$B$1)),"",SUBSTITUTE(SUBSTITUTE(SUBSTITUTE(SUBSTITUTE(TRIM(LEFT(INDEX(貼り付け!$A$1:$BZ$3001,510,$B$1)&amp;"",FIND(" ",TRIM(INDEX(貼り付け!$A$1:$BZ$3001,510,$B$1)&amp;"")&amp;" ")-1)),"/","-"),"年","-"),"月","-"),"日",""))),"")</f>
        <v/>
      </c>
      <c r="J511">
        <f>IFERROR(MID(I511,FIND("-",I511)+1,99),"")</f>
        <v/>
      </c>
    </row>
    <row r="512">
      <c r="B512">
        <f>IFERROR(IF($B$1=0,"",IF(INDEX(貼り付け!$A$1:$BZ$3001,511,$B$1)="","",IF(ISNUMBER(INDEX(貼り付け!$A$1:$BZ$3001,511,$B$1)),INT(INDEX(貼り付け!$A$1:$BZ$3001,511,$B$1)),DATE(VALUE(LEFT(I512,FIND("-",I512)-1)),VALUE(LEFT(J512,FIND("-",J512)-1)),VALUE(MID(J512,FIND("-",J512)+1,99)))))),"")</f>
        <v/>
      </c>
      <c r="C512">
        <f>IF($C$1=0,0,IFERROR(VALUE(SUBSTITUTE(SUBSTITUTE(SUBSTITUTE(INDEX(貼り付け!$A$1:$BZ$3001,511,$C$1)&amp;"",",",""),"¥",""),"￥","")),0))</f>
        <v/>
      </c>
      <c r="D512">
        <f>IF($D$1=0,0,IFERROR(VALUE(SUBSTITUTE(SUBSTITUTE(SUBSTITUTE(INDEX(貼り付け!$A$1:$BZ$3001,511,$D$1)&amp;"",",",""),"¥",""),"￥","")),0))</f>
        <v/>
      </c>
      <c r="E512">
        <f>IF($E$1=0,0,IFERROR(VALUE(SUBSTITUTE(SUBSTITUTE(SUBSTITUTE(INDEX(貼り付け!$A$1:$BZ$3001,511,$E$1)&amp;"",",",""),"¥",""),"￥","")),0))</f>
        <v/>
      </c>
      <c r="F512">
        <f>IF($F$1=0,0,IFERROR(VALUE(SUBSTITUTE(SUBSTITUTE(SUBSTITUTE(INDEX(貼り付け!$A$1:$BZ$3001,511,$F$1)&amp;"",",",""),"¥",""),"￥","")),0))</f>
        <v/>
      </c>
      <c r="G512">
        <f>IF(ISNUMBER(B512),YEAR(B512),"")</f>
        <v/>
      </c>
      <c r="H512">
        <f>IF(ISNUMBER(B512),MONTH(B512),"")</f>
        <v/>
      </c>
      <c r="I512">
        <f>IFERROR(IF($B$1=0,"",IF(ISNUMBER(INDEX(貼り付け!$A$1:$BZ$3001,511,$B$1)),"",SUBSTITUTE(SUBSTITUTE(SUBSTITUTE(SUBSTITUTE(TRIM(LEFT(INDEX(貼り付け!$A$1:$BZ$3001,511,$B$1)&amp;"",FIND(" ",TRIM(INDEX(貼り付け!$A$1:$BZ$3001,511,$B$1)&amp;"")&amp;" ")-1)),"/","-"),"年","-"),"月","-"),"日",""))),"")</f>
        <v/>
      </c>
      <c r="J512">
        <f>IFERROR(MID(I512,FIND("-",I512)+1,99),"")</f>
        <v/>
      </c>
    </row>
    <row r="513">
      <c r="B513">
        <f>IFERROR(IF($B$1=0,"",IF(INDEX(貼り付け!$A$1:$BZ$3001,512,$B$1)="","",IF(ISNUMBER(INDEX(貼り付け!$A$1:$BZ$3001,512,$B$1)),INT(INDEX(貼り付け!$A$1:$BZ$3001,512,$B$1)),DATE(VALUE(LEFT(I513,FIND("-",I513)-1)),VALUE(LEFT(J513,FIND("-",J513)-1)),VALUE(MID(J513,FIND("-",J513)+1,99)))))),"")</f>
        <v/>
      </c>
      <c r="C513">
        <f>IF($C$1=0,0,IFERROR(VALUE(SUBSTITUTE(SUBSTITUTE(SUBSTITUTE(INDEX(貼り付け!$A$1:$BZ$3001,512,$C$1)&amp;"",",",""),"¥",""),"￥","")),0))</f>
        <v/>
      </c>
      <c r="D513">
        <f>IF($D$1=0,0,IFERROR(VALUE(SUBSTITUTE(SUBSTITUTE(SUBSTITUTE(INDEX(貼り付け!$A$1:$BZ$3001,512,$D$1)&amp;"",",",""),"¥",""),"￥","")),0))</f>
        <v/>
      </c>
      <c r="E513">
        <f>IF($E$1=0,0,IFERROR(VALUE(SUBSTITUTE(SUBSTITUTE(SUBSTITUTE(INDEX(貼り付け!$A$1:$BZ$3001,512,$E$1)&amp;"",",",""),"¥",""),"￥","")),0))</f>
        <v/>
      </c>
      <c r="F513">
        <f>IF($F$1=0,0,IFERROR(VALUE(SUBSTITUTE(SUBSTITUTE(SUBSTITUTE(INDEX(貼り付け!$A$1:$BZ$3001,512,$F$1)&amp;"",",",""),"¥",""),"￥","")),0))</f>
        <v/>
      </c>
      <c r="G513">
        <f>IF(ISNUMBER(B513),YEAR(B513),"")</f>
        <v/>
      </c>
      <c r="H513">
        <f>IF(ISNUMBER(B513),MONTH(B513),"")</f>
        <v/>
      </c>
      <c r="I513">
        <f>IFERROR(IF($B$1=0,"",IF(ISNUMBER(INDEX(貼り付け!$A$1:$BZ$3001,512,$B$1)),"",SUBSTITUTE(SUBSTITUTE(SUBSTITUTE(SUBSTITUTE(TRIM(LEFT(INDEX(貼り付け!$A$1:$BZ$3001,512,$B$1)&amp;"",FIND(" ",TRIM(INDEX(貼り付け!$A$1:$BZ$3001,512,$B$1)&amp;"")&amp;" ")-1)),"/","-"),"年","-"),"月","-"),"日",""))),"")</f>
        <v/>
      </c>
      <c r="J513">
        <f>IFERROR(MID(I513,FIND("-",I513)+1,99),"")</f>
        <v/>
      </c>
    </row>
    <row r="514">
      <c r="B514">
        <f>IFERROR(IF($B$1=0,"",IF(INDEX(貼り付け!$A$1:$BZ$3001,513,$B$1)="","",IF(ISNUMBER(INDEX(貼り付け!$A$1:$BZ$3001,513,$B$1)),INT(INDEX(貼り付け!$A$1:$BZ$3001,513,$B$1)),DATE(VALUE(LEFT(I514,FIND("-",I514)-1)),VALUE(LEFT(J514,FIND("-",J514)-1)),VALUE(MID(J514,FIND("-",J514)+1,99)))))),"")</f>
        <v/>
      </c>
      <c r="C514">
        <f>IF($C$1=0,0,IFERROR(VALUE(SUBSTITUTE(SUBSTITUTE(SUBSTITUTE(INDEX(貼り付け!$A$1:$BZ$3001,513,$C$1)&amp;"",",",""),"¥",""),"￥","")),0))</f>
        <v/>
      </c>
      <c r="D514">
        <f>IF($D$1=0,0,IFERROR(VALUE(SUBSTITUTE(SUBSTITUTE(SUBSTITUTE(INDEX(貼り付け!$A$1:$BZ$3001,513,$D$1)&amp;"",",",""),"¥",""),"￥","")),0))</f>
        <v/>
      </c>
      <c r="E514">
        <f>IF($E$1=0,0,IFERROR(VALUE(SUBSTITUTE(SUBSTITUTE(SUBSTITUTE(INDEX(貼り付け!$A$1:$BZ$3001,513,$E$1)&amp;"",",",""),"¥",""),"￥","")),0))</f>
        <v/>
      </c>
      <c r="F514">
        <f>IF($F$1=0,0,IFERROR(VALUE(SUBSTITUTE(SUBSTITUTE(SUBSTITUTE(INDEX(貼り付け!$A$1:$BZ$3001,513,$F$1)&amp;"",",",""),"¥",""),"￥","")),0))</f>
        <v/>
      </c>
      <c r="G514">
        <f>IF(ISNUMBER(B514),YEAR(B514),"")</f>
        <v/>
      </c>
      <c r="H514">
        <f>IF(ISNUMBER(B514),MONTH(B514),"")</f>
        <v/>
      </c>
      <c r="I514">
        <f>IFERROR(IF($B$1=0,"",IF(ISNUMBER(INDEX(貼り付け!$A$1:$BZ$3001,513,$B$1)),"",SUBSTITUTE(SUBSTITUTE(SUBSTITUTE(SUBSTITUTE(TRIM(LEFT(INDEX(貼り付け!$A$1:$BZ$3001,513,$B$1)&amp;"",FIND(" ",TRIM(INDEX(貼り付け!$A$1:$BZ$3001,513,$B$1)&amp;"")&amp;" ")-1)),"/","-"),"年","-"),"月","-"),"日",""))),"")</f>
        <v/>
      </c>
      <c r="J514">
        <f>IFERROR(MID(I514,FIND("-",I514)+1,99),"")</f>
        <v/>
      </c>
    </row>
    <row r="515">
      <c r="B515">
        <f>IFERROR(IF($B$1=0,"",IF(INDEX(貼り付け!$A$1:$BZ$3001,514,$B$1)="","",IF(ISNUMBER(INDEX(貼り付け!$A$1:$BZ$3001,514,$B$1)),INT(INDEX(貼り付け!$A$1:$BZ$3001,514,$B$1)),DATE(VALUE(LEFT(I515,FIND("-",I515)-1)),VALUE(LEFT(J515,FIND("-",J515)-1)),VALUE(MID(J515,FIND("-",J515)+1,99)))))),"")</f>
        <v/>
      </c>
      <c r="C515">
        <f>IF($C$1=0,0,IFERROR(VALUE(SUBSTITUTE(SUBSTITUTE(SUBSTITUTE(INDEX(貼り付け!$A$1:$BZ$3001,514,$C$1)&amp;"",",",""),"¥",""),"￥","")),0))</f>
        <v/>
      </c>
      <c r="D515">
        <f>IF($D$1=0,0,IFERROR(VALUE(SUBSTITUTE(SUBSTITUTE(SUBSTITUTE(INDEX(貼り付け!$A$1:$BZ$3001,514,$D$1)&amp;"",",",""),"¥",""),"￥","")),0))</f>
        <v/>
      </c>
      <c r="E515">
        <f>IF($E$1=0,0,IFERROR(VALUE(SUBSTITUTE(SUBSTITUTE(SUBSTITUTE(INDEX(貼り付け!$A$1:$BZ$3001,514,$E$1)&amp;"",",",""),"¥",""),"￥","")),0))</f>
        <v/>
      </c>
      <c r="F515">
        <f>IF($F$1=0,0,IFERROR(VALUE(SUBSTITUTE(SUBSTITUTE(SUBSTITUTE(INDEX(貼り付け!$A$1:$BZ$3001,514,$F$1)&amp;"",",",""),"¥",""),"￥","")),0))</f>
        <v/>
      </c>
      <c r="G515">
        <f>IF(ISNUMBER(B515),YEAR(B515),"")</f>
        <v/>
      </c>
      <c r="H515">
        <f>IF(ISNUMBER(B515),MONTH(B515),"")</f>
        <v/>
      </c>
      <c r="I515">
        <f>IFERROR(IF($B$1=0,"",IF(ISNUMBER(INDEX(貼り付け!$A$1:$BZ$3001,514,$B$1)),"",SUBSTITUTE(SUBSTITUTE(SUBSTITUTE(SUBSTITUTE(TRIM(LEFT(INDEX(貼り付け!$A$1:$BZ$3001,514,$B$1)&amp;"",FIND(" ",TRIM(INDEX(貼り付け!$A$1:$BZ$3001,514,$B$1)&amp;"")&amp;" ")-1)),"/","-"),"年","-"),"月","-"),"日",""))),"")</f>
        <v/>
      </c>
      <c r="J515">
        <f>IFERROR(MID(I515,FIND("-",I515)+1,99),"")</f>
        <v/>
      </c>
    </row>
    <row r="516">
      <c r="B516">
        <f>IFERROR(IF($B$1=0,"",IF(INDEX(貼り付け!$A$1:$BZ$3001,515,$B$1)="","",IF(ISNUMBER(INDEX(貼り付け!$A$1:$BZ$3001,515,$B$1)),INT(INDEX(貼り付け!$A$1:$BZ$3001,515,$B$1)),DATE(VALUE(LEFT(I516,FIND("-",I516)-1)),VALUE(LEFT(J516,FIND("-",J516)-1)),VALUE(MID(J516,FIND("-",J516)+1,99)))))),"")</f>
        <v/>
      </c>
      <c r="C516">
        <f>IF($C$1=0,0,IFERROR(VALUE(SUBSTITUTE(SUBSTITUTE(SUBSTITUTE(INDEX(貼り付け!$A$1:$BZ$3001,515,$C$1)&amp;"",",",""),"¥",""),"￥","")),0))</f>
        <v/>
      </c>
      <c r="D516">
        <f>IF($D$1=0,0,IFERROR(VALUE(SUBSTITUTE(SUBSTITUTE(SUBSTITUTE(INDEX(貼り付け!$A$1:$BZ$3001,515,$D$1)&amp;"",",",""),"¥",""),"￥","")),0))</f>
        <v/>
      </c>
      <c r="E516">
        <f>IF($E$1=0,0,IFERROR(VALUE(SUBSTITUTE(SUBSTITUTE(SUBSTITUTE(INDEX(貼り付け!$A$1:$BZ$3001,515,$E$1)&amp;"",",",""),"¥",""),"￥","")),0))</f>
        <v/>
      </c>
      <c r="F516">
        <f>IF($F$1=0,0,IFERROR(VALUE(SUBSTITUTE(SUBSTITUTE(SUBSTITUTE(INDEX(貼り付け!$A$1:$BZ$3001,515,$F$1)&amp;"",",",""),"¥",""),"￥","")),0))</f>
        <v/>
      </c>
      <c r="G516">
        <f>IF(ISNUMBER(B516),YEAR(B516),"")</f>
        <v/>
      </c>
      <c r="H516">
        <f>IF(ISNUMBER(B516),MONTH(B516),"")</f>
        <v/>
      </c>
      <c r="I516">
        <f>IFERROR(IF($B$1=0,"",IF(ISNUMBER(INDEX(貼り付け!$A$1:$BZ$3001,515,$B$1)),"",SUBSTITUTE(SUBSTITUTE(SUBSTITUTE(SUBSTITUTE(TRIM(LEFT(INDEX(貼り付け!$A$1:$BZ$3001,515,$B$1)&amp;"",FIND(" ",TRIM(INDEX(貼り付け!$A$1:$BZ$3001,515,$B$1)&amp;"")&amp;" ")-1)),"/","-"),"年","-"),"月","-"),"日",""))),"")</f>
        <v/>
      </c>
      <c r="J516">
        <f>IFERROR(MID(I516,FIND("-",I516)+1,99),"")</f>
        <v/>
      </c>
    </row>
    <row r="517">
      <c r="B517">
        <f>IFERROR(IF($B$1=0,"",IF(INDEX(貼り付け!$A$1:$BZ$3001,516,$B$1)="","",IF(ISNUMBER(INDEX(貼り付け!$A$1:$BZ$3001,516,$B$1)),INT(INDEX(貼り付け!$A$1:$BZ$3001,516,$B$1)),DATE(VALUE(LEFT(I517,FIND("-",I517)-1)),VALUE(LEFT(J517,FIND("-",J517)-1)),VALUE(MID(J517,FIND("-",J517)+1,99)))))),"")</f>
        <v/>
      </c>
      <c r="C517">
        <f>IF($C$1=0,0,IFERROR(VALUE(SUBSTITUTE(SUBSTITUTE(SUBSTITUTE(INDEX(貼り付け!$A$1:$BZ$3001,516,$C$1)&amp;"",",",""),"¥",""),"￥","")),0))</f>
        <v/>
      </c>
      <c r="D517">
        <f>IF($D$1=0,0,IFERROR(VALUE(SUBSTITUTE(SUBSTITUTE(SUBSTITUTE(INDEX(貼り付け!$A$1:$BZ$3001,516,$D$1)&amp;"",",",""),"¥",""),"￥","")),0))</f>
        <v/>
      </c>
      <c r="E517">
        <f>IF($E$1=0,0,IFERROR(VALUE(SUBSTITUTE(SUBSTITUTE(SUBSTITUTE(INDEX(貼り付け!$A$1:$BZ$3001,516,$E$1)&amp;"",",",""),"¥",""),"￥","")),0))</f>
        <v/>
      </c>
      <c r="F517">
        <f>IF($F$1=0,0,IFERROR(VALUE(SUBSTITUTE(SUBSTITUTE(SUBSTITUTE(INDEX(貼り付け!$A$1:$BZ$3001,516,$F$1)&amp;"",",",""),"¥",""),"￥","")),0))</f>
        <v/>
      </c>
      <c r="G517">
        <f>IF(ISNUMBER(B517),YEAR(B517),"")</f>
        <v/>
      </c>
      <c r="H517">
        <f>IF(ISNUMBER(B517),MONTH(B517),"")</f>
        <v/>
      </c>
      <c r="I517">
        <f>IFERROR(IF($B$1=0,"",IF(ISNUMBER(INDEX(貼り付け!$A$1:$BZ$3001,516,$B$1)),"",SUBSTITUTE(SUBSTITUTE(SUBSTITUTE(SUBSTITUTE(TRIM(LEFT(INDEX(貼り付け!$A$1:$BZ$3001,516,$B$1)&amp;"",FIND(" ",TRIM(INDEX(貼り付け!$A$1:$BZ$3001,516,$B$1)&amp;"")&amp;" ")-1)),"/","-"),"年","-"),"月","-"),"日",""))),"")</f>
        <v/>
      </c>
      <c r="J517">
        <f>IFERROR(MID(I517,FIND("-",I517)+1,99),"")</f>
        <v/>
      </c>
    </row>
    <row r="518">
      <c r="B518">
        <f>IFERROR(IF($B$1=0,"",IF(INDEX(貼り付け!$A$1:$BZ$3001,517,$B$1)="","",IF(ISNUMBER(INDEX(貼り付け!$A$1:$BZ$3001,517,$B$1)),INT(INDEX(貼り付け!$A$1:$BZ$3001,517,$B$1)),DATE(VALUE(LEFT(I518,FIND("-",I518)-1)),VALUE(LEFT(J518,FIND("-",J518)-1)),VALUE(MID(J518,FIND("-",J518)+1,99)))))),"")</f>
        <v/>
      </c>
      <c r="C518">
        <f>IF($C$1=0,0,IFERROR(VALUE(SUBSTITUTE(SUBSTITUTE(SUBSTITUTE(INDEX(貼り付け!$A$1:$BZ$3001,517,$C$1)&amp;"",",",""),"¥",""),"￥","")),0))</f>
        <v/>
      </c>
      <c r="D518">
        <f>IF($D$1=0,0,IFERROR(VALUE(SUBSTITUTE(SUBSTITUTE(SUBSTITUTE(INDEX(貼り付け!$A$1:$BZ$3001,517,$D$1)&amp;"",",",""),"¥",""),"￥","")),0))</f>
        <v/>
      </c>
      <c r="E518">
        <f>IF($E$1=0,0,IFERROR(VALUE(SUBSTITUTE(SUBSTITUTE(SUBSTITUTE(INDEX(貼り付け!$A$1:$BZ$3001,517,$E$1)&amp;"",",",""),"¥",""),"￥","")),0))</f>
        <v/>
      </c>
      <c r="F518">
        <f>IF($F$1=0,0,IFERROR(VALUE(SUBSTITUTE(SUBSTITUTE(SUBSTITUTE(INDEX(貼り付け!$A$1:$BZ$3001,517,$F$1)&amp;"",",",""),"¥",""),"￥","")),0))</f>
        <v/>
      </c>
      <c r="G518">
        <f>IF(ISNUMBER(B518),YEAR(B518),"")</f>
        <v/>
      </c>
      <c r="H518">
        <f>IF(ISNUMBER(B518),MONTH(B518),"")</f>
        <v/>
      </c>
      <c r="I518">
        <f>IFERROR(IF($B$1=0,"",IF(ISNUMBER(INDEX(貼り付け!$A$1:$BZ$3001,517,$B$1)),"",SUBSTITUTE(SUBSTITUTE(SUBSTITUTE(SUBSTITUTE(TRIM(LEFT(INDEX(貼り付け!$A$1:$BZ$3001,517,$B$1)&amp;"",FIND(" ",TRIM(INDEX(貼り付け!$A$1:$BZ$3001,517,$B$1)&amp;"")&amp;" ")-1)),"/","-"),"年","-"),"月","-"),"日",""))),"")</f>
        <v/>
      </c>
      <c r="J518">
        <f>IFERROR(MID(I518,FIND("-",I518)+1,99),"")</f>
        <v/>
      </c>
    </row>
    <row r="519">
      <c r="B519">
        <f>IFERROR(IF($B$1=0,"",IF(INDEX(貼り付け!$A$1:$BZ$3001,518,$B$1)="","",IF(ISNUMBER(INDEX(貼り付け!$A$1:$BZ$3001,518,$B$1)),INT(INDEX(貼り付け!$A$1:$BZ$3001,518,$B$1)),DATE(VALUE(LEFT(I519,FIND("-",I519)-1)),VALUE(LEFT(J519,FIND("-",J519)-1)),VALUE(MID(J519,FIND("-",J519)+1,99)))))),"")</f>
        <v/>
      </c>
      <c r="C519">
        <f>IF($C$1=0,0,IFERROR(VALUE(SUBSTITUTE(SUBSTITUTE(SUBSTITUTE(INDEX(貼り付け!$A$1:$BZ$3001,518,$C$1)&amp;"",",",""),"¥",""),"￥","")),0))</f>
        <v/>
      </c>
      <c r="D519">
        <f>IF($D$1=0,0,IFERROR(VALUE(SUBSTITUTE(SUBSTITUTE(SUBSTITUTE(INDEX(貼り付け!$A$1:$BZ$3001,518,$D$1)&amp;"",",",""),"¥",""),"￥","")),0))</f>
        <v/>
      </c>
      <c r="E519">
        <f>IF($E$1=0,0,IFERROR(VALUE(SUBSTITUTE(SUBSTITUTE(SUBSTITUTE(INDEX(貼り付け!$A$1:$BZ$3001,518,$E$1)&amp;"",",",""),"¥",""),"￥","")),0))</f>
        <v/>
      </c>
      <c r="F519">
        <f>IF($F$1=0,0,IFERROR(VALUE(SUBSTITUTE(SUBSTITUTE(SUBSTITUTE(INDEX(貼り付け!$A$1:$BZ$3001,518,$F$1)&amp;"",",",""),"¥",""),"￥","")),0))</f>
        <v/>
      </c>
      <c r="G519">
        <f>IF(ISNUMBER(B519),YEAR(B519),"")</f>
        <v/>
      </c>
      <c r="H519">
        <f>IF(ISNUMBER(B519),MONTH(B519),"")</f>
        <v/>
      </c>
      <c r="I519">
        <f>IFERROR(IF($B$1=0,"",IF(ISNUMBER(INDEX(貼り付け!$A$1:$BZ$3001,518,$B$1)),"",SUBSTITUTE(SUBSTITUTE(SUBSTITUTE(SUBSTITUTE(TRIM(LEFT(INDEX(貼り付け!$A$1:$BZ$3001,518,$B$1)&amp;"",FIND(" ",TRIM(INDEX(貼り付け!$A$1:$BZ$3001,518,$B$1)&amp;"")&amp;" ")-1)),"/","-"),"年","-"),"月","-"),"日",""))),"")</f>
        <v/>
      </c>
      <c r="J519">
        <f>IFERROR(MID(I519,FIND("-",I519)+1,99),"")</f>
        <v/>
      </c>
    </row>
    <row r="520">
      <c r="B520">
        <f>IFERROR(IF($B$1=0,"",IF(INDEX(貼り付け!$A$1:$BZ$3001,519,$B$1)="","",IF(ISNUMBER(INDEX(貼り付け!$A$1:$BZ$3001,519,$B$1)),INT(INDEX(貼り付け!$A$1:$BZ$3001,519,$B$1)),DATE(VALUE(LEFT(I520,FIND("-",I520)-1)),VALUE(LEFT(J520,FIND("-",J520)-1)),VALUE(MID(J520,FIND("-",J520)+1,99)))))),"")</f>
        <v/>
      </c>
      <c r="C520">
        <f>IF($C$1=0,0,IFERROR(VALUE(SUBSTITUTE(SUBSTITUTE(SUBSTITUTE(INDEX(貼り付け!$A$1:$BZ$3001,519,$C$1)&amp;"",",",""),"¥",""),"￥","")),0))</f>
        <v/>
      </c>
      <c r="D520">
        <f>IF($D$1=0,0,IFERROR(VALUE(SUBSTITUTE(SUBSTITUTE(SUBSTITUTE(INDEX(貼り付け!$A$1:$BZ$3001,519,$D$1)&amp;"",",",""),"¥",""),"￥","")),0))</f>
        <v/>
      </c>
      <c r="E520">
        <f>IF($E$1=0,0,IFERROR(VALUE(SUBSTITUTE(SUBSTITUTE(SUBSTITUTE(INDEX(貼り付け!$A$1:$BZ$3001,519,$E$1)&amp;"",",",""),"¥",""),"￥","")),0))</f>
        <v/>
      </c>
      <c r="F520">
        <f>IF($F$1=0,0,IFERROR(VALUE(SUBSTITUTE(SUBSTITUTE(SUBSTITUTE(INDEX(貼り付け!$A$1:$BZ$3001,519,$F$1)&amp;"",",",""),"¥",""),"￥","")),0))</f>
        <v/>
      </c>
      <c r="G520">
        <f>IF(ISNUMBER(B520),YEAR(B520),"")</f>
        <v/>
      </c>
      <c r="H520">
        <f>IF(ISNUMBER(B520),MONTH(B520),"")</f>
        <v/>
      </c>
      <c r="I520">
        <f>IFERROR(IF($B$1=0,"",IF(ISNUMBER(INDEX(貼り付け!$A$1:$BZ$3001,519,$B$1)),"",SUBSTITUTE(SUBSTITUTE(SUBSTITUTE(SUBSTITUTE(TRIM(LEFT(INDEX(貼り付け!$A$1:$BZ$3001,519,$B$1)&amp;"",FIND(" ",TRIM(INDEX(貼り付け!$A$1:$BZ$3001,519,$B$1)&amp;"")&amp;" ")-1)),"/","-"),"年","-"),"月","-"),"日",""))),"")</f>
        <v/>
      </c>
      <c r="J520">
        <f>IFERROR(MID(I520,FIND("-",I520)+1,99),"")</f>
        <v/>
      </c>
    </row>
    <row r="521">
      <c r="B521">
        <f>IFERROR(IF($B$1=0,"",IF(INDEX(貼り付け!$A$1:$BZ$3001,520,$B$1)="","",IF(ISNUMBER(INDEX(貼り付け!$A$1:$BZ$3001,520,$B$1)),INT(INDEX(貼り付け!$A$1:$BZ$3001,520,$B$1)),DATE(VALUE(LEFT(I521,FIND("-",I521)-1)),VALUE(LEFT(J521,FIND("-",J521)-1)),VALUE(MID(J521,FIND("-",J521)+1,99)))))),"")</f>
        <v/>
      </c>
      <c r="C521">
        <f>IF($C$1=0,0,IFERROR(VALUE(SUBSTITUTE(SUBSTITUTE(SUBSTITUTE(INDEX(貼り付け!$A$1:$BZ$3001,520,$C$1)&amp;"",",",""),"¥",""),"￥","")),0))</f>
        <v/>
      </c>
      <c r="D521">
        <f>IF($D$1=0,0,IFERROR(VALUE(SUBSTITUTE(SUBSTITUTE(SUBSTITUTE(INDEX(貼り付け!$A$1:$BZ$3001,520,$D$1)&amp;"",",",""),"¥",""),"￥","")),0))</f>
        <v/>
      </c>
      <c r="E521">
        <f>IF($E$1=0,0,IFERROR(VALUE(SUBSTITUTE(SUBSTITUTE(SUBSTITUTE(INDEX(貼り付け!$A$1:$BZ$3001,520,$E$1)&amp;"",",",""),"¥",""),"￥","")),0))</f>
        <v/>
      </c>
      <c r="F521">
        <f>IF($F$1=0,0,IFERROR(VALUE(SUBSTITUTE(SUBSTITUTE(SUBSTITUTE(INDEX(貼り付け!$A$1:$BZ$3001,520,$F$1)&amp;"",",",""),"¥",""),"￥","")),0))</f>
        <v/>
      </c>
      <c r="G521">
        <f>IF(ISNUMBER(B521),YEAR(B521),"")</f>
        <v/>
      </c>
      <c r="H521">
        <f>IF(ISNUMBER(B521),MONTH(B521),"")</f>
        <v/>
      </c>
      <c r="I521">
        <f>IFERROR(IF($B$1=0,"",IF(ISNUMBER(INDEX(貼り付け!$A$1:$BZ$3001,520,$B$1)),"",SUBSTITUTE(SUBSTITUTE(SUBSTITUTE(SUBSTITUTE(TRIM(LEFT(INDEX(貼り付け!$A$1:$BZ$3001,520,$B$1)&amp;"",FIND(" ",TRIM(INDEX(貼り付け!$A$1:$BZ$3001,520,$B$1)&amp;"")&amp;" ")-1)),"/","-"),"年","-"),"月","-"),"日",""))),"")</f>
        <v/>
      </c>
      <c r="J521">
        <f>IFERROR(MID(I521,FIND("-",I521)+1,99),"")</f>
        <v/>
      </c>
    </row>
    <row r="522">
      <c r="B522">
        <f>IFERROR(IF($B$1=0,"",IF(INDEX(貼り付け!$A$1:$BZ$3001,521,$B$1)="","",IF(ISNUMBER(INDEX(貼り付け!$A$1:$BZ$3001,521,$B$1)),INT(INDEX(貼り付け!$A$1:$BZ$3001,521,$B$1)),DATE(VALUE(LEFT(I522,FIND("-",I522)-1)),VALUE(LEFT(J522,FIND("-",J522)-1)),VALUE(MID(J522,FIND("-",J522)+1,99)))))),"")</f>
        <v/>
      </c>
      <c r="C522">
        <f>IF($C$1=0,0,IFERROR(VALUE(SUBSTITUTE(SUBSTITUTE(SUBSTITUTE(INDEX(貼り付け!$A$1:$BZ$3001,521,$C$1)&amp;"",",",""),"¥",""),"￥","")),0))</f>
        <v/>
      </c>
      <c r="D522">
        <f>IF($D$1=0,0,IFERROR(VALUE(SUBSTITUTE(SUBSTITUTE(SUBSTITUTE(INDEX(貼り付け!$A$1:$BZ$3001,521,$D$1)&amp;"",",",""),"¥",""),"￥","")),0))</f>
        <v/>
      </c>
      <c r="E522">
        <f>IF($E$1=0,0,IFERROR(VALUE(SUBSTITUTE(SUBSTITUTE(SUBSTITUTE(INDEX(貼り付け!$A$1:$BZ$3001,521,$E$1)&amp;"",",",""),"¥",""),"￥","")),0))</f>
        <v/>
      </c>
      <c r="F522">
        <f>IF($F$1=0,0,IFERROR(VALUE(SUBSTITUTE(SUBSTITUTE(SUBSTITUTE(INDEX(貼り付け!$A$1:$BZ$3001,521,$F$1)&amp;"",",",""),"¥",""),"￥","")),0))</f>
        <v/>
      </c>
      <c r="G522">
        <f>IF(ISNUMBER(B522),YEAR(B522),"")</f>
        <v/>
      </c>
      <c r="H522">
        <f>IF(ISNUMBER(B522),MONTH(B522),"")</f>
        <v/>
      </c>
      <c r="I522">
        <f>IFERROR(IF($B$1=0,"",IF(ISNUMBER(INDEX(貼り付け!$A$1:$BZ$3001,521,$B$1)),"",SUBSTITUTE(SUBSTITUTE(SUBSTITUTE(SUBSTITUTE(TRIM(LEFT(INDEX(貼り付け!$A$1:$BZ$3001,521,$B$1)&amp;"",FIND(" ",TRIM(INDEX(貼り付け!$A$1:$BZ$3001,521,$B$1)&amp;"")&amp;" ")-1)),"/","-"),"年","-"),"月","-"),"日",""))),"")</f>
        <v/>
      </c>
      <c r="J522">
        <f>IFERROR(MID(I522,FIND("-",I522)+1,99),"")</f>
        <v/>
      </c>
    </row>
    <row r="523">
      <c r="B523">
        <f>IFERROR(IF($B$1=0,"",IF(INDEX(貼り付け!$A$1:$BZ$3001,522,$B$1)="","",IF(ISNUMBER(INDEX(貼り付け!$A$1:$BZ$3001,522,$B$1)),INT(INDEX(貼り付け!$A$1:$BZ$3001,522,$B$1)),DATE(VALUE(LEFT(I523,FIND("-",I523)-1)),VALUE(LEFT(J523,FIND("-",J523)-1)),VALUE(MID(J523,FIND("-",J523)+1,99)))))),"")</f>
        <v/>
      </c>
      <c r="C523">
        <f>IF($C$1=0,0,IFERROR(VALUE(SUBSTITUTE(SUBSTITUTE(SUBSTITUTE(INDEX(貼り付け!$A$1:$BZ$3001,522,$C$1)&amp;"",",",""),"¥",""),"￥","")),0))</f>
        <v/>
      </c>
      <c r="D523">
        <f>IF($D$1=0,0,IFERROR(VALUE(SUBSTITUTE(SUBSTITUTE(SUBSTITUTE(INDEX(貼り付け!$A$1:$BZ$3001,522,$D$1)&amp;"",",",""),"¥",""),"￥","")),0))</f>
        <v/>
      </c>
      <c r="E523">
        <f>IF($E$1=0,0,IFERROR(VALUE(SUBSTITUTE(SUBSTITUTE(SUBSTITUTE(INDEX(貼り付け!$A$1:$BZ$3001,522,$E$1)&amp;"",",",""),"¥",""),"￥","")),0))</f>
        <v/>
      </c>
      <c r="F523">
        <f>IF($F$1=0,0,IFERROR(VALUE(SUBSTITUTE(SUBSTITUTE(SUBSTITUTE(INDEX(貼り付け!$A$1:$BZ$3001,522,$F$1)&amp;"",",",""),"¥",""),"￥","")),0))</f>
        <v/>
      </c>
      <c r="G523">
        <f>IF(ISNUMBER(B523),YEAR(B523),"")</f>
        <v/>
      </c>
      <c r="H523">
        <f>IF(ISNUMBER(B523),MONTH(B523),"")</f>
        <v/>
      </c>
      <c r="I523">
        <f>IFERROR(IF($B$1=0,"",IF(ISNUMBER(INDEX(貼り付け!$A$1:$BZ$3001,522,$B$1)),"",SUBSTITUTE(SUBSTITUTE(SUBSTITUTE(SUBSTITUTE(TRIM(LEFT(INDEX(貼り付け!$A$1:$BZ$3001,522,$B$1)&amp;"",FIND(" ",TRIM(INDEX(貼り付け!$A$1:$BZ$3001,522,$B$1)&amp;"")&amp;" ")-1)),"/","-"),"年","-"),"月","-"),"日",""))),"")</f>
        <v/>
      </c>
      <c r="J523">
        <f>IFERROR(MID(I523,FIND("-",I523)+1,99),"")</f>
        <v/>
      </c>
    </row>
    <row r="524">
      <c r="B524">
        <f>IFERROR(IF($B$1=0,"",IF(INDEX(貼り付け!$A$1:$BZ$3001,523,$B$1)="","",IF(ISNUMBER(INDEX(貼り付け!$A$1:$BZ$3001,523,$B$1)),INT(INDEX(貼り付け!$A$1:$BZ$3001,523,$B$1)),DATE(VALUE(LEFT(I524,FIND("-",I524)-1)),VALUE(LEFT(J524,FIND("-",J524)-1)),VALUE(MID(J524,FIND("-",J524)+1,99)))))),"")</f>
        <v/>
      </c>
      <c r="C524">
        <f>IF($C$1=0,0,IFERROR(VALUE(SUBSTITUTE(SUBSTITUTE(SUBSTITUTE(INDEX(貼り付け!$A$1:$BZ$3001,523,$C$1)&amp;"",",",""),"¥",""),"￥","")),0))</f>
        <v/>
      </c>
      <c r="D524">
        <f>IF($D$1=0,0,IFERROR(VALUE(SUBSTITUTE(SUBSTITUTE(SUBSTITUTE(INDEX(貼り付け!$A$1:$BZ$3001,523,$D$1)&amp;"",",",""),"¥",""),"￥","")),0))</f>
        <v/>
      </c>
      <c r="E524">
        <f>IF($E$1=0,0,IFERROR(VALUE(SUBSTITUTE(SUBSTITUTE(SUBSTITUTE(INDEX(貼り付け!$A$1:$BZ$3001,523,$E$1)&amp;"",",",""),"¥",""),"￥","")),0))</f>
        <v/>
      </c>
      <c r="F524">
        <f>IF($F$1=0,0,IFERROR(VALUE(SUBSTITUTE(SUBSTITUTE(SUBSTITUTE(INDEX(貼り付け!$A$1:$BZ$3001,523,$F$1)&amp;"",",",""),"¥",""),"￥","")),0))</f>
        <v/>
      </c>
      <c r="G524">
        <f>IF(ISNUMBER(B524),YEAR(B524),"")</f>
        <v/>
      </c>
      <c r="H524">
        <f>IF(ISNUMBER(B524),MONTH(B524),"")</f>
        <v/>
      </c>
      <c r="I524">
        <f>IFERROR(IF($B$1=0,"",IF(ISNUMBER(INDEX(貼り付け!$A$1:$BZ$3001,523,$B$1)),"",SUBSTITUTE(SUBSTITUTE(SUBSTITUTE(SUBSTITUTE(TRIM(LEFT(INDEX(貼り付け!$A$1:$BZ$3001,523,$B$1)&amp;"",FIND(" ",TRIM(INDEX(貼り付け!$A$1:$BZ$3001,523,$B$1)&amp;"")&amp;" ")-1)),"/","-"),"年","-"),"月","-"),"日",""))),"")</f>
        <v/>
      </c>
      <c r="J524">
        <f>IFERROR(MID(I524,FIND("-",I524)+1,99),"")</f>
        <v/>
      </c>
    </row>
    <row r="525">
      <c r="B525">
        <f>IFERROR(IF($B$1=0,"",IF(INDEX(貼り付け!$A$1:$BZ$3001,524,$B$1)="","",IF(ISNUMBER(INDEX(貼り付け!$A$1:$BZ$3001,524,$B$1)),INT(INDEX(貼り付け!$A$1:$BZ$3001,524,$B$1)),DATE(VALUE(LEFT(I525,FIND("-",I525)-1)),VALUE(LEFT(J525,FIND("-",J525)-1)),VALUE(MID(J525,FIND("-",J525)+1,99)))))),"")</f>
        <v/>
      </c>
      <c r="C525">
        <f>IF($C$1=0,0,IFERROR(VALUE(SUBSTITUTE(SUBSTITUTE(SUBSTITUTE(INDEX(貼り付け!$A$1:$BZ$3001,524,$C$1)&amp;"",",",""),"¥",""),"￥","")),0))</f>
        <v/>
      </c>
      <c r="D525">
        <f>IF($D$1=0,0,IFERROR(VALUE(SUBSTITUTE(SUBSTITUTE(SUBSTITUTE(INDEX(貼り付け!$A$1:$BZ$3001,524,$D$1)&amp;"",",",""),"¥",""),"￥","")),0))</f>
        <v/>
      </c>
      <c r="E525">
        <f>IF($E$1=0,0,IFERROR(VALUE(SUBSTITUTE(SUBSTITUTE(SUBSTITUTE(INDEX(貼り付け!$A$1:$BZ$3001,524,$E$1)&amp;"",",",""),"¥",""),"￥","")),0))</f>
        <v/>
      </c>
      <c r="F525">
        <f>IF($F$1=0,0,IFERROR(VALUE(SUBSTITUTE(SUBSTITUTE(SUBSTITUTE(INDEX(貼り付け!$A$1:$BZ$3001,524,$F$1)&amp;"",",",""),"¥",""),"￥","")),0))</f>
        <v/>
      </c>
      <c r="G525">
        <f>IF(ISNUMBER(B525),YEAR(B525),"")</f>
        <v/>
      </c>
      <c r="H525">
        <f>IF(ISNUMBER(B525),MONTH(B525),"")</f>
        <v/>
      </c>
      <c r="I525">
        <f>IFERROR(IF($B$1=0,"",IF(ISNUMBER(INDEX(貼り付け!$A$1:$BZ$3001,524,$B$1)),"",SUBSTITUTE(SUBSTITUTE(SUBSTITUTE(SUBSTITUTE(TRIM(LEFT(INDEX(貼り付け!$A$1:$BZ$3001,524,$B$1)&amp;"",FIND(" ",TRIM(INDEX(貼り付け!$A$1:$BZ$3001,524,$B$1)&amp;"")&amp;" ")-1)),"/","-"),"年","-"),"月","-"),"日",""))),"")</f>
        <v/>
      </c>
      <c r="J525">
        <f>IFERROR(MID(I525,FIND("-",I525)+1,99),"")</f>
        <v/>
      </c>
    </row>
    <row r="526">
      <c r="B526">
        <f>IFERROR(IF($B$1=0,"",IF(INDEX(貼り付け!$A$1:$BZ$3001,525,$B$1)="","",IF(ISNUMBER(INDEX(貼り付け!$A$1:$BZ$3001,525,$B$1)),INT(INDEX(貼り付け!$A$1:$BZ$3001,525,$B$1)),DATE(VALUE(LEFT(I526,FIND("-",I526)-1)),VALUE(LEFT(J526,FIND("-",J526)-1)),VALUE(MID(J526,FIND("-",J526)+1,99)))))),"")</f>
        <v/>
      </c>
      <c r="C526">
        <f>IF($C$1=0,0,IFERROR(VALUE(SUBSTITUTE(SUBSTITUTE(SUBSTITUTE(INDEX(貼り付け!$A$1:$BZ$3001,525,$C$1)&amp;"",",",""),"¥",""),"￥","")),0))</f>
        <v/>
      </c>
      <c r="D526">
        <f>IF($D$1=0,0,IFERROR(VALUE(SUBSTITUTE(SUBSTITUTE(SUBSTITUTE(INDEX(貼り付け!$A$1:$BZ$3001,525,$D$1)&amp;"",",",""),"¥",""),"￥","")),0))</f>
        <v/>
      </c>
      <c r="E526">
        <f>IF($E$1=0,0,IFERROR(VALUE(SUBSTITUTE(SUBSTITUTE(SUBSTITUTE(INDEX(貼り付け!$A$1:$BZ$3001,525,$E$1)&amp;"",",",""),"¥",""),"￥","")),0))</f>
        <v/>
      </c>
      <c r="F526">
        <f>IF($F$1=0,0,IFERROR(VALUE(SUBSTITUTE(SUBSTITUTE(SUBSTITUTE(INDEX(貼り付け!$A$1:$BZ$3001,525,$F$1)&amp;"",",",""),"¥",""),"￥","")),0))</f>
        <v/>
      </c>
      <c r="G526">
        <f>IF(ISNUMBER(B526),YEAR(B526),"")</f>
        <v/>
      </c>
      <c r="H526">
        <f>IF(ISNUMBER(B526),MONTH(B526),"")</f>
        <v/>
      </c>
      <c r="I526">
        <f>IFERROR(IF($B$1=0,"",IF(ISNUMBER(INDEX(貼り付け!$A$1:$BZ$3001,525,$B$1)),"",SUBSTITUTE(SUBSTITUTE(SUBSTITUTE(SUBSTITUTE(TRIM(LEFT(INDEX(貼り付け!$A$1:$BZ$3001,525,$B$1)&amp;"",FIND(" ",TRIM(INDEX(貼り付け!$A$1:$BZ$3001,525,$B$1)&amp;"")&amp;" ")-1)),"/","-"),"年","-"),"月","-"),"日",""))),"")</f>
        <v/>
      </c>
      <c r="J526">
        <f>IFERROR(MID(I526,FIND("-",I526)+1,99),"")</f>
        <v/>
      </c>
    </row>
    <row r="527">
      <c r="B527">
        <f>IFERROR(IF($B$1=0,"",IF(INDEX(貼り付け!$A$1:$BZ$3001,526,$B$1)="","",IF(ISNUMBER(INDEX(貼り付け!$A$1:$BZ$3001,526,$B$1)),INT(INDEX(貼り付け!$A$1:$BZ$3001,526,$B$1)),DATE(VALUE(LEFT(I527,FIND("-",I527)-1)),VALUE(LEFT(J527,FIND("-",J527)-1)),VALUE(MID(J527,FIND("-",J527)+1,99)))))),"")</f>
        <v/>
      </c>
      <c r="C527">
        <f>IF($C$1=0,0,IFERROR(VALUE(SUBSTITUTE(SUBSTITUTE(SUBSTITUTE(INDEX(貼り付け!$A$1:$BZ$3001,526,$C$1)&amp;"",",",""),"¥",""),"￥","")),0))</f>
        <v/>
      </c>
      <c r="D527">
        <f>IF($D$1=0,0,IFERROR(VALUE(SUBSTITUTE(SUBSTITUTE(SUBSTITUTE(INDEX(貼り付け!$A$1:$BZ$3001,526,$D$1)&amp;"",",",""),"¥",""),"￥","")),0))</f>
        <v/>
      </c>
      <c r="E527">
        <f>IF($E$1=0,0,IFERROR(VALUE(SUBSTITUTE(SUBSTITUTE(SUBSTITUTE(INDEX(貼り付け!$A$1:$BZ$3001,526,$E$1)&amp;"",",",""),"¥",""),"￥","")),0))</f>
        <v/>
      </c>
      <c r="F527">
        <f>IF($F$1=0,0,IFERROR(VALUE(SUBSTITUTE(SUBSTITUTE(SUBSTITUTE(INDEX(貼り付け!$A$1:$BZ$3001,526,$F$1)&amp;"",",",""),"¥",""),"￥","")),0))</f>
        <v/>
      </c>
      <c r="G527">
        <f>IF(ISNUMBER(B527),YEAR(B527),"")</f>
        <v/>
      </c>
      <c r="H527">
        <f>IF(ISNUMBER(B527),MONTH(B527),"")</f>
        <v/>
      </c>
      <c r="I527">
        <f>IFERROR(IF($B$1=0,"",IF(ISNUMBER(INDEX(貼り付け!$A$1:$BZ$3001,526,$B$1)),"",SUBSTITUTE(SUBSTITUTE(SUBSTITUTE(SUBSTITUTE(TRIM(LEFT(INDEX(貼り付け!$A$1:$BZ$3001,526,$B$1)&amp;"",FIND(" ",TRIM(INDEX(貼り付け!$A$1:$BZ$3001,526,$B$1)&amp;"")&amp;" ")-1)),"/","-"),"年","-"),"月","-"),"日",""))),"")</f>
        <v/>
      </c>
      <c r="J527">
        <f>IFERROR(MID(I527,FIND("-",I527)+1,99),"")</f>
        <v/>
      </c>
    </row>
    <row r="528">
      <c r="B528">
        <f>IFERROR(IF($B$1=0,"",IF(INDEX(貼り付け!$A$1:$BZ$3001,527,$B$1)="","",IF(ISNUMBER(INDEX(貼り付け!$A$1:$BZ$3001,527,$B$1)),INT(INDEX(貼り付け!$A$1:$BZ$3001,527,$B$1)),DATE(VALUE(LEFT(I528,FIND("-",I528)-1)),VALUE(LEFT(J528,FIND("-",J528)-1)),VALUE(MID(J528,FIND("-",J528)+1,99)))))),"")</f>
        <v/>
      </c>
      <c r="C528">
        <f>IF($C$1=0,0,IFERROR(VALUE(SUBSTITUTE(SUBSTITUTE(SUBSTITUTE(INDEX(貼り付け!$A$1:$BZ$3001,527,$C$1)&amp;"",",",""),"¥",""),"￥","")),0))</f>
        <v/>
      </c>
      <c r="D528">
        <f>IF($D$1=0,0,IFERROR(VALUE(SUBSTITUTE(SUBSTITUTE(SUBSTITUTE(INDEX(貼り付け!$A$1:$BZ$3001,527,$D$1)&amp;"",",",""),"¥",""),"￥","")),0))</f>
        <v/>
      </c>
      <c r="E528">
        <f>IF($E$1=0,0,IFERROR(VALUE(SUBSTITUTE(SUBSTITUTE(SUBSTITUTE(INDEX(貼り付け!$A$1:$BZ$3001,527,$E$1)&amp;"",",",""),"¥",""),"￥","")),0))</f>
        <v/>
      </c>
      <c r="F528">
        <f>IF($F$1=0,0,IFERROR(VALUE(SUBSTITUTE(SUBSTITUTE(SUBSTITUTE(INDEX(貼り付け!$A$1:$BZ$3001,527,$F$1)&amp;"",",",""),"¥",""),"￥","")),0))</f>
        <v/>
      </c>
      <c r="G528">
        <f>IF(ISNUMBER(B528),YEAR(B528),"")</f>
        <v/>
      </c>
      <c r="H528">
        <f>IF(ISNUMBER(B528),MONTH(B528),"")</f>
        <v/>
      </c>
      <c r="I528">
        <f>IFERROR(IF($B$1=0,"",IF(ISNUMBER(INDEX(貼り付け!$A$1:$BZ$3001,527,$B$1)),"",SUBSTITUTE(SUBSTITUTE(SUBSTITUTE(SUBSTITUTE(TRIM(LEFT(INDEX(貼り付け!$A$1:$BZ$3001,527,$B$1)&amp;"",FIND(" ",TRIM(INDEX(貼り付け!$A$1:$BZ$3001,527,$B$1)&amp;"")&amp;" ")-1)),"/","-"),"年","-"),"月","-"),"日",""))),"")</f>
        <v/>
      </c>
      <c r="J528">
        <f>IFERROR(MID(I528,FIND("-",I528)+1,99),"")</f>
        <v/>
      </c>
    </row>
    <row r="529">
      <c r="B529">
        <f>IFERROR(IF($B$1=0,"",IF(INDEX(貼り付け!$A$1:$BZ$3001,528,$B$1)="","",IF(ISNUMBER(INDEX(貼り付け!$A$1:$BZ$3001,528,$B$1)),INT(INDEX(貼り付け!$A$1:$BZ$3001,528,$B$1)),DATE(VALUE(LEFT(I529,FIND("-",I529)-1)),VALUE(LEFT(J529,FIND("-",J529)-1)),VALUE(MID(J529,FIND("-",J529)+1,99)))))),"")</f>
        <v/>
      </c>
      <c r="C529">
        <f>IF($C$1=0,0,IFERROR(VALUE(SUBSTITUTE(SUBSTITUTE(SUBSTITUTE(INDEX(貼り付け!$A$1:$BZ$3001,528,$C$1)&amp;"",",",""),"¥",""),"￥","")),0))</f>
        <v/>
      </c>
      <c r="D529">
        <f>IF($D$1=0,0,IFERROR(VALUE(SUBSTITUTE(SUBSTITUTE(SUBSTITUTE(INDEX(貼り付け!$A$1:$BZ$3001,528,$D$1)&amp;"",",",""),"¥",""),"￥","")),0))</f>
        <v/>
      </c>
      <c r="E529">
        <f>IF($E$1=0,0,IFERROR(VALUE(SUBSTITUTE(SUBSTITUTE(SUBSTITUTE(INDEX(貼り付け!$A$1:$BZ$3001,528,$E$1)&amp;"",",",""),"¥",""),"￥","")),0))</f>
        <v/>
      </c>
      <c r="F529">
        <f>IF($F$1=0,0,IFERROR(VALUE(SUBSTITUTE(SUBSTITUTE(SUBSTITUTE(INDEX(貼り付け!$A$1:$BZ$3001,528,$F$1)&amp;"",",",""),"¥",""),"￥","")),0))</f>
        <v/>
      </c>
      <c r="G529">
        <f>IF(ISNUMBER(B529),YEAR(B529),"")</f>
        <v/>
      </c>
      <c r="H529">
        <f>IF(ISNUMBER(B529),MONTH(B529),"")</f>
        <v/>
      </c>
      <c r="I529">
        <f>IFERROR(IF($B$1=0,"",IF(ISNUMBER(INDEX(貼り付け!$A$1:$BZ$3001,528,$B$1)),"",SUBSTITUTE(SUBSTITUTE(SUBSTITUTE(SUBSTITUTE(TRIM(LEFT(INDEX(貼り付け!$A$1:$BZ$3001,528,$B$1)&amp;"",FIND(" ",TRIM(INDEX(貼り付け!$A$1:$BZ$3001,528,$B$1)&amp;"")&amp;" ")-1)),"/","-"),"年","-"),"月","-"),"日",""))),"")</f>
        <v/>
      </c>
      <c r="J529">
        <f>IFERROR(MID(I529,FIND("-",I529)+1,99),"")</f>
        <v/>
      </c>
    </row>
    <row r="530">
      <c r="B530">
        <f>IFERROR(IF($B$1=0,"",IF(INDEX(貼り付け!$A$1:$BZ$3001,529,$B$1)="","",IF(ISNUMBER(INDEX(貼り付け!$A$1:$BZ$3001,529,$B$1)),INT(INDEX(貼り付け!$A$1:$BZ$3001,529,$B$1)),DATE(VALUE(LEFT(I530,FIND("-",I530)-1)),VALUE(LEFT(J530,FIND("-",J530)-1)),VALUE(MID(J530,FIND("-",J530)+1,99)))))),"")</f>
        <v/>
      </c>
      <c r="C530">
        <f>IF($C$1=0,0,IFERROR(VALUE(SUBSTITUTE(SUBSTITUTE(SUBSTITUTE(INDEX(貼り付け!$A$1:$BZ$3001,529,$C$1)&amp;"",",",""),"¥",""),"￥","")),0))</f>
        <v/>
      </c>
      <c r="D530">
        <f>IF($D$1=0,0,IFERROR(VALUE(SUBSTITUTE(SUBSTITUTE(SUBSTITUTE(INDEX(貼り付け!$A$1:$BZ$3001,529,$D$1)&amp;"",",",""),"¥",""),"￥","")),0))</f>
        <v/>
      </c>
      <c r="E530">
        <f>IF($E$1=0,0,IFERROR(VALUE(SUBSTITUTE(SUBSTITUTE(SUBSTITUTE(INDEX(貼り付け!$A$1:$BZ$3001,529,$E$1)&amp;"",",",""),"¥",""),"￥","")),0))</f>
        <v/>
      </c>
      <c r="F530">
        <f>IF($F$1=0,0,IFERROR(VALUE(SUBSTITUTE(SUBSTITUTE(SUBSTITUTE(INDEX(貼り付け!$A$1:$BZ$3001,529,$F$1)&amp;"",",",""),"¥",""),"￥","")),0))</f>
        <v/>
      </c>
      <c r="G530">
        <f>IF(ISNUMBER(B530),YEAR(B530),"")</f>
        <v/>
      </c>
      <c r="H530">
        <f>IF(ISNUMBER(B530),MONTH(B530),"")</f>
        <v/>
      </c>
      <c r="I530">
        <f>IFERROR(IF($B$1=0,"",IF(ISNUMBER(INDEX(貼り付け!$A$1:$BZ$3001,529,$B$1)),"",SUBSTITUTE(SUBSTITUTE(SUBSTITUTE(SUBSTITUTE(TRIM(LEFT(INDEX(貼り付け!$A$1:$BZ$3001,529,$B$1)&amp;"",FIND(" ",TRIM(INDEX(貼り付け!$A$1:$BZ$3001,529,$B$1)&amp;"")&amp;" ")-1)),"/","-"),"年","-"),"月","-"),"日",""))),"")</f>
        <v/>
      </c>
      <c r="J530">
        <f>IFERROR(MID(I530,FIND("-",I530)+1,99),"")</f>
        <v/>
      </c>
    </row>
    <row r="531">
      <c r="B531">
        <f>IFERROR(IF($B$1=0,"",IF(INDEX(貼り付け!$A$1:$BZ$3001,530,$B$1)="","",IF(ISNUMBER(INDEX(貼り付け!$A$1:$BZ$3001,530,$B$1)),INT(INDEX(貼り付け!$A$1:$BZ$3001,530,$B$1)),DATE(VALUE(LEFT(I531,FIND("-",I531)-1)),VALUE(LEFT(J531,FIND("-",J531)-1)),VALUE(MID(J531,FIND("-",J531)+1,99)))))),"")</f>
        <v/>
      </c>
      <c r="C531">
        <f>IF($C$1=0,0,IFERROR(VALUE(SUBSTITUTE(SUBSTITUTE(SUBSTITUTE(INDEX(貼り付け!$A$1:$BZ$3001,530,$C$1)&amp;"",",",""),"¥",""),"￥","")),0))</f>
        <v/>
      </c>
      <c r="D531">
        <f>IF($D$1=0,0,IFERROR(VALUE(SUBSTITUTE(SUBSTITUTE(SUBSTITUTE(INDEX(貼り付け!$A$1:$BZ$3001,530,$D$1)&amp;"",",",""),"¥",""),"￥","")),0))</f>
        <v/>
      </c>
      <c r="E531">
        <f>IF($E$1=0,0,IFERROR(VALUE(SUBSTITUTE(SUBSTITUTE(SUBSTITUTE(INDEX(貼り付け!$A$1:$BZ$3001,530,$E$1)&amp;"",",",""),"¥",""),"￥","")),0))</f>
        <v/>
      </c>
      <c r="F531">
        <f>IF($F$1=0,0,IFERROR(VALUE(SUBSTITUTE(SUBSTITUTE(SUBSTITUTE(INDEX(貼り付け!$A$1:$BZ$3001,530,$F$1)&amp;"",",",""),"¥",""),"￥","")),0))</f>
        <v/>
      </c>
      <c r="G531">
        <f>IF(ISNUMBER(B531),YEAR(B531),"")</f>
        <v/>
      </c>
      <c r="H531">
        <f>IF(ISNUMBER(B531),MONTH(B531),"")</f>
        <v/>
      </c>
      <c r="I531">
        <f>IFERROR(IF($B$1=0,"",IF(ISNUMBER(INDEX(貼り付け!$A$1:$BZ$3001,530,$B$1)),"",SUBSTITUTE(SUBSTITUTE(SUBSTITUTE(SUBSTITUTE(TRIM(LEFT(INDEX(貼り付け!$A$1:$BZ$3001,530,$B$1)&amp;"",FIND(" ",TRIM(INDEX(貼り付け!$A$1:$BZ$3001,530,$B$1)&amp;"")&amp;" ")-1)),"/","-"),"年","-"),"月","-"),"日",""))),"")</f>
        <v/>
      </c>
      <c r="J531">
        <f>IFERROR(MID(I531,FIND("-",I531)+1,99),"")</f>
        <v/>
      </c>
    </row>
    <row r="532">
      <c r="B532">
        <f>IFERROR(IF($B$1=0,"",IF(INDEX(貼り付け!$A$1:$BZ$3001,531,$B$1)="","",IF(ISNUMBER(INDEX(貼り付け!$A$1:$BZ$3001,531,$B$1)),INT(INDEX(貼り付け!$A$1:$BZ$3001,531,$B$1)),DATE(VALUE(LEFT(I532,FIND("-",I532)-1)),VALUE(LEFT(J532,FIND("-",J532)-1)),VALUE(MID(J532,FIND("-",J532)+1,99)))))),"")</f>
        <v/>
      </c>
      <c r="C532">
        <f>IF($C$1=0,0,IFERROR(VALUE(SUBSTITUTE(SUBSTITUTE(SUBSTITUTE(INDEX(貼り付け!$A$1:$BZ$3001,531,$C$1)&amp;"",",",""),"¥",""),"￥","")),0))</f>
        <v/>
      </c>
      <c r="D532">
        <f>IF($D$1=0,0,IFERROR(VALUE(SUBSTITUTE(SUBSTITUTE(SUBSTITUTE(INDEX(貼り付け!$A$1:$BZ$3001,531,$D$1)&amp;"",",",""),"¥",""),"￥","")),0))</f>
        <v/>
      </c>
      <c r="E532">
        <f>IF($E$1=0,0,IFERROR(VALUE(SUBSTITUTE(SUBSTITUTE(SUBSTITUTE(INDEX(貼り付け!$A$1:$BZ$3001,531,$E$1)&amp;"",",",""),"¥",""),"￥","")),0))</f>
        <v/>
      </c>
      <c r="F532">
        <f>IF($F$1=0,0,IFERROR(VALUE(SUBSTITUTE(SUBSTITUTE(SUBSTITUTE(INDEX(貼り付け!$A$1:$BZ$3001,531,$F$1)&amp;"",",",""),"¥",""),"￥","")),0))</f>
        <v/>
      </c>
      <c r="G532">
        <f>IF(ISNUMBER(B532),YEAR(B532),"")</f>
        <v/>
      </c>
      <c r="H532">
        <f>IF(ISNUMBER(B532),MONTH(B532),"")</f>
        <v/>
      </c>
      <c r="I532">
        <f>IFERROR(IF($B$1=0,"",IF(ISNUMBER(INDEX(貼り付け!$A$1:$BZ$3001,531,$B$1)),"",SUBSTITUTE(SUBSTITUTE(SUBSTITUTE(SUBSTITUTE(TRIM(LEFT(INDEX(貼り付け!$A$1:$BZ$3001,531,$B$1)&amp;"",FIND(" ",TRIM(INDEX(貼り付け!$A$1:$BZ$3001,531,$B$1)&amp;"")&amp;" ")-1)),"/","-"),"年","-"),"月","-"),"日",""))),"")</f>
        <v/>
      </c>
      <c r="J532">
        <f>IFERROR(MID(I532,FIND("-",I532)+1,99),"")</f>
        <v/>
      </c>
    </row>
    <row r="533">
      <c r="B533">
        <f>IFERROR(IF($B$1=0,"",IF(INDEX(貼り付け!$A$1:$BZ$3001,532,$B$1)="","",IF(ISNUMBER(INDEX(貼り付け!$A$1:$BZ$3001,532,$B$1)),INT(INDEX(貼り付け!$A$1:$BZ$3001,532,$B$1)),DATE(VALUE(LEFT(I533,FIND("-",I533)-1)),VALUE(LEFT(J533,FIND("-",J533)-1)),VALUE(MID(J533,FIND("-",J533)+1,99)))))),"")</f>
        <v/>
      </c>
      <c r="C533">
        <f>IF($C$1=0,0,IFERROR(VALUE(SUBSTITUTE(SUBSTITUTE(SUBSTITUTE(INDEX(貼り付け!$A$1:$BZ$3001,532,$C$1)&amp;"",",",""),"¥",""),"￥","")),0))</f>
        <v/>
      </c>
      <c r="D533">
        <f>IF($D$1=0,0,IFERROR(VALUE(SUBSTITUTE(SUBSTITUTE(SUBSTITUTE(INDEX(貼り付け!$A$1:$BZ$3001,532,$D$1)&amp;"",",",""),"¥",""),"￥","")),0))</f>
        <v/>
      </c>
      <c r="E533">
        <f>IF($E$1=0,0,IFERROR(VALUE(SUBSTITUTE(SUBSTITUTE(SUBSTITUTE(INDEX(貼り付け!$A$1:$BZ$3001,532,$E$1)&amp;"",",",""),"¥",""),"￥","")),0))</f>
        <v/>
      </c>
      <c r="F533">
        <f>IF($F$1=0,0,IFERROR(VALUE(SUBSTITUTE(SUBSTITUTE(SUBSTITUTE(INDEX(貼り付け!$A$1:$BZ$3001,532,$F$1)&amp;"",",",""),"¥",""),"￥","")),0))</f>
        <v/>
      </c>
      <c r="G533">
        <f>IF(ISNUMBER(B533),YEAR(B533),"")</f>
        <v/>
      </c>
      <c r="H533">
        <f>IF(ISNUMBER(B533),MONTH(B533),"")</f>
        <v/>
      </c>
      <c r="I533">
        <f>IFERROR(IF($B$1=0,"",IF(ISNUMBER(INDEX(貼り付け!$A$1:$BZ$3001,532,$B$1)),"",SUBSTITUTE(SUBSTITUTE(SUBSTITUTE(SUBSTITUTE(TRIM(LEFT(INDEX(貼り付け!$A$1:$BZ$3001,532,$B$1)&amp;"",FIND(" ",TRIM(INDEX(貼り付け!$A$1:$BZ$3001,532,$B$1)&amp;"")&amp;" ")-1)),"/","-"),"年","-"),"月","-"),"日",""))),"")</f>
        <v/>
      </c>
      <c r="J533">
        <f>IFERROR(MID(I533,FIND("-",I533)+1,99),"")</f>
        <v/>
      </c>
    </row>
    <row r="534">
      <c r="B534">
        <f>IFERROR(IF($B$1=0,"",IF(INDEX(貼り付け!$A$1:$BZ$3001,533,$B$1)="","",IF(ISNUMBER(INDEX(貼り付け!$A$1:$BZ$3001,533,$B$1)),INT(INDEX(貼り付け!$A$1:$BZ$3001,533,$B$1)),DATE(VALUE(LEFT(I534,FIND("-",I534)-1)),VALUE(LEFT(J534,FIND("-",J534)-1)),VALUE(MID(J534,FIND("-",J534)+1,99)))))),"")</f>
        <v/>
      </c>
      <c r="C534">
        <f>IF($C$1=0,0,IFERROR(VALUE(SUBSTITUTE(SUBSTITUTE(SUBSTITUTE(INDEX(貼り付け!$A$1:$BZ$3001,533,$C$1)&amp;"",",",""),"¥",""),"￥","")),0))</f>
        <v/>
      </c>
      <c r="D534">
        <f>IF($D$1=0,0,IFERROR(VALUE(SUBSTITUTE(SUBSTITUTE(SUBSTITUTE(INDEX(貼り付け!$A$1:$BZ$3001,533,$D$1)&amp;"",",",""),"¥",""),"￥","")),0))</f>
        <v/>
      </c>
      <c r="E534">
        <f>IF($E$1=0,0,IFERROR(VALUE(SUBSTITUTE(SUBSTITUTE(SUBSTITUTE(INDEX(貼り付け!$A$1:$BZ$3001,533,$E$1)&amp;"",",",""),"¥",""),"￥","")),0))</f>
        <v/>
      </c>
      <c r="F534">
        <f>IF($F$1=0,0,IFERROR(VALUE(SUBSTITUTE(SUBSTITUTE(SUBSTITUTE(INDEX(貼り付け!$A$1:$BZ$3001,533,$F$1)&amp;"",",",""),"¥",""),"￥","")),0))</f>
        <v/>
      </c>
      <c r="G534">
        <f>IF(ISNUMBER(B534),YEAR(B534),"")</f>
        <v/>
      </c>
      <c r="H534">
        <f>IF(ISNUMBER(B534),MONTH(B534),"")</f>
        <v/>
      </c>
      <c r="I534">
        <f>IFERROR(IF($B$1=0,"",IF(ISNUMBER(INDEX(貼り付け!$A$1:$BZ$3001,533,$B$1)),"",SUBSTITUTE(SUBSTITUTE(SUBSTITUTE(SUBSTITUTE(TRIM(LEFT(INDEX(貼り付け!$A$1:$BZ$3001,533,$B$1)&amp;"",FIND(" ",TRIM(INDEX(貼り付け!$A$1:$BZ$3001,533,$B$1)&amp;"")&amp;" ")-1)),"/","-"),"年","-"),"月","-"),"日",""))),"")</f>
        <v/>
      </c>
      <c r="J534">
        <f>IFERROR(MID(I534,FIND("-",I534)+1,99),"")</f>
        <v/>
      </c>
    </row>
    <row r="535">
      <c r="B535">
        <f>IFERROR(IF($B$1=0,"",IF(INDEX(貼り付け!$A$1:$BZ$3001,534,$B$1)="","",IF(ISNUMBER(INDEX(貼り付け!$A$1:$BZ$3001,534,$B$1)),INT(INDEX(貼り付け!$A$1:$BZ$3001,534,$B$1)),DATE(VALUE(LEFT(I535,FIND("-",I535)-1)),VALUE(LEFT(J535,FIND("-",J535)-1)),VALUE(MID(J535,FIND("-",J535)+1,99)))))),"")</f>
        <v/>
      </c>
      <c r="C535">
        <f>IF($C$1=0,0,IFERROR(VALUE(SUBSTITUTE(SUBSTITUTE(SUBSTITUTE(INDEX(貼り付け!$A$1:$BZ$3001,534,$C$1)&amp;"",",",""),"¥",""),"￥","")),0))</f>
        <v/>
      </c>
      <c r="D535">
        <f>IF($D$1=0,0,IFERROR(VALUE(SUBSTITUTE(SUBSTITUTE(SUBSTITUTE(INDEX(貼り付け!$A$1:$BZ$3001,534,$D$1)&amp;"",",",""),"¥",""),"￥","")),0))</f>
        <v/>
      </c>
      <c r="E535">
        <f>IF($E$1=0,0,IFERROR(VALUE(SUBSTITUTE(SUBSTITUTE(SUBSTITUTE(INDEX(貼り付け!$A$1:$BZ$3001,534,$E$1)&amp;"",",",""),"¥",""),"￥","")),0))</f>
        <v/>
      </c>
      <c r="F535">
        <f>IF($F$1=0,0,IFERROR(VALUE(SUBSTITUTE(SUBSTITUTE(SUBSTITUTE(INDEX(貼り付け!$A$1:$BZ$3001,534,$F$1)&amp;"",",",""),"¥",""),"￥","")),0))</f>
        <v/>
      </c>
      <c r="G535">
        <f>IF(ISNUMBER(B535),YEAR(B535),"")</f>
        <v/>
      </c>
      <c r="H535">
        <f>IF(ISNUMBER(B535),MONTH(B535),"")</f>
        <v/>
      </c>
      <c r="I535">
        <f>IFERROR(IF($B$1=0,"",IF(ISNUMBER(INDEX(貼り付け!$A$1:$BZ$3001,534,$B$1)),"",SUBSTITUTE(SUBSTITUTE(SUBSTITUTE(SUBSTITUTE(TRIM(LEFT(INDEX(貼り付け!$A$1:$BZ$3001,534,$B$1)&amp;"",FIND(" ",TRIM(INDEX(貼り付け!$A$1:$BZ$3001,534,$B$1)&amp;"")&amp;" ")-1)),"/","-"),"年","-"),"月","-"),"日",""))),"")</f>
        <v/>
      </c>
      <c r="J535">
        <f>IFERROR(MID(I535,FIND("-",I535)+1,99),"")</f>
        <v/>
      </c>
    </row>
    <row r="536">
      <c r="B536">
        <f>IFERROR(IF($B$1=0,"",IF(INDEX(貼り付け!$A$1:$BZ$3001,535,$B$1)="","",IF(ISNUMBER(INDEX(貼り付け!$A$1:$BZ$3001,535,$B$1)),INT(INDEX(貼り付け!$A$1:$BZ$3001,535,$B$1)),DATE(VALUE(LEFT(I536,FIND("-",I536)-1)),VALUE(LEFT(J536,FIND("-",J536)-1)),VALUE(MID(J536,FIND("-",J536)+1,99)))))),"")</f>
        <v/>
      </c>
      <c r="C536">
        <f>IF($C$1=0,0,IFERROR(VALUE(SUBSTITUTE(SUBSTITUTE(SUBSTITUTE(INDEX(貼り付け!$A$1:$BZ$3001,535,$C$1)&amp;"",",",""),"¥",""),"￥","")),0))</f>
        <v/>
      </c>
      <c r="D536">
        <f>IF($D$1=0,0,IFERROR(VALUE(SUBSTITUTE(SUBSTITUTE(SUBSTITUTE(INDEX(貼り付け!$A$1:$BZ$3001,535,$D$1)&amp;"",",",""),"¥",""),"￥","")),0))</f>
        <v/>
      </c>
      <c r="E536">
        <f>IF($E$1=0,0,IFERROR(VALUE(SUBSTITUTE(SUBSTITUTE(SUBSTITUTE(INDEX(貼り付け!$A$1:$BZ$3001,535,$E$1)&amp;"",",",""),"¥",""),"￥","")),0))</f>
        <v/>
      </c>
      <c r="F536">
        <f>IF($F$1=0,0,IFERROR(VALUE(SUBSTITUTE(SUBSTITUTE(SUBSTITUTE(INDEX(貼り付け!$A$1:$BZ$3001,535,$F$1)&amp;"",",",""),"¥",""),"￥","")),0))</f>
        <v/>
      </c>
      <c r="G536">
        <f>IF(ISNUMBER(B536),YEAR(B536),"")</f>
        <v/>
      </c>
      <c r="H536">
        <f>IF(ISNUMBER(B536),MONTH(B536),"")</f>
        <v/>
      </c>
      <c r="I536">
        <f>IFERROR(IF($B$1=0,"",IF(ISNUMBER(INDEX(貼り付け!$A$1:$BZ$3001,535,$B$1)),"",SUBSTITUTE(SUBSTITUTE(SUBSTITUTE(SUBSTITUTE(TRIM(LEFT(INDEX(貼り付け!$A$1:$BZ$3001,535,$B$1)&amp;"",FIND(" ",TRIM(INDEX(貼り付け!$A$1:$BZ$3001,535,$B$1)&amp;"")&amp;" ")-1)),"/","-"),"年","-"),"月","-"),"日",""))),"")</f>
        <v/>
      </c>
      <c r="J536">
        <f>IFERROR(MID(I536,FIND("-",I536)+1,99),"")</f>
        <v/>
      </c>
    </row>
    <row r="537">
      <c r="B537">
        <f>IFERROR(IF($B$1=0,"",IF(INDEX(貼り付け!$A$1:$BZ$3001,536,$B$1)="","",IF(ISNUMBER(INDEX(貼り付け!$A$1:$BZ$3001,536,$B$1)),INT(INDEX(貼り付け!$A$1:$BZ$3001,536,$B$1)),DATE(VALUE(LEFT(I537,FIND("-",I537)-1)),VALUE(LEFT(J537,FIND("-",J537)-1)),VALUE(MID(J537,FIND("-",J537)+1,99)))))),"")</f>
        <v/>
      </c>
      <c r="C537">
        <f>IF($C$1=0,0,IFERROR(VALUE(SUBSTITUTE(SUBSTITUTE(SUBSTITUTE(INDEX(貼り付け!$A$1:$BZ$3001,536,$C$1)&amp;"",",",""),"¥",""),"￥","")),0))</f>
        <v/>
      </c>
      <c r="D537">
        <f>IF($D$1=0,0,IFERROR(VALUE(SUBSTITUTE(SUBSTITUTE(SUBSTITUTE(INDEX(貼り付け!$A$1:$BZ$3001,536,$D$1)&amp;"",",",""),"¥",""),"￥","")),0))</f>
        <v/>
      </c>
      <c r="E537">
        <f>IF($E$1=0,0,IFERROR(VALUE(SUBSTITUTE(SUBSTITUTE(SUBSTITUTE(INDEX(貼り付け!$A$1:$BZ$3001,536,$E$1)&amp;"",",",""),"¥",""),"￥","")),0))</f>
        <v/>
      </c>
      <c r="F537">
        <f>IF($F$1=0,0,IFERROR(VALUE(SUBSTITUTE(SUBSTITUTE(SUBSTITUTE(INDEX(貼り付け!$A$1:$BZ$3001,536,$F$1)&amp;"",",",""),"¥",""),"￥","")),0))</f>
        <v/>
      </c>
      <c r="G537">
        <f>IF(ISNUMBER(B537),YEAR(B537),"")</f>
        <v/>
      </c>
      <c r="H537">
        <f>IF(ISNUMBER(B537),MONTH(B537),"")</f>
        <v/>
      </c>
      <c r="I537">
        <f>IFERROR(IF($B$1=0,"",IF(ISNUMBER(INDEX(貼り付け!$A$1:$BZ$3001,536,$B$1)),"",SUBSTITUTE(SUBSTITUTE(SUBSTITUTE(SUBSTITUTE(TRIM(LEFT(INDEX(貼り付け!$A$1:$BZ$3001,536,$B$1)&amp;"",FIND(" ",TRIM(INDEX(貼り付け!$A$1:$BZ$3001,536,$B$1)&amp;"")&amp;" ")-1)),"/","-"),"年","-"),"月","-"),"日",""))),"")</f>
        <v/>
      </c>
      <c r="J537">
        <f>IFERROR(MID(I537,FIND("-",I537)+1,99),"")</f>
        <v/>
      </c>
    </row>
    <row r="538">
      <c r="B538">
        <f>IFERROR(IF($B$1=0,"",IF(INDEX(貼り付け!$A$1:$BZ$3001,537,$B$1)="","",IF(ISNUMBER(INDEX(貼り付け!$A$1:$BZ$3001,537,$B$1)),INT(INDEX(貼り付け!$A$1:$BZ$3001,537,$B$1)),DATE(VALUE(LEFT(I538,FIND("-",I538)-1)),VALUE(LEFT(J538,FIND("-",J538)-1)),VALUE(MID(J538,FIND("-",J538)+1,99)))))),"")</f>
        <v/>
      </c>
      <c r="C538">
        <f>IF($C$1=0,0,IFERROR(VALUE(SUBSTITUTE(SUBSTITUTE(SUBSTITUTE(INDEX(貼り付け!$A$1:$BZ$3001,537,$C$1)&amp;"",",",""),"¥",""),"￥","")),0))</f>
        <v/>
      </c>
      <c r="D538">
        <f>IF($D$1=0,0,IFERROR(VALUE(SUBSTITUTE(SUBSTITUTE(SUBSTITUTE(INDEX(貼り付け!$A$1:$BZ$3001,537,$D$1)&amp;"",",",""),"¥",""),"￥","")),0))</f>
        <v/>
      </c>
      <c r="E538">
        <f>IF($E$1=0,0,IFERROR(VALUE(SUBSTITUTE(SUBSTITUTE(SUBSTITUTE(INDEX(貼り付け!$A$1:$BZ$3001,537,$E$1)&amp;"",",",""),"¥",""),"￥","")),0))</f>
        <v/>
      </c>
      <c r="F538">
        <f>IF($F$1=0,0,IFERROR(VALUE(SUBSTITUTE(SUBSTITUTE(SUBSTITUTE(INDEX(貼り付け!$A$1:$BZ$3001,537,$F$1)&amp;"",",",""),"¥",""),"￥","")),0))</f>
        <v/>
      </c>
      <c r="G538">
        <f>IF(ISNUMBER(B538),YEAR(B538),"")</f>
        <v/>
      </c>
      <c r="H538">
        <f>IF(ISNUMBER(B538),MONTH(B538),"")</f>
        <v/>
      </c>
      <c r="I538">
        <f>IFERROR(IF($B$1=0,"",IF(ISNUMBER(INDEX(貼り付け!$A$1:$BZ$3001,537,$B$1)),"",SUBSTITUTE(SUBSTITUTE(SUBSTITUTE(SUBSTITUTE(TRIM(LEFT(INDEX(貼り付け!$A$1:$BZ$3001,537,$B$1)&amp;"",FIND(" ",TRIM(INDEX(貼り付け!$A$1:$BZ$3001,537,$B$1)&amp;"")&amp;" ")-1)),"/","-"),"年","-"),"月","-"),"日",""))),"")</f>
        <v/>
      </c>
      <c r="J538">
        <f>IFERROR(MID(I538,FIND("-",I538)+1,99),"")</f>
        <v/>
      </c>
    </row>
    <row r="539">
      <c r="B539">
        <f>IFERROR(IF($B$1=0,"",IF(INDEX(貼り付け!$A$1:$BZ$3001,538,$B$1)="","",IF(ISNUMBER(INDEX(貼り付け!$A$1:$BZ$3001,538,$B$1)),INT(INDEX(貼り付け!$A$1:$BZ$3001,538,$B$1)),DATE(VALUE(LEFT(I539,FIND("-",I539)-1)),VALUE(LEFT(J539,FIND("-",J539)-1)),VALUE(MID(J539,FIND("-",J539)+1,99)))))),"")</f>
        <v/>
      </c>
      <c r="C539">
        <f>IF($C$1=0,0,IFERROR(VALUE(SUBSTITUTE(SUBSTITUTE(SUBSTITUTE(INDEX(貼り付け!$A$1:$BZ$3001,538,$C$1)&amp;"",",",""),"¥",""),"￥","")),0))</f>
        <v/>
      </c>
      <c r="D539">
        <f>IF($D$1=0,0,IFERROR(VALUE(SUBSTITUTE(SUBSTITUTE(SUBSTITUTE(INDEX(貼り付け!$A$1:$BZ$3001,538,$D$1)&amp;"",",",""),"¥",""),"￥","")),0))</f>
        <v/>
      </c>
      <c r="E539">
        <f>IF($E$1=0,0,IFERROR(VALUE(SUBSTITUTE(SUBSTITUTE(SUBSTITUTE(INDEX(貼り付け!$A$1:$BZ$3001,538,$E$1)&amp;"",",",""),"¥",""),"￥","")),0))</f>
        <v/>
      </c>
      <c r="F539">
        <f>IF($F$1=0,0,IFERROR(VALUE(SUBSTITUTE(SUBSTITUTE(SUBSTITUTE(INDEX(貼り付け!$A$1:$BZ$3001,538,$F$1)&amp;"",",",""),"¥",""),"￥","")),0))</f>
        <v/>
      </c>
      <c r="G539">
        <f>IF(ISNUMBER(B539),YEAR(B539),"")</f>
        <v/>
      </c>
      <c r="H539">
        <f>IF(ISNUMBER(B539),MONTH(B539),"")</f>
        <v/>
      </c>
      <c r="I539">
        <f>IFERROR(IF($B$1=0,"",IF(ISNUMBER(INDEX(貼り付け!$A$1:$BZ$3001,538,$B$1)),"",SUBSTITUTE(SUBSTITUTE(SUBSTITUTE(SUBSTITUTE(TRIM(LEFT(INDEX(貼り付け!$A$1:$BZ$3001,538,$B$1)&amp;"",FIND(" ",TRIM(INDEX(貼り付け!$A$1:$BZ$3001,538,$B$1)&amp;"")&amp;" ")-1)),"/","-"),"年","-"),"月","-"),"日",""))),"")</f>
        <v/>
      </c>
      <c r="J539">
        <f>IFERROR(MID(I539,FIND("-",I539)+1,99),"")</f>
        <v/>
      </c>
    </row>
    <row r="540">
      <c r="B540">
        <f>IFERROR(IF($B$1=0,"",IF(INDEX(貼り付け!$A$1:$BZ$3001,539,$B$1)="","",IF(ISNUMBER(INDEX(貼り付け!$A$1:$BZ$3001,539,$B$1)),INT(INDEX(貼り付け!$A$1:$BZ$3001,539,$B$1)),DATE(VALUE(LEFT(I540,FIND("-",I540)-1)),VALUE(LEFT(J540,FIND("-",J540)-1)),VALUE(MID(J540,FIND("-",J540)+1,99)))))),"")</f>
        <v/>
      </c>
      <c r="C540">
        <f>IF($C$1=0,0,IFERROR(VALUE(SUBSTITUTE(SUBSTITUTE(SUBSTITUTE(INDEX(貼り付け!$A$1:$BZ$3001,539,$C$1)&amp;"",",",""),"¥",""),"￥","")),0))</f>
        <v/>
      </c>
      <c r="D540">
        <f>IF($D$1=0,0,IFERROR(VALUE(SUBSTITUTE(SUBSTITUTE(SUBSTITUTE(INDEX(貼り付け!$A$1:$BZ$3001,539,$D$1)&amp;"",",",""),"¥",""),"￥","")),0))</f>
        <v/>
      </c>
      <c r="E540">
        <f>IF($E$1=0,0,IFERROR(VALUE(SUBSTITUTE(SUBSTITUTE(SUBSTITUTE(INDEX(貼り付け!$A$1:$BZ$3001,539,$E$1)&amp;"",",",""),"¥",""),"￥","")),0))</f>
        <v/>
      </c>
      <c r="F540">
        <f>IF($F$1=0,0,IFERROR(VALUE(SUBSTITUTE(SUBSTITUTE(SUBSTITUTE(INDEX(貼り付け!$A$1:$BZ$3001,539,$F$1)&amp;"",",",""),"¥",""),"￥","")),0))</f>
        <v/>
      </c>
      <c r="G540">
        <f>IF(ISNUMBER(B540),YEAR(B540),"")</f>
        <v/>
      </c>
      <c r="H540">
        <f>IF(ISNUMBER(B540),MONTH(B540),"")</f>
        <v/>
      </c>
      <c r="I540">
        <f>IFERROR(IF($B$1=0,"",IF(ISNUMBER(INDEX(貼り付け!$A$1:$BZ$3001,539,$B$1)),"",SUBSTITUTE(SUBSTITUTE(SUBSTITUTE(SUBSTITUTE(TRIM(LEFT(INDEX(貼り付け!$A$1:$BZ$3001,539,$B$1)&amp;"",FIND(" ",TRIM(INDEX(貼り付け!$A$1:$BZ$3001,539,$B$1)&amp;"")&amp;" ")-1)),"/","-"),"年","-"),"月","-"),"日",""))),"")</f>
        <v/>
      </c>
      <c r="J540">
        <f>IFERROR(MID(I540,FIND("-",I540)+1,99),"")</f>
        <v/>
      </c>
    </row>
    <row r="541">
      <c r="B541">
        <f>IFERROR(IF($B$1=0,"",IF(INDEX(貼り付け!$A$1:$BZ$3001,540,$B$1)="","",IF(ISNUMBER(INDEX(貼り付け!$A$1:$BZ$3001,540,$B$1)),INT(INDEX(貼り付け!$A$1:$BZ$3001,540,$B$1)),DATE(VALUE(LEFT(I541,FIND("-",I541)-1)),VALUE(LEFT(J541,FIND("-",J541)-1)),VALUE(MID(J541,FIND("-",J541)+1,99)))))),"")</f>
        <v/>
      </c>
      <c r="C541">
        <f>IF($C$1=0,0,IFERROR(VALUE(SUBSTITUTE(SUBSTITUTE(SUBSTITUTE(INDEX(貼り付け!$A$1:$BZ$3001,540,$C$1)&amp;"",",",""),"¥",""),"￥","")),0))</f>
        <v/>
      </c>
      <c r="D541">
        <f>IF($D$1=0,0,IFERROR(VALUE(SUBSTITUTE(SUBSTITUTE(SUBSTITUTE(INDEX(貼り付け!$A$1:$BZ$3001,540,$D$1)&amp;"",",",""),"¥",""),"￥","")),0))</f>
        <v/>
      </c>
      <c r="E541">
        <f>IF($E$1=0,0,IFERROR(VALUE(SUBSTITUTE(SUBSTITUTE(SUBSTITUTE(INDEX(貼り付け!$A$1:$BZ$3001,540,$E$1)&amp;"",",",""),"¥",""),"￥","")),0))</f>
        <v/>
      </c>
      <c r="F541">
        <f>IF($F$1=0,0,IFERROR(VALUE(SUBSTITUTE(SUBSTITUTE(SUBSTITUTE(INDEX(貼り付け!$A$1:$BZ$3001,540,$F$1)&amp;"",",",""),"¥",""),"￥","")),0))</f>
        <v/>
      </c>
      <c r="G541">
        <f>IF(ISNUMBER(B541),YEAR(B541),"")</f>
        <v/>
      </c>
      <c r="H541">
        <f>IF(ISNUMBER(B541),MONTH(B541),"")</f>
        <v/>
      </c>
      <c r="I541">
        <f>IFERROR(IF($B$1=0,"",IF(ISNUMBER(INDEX(貼り付け!$A$1:$BZ$3001,540,$B$1)),"",SUBSTITUTE(SUBSTITUTE(SUBSTITUTE(SUBSTITUTE(TRIM(LEFT(INDEX(貼り付け!$A$1:$BZ$3001,540,$B$1)&amp;"",FIND(" ",TRIM(INDEX(貼り付け!$A$1:$BZ$3001,540,$B$1)&amp;"")&amp;" ")-1)),"/","-"),"年","-"),"月","-"),"日",""))),"")</f>
        <v/>
      </c>
      <c r="J541">
        <f>IFERROR(MID(I541,FIND("-",I541)+1,99),"")</f>
        <v/>
      </c>
    </row>
    <row r="542">
      <c r="B542">
        <f>IFERROR(IF($B$1=0,"",IF(INDEX(貼り付け!$A$1:$BZ$3001,541,$B$1)="","",IF(ISNUMBER(INDEX(貼り付け!$A$1:$BZ$3001,541,$B$1)),INT(INDEX(貼り付け!$A$1:$BZ$3001,541,$B$1)),DATE(VALUE(LEFT(I542,FIND("-",I542)-1)),VALUE(LEFT(J542,FIND("-",J542)-1)),VALUE(MID(J542,FIND("-",J542)+1,99)))))),"")</f>
        <v/>
      </c>
      <c r="C542">
        <f>IF($C$1=0,0,IFERROR(VALUE(SUBSTITUTE(SUBSTITUTE(SUBSTITUTE(INDEX(貼り付け!$A$1:$BZ$3001,541,$C$1)&amp;"",",",""),"¥",""),"￥","")),0))</f>
        <v/>
      </c>
      <c r="D542">
        <f>IF($D$1=0,0,IFERROR(VALUE(SUBSTITUTE(SUBSTITUTE(SUBSTITUTE(INDEX(貼り付け!$A$1:$BZ$3001,541,$D$1)&amp;"",",",""),"¥",""),"￥","")),0))</f>
        <v/>
      </c>
      <c r="E542">
        <f>IF($E$1=0,0,IFERROR(VALUE(SUBSTITUTE(SUBSTITUTE(SUBSTITUTE(INDEX(貼り付け!$A$1:$BZ$3001,541,$E$1)&amp;"",",",""),"¥",""),"￥","")),0))</f>
        <v/>
      </c>
      <c r="F542">
        <f>IF($F$1=0,0,IFERROR(VALUE(SUBSTITUTE(SUBSTITUTE(SUBSTITUTE(INDEX(貼り付け!$A$1:$BZ$3001,541,$F$1)&amp;"",",",""),"¥",""),"￥","")),0))</f>
        <v/>
      </c>
      <c r="G542">
        <f>IF(ISNUMBER(B542),YEAR(B542),"")</f>
        <v/>
      </c>
      <c r="H542">
        <f>IF(ISNUMBER(B542),MONTH(B542),"")</f>
        <v/>
      </c>
      <c r="I542">
        <f>IFERROR(IF($B$1=0,"",IF(ISNUMBER(INDEX(貼り付け!$A$1:$BZ$3001,541,$B$1)),"",SUBSTITUTE(SUBSTITUTE(SUBSTITUTE(SUBSTITUTE(TRIM(LEFT(INDEX(貼り付け!$A$1:$BZ$3001,541,$B$1)&amp;"",FIND(" ",TRIM(INDEX(貼り付け!$A$1:$BZ$3001,541,$B$1)&amp;"")&amp;" ")-1)),"/","-"),"年","-"),"月","-"),"日",""))),"")</f>
        <v/>
      </c>
      <c r="J542">
        <f>IFERROR(MID(I542,FIND("-",I542)+1,99),"")</f>
        <v/>
      </c>
    </row>
    <row r="543">
      <c r="B543">
        <f>IFERROR(IF($B$1=0,"",IF(INDEX(貼り付け!$A$1:$BZ$3001,542,$B$1)="","",IF(ISNUMBER(INDEX(貼り付け!$A$1:$BZ$3001,542,$B$1)),INT(INDEX(貼り付け!$A$1:$BZ$3001,542,$B$1)),DATE(VALUE(LEFT(I543,FIND("-",I543)-1)),VALUE(LEFT(J543,FIND("-",J543)-1)),VALUE(MID(J543,FIND("-",J543)+1,99)))))),"")</f>
        <v/>
      </c>
      <c r="C543">
        <f>IF($C$1=0,0,IFERROR(VALUE(SUBSTITUTE(SUBSTITUTE(SUBSTITUTE(INDEX(貼り付け!$A$1:$BZ$3001,542,$C$1)&amp;"",",",""),"¥",""),"￥","")),0))</f>
        <v/>
      </c>
      <c r="D543">
        <f>IF($D$1=0,0,IFERROR(VALUE(SUBSTITUTE(SUBSTITUTE(SUBSTITUTE(INDEX(貼り付け!$A$1:$BZ$3001,542,$D$1)&amp;"",",",""),"¥",""),"￥","")),0))</f>
        <v/>
      </c>
      <c r="E543">
        <f>IF($E$1=0,0,IFERROR(VALUE(SUBSTITUTE(SUBSTITUTE(SUBSTITUTE(INDEX(貼り付け!$A$1:$BZ$3001,542,$E$1)&amp;"",",",""),"¥",""),"￥","")),0))</f>
        <v/>
      </c>
      <c r="F543">
        <f>IF($F$1=0,0,IFERROR(VALUE(SUBSTITUTE(SUBSTITUTE(SUBSTITUTE(INDEX(貼り付け!$A$1:$BZ$3001,542,$F$1)&amp;"",",",""),"¥",""),"￥","")),0))</f>
        <v/>
      </c>
      <c r="G543">
        <f>IF(ISNUMBER(B543),YEAR(B543),"")</f>
        <v/>
      </c>
      <c r="H543">
        <f>IF(ISNUMBER(B543),MONTH(B543),"")</f>
        <v/>
      </c>
      <c r="I543">
        <f>IFERROR(IF($B$1=0,"",IF(ISNUMBER(INDEX(貼り付け!$A$1:$BZ$3001,542,$B$1)),"",SUBSTITUTE(SUBSTITUTE(SUBSTITUTE(SUBSTITUTE(TRIM(LEFT(INDEX(貼り付け!$A$1:$BZ$3001,542,$B$1)&amp;"",FIND(" ",TRIM(INDEX(貼り付け!$A$1:$BZ$3001,542,$B$1)&amp;"")&amp;" ")-1)),"/","-"),"年","-"),"月","-"),"日",""))),"")</f>
        <v/>
      </c>
      <c r="J543">
        <f>IFERROR(MID(I543,FIND("-",I543)+1,99),"")</f>
        <v/>
      </c>
    </row>
    <row r="544">
      <c r="B544">
        <f>IFERROR(IF($B$1=0,"",IF(INDEX(貼り付け!$A$1:$BZ$3001,543,$B$1)="","",IF(ISNUMBER(INDEX(貼り付け!$A$1:$BZ$3001,543,$B$1)),INT(INDEX(貼り付け!$A$1:$BZ$3001,543,$B$1)),DATE(VALUE(LEFT(I544,FIND("-",I544)-1)),VALUE(LEFT(J544,FIND("-",J544)-1)),VALUE(MID(J544,FIND("-",J544)+1,99)))))),"")</f>
        <v/>
      </c>
      <c r="C544">
        <f>IF($C$1=0,0,IFERROR(VALUE(SUBSTITUTE(SUBSTITUTE(SUBSTITUTE(INDEX(貼り付け!$A$1:$BZ$3001,543,$C$1)&amp;"",",",""),"¥",""),"￥","")),0))</f>
        <v/>
      </c>
      <c r="D544">
        <f>IF($D$1=0,0,IFERROR(VALUE(SUBSTITUTE(SUBSTITUTE(SUBSTITUTE(INDEX(貼り付け!$A$1:$BZ$3001,543,$D$1)&amp;"",",",""),"¥",""),"￥","")),0))</f>
        <v/>
      </c>
      <c r="E544">
        <f>IF($E$1=0,0,IFERROR(VALUE(SUBSTITUTE(SUBSTITUTE(SUBSTITUTE(INDEX(貼り付け!$A$1:$BZ$3001,543,$E$1)&amp;"",",",""),"¥",""),"￥","")),0))</f>
        <v/>
      </c>
      <c r="F544">
        <f>IF($F$1=0,0,IFERROR(VALUE(SUBSTITUTE(SUBSTITUTE(SUBSTITUTE(INDEX(貼り付け!$A$1:$BZ$3001,543,$F$1)&amp;"",",",""),"¥",""),"￥","")),0))</f>
        <v/>
      </c>
      <c r="G544">
        <f>IF(ISNUMBER(B544),YEAR(B544),"")</f>
        <v/>
      </c>
      <c r="H544">
        <f>IF(ISNUMBER(B544),MONTH(B544),"")</f>
        <v/>
      </c>
      <c r="I544">
        <f>IFERROR(IF($B$1=0,"",IF(ISNUMBER(INDEX(貼り付け!$A$1:$BZ$3001,543,$B$1)),"",SUBSTITUTE(SUBSTITUTE(SUBSTITUTE(SUBSTITUTE(TRIM(LEFT(INDEX(貼り付け!$A$1:$BZ$3001,543,$B$1)&amp;"",FIND(" ",TRIM(INDEX(貼り付け!$A$1:$BZ$3001,543,$B$1)&amp;"")&amp;" ")-1)),"/","-"),"年","-"),"月","-"),"日",""))),"")</f>
        <v/>
      </c>
      <c r="J544">
        <f>IFERROR(MID(I544,FIND("-",I544)+1,99),"")</f>
        <v/>
      </c>
    </row>
    <row r="545">
      <c r="B545">
        <f>IFERROR(IF($B$1=0,"",IF(INDEX(貼り付け!$A$1:$BZ$3001,544,$B$1)="","",IF(ISNUMBER(INDEX(貼り付け!$A$1:$BZ$3001,544,$B$1)),INT(INDEX(貼り付け!$A$1:$BZ$3001,544,$B$1)),DATE(VALUE(LEFT(I545,FIND("-",I545)-1)),VALUE(LEFT(J545,FIND("-",J545)-1)),VALUE(MID(J545,FIND("-",J545)+1,99)))))),"")</f>
        <v/>
      </c>
      <c r="C545">
        <f>IF($C$1=0,0,IFERROR(VALUE(SUBSTITUTE(SUBSTITUTE(SUBSTITUTE(INDEX(貼り付け!$A$1:$BZ$3001,544,$C$1)&amp;"",",",""),"¥",""),"￥","")),0))</f>
        <v/>
      </c>
      <c r="D545">
        <f>IF($D$1=0,0,IFERROR(VALUE(SUBSTITUTE(SUBSTITUTE(SUBSTITUTE(INDEX(貼り付け!$A$1:$BZ$3001,544,$D$1)&amp;"",",",""),"¥",""),"￥","")),0))</f>
        <v/>
      </c>
      <c r="E545">
        <f>IF($E$1=0,0,IFERROR(VALUE(SUBSTITUTE(SUBSTITUTE(SUBSTITUTE(INDEX(貼り付け!$A$1:$BZ$3001,544,$E$1)&amp;"",",",""),"¥",""),"￥","")),0))</f>
        <v/>
      </c>
      <c r="F545">
        <f>IF($F$1=0,0,IFERROR(VALUE(SUBSTITUTE(SUBSTITUTE(SUBSTITUTE(INDEX(貼り付け!$A$1:$BZ$3001,544,$F$1)&amp;"",",",""),"¥",""),"￥","")),0))</f>
        <v/>
      </c>
      <c r="G545">
        <f>IF(ISNUMBER(B545),YEAR(B545),"")</f>
        <v/>
      </c>
      <c r="H545">
        <f>IF(ISNUMBER(B545),MONTH(B545),"")</f>
        <v/>
      </c>
      <c r="I545">
        <f>IFERROR(IF($B$1=0,"",IF(ISNUMBER(INDEX(貼り付け!$A$1:$BZ$3001,544,$B$1)),"",SUBSTITUTE(SUBSTITUTE(SUBSTITUTE(SUBSTITUTE(TRIM(LEFT(INDEX(貼り付け!$A$1:$BZ$3001,544,$B$1)&amp;"",FIND(" ",TRIM(INDEX(貼り付け!$A$1:$BZ$3001,544,$B$1)&amp;"")&amp;" ")-1)),"/","-"),"年","-"),"月","-"),"日",""))),"")</f>
        <v/>
      </c>
      <c r="J545">
        <f>IFERROR(MID(I545,FIND("-",I545)+1,99),"")</f>
        <v/>
      </c>
    </row>
    <row r="546">
      <c r="B546">
        <f>IFERROR(IF($B$1=0,"",IF(INDEX(貼り付け!$A$1:$BZ$3001,545,$B$1)="","",IF(ISNUMBER(INDEX(貼り付け!$A$1:$BZ$3001,545,$B$1)),INT(INDEX(貼り付け!$A$1:$BZ$3001,545,$B$1)),DATE(VALUE(LEFT(I546,FIND("-",I546)-1)),VALUE(LEFT(J546,FIND("-",J546)-1)),VALUE(MID(J546,FIND("-",J546)+1,99)))))),"")</f>
        <v/>
      </c>
      <c r="C546">
        <f>IF($C$1=0,0,IFERROR(VALUE(SUBSTITUTE(SUBSTITUTE(SUBSTITUTE(INDEX(貼り付け!$A$1:$BZ$3001,545,$C$1)&amp;"",",",""),"¥",""),"￥","")),0))</f>
        <v/>
      </c>
      <c r="D546">
        <f>IF($D$1=0,0,IFERROR(VALUE(SUBSTITUTE(SUBSTITUTE(SUBSTITUTE(INDEX(貼り付け!$A$1:$BZ$3001,545,$D$1)&amp;"",",",""),"¥",""),"￥","")),0))</f>
        <v/>
      </c>
      <c r="E546">
        <f>IF($E$1=0,0,IFERROR(VALUE(SUBSTITUTE(SUBSTITUTE(SUBSTITUTE(INDEX(貼り付け!$A$1:$BZ$3001,545,$E$1)&amp;"",",",""),"¥",""),"￥","")),0))</f>
        <v/>
      </c>
      <c r="F546">
        <f>IF($F$1=0,0,IFERROR(VALUE(SUBSTITUTE(SUBSTITUTE(SUBSTITUTE(INDEX(貼り付け!$A$1:$BZ$3001,545,$F$1)&amp;"",",",""),"¥",""),"￥","")),0))</f>
        <v/>
      </c>
      <c r="G546">
        <f>IF(ISNUMBER(B546),YEAR(B546),"")</f>
        <v/>
      </c>
      <c r="H546">
        <f>IF(ISNUMBER(B546),MONTH(B546),"")</f>
        <v/>
      </c>
      <c r="I546">
        <f>IFERROR(IF($B$1=0,"",IF(ISNUMBER(INDEX(貼り付け!$A$1:$BZ$3001,545,$B$1)),"",SUBSTITUTE(SUBSTITUTE(SUBSTITUTE(SUBSTITUTE(TRIM(LEFT(INDEX(貼り付け!$A$1:$BZ$3001,545,$B$1)&amp;"",FIND(" ",TRIM(INDEX(貼り付け!$A$1:$BZ$3001,545,$B$1)&amp;"")&amp;" ")-1)),"/","-"),"年","-"),"月","-"),"日",""))),"")</f>
        <v/>
      </c>
      <c r="J546">
        <f>IFERROR(MID(I546,FIND("-",I546)+1,99),"")</f>
        <v/>
      </c>
    </row>
    <row r="547">
      <c r="B547">
        <f>IFERROR(IF($B$1=0,"",IF(INDEX(貼り付け!$A$1:$BZ$3001,546,$B$1)="","",IF(ISNUMBER(INDEX(貼り付け!$A$1:$BZ$3001,546,$B$1)),INT(INDEX(貼り付け!$A$1:$BZ$3001,546,$B$1)),DATE(VALUE(LEFT(I547,FIND("-",I547)-1)),VALUE(LEFT(J547,FIND("-",J547)-1)),VALUE(MID(J547,FIND("-",J547)+1,99)))))),"")</f>
        <v/>
      </c>
      <c r="C547">
        <f>IF($C$1=0,0,IFERROR(VALUE(SUBSTITUTE(SUBSTITUTE(SUBSTITUTE(INDEX(貼り付け!$A$1:$BZ$3001,546,$C$1)&amp;"",",",""),"¥",""),"￥","")),0))</f>
        <v/>
      </c>
      <c r="D547">
        <f>IF($D$1=0,0,IFERROR(VALUE(SUBSTITUTE(SUBSTITUTE(SUBSTITUTE(INDEX(貼り付け!$A$1:$BZ$3001,546,$D$1)&amp;"",",",""),"¥",""),"￥","")),0))</f>
        <v/>
      </c>
      <c r="E547">
        <f>IF($E$1=0,0,IFERROR(VALUE(SUBSTITUTE(SUBSTITUTE(SUBSTITUTE(INDEX(貼り付け!$A$1:$BZ$3001,546,$E$1)&amp;"",",",""),"¥",""),"￥","")),0))</f>
        <v/>
      </c>
      <c r="F547">
        <f>IF($F$1=0,0,IFERROR(VALUE(SUBSTITUTE(SUBSTITUTE(SUBSTITUTE(INDEX(貼り付け!$A$1:$BZ$3001,546,$F$1)&amp;"",",",""),"¥",""),"￥","")),0))</f>
        <v/>
      </c>
      <c r="G547">
        <f>IF(ISNUMBER(B547),YEAR(B547),"")</f>
        <v/>
      </c>
      <c r="H547">
        <f>IF(ISNUMBER(B547),MONTH(B547),"")</f>
        <v/>
      </c>
      <c r="I547">
        <f>IFERROR(IF($B$1=0,"",IF(ISNUMBER(INDEX(貼り付け!$A$1:$BZ$3001,546,$B$1)),"",SUBSTITUTE(SUBSTITUTE(SUBSTITUTE(SUBSTITUTE(TRIM(LEFT(INDEX(貼り付け!$A$1:$BZ$3001,546,$B$1)&amp;"",FIND(" ",TRIM(INDEX(貼り付け!$A$1:$BZ$3001,546,$B$1)&amp;"")&amp;" ")-1)),"/","-"),"年","-"),"月","-"),"日",""))),"")</f>
        <v/>
      </c>
      <c r="J547">
        <f>IFERROR(MID(I547,FIND("-",I547)+1,99),"")</f>
        <v/>
      </c>
    </row>
    <row r="548">
      <c r="B548">
        <f>IFERROR(IF($B$1=0,"",IF(INDEX(貼り付け!$A$1:$BZ$3001,547,$B$1)="","",IF(ISNUMBER(INDEX(貼り付け!$A$1:$BZ$3001,547,$B$1)),INT(INDEX(貼り付け!$A$1:$BZ$3001,547,$B$1)),DATE(VALUE(LEFT(I548,FIND("-",I548)-1)),VALUE(LEFT(J548,FIND("-",J548)-1)),VALUE(MID(J548,FIND("-",J548)+1,99)))))),"")</f>
        <v/>
      </c>
      <c r="C548">
        <f>IF($C$1=0,0,IFERROR(VALUE(SUBSTITUTE(SUBSTITUTE(SUBSTITUTE(INDEX(貼り付け!$A$1:$BZ$3001,547,$C$1)&amp;"",",",""),"¥",""),"￥","")),0))</f>
        <v/>
      </c>
      <c r="D548">
        <f>IF($D$1=0,0,IFERROR(VALUE(SUBSTITUTE(SUBSTITUTE(SUBSTITUTE(INDEX(貼り付け!$A$1:$BZ$3001,547,$D$1)&amp;"",",",""),"¥",""),"￥","")),0))</f>
        <v/>
      </c>
      <c r="E548">
        <f>IF($E$1=0,0,IFERROR(VALUE(SUBSTITUTE(SUBSTITUTE(SUBSTITUTE(INDEX(貼り付け!$A$1:$BZ$3001,547,$E$1)&amp;"",",",""),"¥",""),"￥","")),0))</f>
        <v/>
      </c>
      <c r="F548">
        <f>IF($F$1=0,0,IFERROR(VALUE(SUBSTITUTE(SUBSTITUTE(SUBSTITUTE(INDEX(貼り付け!$A$1:$BZ$3001,547,$F$1)&amp;"",",",""),"¥",""),"￥","")),0))</f>
        <v/>
      </c>
      <c r="G548">
        <f>IF(ISNUMBER(B548),YEAR(B548),"")</f>
        <v/>
      </c>
      <c r="H548">
        <f>IF(ISNUMBER(B548),MONTH(B548),"")</f>
        <v/>
      </c>
      <c r="I548">
        <f>IFERROR(IF($B$1=0,"",IF(ISNUMBER(INDEX(貼り付け!$A$1:$BZ$3001,547,$B$1)),"",SUBSTITUTE(SUBSTITUTE(SUBSTITUTE(SUBSTITUTE(TRIM(LEFT(INDEX(貼り付け!$A$1:$BZ$3001,547,$B$1)&amp;"",FIND(" ",TRIM(INDEX(貼り付け!$A$1:$BZ$3001,547,$B$1)&amp;"")&amp;" ")-1)),"/","-"),"年","-"),"月","-"),"日",""))),"")</f>
        <v/>
      </c>
      <c r="J548">
        <f>IFERROR(MID(I548,FIND("-",I548)+1,99),"")</f>
        <v/>
      </c>
    </row>
    <row r="549">
      <c r="B549">
        <f>IFERROR(IF($B$1=0,"",IF(INDEX(貼り付け!$A$1:$BZ$3001,548,$B$1)="","",IF(ISNUMBER(INDEX(貼り付け!$A$1:$BZ$3001,548,$B$1)),INT(INDEX(貼り付け!$A$1:$BZ$3001,548,$B$1)),DATE(VALUE(LEFT(I549,FIND("-",I549)-1)),VALUE(LEFT(J549,FIND("-",J549)-1)),VALUE(MID(J549,FIND("-",J549)+1,99)))))),"")</f>
        <v/>
      </c>
      <c r="C549">
        <f>IF($C$1=0,0,IFERROR(VALUE(SUBSTITUTE(SUBSTITUTE(SUBSTITUTE(INDEX(貼り付け!$A$1:$BZ$3001,548,$C$1)&amp;"",",",""),"¥",""),"￥","")),0))</f>
        <v/>
      </c>
      <c r="D549">
        <f>IF($D$1=0,0,IFERROR(VALUE(SUBSTITUTE(SUBSTITUTE(SUBSTITUTE(INDEX(貼り付け!$A$1:$BZ$3001,548,$D$1)&amp;"",",",""),"¥",""),"￥","")),0))</f>
        <v/>
      </c>
      <c r="E549">
        <f>IF($E$1=0,0,IFERROR(VALUE(SUBSTITUTE(SUBSTITUTE(SUBSTITUTE(INDEX(貼り付け!$A$1:$BZ$3001,548,$E$1)&amp;"",",",""),"¥",""),"￥","")),0))</f>
        <v/>
      </c>
      <c r="F549">
        <f>IF($F$1=0,0,IFERROR(VALUE(SUBSTITUTE(SUBSTITUTE(SUBSTITUTE(INDEX(貼り付け!$A$1:$BZ$3001,548,$F$1)&amp;"",",",""),"¥",""),"￥","")),0))</f>
        <v/>
      </c>
      <c r="G549">
        <f>IF(ISNUMBER(B549),YEAR(B549),"")</f>
        <v/>
      </c>
      <c r="H549">
        <f>IF(ISNUMBER(B549),MONTH(B549),"")</f>
        <v/>
      </c>
      <c r="I549">
        <f>IFERROR(IF($B$1=0,"",IF(ISNUMBER(INDEX(貼り付け!$A$1:$BZ$3001,548,$B$1)),"",SUBSTITUTE(SUBSTITUTE(SUBSTITUTE(SUBSTITUTE(TRIM(LEFT(INDEX(貼り付け!$A$1:$BZ$3001,548,$B$1)&amp;"",FIND(" ",TRIM(INDEX(貼り付け!$A$1:$BZ$3001,548,$B$1)&amp;"")&amp;" ")-1)),"/","-"),"年","-"),"月","-"),"日",""))),"")</f>
        <v/>
      </c>
      <c r="J549">
        <f>IFERROR(MID(I549,FIND("-",I549)+1,99),"")</f>
        <v/>
      </c>
    </row>
    <row r="550">
      <c r="B550">
        <f>IFERROR(IF($B$1=0,"",IF(INDEX(貼り付け!$A$1:$BZ$3001,549,$B$1)="","",IF(ISNUMBER(INDEX(貼り付け!$A$1:$BZ$3001,549,$B$1)),INT(INDEX(貼り付け!$A$1:$BZ$3001,549,$B$1)),DATE(VALUE(LEFT(I550,FIND("-",I550)-1)),VALUE(LEFT(J550,FIND("-",J550)-1)),VALUE(MID(J550,FIND("-",J550)+1,99)))))),"")</f>
        <v/>
      </c>
      <c r="C550">
        <f>IF($C$1=0,0,IFERROR(VALUE(SUBSTITUTE(SUBSTITUTE(SUBSTITUTE(INDEX(貼り付け!$A$1:$BZ$3001,549,$C$1)&amp;"",",",""),"¥",""),"￥","")),0))</f>
        <v/>
      </c>
      <c r="D550">
        <f>IF($D$1=0,0,IFERROR(VALUE(SUBSTITUTE(SUBSTITUTE(SUBSTITUTE(INDEX(貼り付け!$A$1:$BZ$3001,549,$D$1)&amp;"",",",""),"¥",""),"￥","")),0))</f>
        <v/>
      </c>
      <c r="E550">
        <f>IF($E$1=0,0,IFERROR(VALUE(SUBSTITUTE(SUBSTITUTE(SUBSTITUTE(INDEX(貼り付け!$A$1:$BZ$3001,549,$E$1)&amp;"",",",""),"¥",""),"￥","")),0))</f>
        <v/>
      </c>
      <c r="F550">
        <f>IF($F$1=0,0,IFERROR(VALUE(SUBSTITUTE(SUBSTITUTE(SUBSTITUTE(INDEX(貼り付け!$A$1:$BZ$3001,549,$F$1)&amp;"",",",""),"¥",""),"￥","")),0))</f>
        <v/>
      </c>
      <c r="G550">
        <f>IF(ISNUMBER(B550),YEAR(B550),"")</f>
        <v/>
      </c>
      <c r="H550">
        <f>IF(ISNUMBER(B550),MONTH(B550),"")</f>
        <v/>
      </c>
      <c r="I550">
        <f>IFERROR(IF($B$1=0,"",IF(ISNUMBER(INDEX(貼り付け!$A$1:$BZ$3001,549,$B$1)),"",SUBSTITUTE(SUBSTITUTE(SUBSTITUTE(SUBSTITUTE(TRIM(LEFT(INDEX(貼り付け!$A$1:$BZ$3001,549,$B$1)&amp;"",FIND(" ",TRIM(INDEX(貼り付け!$A$1:$BZ$3001,549,$B$1)&amp;"")&amp;" ")-1)),"/","-"),"年","-"),"月","-"),"日",""))),"")</f>
        <v/>
      </c>
      <c r="J550">
        <f>IFERROR(MID(I550,FIND("-",I550)+1,99),"")</f>
        <v/>
      </c>
    </row>
    <row r="551">
      <c r="B551">
        <f>IFERROR(IF($B$1=0,"",IF(INDEX(貼り付け!$A$1:$BZ$3001,550,$B$1)="","",IF(ISNUMBER(INDEX(貼り付け!$A$1:$BZ$3001,550,$B$1)),INT(INDEX(貼り付け!$A$1:$BZ$3001,550,$B$1)),DATE(VALUE(LEFT(I551,FIND("-",I551)-1)),VALUE(LEFT(J551,FIND("-",J551)-1)),VALUE(MID(J551,FIND("-",J551)+1,99)))))),"")</f>
        <v/>
      </c>
      <c r="C551">
        <f>IF($C$1=0,0,IFERROR(VALUE(SUBSTITUTE(SUBSTITUTE(SUBSTITUTE(INDEX(貼り付け!$A$1:$BZ$3001,550,$C$1)&amp;"",",",""),"¥",""),"￥","")),0))</f>
        <v/>
      </c>
      <c r="D551">
        <f>IF($D$1=0,0,IFERROR(VALUE(SUBSTITUTE(SUBSTITUTE(SUBSTITUTE(INDEX(貼り付け!$A$1:$BZ$3001,550,$D$1)&amp;"",",",""),"¥",""),"￥","")),0))</f>
        <v/>
      </c>
      <c r="E551">
        <f>IF($E$1=0,0,IFERROR(VALUE(SUBSTITUTE(SUBSTITUTE(SUBSTITUTE(INDEX(貼り付け!$A$1:$BZ$3001,550,$E$1)&amp;"",",",""),"¥",""),"￥","")),0))</f>
        <v/>
      </c>
      <c r="F551">
        <f>IF($F$1=0,0,IFERROR(VALUE(SUBSTITUTE(SUBSTITUTE(SUBSTITUTE(INDEX(貼り付け!$A$1:$BZ$3001,550,$F$1)&amp;"",",",""),"¥",""),"￥","")),0))</f>
        <v/>
      </c>
      <c r="G551">
        <f>IF(ISNUMBER(B551),YEAR(B551),"")</f>
        <v/>
      </c>
      <c r="H551">
        <f>IF(ISNUMBER(B551),MONTH(B551),"")</f>
        <v/>
      </c>
      <c r="I551">
        <f>IFERROR(IF($B$1=0,"",IF(ISNUMBER(INDEX(貼り付け!$A$1:$BZ$3001,550,$B$1)),"",SUBSTITUTE(SUBSTITUTE(SUBSTITUTE(SUBSTITUTE(TRIM(LEFT(INDEX(貼り付け!$A$1:$BZ$3001,550,$B$1)&amp;"",FIND(" ",TRIM(INDEX(貼り付け!$A$1:$BZ$3001,550,$B$1)&amp;"")&amp;" ")-1)),"/","-"),"年","-"),"月","-"),"日",""))),"")</f>
        <v/>
      </c>
      <c r="J551">
        <f>IFERROR(MID(I551,FIND("-",I551)+1,99),"")</f>
        <v/>
      </c>
    </row>
    <row r="552">
      <c r="B552">
        <f>IFERROR(IF($B$1=0,"",IF(INDEX(貼り付け!$A$1:$BZ$3001,551,$B$1)="","",IF(ISNUMBER(INDEX(貼り付け!$A$1:$BZ$3001,551,$B$1)),INT(INDEX(貼り付け!$A$1:$BZ$3001,551,$B$1)),DATE(VALUE(LEFT(I552,FIND("-",I552)-1)),VALUE(LEFT(J552,FIND("-",J552)-1)),VALUE(MID(J552,FIND("-",J552)+1,99)))))),"")</f>
        <v/>
      </c>
      <c r="C552">
        <f>IF($C$1=0,0,IFERROR(VALUE(SUBSTITUTE(SUBSTITUTE(SUBSTITUTE(INDEX(貼り付け!$A$1:$BZ$3001,551,$C$1)&amp;"",",",""),"¥",""),"￥","")),0))</f>
        <v/>
      </c>
      <c r="D552">
        <f>IF($D$1=0,0,IFERROR(VALUE(SUBSTITUTE(SUBSTITUTE(SUBSTITUTE(INDEX(貼り付け!$A$1:$BZ$3001,551,$D$1)&amp;"",",",""),"¥",""),"￥","")),0))</f>
        <v/>
      </c>
      <c r="E552">
        <f>IF($E$1=0,0,IFERROR(VALUE(SUBSTITUTE(SUBSTITUTE(SUBSTITUTE(INDEX(貼り付け!$A$1:$BZ$3001,551,$E$1)&amp;"",",",""),"¥",""),"￥","")),0))</f>
        <v/>
      </c>
      <c r="F552">
        <f>IF($F$1=0,0,IFERROR(VALUE(SUBSTITUTE(SUBSTITUTE(SUBSTITUTE(INDEX(貼り付け!$A$1:$BZ$3001,551,$F$1)&amp;"",",",""),"¥",""),"￥","")),0))</f>
        <v/>
      </c>
      <c r="G552">
        <f>IF(ISNUMBER(B552),YEAR(B552),"")</f>
        <v/>
      </c>
      <c r="H552">
        <f>IF(ISNUMBER(B552),MONTH(B552),"")</f>
        <v/>
      </c>
      <c r="I552">
        <f>IFERROR(IF($B$1=0,"",IF(ISNUMBER(INDEX(貼り付け!$A$1:$BZ$3001,551,$B$1)),"",SUBSTITUTE(SUBSTITUTE(SUBSTITUTE(SUBSTITUTE(TRIM(LEFT(INDEX(貼り付け!$A$1:$BZ$3001,551,$B$1)&amp;"",FIND(" ",TRIM(INDEX(貼り付け!$A$1:$BZ$3001,551,$B$1)&amp;"")&amp;" ")-1)),"/","-"),"年","-"),"月","-"),"日",""))),"")</f>
        <v/>
      </c>
      <c r="J552">
        <f>IFERROR(MID(I552,FIND("-",I552)+1,99),"")</f>
        <v/>
      </c>
    </row>
    <row r="553">
      <c r="B553">
        <f>IFERROR(IF($B$1=0,"",IF(INDEX(貼り付け!$A$1:$BZ$3001,552,$B$1)="","",IF(ISNUMBER(INDEX(貼り付け!$A$1:$BZ$3001,552,$B$1)),INT(INDEX(貼り付け!$A$1:$BZ$3001,552,$B$1)),DATE(VALUE(LEFT(I553,FIND("-",I553)-1)),VALUE(LEFT(J553,FIND("-",J553)-1)),VALUE(MID(J553,FIND("-",J553)+1,99)))))),"")</f>
        <v/>
      </c>
      <c r="C553">
        <f>IF($C$1=0,0,IFERROR(VALUE(SUBSTITUTE(SUBSTITUTE(SUBSTITUTE(INDEX(貼り付け!$A$1:$BZ$3001,552,$C$1)&amp;"",",",""),"¥",""),"￥","")),0))</f>
        <v/>
      </c>
      <c r="D553">
        <f>IF($D$1=0,0,IFERROR(VALUE(SUBSTITUTE(SUBSTITUTE(SUBSTITUTE(INDEX(貼り付け!$A$1:$BZ$3001,552,$D$1)&amp;"",",",""),"¥",""),"￥","")),0))</f>
        <v/>
      </c>
      <c r="E553">
        <f>IF($E$1=0,0,IFERROR(VALUE(SUBSTITUTE(SUBSTITUTE(SUBSTITUTE(INDEX(貼り付け!$A$1:$BZ$3001,552,$E$1)&amp;"",",",""),"¥",""),"￥","")),0))</f>
        <v/>
      </c>
      <c r="F553">
        <f>IF($F$1=0,0,IFERROR(VALUE(SUBSTITUTE(SUBSTITUTE(SUBSTITUTE(INDEX(貼り付け!$A$1:$BZ$3001,552,$F$1)&amp;"",",",""),"¥",""),"￥","")),0))</f>
        <v/>
      </c>
      <c r="G553">
        <f>IF(ISNUMBER(B553),YEAR(B553),"")</f>
        <v/>
      </c>
      <c r="H553">
        <f>IF(ISNUMBER(B553),MONTH(B553),"")</f>
        <v/>
      </c>
      <c r="I553">
        <f>IFERROR(IF($B$1=0,"",IF(ISNUMBER(INDEX(貼り付け!$A$1:$BZ$3001,552,$B$1)),"",SUBSTITUTE(SUBSTITUTE(SUBSTITUTE(SUBSTITUTE(TRIM(LEFT(INDEX(貼り付け!$A$1:$BZ$3001,552,$B$1)&amp;"",FIND(" ",TRIM(INDEX(貼り付け!$A$1:$BZ$3001,552,$B$1)&amp;"")&amp;" ")-1)),"/","-"),"年","-"),"月","-"),"日",""))),"")</f>
        <v/>
      </c>
      <c r="J553">
        <f>IFERROR(MID(I553,FIND("-",I553)+1,99),"")</f>
        <v/>
      </c>
    </row>
    <row r="554">
      <c r="B554">
        <f>IFERROR(IF($B$1=0,"",IF(INDEX(貼り付け!$A$1:$BZ$3001,553,$B$1)="","",IF(ISNUMBER(INDEX(貼り付け!$A$1:$BZ$3001,553,$B$1)),INT(INDEX(貼り付け!$A$1:$BZ$3001,553,$B$1)),DATE(VALUE(LEFT(I554,FIND("-",I554)-1)),VALUE(LEFT(J554,FIND("-",J554)-1)),VALUE(MID(J554,FIND("-",J554)+1,99)))))),"")</f>
        <v/>
      </c>
      <c r="C554">
        <f>IF($C$1=0,0,IFERROR(VALUE(SUBSTITUTE(SUBSTITUTE(SUBSTITUTE(INDEX(貼り付け!$A$1:$BZ$3001,553,$C$1)&amp;"",",",""),"¥",""),"￥","")),0))</f>
        <v/>
      </c>
      <c r="D554">
        <f>IF($D$1=0,0,IFERROR(VALUE(SUBSTITUTE(SUBSTITUTE(SUBSTITUTE(INDEX(貼り付け!$A$1:$BZ$3001,553,$D$1)&amp;"",",",""),"¥",""),"￥","")),0))</f>
        <v/>
      </c>
      <c r="E554">
        <f>IF($E$1=0,0,IFERROR(VALUE(SUBSTITUTE(SUBSTITUTE(SUBSTITUTE(INDEX(貼り付け!$A$1:$BZ$3001,553,$E$1)&amp;"",",",""),"¥",""),"￥","")),0))</f>
        <v/>
      </c>
      <c r="F554">
        <f>IF($F$1=0,0,IFERROR(VALUE(SUBSTITUTE(SUBSTITUTE(SUBSTITUTE(INDEX(貼り付け!$A$1:$BZ$3001,553,$F$1)&amp;"",",",""),"¥",""),"￥","")),0))</f>
        <v/>
      </c>
      <c r="G554">
        <f>IF(ISNUMBER(B554),YEAR(B554),"")</f>
        <v/>
      </c>
      <c r="H554">
        <f>IF(ISNUMBER(B554),MONTH(B554),"")</f>
        <v/>
      </c>
      <c r="I554">
        <f>IFERROR(IF($B$1=0,"",IF(ISNUMBER(INDEX(貼り付け!$A$1:$BZ$3001,553,$B$1)),"",SUBSTITUTE(SUBSTITUTE(SUBSTITUTE(SUBSTITUTE(TRIM(LEFT(INDEX(貼り付け!$A$1:$BZ$3001,553,$B$1)&amp;"",FIND(" ",TRIM(INDEX(貼り付け!$A$1:$BZ$3001,553,$B$1)&amp;"")&amp;" ")-1)),"/","-"),"年","-"),"月","-"),"日",""))),"")</f>
        <v/>
      </c>
      <c r="J554">
        <f>IFERROR(MID(I554,FIND("-",I554)+1,99),"")</f>
        <v/>
      </c>
    </row>
    <row r="555">
      <c r="B555">
        <f>IFERROR(IF($B$1=0,"",IF(INDEX(貼り付け!$A$1:$BZ$3001,554,$B$1)="","",IF(ISNUMBER(INDEX(貼り付け!$A$1:$BZ$3001,554,$B$1)),INT(INDEX(貼り付け!$A$1:$BZ$3001,554,$B$1)),DATE(VALUE(LEFT(I555,FIND("-",I555)-1)),VALUE(LEFT(J555,FIND("-",J555)-1)),VALUE(MID(J555,FIND("-",J555)+1,99)))))),"")</f>
        <v/>
      </c>
      <c r="C555">
        <f>IF($C$1=0,0,IFERROR(VALUE(SUBSTITUTE(SUBSTITUTE(SUBSTITUTE(INDEX(貼り付け!$A$1:$BZ$3001,554,$C$1)&amp;"",",",""),"¥",""),"￥","")),0))</f>
        <v/>
      </c>
      <c r="D555">
        <f>IF($D$1=0,0,IFERROR(VALUE(SUBSTITUTE(SUBSTITUTE(SUBSTITUTE(INDEX(貼り付け!$A$1:$BZ$3001,554,$D$1)&amp;"",",",""),"¥",""),"￥","")),0))</f>
        <v/>
      </c>
      <c r="E555">
        <f>IF($E$1=0,0,IFERROR(VALUE(SUBSTITUTE(SUBSTITUTE(SUBSTITUTE(INDEX(貼り付け!$A$1:$BZ$3001,554,$E$1)&amp;"",",",""),"¥",""),"￥","")),0))</f>
        <v/>
      </c>
      <c r="F555">
        <f>IF($F$1=0,0,IFERROR(VALUE(SUBSTITUTE(SUBSTITUTE(SUBSTITUTE(INDEX(貼り付け!$A$1:$BZ$3001,554,$F$1)&amp;"",",",""),"¥",""),"￥","")),0))</f>
        <v/>
      </c>
      <c r="G555">
        <f>IF(ISNUMBER(B555),YEAR(B555),"")</f>
        <v/>
      </c>
      <c r="H555">
        <f>IF(ISNUMBER(B555),MONTH(B555),"")</f>
        <v/>
      </c>
      <c r="I555">
        <f>IFERROR(IF($B$1=0,"",IF(ISNUMBER(INDEX(貼り付け!$A$1:$BZ$3001,554,$B$1)),"",SUBSTITUTE(SUBSTITUTE(SUBSTITUTE(SUBSTITUTE(TRIM(LEFT(INDEX(貼り付け!$A$1:$BZ$3001,554,$B$1)&amp;"",FIND(" ",TRIM(INDEX(貼り付け!$A$1:$BZ$3001,554,$B$1)&amp;"")&amp;" ")-1)),"/","-"),"年","-"),"月","-"),"日",""))),"")</f>
        <v/>
      </c>
      <c r="J555">
        <f>IFERROR(MID(I555,FIND("-",I555)+1,99),"")</f>
        <v/>
      </c>
    </row>
    <row r="556">
      <c r="B556">
        <f>IFERROR(IF($B$1=0,"",IF(INDEX(貼り付け!$A$1:$BZ$3001,555,$B$1)="","",IF(ISNUMBER(INDEX(貼り付け!$A$1:$BZ$3001,555,$B$1)),INT(INDEX(貼り付け!$A$1:$BZ$3001,555,$B$1)),DATE(VALUE(LEFT(I556,FIND("-",I556)-1)),VALUE(LEFT(J556,FIND("-",J556)-1)),VALUE(MID(J556,FIND("-",J556)+1,99)))))),"")</f>
        <v/>
      </c>
      <c r="C556">
        <f>IF($C$1=0,0,IFERROR(VALUE(SUBSTITUTE(SUBSTITUTE(SUBSTITUTE(INDEX(貼り付け!$A$1:$BZ$3001,555,$C$1)&amp;"",",",""),"¥",""),"￥","")),0))</f>
        <v/>
      </c>
      <c r="D556">
        <f>IF($D$1=0,0,IFERROR(VALUE(SUBSTITUTE(SUBSTITUTE(SUBSTITUTE(INDEX(貼り付け!$A$1:$BZ$3001,555,$D$1)&amp;"",",",""),"¥",""),"￥","")),0))</f>
        <v/>
      </c>
      <c r="E556">
        <f>IF($E$1=0,0,IFERROR(VALUE(SUBSTITUTE(SUBSTITUTE(SUBSTITUTE(INDEX(貼り付け!$A$1:$BZ$3001,555,$E$1)&amp;"",",",""),"¥",""),"￥","")),0))</f>
        <v/>
      </c>
      <c r="F556">
        <f>IF($F$1=0,0,IFERROR(VALUE(SUBSTITUTE(SUBSTITUTE(SUBSTITUTE(INDEX(貼り付け!$A$1:$BZ$3001,555,$F$1)&amp;"",",",""),"¥",""),"￥","")),0))</f>
        <v/>
      </c>
      <c r="G556">
        <f>IF(ISNUMBER(B556),YEAR(B556),"")</f>
        <v/>
      </c>
      <c r="H556">
        <f>IF(ISNUMBER(B556),MONTH(B556),"")</f>
        <v/>
      </c>
      <c r="I556">
        <f>IFERROR(IF($B$1=0,"",IF(ISNUMBER(INDEX(貼り付け!$A$1:$BZ$3001,555,$B$1)),"",SUBSTITUTE(SUBSTITUTE(SUBSTITUTE(SUBSTITUTE(TRIM(LEFT(INDEX(貼り付け!$A$1:$BZ$3001,555,$B$1)&amp;"",FIND(" ",TRIM(INDEX(貼り付け!$A$1:$BZ$3001,555,$B$1)&amp;"")&amp;" ")-1)),"/","-"),"年","-"),"月","-"),"日",""))),"")</f>
        <v/>
      </c>
      <c r="J556">
        <f>IFERROR(MID(I556,FIND("-",I556)+1,99),"")</f>
        <v/>
      </c>
    </row>
    <row r="557">
      <c r="B557">
        <f>IFERROR(IF($B$1=0,"",IF(INDEX(貼り付け!$A$1:$BZ$3001,556,$B$1)="","",IF(ISNUMBER(INDEX(貼り付け!$A$1:$BZ$3001,556,$B$1)),INT(INDEX(貼り付け!$A$1:$BZ$3001,556,$B$1)),DATE(VALUE(LEFT(I557,FIND("-",I557)-1)),VALUE(LEFT(J557,FIND("-",J557)-1)),VALUE(MID(J557,FIND("-",J557)+1,99)))))),"")</f>
        <v/>
      </c>
      <c r="C557">
        <f>IF($C$1=0,0,IFERROR(VALUE(SUBSTITUTE(SUBSTITUTE(SUBSTITUTE(INDEX(貼り付け!$A$1:$BZ$3001,556,$C$1)&amp;"",",",""),"¥",""),"￥","")),0))</f>
        <v/>
      </c>
      <c r="D557">
        <f>IF($D$1=0,0,IFERROR(VALUE(SUBSTITUTE(SUBSTITUTE(SUBSTITUTE(INDEX(貼り付け!$A$1:$BZ$3001,556,$D$1)&amp;"",",",""),"¥",""),"￥","")),0))</f>
        <v/>
      </c>
      <c r="E557">
        <f>IF($E$1=0,0,IFERROR(VALUE(SUBSTITUTE(SUBSTITUTE(SUBSTITUTE(INDEX(貼り付け!$A$1:$BZ$3001,556,$E$1)&amp;"",",",""),"¥",""),"￥","")),0))</f>
        <v/>
      </c>
      <c r="F557">
        <f>IF($F$1=0,0,IFERROR(VALUE(SUBSTITUTE(SUBSTITUTE(SUBSTITUTE(INDEX(貼り付け!$A$1:$BZ$3001,556,$F$1)&amp;"",",",""),"¥",""),"￥","")),0))</f>
        <v/>
      </c>
      <c r="G557">
        <f>IF(ISNUMBER(B557),YEAR(B557),"")</f>
        <v/>
      </c>
      <c r="H557">
        <f>IF(ISNUMBER(B557),MONTH(B557),"")</f>
        <v/>
      </c>
      <c r="I557">
        <f>IFERROR(IF($B$1=0,"",IF(ISNUMBER(INDEX(貼り付け!$A$1:$BZ$3001,556,$B$1)),"",SUBSTITUTE(SUBSTITUTE(SUBSTITUTE(SUBSTITUTE(TRIM(LEFT(INDEX(貼り付け!$A$1:$BZ$3001,556,$B$1)&amp;"",FIND(" ",TRIM(INDEX(貼り付け!$A$1:$BZ$3001,556,$B$1)&amp;"")&amp;" ")-1)),"/","-"),"年","-"),"月","-"),"日",""))),"")</f>
        <v/>
      </c>
      <c r="J557">
        <f>IFERROR(MID(I557,FIND("-",I557)+1,99),"")</f>
        <v/>
      </c>
    </row>
    <row r="558">
      <c r="B558">
        <f>IFERROR(IF($B$1=0,"",IF(INDEX(貼り付け!$A$1:$BZ$3001,557,$B$1)="","",IF(ISNUMBER(INDEX(貼り付け!$A$1:$BZ$3001,557,$B$1)),INT(INDEX(貼り付け!$A$1:$BZ$3001,557,$B$1)),DATE(VALUE(LEFT(I558,FIND("-",I558)-1)),VALUE(LEFT(J558,FIND("-",J558)-1)),VALUE(MID(J558,FIND("-",J558)+1,99)))))),"")</f>
        <v/>
      </c>
      <c r="C558">
        <f>IF($C$1=0,0,IFERROR(VALUE(SUBSTITUTE(SUBSTITUTE(SUBSTITUTE(INDEX(貼り付け!$A$1:$BZ$3001,557,$C$1)&amp;"",",",""),"¥",""),"￥","")),0))</f>
        <v/>
      </c>
      <c r="D558">
        <f>IF($D$1=0,0,IFERROR(VALUE(SUBSTITUTE(SUBSTITUTE(SUBSTITUTE(INDEX(貼り付け!$A$1:$BZ$3001,557,$D$1)&amp;"",",",""),"¥",""),"￥","")),0))</f>
        <v/>
      </c>
      <c r="E558">
        <f>IF($E$1=0,0,IFERROR(VALUE(SUBSTITUTE(SUBSTITUTE(SUBSTITUTE(INDEX(貼り付け!$A$1:$BZ$3001,557,$E$1)&amp;"",",",""),"¥",""),"￥","")),0))</f>
        <v/>
      </c>
      <c r="F558">
        <f>IF($F$1=0,0,IFERROR(VALUE(SUBSTITUTE(SUBSTITUTE(SUBSTITUTE(INDEX(貼り付け!$A$1:$BZ$3001,557,$F$1)&amp;"",",",""),"¥",""),"￥","")),0))</f>
        <v/>
      </c>
      <c r="G558">
        <f>IF(ISNUMBER(B558),YEAR(B558),"")</f>
        <v/>
      </c>
      <c r="H558">
        <f>IF(ISNUMBER(B558),MONTH(B558),"")</f>
        <v/>
      </c>
      <c r="I558">
        <f>IFERROR(IF($B$1=0,"",IF(ISNUMBER(INDEX(貼り付け!$A$1:$BZ$3001,557,$B$1)),"",SUBSTITUTE(SUBSTITUTE(SUBSTITUTE(SUBSTITUTE(TRIM(LEFT(INDEX(貼り付け!$A$1:$BZ$3001,557,$B$1)&amp;"",FIND(" ",TRIM(INDEX(貼り付け!$A$1:$BZ$3001,557,$B$1)&amp;"")&amp;" ")-1)),"/","-"),"年","-"),"月","-"),"日",""))),"")</f>
        <v/>
      </c>
      <c r="J558">
        <f>IFERROR(MID(I558,FIND("-",I558)+1,99),"")</f>
        <v/>
      </c>
    </row>
    <row r="559">
      <c r="B559">
        <f>IFERROR(IF($B$1=0,"",IF(INDEX(貼り付け!$A$1:$BZ$3001,558,$B$1)="","",IF(ISNUMBER(INDEX(貼り付け!$A$1:$BZ$3001,558,$B$1)),INT(INDEX(貼り付け!$A$1:$BZ$3001,558,$B$1)),DATE(VALUE(LEFT(I559,FIND("-",I559)-1)),VALUE(LEFT(J559,FIND("-",J559)-1)),VALUE(MID(J559,FIND("-",J559)+1,99)))))),"")</f>
        <v/>
      </c>
      <c r="C559">
        <f>IF($C$1=0,0,IFERROR(VALUE(SUBSTITUTE(SUBSTITUTE(SUBSTITUTE(INDEX(貼り付け!$A$1:$BZ$3001,558,$C$1)&amp;"",",",""),"¥",""),"￥","")),0))</f>
        <v/>
      </c>
      <c r="D559">
        <f>IF($D$1=0,0,IFERROR(VALUE(SUBSTITUTE(SUBSTITUTE(SUBSTITUTE(INDEX(貼り付け!$A$1:$BZ$3001,558,$D$1)&amp;"",",",""),"¥",""),"￥","")),0))</f>
        <v/>
      </c>
      <c r="E559">
        <f>IF($E$1=0,0,IFERROR(VALUE(SUBSTITUTE(SUBSTITUTE(SUBSTITUTE(INDEX(貼り付け!$A$1:$BZ$3001,558,$E$1)&amp;"",",",""),"¥",""),"￥","")),0))</f>
        <v/>
      </c>
      <c r="F559">
        <f>IF($F$1=0,0,IFERROR(VALUE(SUBSTITUTE(SUBSTITUTE(SUBSTITUTE(INDEX(貼り付け!$A$1:$BZ$3001,558,$F$1)&amp;"",",",""),"¥",""),"￥","")),0))</f>
        <v/>
      </c>
      <c r="G559">
        <f>IF(ISNUMBER(B559),YEAR(B559),"")</f>
        <v/>
      </c>
      <c r="H559">
        <f>IF(ISNUMBER(B559),MONTH(B559),"")</f>
        <v/>
      </c>
      <c r="I559">
        <f>IFERROR(IF($B$1=0,"",IF(ISNUMBER(INDEX(貼り付け!$A$1:$BZ$3001,558,$B$1)),"",SUBSTITUTE(SUBSTITUTE(SUBSTITUTE(SUBSTITUTE(TRIM(LEFT(INDEX(貼り付け!$A$1:$BZ$3001,558,$B$1)&amp;"",FIND(" ",TRIM(INDEX(貼り付け!$A$1:$BZ$3001,558,$B$1)&amp;"")&amp;" ")-1)),"/","-"),"年","-"),"月","-"),"日",""))),"")</f>
        <v/>
      </c>
      <c r="J559">
        <f>IFERROR(MID(I559,FIND("-",I559)+1,99),"")</f>
        <v/>
      </c>
    </row>
    <row r="560">
      <c r="B560">
        <f>IFERROR(IF($B$1=0,"",IF(INDEX(貼り付け!$A$1:$BZ$3001,559,$B$1)="","",IF(ISNUMBER(INDEX(貼り付け!$A$1:$BZ$3001,559,$B$1)),INT(INDEX(貼り付け!$A$1:$BZ$3001,559,$B$1)),DATE(VALUE(LEFT(I560,FIND("-",I560)-1)),VALUE(LEFT(J560,FIND("-",J560)-1)),VALUE(MID(J560,FIND("-",J560)+1,99)))))),"")</f>
        <v/>
      </c>
      <c r="C560">
        <f>IF($C$1=0,0,IFERROR(VALUE(SUBSTITUTE(SUBSTITUTE(SUBSTITUTE(INDEX(貼り付け!$A$1:$BZ$3001,559,$C$1)&amp;"",",",""),"¥",""),"￥","")),0))</f>
        <v/>
      </c>
      <c r="D560">
        <f>IF($D$1=0,0,IFERROR(VALUE(SUBSTITUTE(SUBSTITUTE(SUBSTITUTE(INDEX(貼り付け!$A$1:$BZ$3001,559,$D$1)&amp;"",",",""),"¥",""),"￥","")),0))</f>
        <v/>
      </c>
      <c r="E560">
        <f>IF($E$1=0,0,IFERROR(VALUE(SUBSTITUTE(SUBSTITUTE(SUBSTITUTE(INDEX(貼り付け!$A$1:$BZ$3001,559,$E$1)&amp;"",",",""),"¥",""),"￥","")),0))</f>
        <v/>
      </c>
      <c r="F560">
        <f>IF($F$1=0,0,IFERROR(VALUE(SUBSTITUTE(SUBSTITUTE(SUBSTITUTE(INDEX(貼り付け!$A$1:$BZ$3001,559,$F$1)&amp;"",",",""),"¥",""),"￥","")),0))</f>
        <v/>
      </c>
      <c r="G560">
        <f>IF(ISNUMBER(B560),YEAR(B560),"")</f>
        <v/>
      </c>
      <c r="H560">
        <f>IF(ISNUMBER(B560),MONTH(B560),"")</f>
        <v/>
      </c>
      <c r="I560">
        <f>IFERROR(IF($B$1=0,"",IF(ISNUMBER(INDEX(貼り付け!$A$1:$BZ$3001,559,$B$1)),"",SUBSTITUTE(SUBSTITUTE(SUBSTITUTE(SUBSTITUTE(TRIM(LEFT(INDEX(貼り付け!$A$1:$BZ$3001,559,$B$1)&amp;"",FIND(" ",TRIM(INDEX(貼り付け!$A$1:$BZ$3001,559,$B$1)&amp;"")&amp;" ")-1)),"/","-"),"年","-"),"月","-"),"日",""))),"")</f>
        <v/>
      </c>
      <c r="J560">
        <f>IFERROR(MID(I560,FIND("-",I560)+1,99),"")</f>
        <v/>
      </c>
    </row>
    <row r="561">
      <c r="B561">
        <f>IFERROR(IF($B$1=0,"",IF(INDEX(貼り付け!$A$1:$BZ$3001,560,$B$1)="","",IF(ISNUMBER(INDEX(貼り付け!$A$1:$BZ$3001,560,$B$1)),INT(INDEX(貼り付け!$A$1:$BZ$3001,560,$B$1)),DATE(VALUE(LEFT(I561,FIND("-",I561)-1)),VALUE(LEFT(J561,FIND("-",J561)-1)),VALUE(MID(J561,FIND("-",J561)+1,99)))))),"")</f>
        <v/>
      </c>
      <c r="C561">
        <f>IF($C$1=0,0,IFERROR(VALUE(SUBSTITUTE(SUBSTITUTE(SUBSTITUTE(INDEX(貼り付け!$A$1:$BZ$3001,560,$C$1)&amp;"",",",""),"¥",""),"￥","")),0))</f>
        <v/>
      </c>
      <c r="D561">
        <f>IF($D$1=0,0,IFERROR(VALUE(SUBSTITUTE(SUBSTITUTE(SUBSTITUTE(INDEX(貼り付け!$A$1:$BZ$3001,560,$D$1)&amp;"",",",""),"¥",""),"￥","")),0))</f>
        <v/>
      </c>
      <c r="E561">
        <f>IF($E$1=0,0,IFERROR(VALUE(SUBSTITUTE(SUBSTITUTE(SUBSTITUTE(INDEX(貼り付け!$A$1:$BZ$3001,560,$E$1)&amp;"",",",""),"¥",""),"￥","")),0))</f>
        <v/>
      </c>
      <c r="F561">
        <f>IF($F$1=0,0,IFERROR(VALUE(SUBSTITUTE(SUBSTITUTE(SUBSTITUTE(INDEX(貼り付け!$A$1:$BZ$3001,560,$F$1)&amp;"",",",""),"¥",""),"￥","")),0))</f>
        <v/>
      </c>
      <c r="G561">
        <f>IF(ISNUMBER(B561),YEAR(B561),"")</f>
        <v/>
      </c>
      <c r="H561">
        <f>IF(ISNUMBER(B561),MONTH(B561),"")</f>
        <v/>
      </c>
      <c r="I561">
        <f>IFERROR(IF($B$1=0,"",IF(ISNUMBER(INDEX(貼り付け!$A$1:$BZ$3001,560,$B$1)),"",SUBSTITUTE(SUBSTITUTE(SUBSTITUTE(SUBSTITUTE(TRIM(LEFT(INDEX(貼り付け!$A$1:$BZ$3001,560,$B$1)&amp;"",FIND(" ",TRIM(INDEX(貼り付け!$A$1:$BZ$3001,560,$B$1)&amp;"")&amp;" ")-1)),"/","-"),"年","-"),"月","-"),"日",""))),"")</f>
        <v/>
      </c>
      <c r="J561">
        <f>IFERROR(MID(I561,FIND("-",I561)+1,99),"")</f>
        <v/>
      </c>
    </row>
    <row r="562">
      <c r="B562">
        <f>IFERROR(IF($B$1=0,"",IF(INDEX(貼り付け!$A$1:$BZ$3001,561,$B$1)="","",IF(ISNUMBER(INDEX(貼り付け!$A$1:$BZ$3001,561,$B$1)),INT(INDEX(貼り付け!$A$1:$BZ$3001,561,$B$1)),DATE(VALUE(LEFT(I562,FIND("-",I562)-1)),VALUE(LEFT(J562,FIND("-",J562)-1)),VALUE(MID(J562,FIND("-",J562)+1,99)))))),"")</f>
        <v/>
      </c>
      <c r="C562">
        <f>IF($C$1=0,0,IFERROR(VALUE(SUBSTITUTE(SUBSTITUTE(SUBSTITUTE(INDEX(貼り付け!$A$1:$BZ$3001,561,$C$1)&amp;"",",",""),"¥",""),"￥","")),0))</f>
        <v/>
      </c>
      <c r="D562">
        <f>IF($D$1=0,0,IFERROR(VALUE(SUBSTITUTE(SUBSTITUTE(SUBSTITUTE(INDEX(貼り付け!$A$1:$BZ$3001,561,$D$1)&amp;"",",",""),"¥",""),"￥","")),0))</f>
        <v/>
      </c>
      <c r="E562">
        <f>IF($E$1=0,0,IFERROR(VALUE(SUBSTITUTE(SUBSTITUTE(SUBSTITUTE(INDEX(貼り付け!$A$1:$BZ$3001,561,$E$1)&amp;"",",",""),"¥",""),"￥","")),0))</f>
        <v/>
      </c>
      <c r="F562">
        <f>IF($F$1=0,0,IFERROR(VALUE(SUBSTITUTE(SUBSTITUTE(SUBSTITUTE(INDEX(貼り付け!$A$1:$BZ$3001,561,$F$1)&amp;"",",",""),"¥",""),"￥","")),0))</f>
        <v/>
      </c>
      <c r="G562">
        <f>IF(ISNUMBER(B562),YEAR(B562),"")</f>
        <v/>
      </c>
      <c r="H562">
        <f>IF(ISNUMBER(B562),MONTH(B562),"")</f>
        <v/>
      </c>
      <c r="I562">
        <f>IFERROR(IF($B$1=0,"",IF(ISNUMBER(INDEX(貼り付け!$A$1:$BZ$3001,561,$B$1)),"",SUBSTITUTE(SUBSTITUTE(SUBSTITUTE(SUBSTITUTE(TRIM(LEFT(INDEX(貼り付け!$A$1:$BZ$3001,561,$B$1)&amp;"",FIND(" ",TRIM(INDEX(貼り付け!$A$1:$BZ$3001,561,$B$1)&amp;"")&amp;" ")-1)),"/","-"),"年","-"),"月","-"),"日",""))),"")</f>
        <v/>
      </c>
      <c r="J562">
        <f>IFERROR(MID(I562,FIND("-",I562)+1,99),"")</f>
        <v/>
      </c>
    </row>
    <row r="563">
      <c r="B563">
        <f>IFERROR(IF($B$1=0,"",IF(INDEX(貼り付け!$A$1:$BZ$3001,562,$B$1)="","",IF(ISNUMBER(INDEX(貼り付け!$A$1:$BZ$3001,562,$B$1)),INT(INDEX(貼り付け!$A$1:$BZ$3001,562,$B$1)),DATE(VALUE(LEFT(I563,FIND("-",I563)-1)),VALUE(LEFT(J563,FIND("-",J563)-1)),VALUE(MID(J563,FIND("-",J563)+1,99)))))),"")</f>
        <v/>
      </c>
      <c r="C563">
        <f>IF($C$1=0,0,IFERROR(VALUE(SUBSTITUTE(SUBSTITUTE(SUBSTITUTE(INDEX(貼り付け!$A$1:$BZ$3001,562,$C$1)&amp;"",",",""),"¥",""),"￥","")),0))</f>
        <v/>
      </c>
      <c r="D563">
        <f>IF($D$1=0,0,IFERROR(VALUE(SUBSTITUTE(SUBSTITUTE(SUBSTITUTE(INDEX(貼り付け!$A$1:$BZ$3001,562,$D$1)&amp;"",",",""),"¥",""),"￥","")),0))</f>
        <v/>
      </c>
      <c r="E563">
        <f>IF($E$1=0,0,IFERROR(VALUE(SUBSTITUTE(SUBSTITUTE(SUBSTITUTE(INDEX(貼り付け!$A$1:$BZ$3001,562,$E$1)&amp;"",",",""),"¥",""),"￥","")),0))</f>
        <v/>
      </c>
      <c r="F563">
        <f>IF($F$1=0,0,IFERROR(VALUE(SUBSTITUTE(SUBSTITUTE(SUBSTITUTE(INDEX(貼り付け!$A$1:$BZ$3001,562,$F$1)&amp;"",",",""),"¥",""),"￥","")),0))</f>
        <v/>
      </c>
      <c r="G563">
        <f>IF(ISNUMBER(B563),YEAR(B563),"")</f>
        <v/>
      </c>
      <c r="H563">
        <f>IF(ISNUMBER(B563),MONTH(B563),"")</f>
        <v/>
      </c>
      <c r="I563">
        <f>IFERROR(IF($B$1=0,"",IF(ISNUMBER(INDEX(貼り付け!$A$1:$BZ$3001,562,$B$1)),"",SUBSTITUTE(SUBSTITUTE(SUBSTITUTE(SUBSTITUTE(TRIM(LEFT(INDEX(貼り付け!$A$1:$BZ$3001,562,$B$1)&amp;"",FIND(" ",TRIM(INDEX(貼り付け!$A$1:$BZ$3001,562,$B$1)&amp;"")&amp;" ")-1)),"/","-"),"年","-"),"月","-"),"日",""))),"")</f>
        <v/>
      </c>
      <c r="J563">
        <f>IFERROR(MID(I563,FIND("-",I563)+1,99),"")</f>
        <v/>
      </c>
    </row>
    <row r="564">
      <c r="B564">
        <f>IFERROR(IF($B$1=0,"",IF(INDEX(貼り付け!$A$1:$BZ$3001,563,$B$1)="","",IF(ISNUMBER(INDEX(貼り付け!$A$1:$BZ$3001,563,$B$1)),INT(INDEX(貼り付け!$A$1:$BZ$3001,563,$B$1)),DATE(VALUE(LEFT(I564,FIND("-",I564)-1)),VALUE(LEFT(J564,FIND("-",J564)-1)),VALUE(MID(J564,FIND("-",J564)+1,99)))))),"")</f>
        <v/>
      </c>
      <c r="C564">
        <f>IF($C$1=0,0,IFERROR(VALUE(SUBSTITUTE(SUBSTITUTE(SUBSTITUTE(INDEX(貼り付け!$A$1:$BZ$3001,563,$C$1)&amp;"",",",""),"¥",""),"￥","")),0))</f>
        <v/>
      </c>
      <c r="D564">
        <f>IF($D$1=0,0,IFERROR(VALUE(SUBSTITUTE(SUBSTITUTE(SUBSTITUTE(INDEX(貼り付け!$A$1:$BZ$3001,563,$D$1)&amp;"",",",""),"¥",""),"￥","")),0))</f>
        <v/>
      </c>
      <c r="E564">
        <f>IF($E$1=0,0,IFERROR(VALUE(SUBSTITUTE(SUBSTITUTE(SUBSTITUTE(INDEX(貼り付け!$A$1:$BZ$3001,563,$E$1)&amp;"",",",""),"¥",""),"￥","")),0))</f>
        <v/>
      </c>
      <c r="F564">
        <f>IF($F$1=0,0,IFERROR(VALUE(SUBSTITUTE(SUBSTITUTE(SUBSTITUTE(INDEX(貼り付け!$A$1:$BZ$3001,563,$F$1)&amp;"",",",""),"¥",""),"￥","")),0))</f>
        <v/>
      </c>
      <c r="G564">
        <f>IF(ISNUMBER(B564),YEAR(B564),"")</f>
        <v/>
      </c>
      <c r="H564">
        <f>IF(ISNUMBER(B564),MONTH(B564),"")</f>
        <v/>
      </c>
      <c r="I564">
        <f>IFERROR(IF($B$1=0,"",IF(ISNUMBER(INDEX(貼り付け!$A$1:$BZ$3001,563,$B$1)),"",SUBSTITUTE(SUBSTITUTE(SUBSTITUTE(SUBSTITUTE(TRIM(LEFT(INDEX(貼り付け!$A$1:$BZ$3001,563,$B$1)&amp;"",FIND(" ",TRIM(INDEX(貼り付け!$A$1:$BZ$3001,563,$B$1)&amp;"")&amp;" ")-1)),"/","-"),"年","-"),"月","-"),"日",""))),"")</f>
        <v/>
      </c>
      <c r="J564">
        <f>IFERROR(MID(I564,FIND("-",I564)+1,99),"")</f>
        <v/>
      </c>
    </row>
    <row r="565">
      <c r="B565">
        <f>IFERROR(IF($B$1=0,"",IF(INDEX(貼り付け!$A$1:$BZ$3001,564,$B$1)="","",IF(ISNUMBER(INDEX(貼り付け!$A$1:$BZ$3001,564,$B$1)),INT(INDEX(貼り付け!$A$1:$BZ$3001,564,$B$1)),DATE(VALUE(LEFT(I565,FIND("-",I565)-1)),VALUE(LEFT(J565,FIND("-",J565)-1)),VALUE(MID(J565,FIND("-",J565)+1,99)))))),"")</f>
        <v/>
      </c>
      <c r="C565">
        <f>IF($C$1=0,0,IFERROR(VALUE(SUBSTITUTE(SUBSTITUTE(SUBSTITUTE(INDEX(貼り付け!$A$1:$BZ$3001,564,$C$1)&amp;"",",",""),"¥",""),"￥","")),0))</f>
        <v/>
      </c>
      <c r="D565">
        <f>IF($D$1=0,0,IFERROR(VALUE(SUBSTITUTE(SUBSTITUTE(SUBSTITUTE(INDEX(貼り付け!$A$1:$BZ$3001,564,$D$1)&amp;"",",",""),"¥",""),"￥","")),0))</f>
        <v/>
      </c>
      <c r="E565">
        <f>IF($E$1=0,0,IFERROR(VALUE(SUBSTITUTE(SUBSTITUTE(SUBSTITUTE(INDEX(貼り付け!$A$1:$BZ$3001,564,$E$1)&amp;"",",",""),"¥",""),"￥","")),0))</f>
        <v/>
      </c>
      <c r="F565">
        <f>IF($F$1=0,0,IFERROR(VALUE(SUBSTITUTE(SUBSTITUTE(SUBSTITUTE(INDEX(貼り付け!$A$1:$BZ$3001,564,$F$1)&amp;"",",",""),"¥",""),"￥","")),0))</f>
        <v/>
      </c>
      <c r="G565">
        <f>IF(ISNUMBER(B565),YEAR(B565),"")</f>
        <v/>
      </c>
      <c r="H565">
        <f>IF(ISNUMBER(B565),MONTH(B565),"")</f>
        <v/>
      </c>
      <c r="I565">
        <f>IFERROR(IF($B$1=0,"",IF(ISNUMBER(INDEX(貼り付け!$A$1:$BZ$3001,564,$B$1)),"",SUBSTITUTE(SUBSTITUTE(SUBSTITUTE(SUBSTITUTE(TRIM(LEFT(INDEX(貼り付け!$A$1:$BZ$3001,564,$B$1)&amp;"",FIND(" ",TRIM(INDEX(貼り付け!$A$1:$BZ$3001,564,$B$1)&amp;"")&amp;" ")-1)),"/","-"),"年","-"),"月","-"),"日",""))),"")</f>
        <v/>
      </c>
      <c r="J565">
        <f>IFERROR(MID(I565,FIND("-",I565)+1,99),"")</f>
        <v/>
      </c>
    </row>
    <row r="566">
      <c r="B566">
        <f>IFERROR(IF($B$1=0,"",IF(INDEX(貼り付け!$A$1:$BZ$3001,565,$B$1)="","",IF(ISNUMBER(INDEX(貼り付け!$A$1:$BZ$3001,565,$B$1)),INT(INDEX(貼り付け!$A$1:$BZ$3001,565,$B$1)),DATE(VALUE(LEFT(I566,FIND("-",I566)-1)),VALUE(LEFT(J566,FIND("-",J566)-1)),VALUE(MID(J566,FIND("-",J566)+1,99)))))),"")</f>
        <v/>
      </c>
      <c r="C566">
        <f>IF($C$1=0,0,IFERROR(VALUE(SUBSTITUTE(SUBSTITUTE(SUBSTITUTE(INDEX(貼り付け!$A$1:$BZ$3001,565,$C$1)&amp;"",",",""),"¥",""),"￥","")),0))</f>
        <v/>
      </c>
      <c r="D566">
        <f>IF($D$1=0,0,IFERROR(VALUE(SUBSTITUTE(SUBSTITUTE(SUBSTITUTE(INDEX(貼り付け!$A$1:$BZ$3001,565,$D$1)&amp;"",",",""),"¥",""),"￥","")),0))</f>
        <v/>
      </c>
      <c r="E566">
        <f>IF($E$1=0,0,IFERROR(VALUE(SUBSTITUTE(SUBSTITUTE(SUBSTITUTE(INDEX(貼り付け!$A$1:$BZ$3001,565,$E$1)&amp;"",",",""),"¥",""),"￥","")),0))</f>
        <v/>
      </c>
      <c r="F566">
        <f>IF($F$1=0,0,IFERROR(VALUE(SUBSTITUTE(SUBSTITUTE(SUBSTITUTE(INDEX(貼り付け!$A$1:$BZ$3001,565,$F$1)&amp;"",",",""),"¥",""),"￥","")),0))</f>
        <v/>
      </c>
      <c r="G566">
        <f>IF(ISNUMBER(B566),YEAR(B566),"")</f>
        <v/>
      </c>
      <c r="H566">
        <f>IF(ISNUMBER(B566),MONTH(B566),"")</f>
        <v/>
      </c>
      <c r="I566">
        <f>IFERROR(IF($B$1=0,"",IF(ISNUMBER(INDEX(貼り付け!$A$1:$BZ$3001,565,$B$1)),"",SUBSTITUTE(SUBSTITUTE(SUBSTITUTE(SUBSTITUTE(TRIM(LEFT(INDEX(貼り付け!$A$1:$BZ$3001,565,$B$1)&amp;"",FIND(" ",TRIM(INDEX(貼り付け!$A$1:$BZ$3001,565,$B$1)&amp;"")&amp;" ")-1)),"/","-"),"年","-"),"月","-"),"日",""))),"")</f>
        <v/>
      </c>
      <c r="J566">
        <f>IFERROR(MID(I566,FIND("-",I566)+1,99),"")</f>
        <v/>
      </c>
    </row>
    <row r="567">
      <c r="B567">
        <f>IFERROR(IF($B$1=0,"",IF(INDEX(貼り付け!$A$1:$BZ$3001,566,$B$1)="","",IF(ISNUMBER(INDEX(貼り付け!$A$1:$BZ$3001,566,$B$1)),INT(INDEX(貼り付け!$A$1:$BZ$3001,566,$B$1)),DATE(VALUE(LEFT(I567,FIND("-",I567)-1)),VALUE(LEFT(J567,FIND("-",J567)-1)),VALUE(MID(J567,FIND("-",J567)+1,99)))))),"")</f>
        <v/>
      </c>
      <c r="C567">
        <f>IF($C$1=0,0,IFERROR(VALUE(SUBSTITUTE(SUBSTITUTE(SUBSTITUTE(INDEX(貼り付け!$A$1:$BZ$3001,566,$C$1)&amp;"",",",""),"¥",""),"￥","")),0))</f>
        <v/>
      </c>
      <c r="D567">
        <f>IF($D$1=0,0,IFERROR(VALUE(SUBSTITUTE(SUBSTITUTE(SUBSTITUTE(INDEX(貼り付け!$A$1:$BZ$3001,566,$D$1)&amp;"",",",""),"¥",""),"￥","")),0))</f>
        <v/>
      </c>
      <c r="E567">
        <f>IF($E$1=0,0,IFERROR(VALUE(SUBSTITUTE(SUBSTITUTE(SUBSTITUTE(INDEX(貼り付け!$A$1:$BZ$3001,566,$E$1)&amp;"",",",""),"¥",""),"￥","")),0))</f>
        <v/>
      </c>
      <c r="F567">
        <f>IF($F$1=0,0,IFERROR(VALUE(SUBSTITUTE(SUBSTITUTE(SUBSTITUTE(INDEX(貼り付け!$A$1:$BZ$3001,566,$F$1)&amp;"",",",""),"¥",""),"￥","")),0))</f>
        <v/>
      </c>
      <c r="G567">
        <f>IF(ISNUMBER(B567),YEAR(B567),"")</f>
        <v/>
      </c>
      <c r="H567">
        <f>IF(ISNUMBER(B567),MONTH(B567),"")</f>
        <v/>
      </c>
      <c r="I567">
        <f>IFERROR(IF($B$1=0,"",IF(ISNUMBER(INDEX(貼り付け!$A$1:$BZ$3001,566,$B$1)),"",SUBSTITUTE(SUBSTITUTE(SUBSTITUTE(SUBSTITUTE(TRIM(LEFT(INDEX(貼り付け!$A$1:$BZ$3001,566,$B$1)&amp;"",FIND(" ",TRIM(INDEX(貼り付け!$A$1:$BZ$3001,566,$B$1)&amp;"")&amp;" ")-1)),"/","-"),"年","-"),"月","-"),"日",""))),"")</f>
        <v/>
      </c>
      <c r="J567">
        <f>IFERROR(MID(I567,FIND("-",I567)+1,99),"")</f>
        <v/>
      </c>
    </row>
    <row r="568">
      <c r="B568">
        <f>IFERROR(IF($B$1=0,"",IF(INDEX(貼り付け!$A$1:$BZ$3001,567,$B$1)="","",IF(ISNUMBER(INDEX(貼り付け!$A$1:$BZ$3001,567,$B$1)),INT(INDEX(貼り付け!$A$1:$BZ$3001,567,$B$1)),DATE(VALUE(LEFT(I568,FIND("-",I568)-1)),VALUE(LEFT(J568,FIND("-",J568)-1)),VALUE(MID(J568,FIND("-",J568)+1,99)))))),"")</f>
        <v/>
      </c>
      <c r="C568">
        <f>IF($C$1=0,0,IFERROR(VALUE(SUBSTITUTE(SUBSTITUTE(SUBSTITUTE(INDEX(貼り付け!$A$1:$BZ$3001,567,$C$1)&amp;"",",",""),"¥",""),"￥","")),0))</f>
        <v/>
      </c>
      <c r="D568">
        <f>IF($D$1=0,0,IFERROR(VALUE(SUBSTITUTE(SUBSTITUTE(SUBSTITUTE(INDEX(貼り付け!$A$1:$BZ$3001,567,$D$1)&amp;"",",",""),"¥",""),"￥","")),0))</f>
        <v/>
      </c>
      <c r="E568">
        <f>IF($E$1=0,0,IFERROR(VALUE(SUBSTITUTE(SUBSTITUTE(SUBSTITUTE(INDEX(貼り付け!$A$1:$BZ$3001,567,$E$1)&amp;"",",",""),"¥",""),"￥","")),0))</f>
        <v/>
      </c>
      <c r="F568">
        <f>IF($F$1=0,0,IFERROR(VALUE(SUBSTITUTE(SUBSTITUTE(SUBSTITUTE(INDEX(貼り付け!$A$1:$BZ$3001,567,$F$1)&amp;"",",",""),"¥",""),"￥","")),0))</f>
        <v/>
      </c>
      <c r="G568">
        <f>IF(ISNUMBER(B568),YEAR(B568),"")</f>
        <v/>
      </c>
      <c r="H568">
        <f>IF(ISNUMBER(B568),MONTH(B568),"")</f>
        <v/>
      </c>
      <c r="I568">
        <f>IFERROR(IF($B$1=0,"",IF(ISNUMBER(INDEX(貼り付け!$A$1:$BZ$3001,567,$B$1)),"",SUBSTITUTE(SUBSTITUTE(SUBSTITUTE(SUBSTITUTE(TRIM(LEFT(INDEX(貼り付け!$A$1:$BZ$3001,567,$B$1)&amp;"",FIND(" ",TRIM(INDEX(貼り付け!$A$1:$BZ$3001,567,$B$1)&amp;"")&amp;" ")-1)),"/","-"),"年","-"),"月","-"),"日",""))),"")</f>
        <v/>
      </c>
      <c r="J568">
        <f>IFERROR(MID(I568,FIND("-",I568)+1,99),"")</f>
        <v/>
      </c>
    </row>
    <row r="569">
      <c r="B569">
        <f>IFERROR(IF($B$1=0,"",IF(INDEX(貼り付け!$A$1:$BZ$3001,568,$B$1)="","",IF(ISNUMBER(INDEX(貼り付け!$A$1:$BZ$3001,568,$B$1)),INT(INDEX(貼り付け!$A$1:$BZ$3001,568,$B$1)),DATE(VALUE(LEFT(I569,FIND("-",I569)-1)),VALUE(LEFT(J569,FIND("-",J569)-1)),VALUE(MID(J569,FIND("-",J569)+1,99)))))),"")</f>
        <v/>
      </c>
      <c r="C569">
        <f>IF($C$1=0,0,IFERROR(VALUE(SUBSTITUTE(SUBSTITUTE(SUBSTITUTE(INDEX(貼り付け!$A$1:$BZ$3001,568,$C$1)&amp;"",",",""),"¥",""),"￥","")),0))</f>
        <v/>
      </c>
      <c r="D569">
        <f>IF($D$1=0,0,IFERROR(VALUE(SUBSTITUTE(SUBSTITUTE(SUBSTITUTE(INDEX(貼り付け!$A$1:$BZ$3001,568,$D$1)&amp;"",",",""),"¥",""),"￥","")),0))</f>
        <v/>
      </c>
      <c r="E569">
        <f>IF($E$1=0,0,IFERROR(VALUE(SUBSTITUTE(SUBSTITUTE(SUBSTITUTE(INDEX(貼り付け!$A$1:$BZ$3001,568,$E$1)&amp;"",",",""),"¥",""),"￥","")),0))</f>
        <v/>
      </c>
      <c r="F569">
        <f>IF($F$1=0,0,IFERROR(VALUE(SUBSTITUTE(SUBSTITUTE(SUBSTITUTE(INDEX(貼り付け!$A$1:$BZ$3001,568,$F$1)&amp;"",",",""),"¥",""),"￥","")),0))</f>
        <v/>
      </c>
      <c r="G569">
        <f>IF(ISNUMBER(B569),YEAR(B569),"")</f>
        <v/>
      </c>
      <c r="H569">
        <f>IF(ISNUMBER(B569),MONTH(B569),"")</f>
        <v/>
      </c>
      <c r="I569">
        <f>IFERROR(IF($B$1=0,"",IF(ISNUMBER(INDEX(貼り付け!$A$1:$BZ$3001,568,$B$1)),"",SUBSTITUTE(SUBSTITUTE(SUBSTITUTE(SUBSTITUTE(TRIM(LEFT(INDEX(貼り付け!$A$1:$BZ$3001,568,$B$1)&amp;"",FIND(" ",TRIM(INDEX(貼り付け!$A$1:$BZ$3001,568,$B$1)&amp;"")&amp;" ")-1)),"/","-"),"年","-"),"月","-"),"日",""))),"")</f>
        <v/>
      </c>
      <c r="J569">
        <f>IFERROR(MID(I569,FIND("-",I569)+1,99),"")</f>
        <v/>
      </c>
    </row>
    <row r="570">
      <c r="B570">
        <f>IFERROR(IF($B$1=0,"",IF(INDEX(貼り付け!$A$1:$BZ$3001,569,$B$1)="","",IF(ISNUMBER(INDEX(貼り付け!$A$1:$BZ$3001,569,$B$1)),INT(INDEX(貼り付け!$A$1:$BZ$3001,569,$B$1)),DATE(VALUE(LEFT(I570,FIND("-",I570)-1)),VALUE(LEFT(J570,FIND("-",J570)-1)),VALUE(MID(J570,FIND("-",J570)+1,99)))))),"")</f>
        <v/>
      </c>
      <c r="C570">
        <f>IF($C$1=0,0,IFERROR(VALUE(SUBSTITUTE(SUBSTITUTE(SUBSTITUTE(INDEX(貼り付け!$A$1:$BZ$3001,569,$C$1)&amp;"",",",""),"¥",""),"￥","")),0))</f>
        <v/>
      </c>
      <c r="D570">
        <f>IF($D$1=0,0,IFERROR(VALUE(SUBSTITUTE(SUBSTITUTE(SUBSTITUTE(INDEX(貼り付け!$A$1:$BZ$3001,569,$D$1)&amp;"",",",""),"¥",""),"￥","")),0))</f>
        <v/>
      </c>
      <c r="E570">
        <f>IF($E$1=0,0,IFERROR(VALUE(SUBSTITUTE(SUBSTITUTE(SUBSTITUTE(INDEX(貼り付け!$A$1:$BZ$3001,569,$E$1)&amp;"",",",""),"¥",""),"￥","")),0))</f>
        <v/>
      </c>
      <c r="F570">
        <f>IF($F$1=0,0,IFERROR(VALUE(SUBSTITUTE(SUBSTITUTE(SUBSTITUTE(INDEX(貼り付け!$A$1:$BZ$3001,569,$F$1)&amp;"",",",""),"¥",""),"￥","")),0))</f>
        <v/>
      </c>
      <c r="G570">
        <f>IF(ISNUMBER(B570),YEAR(B570),"")</f>
        <v/>
      </c>
      <c r="H570">
        <f>IF(ISNUMBER(B570),MONTH(B570),"")</f>
        <v/>
      </c>
      <c r="I570">
        <f>IFERROR(IF($B$1=0,"",IF(ISNUMBER(INDEX(貼り付け!$A$1:$BZ$3001,569,$B$1)),"",SUBSTITUTE(SUBSTITUTE(SUBSTITUTE(SUBSTITUTE(TRIM(LEFT(INDEX(貼り付け!$A$1:$BZ$3001,569,$B$1)&amp;"",FIND(" ",TRIM(INDEX(貼り付け!$A$1:$BZ$3001,569,$B$1)&amp;"")&amp;" ")-1)),"/","-"),"年","-"),"月","-"),"日",""))),"")</f>
        <v/>
      </c>
      <c r="J570">
        <f>IFERROR(MID(I570,FIND("-",I570)+1,99),"")</f>
        <v/>
      </c>
    </row>
    <row r="571">
      <c r="B571">
        <f>IFERROR(IF($B$1=0,"",IF(INDEX(貼り付け!$A$1:$BZ$3001,570,$B$1)="","",IF(ISNUMBER(INDEX(貼り付け!$A$1:$BZ$3001,570,$B$1)),INT(INDEX(貼り付け!$A$1:$BZ$3001,570,$B$1)),DATE(VALUE(LEFT(I571,FIND("-",I571)-1)),VALUE(LEFT(J571,FIND("-",J571)-1)),VALUE(MID(J571,FIND("-",J571)+1,99)))))),"")</f>
        <v/>
      </c>
      <c r="C571">
        <f>IF($C$1=0,0,IFERROR(VALUE(SUBSTITUTE(SUBSTITUTE(SUBSTITUTE(INDEX(貼り付け!$A$1:$BZ$3001,570,$C$1)&amp;"",",",""),"¥",""),"￥","")),0))</f>
        <v/>
      </c>
      <c r="D571">
        <f>IF($D$1=0,0,IFERROR(VALUE(SUBSTITUTE(SUBSTITUTE(SUBSTITUTE(INDEX(貼り付け!$A$1:$BZ$3001,570,$D$1)&amp;"",",",""),"¥",""),"￥","")),0))</f>
        <v/>
      </c>
      <c r="E571">
        <f>IF($E$1=0,0,IFERROR(VALUE(SUBSTITUTE(SUBSTITUTE(SUBSTITUTE(INDEX(貼り付け!$A$1:$BZ$3001,570,$E$1)&amp;"",",",""),"¥",""),"￥","")),0))</f>
        <v/>
      </c>
      <c r="F571">
        <f>IF($F$1=0,0,IFERROR(VALUE(SUBSTITUTE(SUBSTITUTE(SUBSTITUTE(INDEX(貼り付け!$A$1:$BZ$3001,570,$F$1)&amp;"",",",""),"¥",""),"￥","")),0))</f>
        <v/>
      </c>
      <c r="G571">
        <f>IF(ISNUMBER(B571),YEAR(B571),"")</f>
        <v/>
      </c>
      <c r="H571">
        <f>IF(ISNUMBER(B571),MONTH(B571),"")</f>
        <v/>
      </c>
      <c r="I571">
        <f>IFERROR(IF($B$1=0,"",IF(ISNUMBER(INDEX(貼り付け!$A$1:$BZ$3001,570,$B$1)),"",SUBSTITUTE(SUBSTITUTE(SUBSTITUTE(SUBSTITUTE(TRIM(LEFT(INDEX(貼り付け!$A$1:$BZ$3001,570,$B$1)&amp;"",FIND(" ",TRIM(INDEX(貼り付け!$A$1:$BZ$3001,570,$B$1)&amp;"")&amp;" ")-1)),"/","-"),"年","-"),"月","-"),"日",""))),"")</f>
        <v/>
      </c>
      <c r="J571">
        <f>IFERROR(MID(I571,FIND("-",I571)+1,99),"")</f>
        <v/>
      </c>
    </row>
    <row r="572">
      <c r="B572">
        <f>IFERROR(IF($B$1=0,"",IF(INDEX(貼り付け!$A$1:$BZ$3001,571,$B$1)="","",IF(ISNUMBER(INDEX(貼り付け!$A$1:$BZ$3001,571,$B$1)),INT(INDEX(貼り付け!$A$1:$BZ$3001,571,$B$1)),DATE(VALUE(LEFT(I572,FIND("-",I572)-1)),VALUE(LEFT(J572,FIND("-",J572)-1)),VALUE(MID(J572,FIND("-",J572)+1,99)))))),"")</f>
        <v/>
      </c>
      <c r="C572">
        <f>IF($C$1=0,0,IFERROR(VALUE(SUBSTITUTE(SUBSTITUTE(SUBSTITUTE(INDEX(貼り付け!$A$1:$BZ$3001,571,$C$1)&amp;"",",",""),"¥",""),"￥","")),0))</f>
        <v/>
      </c>
      <c r="D572">
        <f>IF($D$1=0,0,IFERROR(VALUE(SUBSTITUTE(SUBSTITUTE(SUBSTITUTE(INDEX(貼り付け!$A$1:$BZ$3001,571,$D$1)&amp;"",",",""),"¥",""),"￥","")),0))</f>
        <v/>
      </c>
      <c r="E572">
        <f>IF($E$1=0,0,IFERROR(VALUE(SUBSTITUTE(SUBSTITUTE(SUBSTITUTE(INDEX(貼り付け!$A$1:$BZ$3001,571,$E$1)&amp;"",",",""),"¥",""),"￥","")),0))</f>
        <v/>
      </c>
      <c r="F572">
        <f>IF($F$1=0,0,IFERROR(VALUE(SUBSTITUTE(SUBSTITUTE(SUBSTITUTE(INDEX(貼り付け!$A$1:$BZ$3001,571,$F$1)&amp;"",",",""),"¥",""),"￥","")),0))</f>
        <v/>
      </c>
      <c r="G572">
        <f>IF(ISNUMBER(B572),YEAR(B572),"")</f>
        <v/>
      </c>
      <c r="H572">
        <f>IF(ISNUMBER(B572),MONTH(B572),"")</f>
        <v/>
      </c>
      <c r="I572">
        <f>IFERROR(IF($B$1=0,"",IF(ISNUMBER(INDEX(貼り付け!$A$1:$BZ$3001,571,$B$1)),"",SUBSTITUTE(SUBSTITUTE(SUBSTITUTE(SUBSTITUTE(TRIM(LEFT(INDEX(貼り付け!$A$1:$BZ$3001,571,$B$1)&amp;"",FIND(" ",TRIM(INDEX(貼り付け!$A$1:$BZ$3001,571,$B$1)&amp;"")&amp;" ")-1)),"/","-"),"年","-"),"月","-"),"日",""))),"")</f>
        <v/>
      </c>
      <c r="J572">
        <f>IFERROR(MID(I572,FIND("-",I572)+1,99),"")</f>
        <v/>
      </c>
    </row>
    <row r="573">
      <c r="B573">
        <f>IFERROR(IF($B$1=0,"",IF(INDEX(貼り付け!$A$1:$BZ$3001,572,$B$1)="","",IF(ISNUMBER(INDEX(貼り付け!$A$1:$BZ$3001,572,$B$1)),INT(INDEX(貼り付け!$A$1:$BZ$3001,572,$B$1)),DATE(VALUE(LEFT(I573,FIND("-",I573)-1)),VALUE(LEFT(J573,FIND("-",J573)-1)),VALUE(MID(J573,FIND("-",J573)+1,99)))))),"")</f>
        <v/>
      </c>
      <c r="C573">
        <f>IF($C$1=0,0,IFERROR(VALUE(SUBSTITUTE(SUBSTITUTE(SUBSTITUTE(INDEX(貼り付け!$A$1:$BZ$3001,572,$C$1)&amp;"",",",""),"¥",""),"￥","")),0))</f>
        <v/>
      </c>
      <c r="D573">
        <f>IF($D$1=0,0,IFERROR(VALUE(SUBSTITUTE(SUBSTITUTE(SUBSTITUTE(INDEX(貼り付け!$A$1:$BZ$3001,572,$D$1)&amp;"",",",""),"¥",""),"￥","")),0))</f>
        <v/>
      </c>
      <c r="E573">
        <f>IF($E$1=0,0,IFERROR(VALUE(SUBSTITUTE(SUBSTITUTE(SUBSTITUTE(INDEX(貼り付け!$A$1:$BZ$3001,572,$E$1)&amp;"",",",""),"¥",""),"￥","")),0))</f>
        <v/>
      </c>
      <c r="F573">
        <f>IF($F$1=0,0,IFERROR(VALUE(SUBSTITUTE(SUBSTITUTE(SUBSTITUTE(INDEX(貼り付け!$A$1:$BZ$3001,572,$F$1)&amp;"",",",""),"¥",""),"￥","")),0))</f>
        <v/>
      </c>
      <c r="G573">
        <f>IF(ISNUMBER(B573),YEAR(B573),"")</f>
        <v/>
      </c>
      <c r="H573">
        <f>IF(ISNUMBER(B573),MONTH(B573),"")</f>
        <v/>
      </c>
      <c r="I573">
        <f>IFERROR(IF($B$1=0,"",IF(ISNUMBER(INDEX(貼り付け!$A$1:$BZ$3001,572,$B$1)),"",SUBSTITUTE(SUBSTITUTE(SUBSTITUTE(SUBSTITUTE(TRIM(LEFT(INDEX(貼り付け!$A$1:$BZ$3001,572,$B$1)&amp;"",FIND(" ",TRIM(INDEX(貼り付け!$A$1:$BZ$3001,572,$B$1)&amp;"")&amp;" ")-1)),"/","-"),"年","-"),"月","-"),"日",""))),"")</f>
        <v/>
      </c>
      <c r="J573">
        <f>IFERROR(MID(I573,FIND("-",I573)+1,99),"")</f>
        <v/>
      </c>
    </row>
    <row r="574">
      <c r="B574">
        <f>IFERROR(IF($B$1=0,"",IF(INDEX(貼り付け!$A$1:$BZ$3001,573,$B$1)="","",IF(ISNUMBER(INDEX(貼り付け!$A$1:$BZ$3001,573,$B$1)),INT(INDEX(貼り付け!$A$1:$BZ$3001,573,$B$1)),DATE(VALUE(LEFT(I574,FIND("-",I574)-1)),VALUE(LEFT(J574,FIND("-",J574)-1)),VALUE(MID(J574,FIND("-",J574)+1,99)))))),"")</f>
        <v/>
      </c>
      <c r="C574">
        <f>IF($C$1=0,0,IFERROR(VALUE(SUBSTITUTE(SUBSTITUTE(SUBSTITUTE(INDEX(貼り付け!$A$1:$BZ$3001,573,$C$1)&amp;"",",",""),"¥",""),"￥","")),0))</f>
        <v/>
      </c>
      <c r="D574">
        <f>IF($D$1=0,0,IFERROR(VALUE(SUBSTITUTE(SUBSTITUTE(SUBSTITUTE(INDEX(貼り付け!$A$1:$BZ$3001,573,$D$1)&amp;"",",",""),"¥",""),"￥","")),0))</f>
        <v/>
      </c>
      <c r="E574">
        <f>IF($E$1=0,0,IFERROR(VALUE(SUBSTITUTE(SUBSTITUTE(SUBSTITUTE(INDEX(貼り付け!$A$1:$BZ$3001,573,$E$1)&amp;"",",",""),"¥",""),"￥","")),0))</f>
        <v/>
      </c>
      <c r="F574">
        <f>IF($F$1=0,0,IFERROR(VALUE(SUBSTITUTE(SUBSTITUTE(SUBSTITUTE(INDEX(貼り付け!$A$1:$BZ$3001,573,$F$1)&amp;"",",",""),"¥",""),"￥","")),0))</f>
        <v/>
      </c>
      <c r="G574">
        <f>IF(ISNUMBER(B574),YEAR(B574),"")</f>
        <v/>
      </c>
      <c r="H574">
        <f>IF(ISNUMBER(B574),MONTH(B574),"")</f>
        <v/>
      </c>
      <c r="I574">
        <f>IFERROR(IF($B$1=0,"",IF(ISNUMBER(INDEX(貼り付け!$A$1:$BZ$3001,573,$B$1)),"",SUBSTITUTE(SUBSTITUTE(SUBSTITUTE(SUBSTITUTE(TRIM(LEFT(INDEX(貼り付け!$A$1:$BZ$3001,573,$B$1)&amp;"",FIND(" ",TRIM(INDEX(貼り付け!$A$1:$BZ$3001,573,$B$1)&amp;"")&amp;" ")-1)),"/","-"),"年","-"),"月","-"),"日",""))),"")</f>
        <v/>
      </c>
      <c r="J574">
        <f>IFERROR(MID(I574,FIND("-",I574)+1,99),"")</f>
        <v/>
      </c>
    </row>
    <row r="575">
      <c r="B575">
        <f>IFERROR(IF($B$1=0,"",IF(INDEX(貼り付け!$A$1:$BZ$3001,574,$B$1)="","",IF(ISNUMBER(INDEX(貼り付け!$A$1:$BZ$3001,574,$B$1)),INT(INDEX(貼り付け!$A$1:$BZ$3001,574,$B$1)),DATE(VALUE(LEFT(I575,FIND("-",I575)-1)),VALUE(LEFT(J575,FIND("-",J575)-1)),VALUE(MID(J575,FIND("-",J575)+1,99)))))),"")</f>
        <v/>
      </c>
      <c r="C575">
        <f>IF($C$1=0,0,IFERROR(VALUE(SUBSTITUTE(SUBSTITUTE(SUBSTITUTE(INDEX(貼り付け!$A$1:$BZ$3001,574,$C$1)&amp;"",",",""),"¥",""),"￥","")),0))</f>
        <v/>
      </c>
      <c r="D575">
        <f>IF($D$1=0,0,IFERROR(VALUE(SUBSTITUTE(SUBSTITUTE(SUBSTITUTE(INDEX(貼り付け!$A$1:$BZ$3001,574,$D$1)&amp;"",",",""),"¥",""),"￥","")),0))</f>
        <v/>
      </c>
      <c r="E575">
        <f>IF($E$1=0,0,IFERROR(VALUE(SUBSTITUTE(SUBSTITUTE(SUBSTITUTE(INDEX(貼り付け!$A$1:$BZ$3001,574,$E$1)&amp;"",",",""),"¥",""),"￥","")),0))</f>
        <v/>
      </c>
      <c r="F575">
        <f>IF($F$1=0,0,IFERROR(VALUE(SUBSTITUTE(SUBSTITUTE(SUBSTITUTE(INDEX(貼り付け!$A$1:$BZ$3001,574,$F$1)&amp;"",",",""),"¥",""),"￥","")),0))</f>
        <v/>
      </c>
      <c r="G575">
        <f>IF(ISNUMBER(B575),YEAR(B575),"")</f>
        <v/>
      </c>
      <c r="H575">
        <f>IF(ISNUMBER(B575),MONTH(B575),"")</f>
        <v/>
      </c>
      <c r="I575">
        <f>IFERROR(IF($B$1=0,"",IF(ISNUMBER(INDEX(貼り付け!$A$1:$BZ$3001,574,$B$1)),"",SUBSTITUTE(SUBSTITUTE(SUBSTITUTE(SUBSTITUTE(TRIM(LEFT(INDEX(貼り付け!$A$1:$BZ$3001,574,$B$1)&amp;"",FIND(" ",TRIM(INDEX(貼り付け!$A$1:$BZ$3001,574,$B$1)&amp;"")&amp;" ")-1)),"/","-"),"年","-"),"月","-"),"日",""))),"")</f>
        <v/>
      </c>
      <c r="J575">
        <f>IFERROR(MID(I575,FIND("-",I575)+1,99),"")</f>
        <v/>
      </c>
    </row>
    <row r="576">
      <c r="B576">
        <f>IFERROR(IF($B$1=0,"",IF(INDEX(貼り付け!$A$1:$BZ$3001,575,$B$1)="","",IF(ISNUMBER(INDEX(貼り付け!$A$1:$BZ$3001,575,$B$1)),INT(INDEX(貼り付け!$A$1:$BZ$3001,575,$B$1)),DATE(VALUE(LEFT(I576,FIND("-",I576)-1)),VALUE(LEFT(J576,FIND("-",J576)-1)),VALUE(MID(J576,FIND("-",J576)+1,99)))))),"")</f>
        <v/>
      </c>
      <c r="C576">
        <f>IF($C$1=0,0,IFERROR(VALUE(SUBSTITUTE(SUBSTITUTE(SUBSTITUTE(INDEX(貼り付け!$A$1:$BZ$3001,575,$C$1)&amp;"",",",""),"¥",""),"￥","")),0))</f>
        <v/>
      </c>
      <c r="D576">
        <f>IF($D$1=0,0,IFERROR(VALUE(SUBSTITUTE(SUBSTITUTE(SUBSTITUTE(INDEX(貼り付け!$A$1:$BZ$3001,575,$D$1)&amp;"",",",""),"¥",""),"￥","")),0))</f>
        <v/>
      </c>
      <c r="E576">
        <f>IF($E$1=0,0,IFERROR(VALUE(SUBSTITUTE(SUBSTITUTE(SUBSTITUTE(INDEX(貼り付け!$A$1:$BZ$3001,575,$E$1)&amp;"",",",""),"¥",""),"￥","")),0))</f>
        <v/>
      </c>
      <c r="F576">
        <f>IF($F$1=0,0,IFERROR(VALUE(SUBSTITUTE(SUBSTITUTE(SUBSTITUTE(INDEX(貼り付け!$A$1:$BZ$3001,575,$F$1)&amp;"",",",""),"¥",""),"￥","")),0))</f>
        <v/>
      </c>
      <c r="G576">
        <f>IF(ISNUMBER(B576),YEAR(B576),"")</f>
        <v/>
      </c>
      <c r="H576">
        <f>IF(ISNUMBER(B576),MONTH(B576),"")</f>
        <v/>
      </c>
      <c r="I576">
        <f>IFERROR(IF($B$1=0,"",IF(ISNUMBER(INDEX(貼り付け!$A$1:$BZ$3001,575,$B$1)),"",SUBSTITUTE(SUBSTITUTE(SUBSTITUTE(SUBSTITUTE(TRIM(LEFT(INDEX(貼り付け!$A$1:$BZ$3001,575,$B$1)&amp;"",FIND(" ",TRIM(INDEX(貼り付け!$A$1:$BZ$3001,575,$B$1)&amp;"")&amp;" ")-1)),"/","-"),"年","-"),"月","-"),"日",""))),"")</f>
        <v/>
      </c>
      <c r="J576">
        <f>IFERROR(MID(I576,FIND("-",I576)+1,99),"")</f>
        <v/>
      </c>
    </row>
    <row r="577">
      <c r="B577">
        <f>IFERROR(IF($B$1=0,"",IF(INDEX(貼り付け!$A$1:$BZ$3001,576,$B$1)="","",IF(ISNUMBER(INDEX(貼り付け!$A$1:$BZ$3001,576,$B$1)),INT(INDEX(貼り付け!$A$1:$BZ$3001,576,$B$1)),DATE(VALUE(LEFT(I577,FIND("-",I577)-1)),VALUE(LEFT(J577,FIND("-",J577)-1)),VALUE(MID(J577,FIND("-",J577)+1,99)))))),"")</f>
        <v/>
      </c>
      <c r="C577">
        <f>IF($C$1=0,0,IFERROR(VALUE(SUBSTITUTE(SUBSTITUTE(SUBSTITUTE(INDEX(貼り付け!$A$1:$BZ$3001,576,$C$1)&amp;"",",",""),"¥",""),"￥","")),0))</f>
        <v/>
      </c>
      <c r="D577">
        <f>IF($D$1=0,0,IFERROR(VALUE(SUBSTITUTE(SUBSTITUTE(SUBSTITUTE(INDEX(貼り付け!$A$1:$BZ$3001,576,$D$1)&amp;"",",",""),"¥",""),"￥","")),0))</f>
        <v/>
      </c>
      <c r="E577">
        <f>IF($E$1=0,0,IFERROR(VALUE(SUBSTITUTE(SUBSTITUTE(SUBSTITUTE(INDEX(貼り付け!$A$1:$BZ$3001,576,$E$1)&amp;"",",",""),"¥",""),"￥","")),0))</f>
        <v/>
      </c>
      <c r="F577">
        <f>IF($F$1=0,0,IFERROR(VALUE(SUBSTITUTE(SUBSTITUTE(SUBSTITUTE(INDEX(貼り付け!$A$1:$BZ$3001,576,$F$1)&amp;"",",",""),"¥",""),"￥","")),0))</f>
        <v/>
      </c>
      <c r="G577">
        <f>IF(ISNUMBER(B577),YEAR(B577),"")</f>
        <v/>
      </c>
      <c r="H577">
        <f>IF(ISNUMBER(B577),MONTH(B577),"")</f>
        <v/>
      </c>
      <c r="I577">
        <f>IFERROR(IF($B$1=0,"",IF(ISNUMBER(INDEX(貼り付け!$A$1:$BZ$3001,576,$B$1)),"",SUBSTITUTE(SUBSTITUTE(SUBSTITUTE(SUBSTITUTE(TRIM(LEFT(INDEX(貼り付け!$A$1:$BZ$3001,576,$B$1)&amp;"",FIND(" ",TRIM(INDEX(貼り付け!$A$1:$BZ$3001,576,$B$1)&amp;"")&amp;" ")-1)),"/","-"),"年","-"),"月","-"),"日",""))),"")</f>
        <v/>
      </c>
      <c r="J577">
        <f>IFERROR(MID(I577,FIND("-",I577)+1,99),"")</f>
        <v/>
      </c>
    </row>
    <row r="578">
      <c r="B578">
        <f>IFERROR(IF($B$1=0,"",IF(INDEX(貼り付け!$A$1:$BZ$3001,577,$B$1)="","",IF(ISNUMBER(INDEX(貼り付け!$A$1:$BZ$3001,577,$B$1)),INT(INDEX(貼り付け!$A$1:$BZ$3001,577,$B$1)),DATE(VALUE(LEFT(I578,FIND("-",I578)-1)),VALUE(LEFT(J578,FIND("-",J578)-1)),VALUE(MID(J578,FIND("-",J578)+1,99)))))),"")</f>
        <v/>
      </c>
      <c r="C578">
        <f>IF($C$1=0,0,IFERROR(VALUE(SUBSTITUTE(SUBSTITUTE(SUBSTITUTE(INDEX(貼り付け!$A$1:$BZ$3001,577,$C$1)&amp;"",",",""),"¥",""),"￥","")),0))</f>
        <v/>
      </c>
      <c r="D578">
        <f>IF($D$1=0,0,IFERROR(VALUE(SUBSTITUTE(SUBSTITUTE(SUBSTITUTE(INDEX(貼り付け!$A$1:$BZ$3001,577,$D$1)&amp;"",",",""),"¥",""),"￥","")),0))</f>
        <v/>
      </c>
      <c r="E578">
        <f>IF($E$1=0,0,IFERROR(VALUE(SUBSTITUTE(SUBSTITUTE(SUBSTITUTE(INDEX(貼り付け!$A$1:$BZ$3001,577,$E$1)&amp;"",",",""),"¥",""),"￥","")),0))</f>
        <v/>
      </c>
      <c r="F578">
        <f>IF($F$1=0,0,IFERROR(VALUE(SUBSTITUTE(SUBSTITUTE(SUBSTITUTE(INDEX(貼り付け!$A$1:$BZ$3001,577,$F$1)&amp;"",",",""),"¥",""),"￥","")),0))</f>
        <v/>
      </c>
      <c r="G578">
        <f>IF(ISNUMBER(B578),YEAR(B578),"")</f>
        <v/>
      </c>
      <c r="H578">
        <f>IF(ISNUMBER(B578),MONTH(B578),"")</f>
        <v/>
      </c>
      <c r="I578">
        <f>IFERROR(IF($B$1=0,"",IF(ISNUMBER(INDEX(貼り付け!$A$1:$BZ$3001,577,$B$1)),"",SUBSTITUTE(SUBSTITUTE(SUBSTITUTE(SUBSTITUTE(TRIM(LEFT(INDEX(貼り付け!$A$1:$BZ$3001,577,$B$1)&amp;"",FIND(" ",TRIM(INDEX(貼り付け!$A$1:$BZ$3001,577,$B$1)&amp;"")&amp;" ")-1)),"/","-"),"年","-"),"月","-"),"日",""))),"")</f>
        <v/>
      </c>
      <c r="J578">
        <f>IFERROR(MID(I578,FIND("-",I578)+1,99),"")</f>
        <v/>
      </c>
    </row>
    <row r="579">
      <c r="B579">
        <f>IFERROR(IF($B$1=0,"",IF(INDEX(貼り付け!$A$1:$BZ$3001,578,$B$1)="","",IF(ISNUMBER(INDEX(貼り付け!$A$1:$BZ$3001,578,$B$1)),INT(INDEX(貼り付け!$A$1:$BZ$3001,578,$B$1)),DATE(VALUE(LEFT(I579,FIND("-",I579)-1)),VALUE(LEFT(J579,FIND("-",J579)-1)),VALUE(MID(J579,FIND("-",J579)+1,99)))))),"")</f>
        <v/>
      </c>
      <c r="C579">
        <f>IF($C$1=0,0,IFERROR(VALUE(SUBSTITUTE(SUBSTITUTE(SUBSTITUTE(INDEX(貼り付け!$A$1:$BZ$3001,578,$C$1)&amp;"",",",""),"¥",""),"￥","")),0))</f>
        <v/>
      </c>
      <c r="D579">
        <f>IF($D$1=0,0,IFERROR(VALUE(SUBSTITUTE(SUBSTITUTE(SUBSTITUTE(INDEX(貼り付け!$A$1:$BZ$3001,578,$D$1)&amp;"",",",""),"¥",""),"￥","")),0))</f>
        <v/>
      </c>
      <c r="E579">
        <f>IF($E$1=0,0,IFERROR(VALUE(SUBSTITUTE(SUBSTITUTE(SUBSTITUTE(INDEX(貼り付け!$A$1:$BZ$3001,578,$E$1)&amp;"",",",""),"¥",""),"￥","")),0))</f>
        <v/>
      </c>
      <c r="F579">
        <f>IF($F$1=0,0,IFERROR(VALUE(SUBSTITUTE(SUBSTITUTE(SUBSTITUTE(INDEX(貼り付け!$A$1:$BZ$3001,578,$F$1)&amp;"",",",""),"¥",""),"￥","")),0))</f>
        <v/>
      </c>
      <c r="G579">
        <f>IF(ISNUMBER(B579),YEAR(B579),"")</f>
        <v/>
      </c>
      <c r="H579">
        <f>IF(ISNUMBER(B579),MONTH(B579),"")</f>
        <v/>
      </c>
      <c r="I579">
        <f>IFERROR(IF($B$1=0,"",IF(ISNUMBER(INDEX(貼り付け!$A$1:$BZ$3001,578,$B$1)),"",SUBSTITUTE(SUBSTITUTE(SUBSTITUTE(SUBSTITUTE(TRIM(LEFT(INDEX(貼り付け!$A$1:$BZ$3001,578,$B$1)&amp;"",FIND(" ",TRIM(INDEX(貼り付け!$A$1:$BZ$3001,578,$B$1)&amp;"")&amp;" ")-1)),"/","-"),"年","-"),"月","-"),"日",""))),"")</f>
        <v/>
      </c>
      <c r="J579">
        <f>IFERROR(MID(I579,FIND("-",I579)+1,99),"")</f>
        <v/>
      </c>
    </row>
    <row r="580">
      <c r="B580">
        <f>IFERROR(IF($B$1=0,"",IF(INDEX(貼り付け!$A$1:$BZ$3001,579,$B$1)="","",IF(ISNUMBER(INDEX(貼り付け!$A$1:$BZ$3001,579,$B$1)),INT(INDEX(貼り付け!$A$1:$BZ$3001,579,$B$1)),DATE(VALUE(LEFT(I580,FIND("-",I580)-1)),VALUE(LEFT(J580,FIND("-",J580)-1)),VALUE(MID(J580,FIND("-",J580)+1,99)))))),"")</f>
        <v/>
      </c>
      <c r="C580">
        <f>IF($C$1=0,0,IFERROR(VALUE(SUBSTITUTE(SUBSTITUTE(SUBSTITUTE(INDEX(貼り付け!$A$1:$BZ$3001,579,$C$1)&amp;"",",",""),"¥",""),"￥","")),0))</f>
        <v/>
      </c>
      <c r="D580">
        <f>IF($D$1=0,0,IFERROR(VALUE(SUBSTITUTE(SUBSTITUTE(SUBSTITUTE(INDEX(貼り付け!$A$1:$BZ$3001,579,$D$1)&amp;"",",",""),"¥",""),"￥","")),0))</f>
        <v/>
      </c>
      <c r="E580">
        <f>IF($E$1=0,0,IFERROR(VALUE(SUBSTITUTE(SUBSTITUTE(SUBSTITUTE(INDEX(貼り付け!$A$1:$BZ$3001,579,$E$1)&amp;"",",",""),"¥",""),"￥","")),0))</f>
        <v/>
      </c>
      <c r="F580">
        <f>IF($F$1=0,0,IFERROR(VALUE(SUBSTITUTE(SUBSTITUTE(SUBSTITUTE(INDEX(貼り付け!$A$1:$BZ$3001,579,$F$1)&amp;"",",",""),"¥",""),"￥","")),0))</f>
        <v/>
      </c>
      <c r="G580">
        <f>IF(ISNUMBER(B580),YEAR(B580),"")</f>
        <v/>
      </c>
      <c r="H580">
        <f>IF(ISNUMBER(B580),MONTH(B580),"")</f>
        <v/>
      </c>
      <c r="I580">
        <f>IFERROR(IF($B$1=0,"",IF(ISNUMBER(INDEX(貼り付け!$A$1:$BZ$3001,579,$B$1)),"",SUBSTITUTE(SUBSTITUTE(SUBSTITUTE(SUBSTITUTE(TRIM(LEFT(INDEX(貼り付け!$A$1:$BZ$3001,579,$B$1)&amp;"",FIND(" ",TRIM(INDEX(貼り付け!$A$1:$BZ$3001,579,$B$1)&amp;"")&amp;" ")-1)),"/","-"),"年","-"),"月","-"),"日",""))),"")</f>
        <v/>
      </c>
      <c r="J580">
        <f>IFERROR(MID(I580,FIND("-",I580)+1,99),"")</f>
        <v/>
      </c>
    </row>
    <row r="581">
      <c r="B581">
        <f>IFERROR(IF($B$1=0,"",IF(INDEX(貼り付け!$A$1:$BZ$3001,580,$B$1)="","",IF(ISNUMBER(INDEX(貼り付け!$A$1:$BZ$3001,580,$B$1)),INT(INDEX(貼り付け!$A$1:$BZ$3001,580,$B$1)),DATE(VALUE(LEFT(I581,FIND("-",I581)-1)),VALUE(LEFT(J581,FIND("-",J581)-1)),VALUE(MID(J581,FIND("-",J581)+1,99)))))),"")</f>
        <v/>
      </c>
      <c r="C581">
        <f>IF($C$1=0,0,IFERROR(VALUE(SUBSTITUTE(SUBSTITUTE(SUBSTITUTE(INDEX(貼り付け!$A$1:$BZ$3001,580,$C$1)&amp;"",",",""),"¥",""),"￥","")),0))</f>
        <v/>
      </c>
      <c r="D581">
        <f>IF($D$1=0,0,IFERROR(VALUE(SUBSTITUTE(SUBSTITUTE(SUBSTITUTE(INDEX(貼り付け!$A$1:$BZ$3001,580,$D$1)&amp;"",",",""),"¥",""),"￥","")),0))</f>
        <v/>
      </c>
      <c r="E581">
        <f>IF($E$1=0,0,IFERROR(VALUE(SUBSTITUTE(SUBSTITUTE(SUBSTITUTE(INDEX(貼り付け!$A$1:$BZ$3001,580,$E$1)&amp;"",",",""),"¥",""),"￥","")),0))</f>
        <v/>
      </c>
      <c r="F581">
        <f>IF($F$1=0,0,IFERROR(VALUE(SUBSTITUTE(SUBSTITUTE(SUBSTITUTE(INDEX(貼り付け!$A$1:$BZ$3001,580,$F$1)&amp;"",",",""),"¥",""),"￥","")),0))</f>
        <v/>
      </c>
      <c r="G581">
        <f>IF(ISNUMBER(B581),YEAR(B581),"")</f>
        <v/>
      </c>
      <c r="H581">
        <f>IF(ISNUMBER(B581),MONTH(B581),"")</f>
        <v/>
      </c>
      <c r="I581">
        <f>IFERROR(IF($B$1=0,"",IF(ISNUMBER(INDEX(貼り付け!$A$1:$BZ$3001,580,$B$1)),"",SUBSTITUTE(SUBSTITUTE(SUBSTITUTE(SUBSTITUTE(TRIM(LEFT(INDEX(貼り付け!$A$1:$BZ$3001,580,$B$1)&amp;"",FIND(" ",TRIM(INDEX(貼り付け!$A$1:$BZ$3001,580,$B$1)&amp;"")&amp;" ")-1)),"/","-"),"年","-"),"月","-"),"日",""))),"")</f>
        <v/>
      </c>
      <c r="J581">
        <f>IFERROR(MID(I581,FIND("-",I581)+1,99),"")</f>
        <v/>
      </c>
    </row>
    <row r="582">
      <c r="B582">
        <f>IFERROR(IF($B$1=0,"",IF(INDEX(貼り付け!$A$1:$BZ$3001,581,$B$1)="","",IF(ISNUMBER(INDEX(貼り付け!$A$1:$BZ$3001,581,$B$1)),INT(INDEX(貼り付け!$A$1:$BZ$3001,581,$B$1)),DATE(VALUE(LEFT(I582,FIND("-",I582)-1)),VALUE(LEFT(J582,FIND("-",J582)-1)),VALUE(MID(J582,FIND("-",J582)+1,99)))))),"")</f>
        <v/>
      </c>
      <c r="C582">
        <f>IF($C$1=0,0,IFERROR(VALUE(SUBSTITUTE(SUBSTITUTE(SUBSTITUTE(INDEX(貼り付け!$A$1:$BZ$3001,581,$C$1)&amp;"",",",""),"¥",""),"￥","")),0))</f>
        <v/>
      </c>
      <c r="D582">
        <f>IF($D$1=0,0,IFERROR(VALUE(SUBSTITUTE(SUBSTITUTE(SUBSTITUTE(INDEX(貼り付け!$A$1:$BZ$3001,581,$D$1)&amp;"",",",""),"¥",""),"￥","")),0))</f>
        <v/>
      </c>
      <c r="E582">
        <f>IF($E$1=0,0,IFERROR(VALUE(SUBSTITUTE(SUBSTITUTE(SUBSTITUTE(INDEX(貼り付け!$A$1:$BZ$3001,581,$E$1)&amp;"",",",""),"¥",""),"￥","")),0))</f>
        <v/>
      </c>
      <c r="F582">
        <f>IF($F$1=0,0,IFERROR(VALUE(SUBSTITUTE(SUBSTITUTE(SUBSTITUTE(INDEX(貼り付け!$A$1:$BZ$3001,581,$F$1)&amp;"",",",""),"¥",""),"￥","")),0))</f>
        <v/>
      </c>
      <c r="G582">
        <f>IF(ISNUMBER(B582),YEAR(B582),"")</f>
        <v/>
      </c>
      <c r="H582">
        <f>IF(ISNUMBER(B582),MONTH(B582),"")</f>
        <v/>
      </c>
      <c r="I582">
        <f>IFERROR(IF($B$1=0,"",IF(ISNUMBER(INDEX(貼り付け!$A$1:$BZ$3001,581,$B$1)),"",SUBSTITUTE(SUBSTITUTE(SUBSTITUTE(SUBSTITUTE(TRIM(LEFT(INDEX(貼り付け!$A$1:$BZ$3001,581,$B$1)&amp;"",FIND(" ",TRIM(INDEX(貼り付け!$A$1:$BZ$3001,581,$B$1)&amp;"")&amp;" ")-1)),"/","-"),"年","-"),"月","-"),"日",""))),"")</f>
        <v/>
      </c>
      <c r="J582">
        <f>IFERROR(MID(I582,FIND("-",I582)+1,99),"")</f>
        <v/>
      </c>
    </row>
    <row r="583">
      <c r="B583">
        <f>IFERROR(IF($B$1=0,"",IF(INDEX(貼り付け!$A$1:$BZ$3001,582,$B$1)="","",IF(ISNUMBER(INDEX(貼り付け!$A$1:$BZ$3001,582,$B$1)),INT(INDEX(貼り付け!$A$1:$BZ$3001,582,$B$1)),DATE(VALUE(LEFT(I583,FIND("-",I583)-1)),VALUE(LEFT(J583,FIND("-",J583)-1)),VALUE(MID(J583,FIND("-",J583)+1,99)))))),"")</f>
        <v/>
      </c>
      <c r="C583">
        <f>IF($C$1=0,0,IFERROR(VALUE(SUBSTITUTE(SUBSTITUTE(SUBSTITUTE(INDEX(貼り付け!$A$1:$BZ$3001,582,$C$1)&amp;"",",",""),"¥",""),"￥","")),0))</f>
        <v/>
      </c>
      <c r="D583">
        <f>IF($D$1=0,0,IFERROR(VALUE(SUBSTITUTE(SUBSTITUTE(SUBSTITUTE(INDEX(貼り付け!$A$1:$BZ$3001,582,$D$1)&amp;"",",",""),"¥",""),"￥","")),0))</f>
        <v/>
      </c>
      <c r="E583">
        <f>IF($E$1=0,0,IFERROR(VALUE(SUBSTITUTE(SUBSTITUTE(SUBSTITUTE(INDEX(貼り付け!$A$1:$BZ$3001,582,$E$1)&amp;"",",",""),"¥",""),"￥","")),0))</f>
        <v/>
      </c>
      <c r="F583">
        <f>IF($F$1=0,0,IFERROR(VALUE(SUBSTITUTE(SUBSTITUTE(SUBSTITUTE(INDEX(貼り付け!$A$1:$BZ$3001,582,$F$1)&amp;"",",",""),"¥",""),"￥","")),0))</f>
        <v/>
      </c>
      <c r="G583">
        <f>IF(ISNUMBER(B583),YEAR(B583),"")</f>
        <v/>
      </c>
      <c r="H583">
        <f>IF(ISNUMBER(B583),MONTH(B583),"")</f>
        <v/>
      </c>
      <c r="I583">
        <f>IFERROR(IF($B$1=0,"",IF(ISNUMBER(INDEX(貼り付け!$A$1:$BZ$3001,582,$B$1)),"",SUBSTITUTE(SUBSTITUTE(SUBSTITUTE(SUBSTITUTE(TRIM(LEFT(INDEX(貼り付け!$A$1:$BZ$3001,582,$B$1)&amp;"",FIND(" ",TRIM(INDEX(貼り付け!$A$1:$BZ$3001,582,$B$1)&amp;"")&amp;" ")-1)),"/","-"),"年","-"),"月","-"),"日",""))),"")</f>
        <v/>
      </c>
      <c r="J583">
        <f>IFERROR(MID(I583,FIND("-",I583)+1,99),"")</f>
        <v/>
      </c>
    </row>
    <row r="584">
      <c r="B584">
        <f>IFERROR(IF($B$1=0,"",IF(INDEX(貼り付け!$A$1:$BZ$3001,583,$B$1)="","",IF(ISNUMBER(INDEX(貼り付け!$A$1:$BZ$3001,583,$B$1)),INT(INDEX(貼り付け!$A$1:$BZ$3001,583,$B$1)),DATE(VALUE(LEFT(I584,FIND("-",I584)-1)),VALUE(LEFT(J584,FIND("-",J584)-1)),VALUE(MID(J584,FIND("-",J584)+1,99)))))),"")</f>
        <v/>
      </c>
      <c r="C584">
        <f>IF($C$1=0,0,IFERROR(VALUE(SUBSTITUTE(SUBSTITUTE(SUBSTITUTE(INDEX(貼り付け!$A$1:$BZ$3001,583,$C$1)&amp;"",",",""),"¥",""),"￥","")),0))</f>
        <v/>
      </c>
      <c r="D584">
        <f>IF($D$1=0,0,IFERROR(VALUE(SUBSTITUTE(SUBSTITUTE(SUBSTITUTE(INDEX(貼り付け!$A$1:$BZ$3001,583,$D$1)&amp;"",",",""),"¥",""),"￥","")),0))</f>
        <v/>
      </c>
      <c r="E584">
        <f>IF($E$1=0,0,IFERROR(VALUE(SUBSTITUTE(SUBSTITUTE(SUBSTITUTE(INDEX(貼り付け!$A$1:$BZ$3001,583,$E$1)&amp;"",",",""),"¥",""),"￥","")),0))</f>
        <v/>
      </c>
      <c r="F584">
        <f>IF($F$1=0,0,IFERROR(VALUE(SUBSTITUTE(SUBSTITUTE(SUBSTITUTE(INDEX(貼り付け!$A$1:$BZ$3001,583,$F$1)&amp;"",",",""),"¥",""),"￥","")),0))</f>
        <v/>
      </c>
      <c r="G584">
        <f>IF(ISNUMBER(B584),YEAR(B584),"")</f>
        <v/>
      </c>
      <c r="H584">
        <f>IF(ISNUMBER(B584),MONTH(B584),"")</f>
        <v/>
      </c>
      <c r="I584">
        <f>IFERROR(IF($B$1=0,"",IF(ISNUMBER(INDEX(貼り付け!$A$1:$BZ$3001,583,$B$1)),"",SUBSTITUTE(SUBSTITUTE(SUBSTITUTE(SUBSTITUTE(TRIM(LEFT(INDEX(貼り付け!$A$1:$BZ$3001,583,$B$1)&amp;"",FIND(" ",TRIM(INDEX(貼り付け!$A$1:$BZ$3001,583,$B$1)&amp;"")&amp;" ")-1)),"/","-"),"年","-"),"月","-"),"日",""))),"")</f>
        <v/>
      </c>
      <c r="J584">
        <f>IFERROR(MID(I584,FIND("-",I584)+1,99),"")</f>
        <v/>
      </c>
    </row>
    <row r="585">
      <c r="B585">
        <f>IFERROR(IF($B$1=0,"",IF(INDEX(貼り付け!$A$1:$BZ$3001,584,$B$1)="","",IF(ISNUMBER(INDEX(貼り付け!$A$1:$BZ$3001,584,$B$1)),INT(INDEX(貼り付け!$A$1:$BZ$3001,584,$B$1)),DATE(VALUE(LEFT(I585,FIND("-",I585)-1)),VALUE(LEFT(J585,FIND("-",J585)-1)),VALUE(MID(J585,FIND("-",J585)+1,99)))))),"")</f>
        <v/>
      </c>
      <c r="C585">
        <f>IF($C$1=0,0,IFERROR(VALUE(SUBSTITUTE(SUBSTITUTE(SUBSTITUTE(INDEX(貼り付け!$A$1:$BZ$3001,584,$C$1)&amp;"",",",""),"¥",""),"￥","")),0))</f>
        <v/>
      </c>
      <c r="D585">
        <f>IF($D$1=0,0,IFERROR(VALUE(SUBSTITUTE(SUBSTITUTE(SUBSTITUTE(INDEX(貼り付け!$A$1:$BZ$3001,584,$D$1)&amp;"",",",""),"¥",""),"￥","")),0))</f>
        <v/>
      </c>
      <c r="E585">
        <f>IF($E$1=0,0,IFERROR(VALUE(SUBSTITUTE(SUBSTITUTE(SUBSTITUTE(INDEX(貼り付け!$A$1:$BZ$3001,584,$E$1)&amp;"",",",""),"¥",""),"￥","")),0))</f>
        <v/>
      </c>
      <c r="F585">
        <f>IF($F$1=0,0,IFERROR(VALUE(SUBSTITUTE(SUBSTITUTE(SUBSTITUTE(INDEX(貼り付け!$A$1:$BZ$3001,584,$F$1)&amp;"",",",""),"¥",""),"￥","")),0))</f>
        <v/>
      </c>
      <c r="G585">
        <f>IF(ISNUMBER(B585),YEAR(B585),"")</f>
        <v/>
      </c>
      <c r="H585">
        <f>IF(ISNUMBER(B585),MONTH(B585),"")</f>
        <v/>
      </c>
      <c r="I585">
        <f>IFERROR(IF($B$1=0,"",IF(ISNUMBER(INDEX(貼り付け!$A$1:$BZ$3001,584,$B$1)),"",SUBSTITUTE(SUBSTITUTE(SUBSTITUTE(SUBSTITUTE(TRIM(LEFT(INDEX(貼り付け!$A$1:$BZ$3001,584,$B$1)&amp;"",FIND(" ",TRIM(INDEX(貼り付け!$A$1:$BZ$3001,584,$B$1)&amp;"")&amp;" ")-1)),"/","-"),"年","-"),"月","-"),"日",""))),"")</f>
        <v/>
      </c>
      <c r="J585">
        <f>IFERROR(MID(I585,FIND("-",I585)+1,99),"")</f>
        <v/>
      </c>
    </row>
    <row r="586">
      <c r="B586">
        <f>IFERROR(IF($B$1=0,"",IF(INDEX(貼り付け!$A$1:$BZ$3001,585,$B$1)="","",IF(ISNUMBER(INDEX(貼り付け!$A$1:$BZ$3001,585,$B$1)),INT(INDEX(貼り付け!$A$1:$BZ$3001,585,$B$1)),DATE(VALUE(LEFT(I586,FIND("-",I586)-1)),VALUE(LEFT(J586,FIND("-",J586)-1)),VALUE(MID(J586,FIND("-",J586)+1,99)))))),"")</f>
        <v/>
      </c>
      <c r="C586">
        <f>IF($C$1=0,0,IFERROR(VALUE(SUBSTITUTE(SUBSTITUTE(SUBSTITUTE(INDEX(貼り付け!$A$1:$BZ$3001,585,$C$1)&amp;"",",",""),"¥",""),"￥","")),0))</f>
        <v/>
      </c>
      <c r="D586">
        <f>IF($D$1=0,0,IFERROR(VALUE(SUBSTITUTE(SUBSTITUTE(SUBSTITUTE(INDEX(貼り付け!$A$1:$BZ$3001,585,$D$1)&amp;"",",",""),"¥",""),"￥","")),0))</f>
        <v/>
      </c>
      <c r="E586">
        <f>IF($E$1=0,0,IFERROR(VALUE(SUBSTITUTE(SUBSTITUTE(SUBSTITUTE(INDEX(貼り付け!$A$1:$BZ$3001,585,$E$1)&amp;"",",",""),"¥",""),"￥","")),0))</f>
        <v/>
      </c>
      <c r="F586">
        <f>IF($F$1=0,0,IFERROR(VALUE(SUBSTITUTE(SUBSTITUTE(SUBSTITUTE(INDEX(貼り付け!$A$1:$BZ$3001,585,$F$1)&amp;"",",",""),"¥",""),"￥","")),0))</f>
        <v/>
      </c>
      <c r="G586">
        <f>IF(ISNUMBER(B586),YEAR(B586),"")</f>
        <v/>
      </c>
      <c r="H586">
        <f>IF(ISNUMBER(B586),MONTH(B586),"")</f>
        <v/>
      </c>
      <c r="I586">
        <f>IFERROR(IF($B$1=0,"",IF(ISNUMBER(INDEX(貼り付け!$A$1:$BZ$3001,585,$B$1)),"",SUBSTITUTE(SUBSTITUTE(SUBSTITUTE(SUBSTITUTE(TRIM(LEFT(INDEX(貼り付け!$A$1:$BZ$3001,585,$B$1)&amp;"",FIND(" ",TRIM(INDEX(貼り付け!$A$1:$BZ$3001,585,$B$1)&amp;"")&amp;" ")-1)),"/","-"),"年","-"),"月","-"),"日",""))),"")</f>
        <v/>
      </c>
      <c r="J586">
        <f>IFERROR(MID(I586,FIND("-",I586)+1,99),"")</f>
        <v/>
      </c>
    </row>
    <row r="587">
      <c r="B587">
        <f>IFERROR(IF($B$1=0,"",IF(INDEX(貼り付け!$A$1:$BZ$3001,586,$B$1)="","",IF(ISNUMBER(INDEX(貼り付け!$A$1:$BZ$3001,586,$B$1)),INT(INDEX(貼り付け!$A$1:$BZ$3001,586,$B$1)),DATE(VALUE(LEFT(I587,FIND("-",I587)-1)),VALUE(LEFT(J587,FIND("-",J587)-1)),VALUE(MID(J587,FIND("-",J587)+1,99)))))),"")</f>
        <v/>
      </c>
      <c r="C587">
        <f>IF($C$1=0,0,IFERROR(VALUE(SUBSTITUTE(SUBSTITUTE(SUBSTITUTE(INDEX(貼り付け!$A$1:$BZ$3001,586,$C$1)&amp;"",",",""),"¥",""),"￥","")),0))</f>
        <v/>
      </c>
      <c r="D587">
        <f>IF($D$1=0,0,IFERROR(VALUE(SUBSTITUTE(SUBSTITUTE(SUBSTITUTE(INDEX(貼り付け!$A$1:$BZ$3001,586,$D$1)&amp;"",",",""),"¥",""),"￥","")),0))</f>
        <v/>
      </c>
      <c r="E587">
        <f>IF($E$1=0,0,IFERROR(VALUE(SUBSTITUTE(SUBSTITUTE(SUBSTITUTE(INDEX(貼り付け!$A$1:$BZ$3001,586,$E$1)&amp;"",",",""),"¥",""),"￥","")),0))</f>
        <v/>
      </c>
      <c r="F587">
        <f>IF($F$1=0,0,IFERROR(VALUE(SUBSTITUTE(SUBSTITUTE(SUBSTITUTE(INDEX(貼り付け!$A$1:$BZ$3001,586,$F$1)&amp;"",",",""),"¥",""),"￥","")),0))</f>
        <v/>
      </c>
      <c r="G587">
        <f>IF(ISNUMBER(B587),YEAR(B587),"")</f>
        <v/>
      </c>
      <c r="H587">
        <f>IF(ISNUMBER(B587),MONTH(B587),"")</f>
        <v/>
      </c>
      <c r="I587">
        <f>IFERROR(IF($B$1=0,"",IF(ISNUMBER(INDEX(貼り付け!$A$1:$BZ$3001,586,$B$1)),"",SUBSTITUTE(SUBSTITUTE(SUBSTITUTE(SUBSTITUTE(TRIM(LEFT(INDEX(貼り付け!$A$1:$BZ$3001,586,$B$1)&amp;"",FIND(" ",TRIM(INDEX(貼り付け!$A$1:$BZ$3001,586,$B$1)&amp;"")&amp;" ")-1)),"/","-"),"年","-"),"月","-"),"日",""))),"")</f>
        <v/>
      </c>
      <c r="J587">
        <f>IFERROR(MID(I587,FIND("-",I587)+1,99),"")</f>
        <v/>
      </c>
    </row>
    <row r="588">
      <c r="B588">
        <f>IFERROR(IF($B$1=0,"",IF(INDEX(貼り付け!$A$1:$BZ$3001,587,$B$1)="","",IF(ISNUMBER(INDEX(貼り付け!$A$1:$BZ$3001,587,$B$1)),INT(INDEX(貼り付け!$A$1:$BZ$3001,587,$B$1)),DATE(VALUE(LEFT(I588,FIND("-",I588)-1)),VALUE(LEFT(J588,FIND("-",J588)-1)),VALUE(MID(J588,FIND("-",J588)+1,99)))))),"")</f>
        <v/>
      </c>
      <c r="C588">
        <f>IF($C$1=0,0,IFERROR(VALUE(SUBSTITUTE(SUBSTITUTE(SUBSTITUTE(INDEX(貼り付け!$A$1:$BZ$3001,587,$C$1)&amp;"",",",""),"¥",""),"￥","")),0))</f>
        <v/>
      </c>
      <c r="D588">
        <f>IF($D$1=0,0,IFERROR(VALUE(SUBSTITUTE(SUBSTITUTE(SUBSTITUTE(INDEX(貼り付け!$A$1:$BZ$3001,587,$D$1)&amp;"",",",""),"¥",""),"￥","")),0))</f>
        <v/>
      </c>
      <c r="E588">
        <f>IF($E$1=0,0,IFERROR(VALUE(SUBSTITUTE(SUBSTITUTE(SUBSTITUTE(INDEX(貼り付け!$A$1:$BZ$3001,587,$E$1)&amp;"",",",""),"¥",""),"￥","")),0))</f>
        <v/>
      </c>
      <c r="F588">
        <f>IF($F$1=0,0,IFERROR(VALUE(SUBSTITUTE(SUBSTITUTE(SUBSTITUTE(INDEX(貼り付け!$A$1:$BZ$3001,587,$F$1)&amp;"",",",""),"¥",""),"￥","")),0))</f>
        <v/>
      </c>
      <c r="G588">
        <f>IF(ISNUMBER(B588),YEAR(B588),"")</f>
        <v/>
      </c>
      <c r="H588">
        <f>IF(ISNUMBER(B588),MONTH(B588),"")</f>
        <v/>
      </c>
      <c r="I588">
        <f>IFERROR(IF($B$1=0,"",IF(ISNUMBER(INDEX(貼り付け!$A$1:$BZ$3001,587,$B$1)),"",SUBSTITUTE(SUBSTITUTE(SUBSTITUTE(SUBSTITUTE(TRIM(LEFT(INDEX(貼り付け!$A$1:$BZ$3001,587,$B$1)&amp;"",FIND(" ",TRIM(INDEX(貼り付け!$A$1:$BZ$3001,587,$B$1)&amp;"")&amp;" ")-1)),"/","-"),"年","-"),"月","-"),"日",""))),"")</f>
        <v/>
      </c>
      <c r="J588">
        <f>IFERROR(MID(I588,FIND("-",I588)+1,99),"")</f>
        <v/>
      </c>
    </row>
    <row r="589">
      <c r="B589">
        <f>IFERROR(IF($B$1=0,"",IF(INDEX(貼り付け!$A$1:$BZ$3001,588,$B$1)="","",IF(ISNUMBER(INDEX(貼り付け!$A$1:$BZ$3001,588,$B$1)),INT(INDEX(貼り付け!$A$1:$BZ$3001,588,$B$1)),DATE(VALUE(LEFT(I589,FIND("-",I589)-1)),VALUE(LEFT(J589,FIND("-",J589)-1)),VALUE(MID(J589,FIND("-",J589)+1,99)))))),"")</f>
        <v/>
      </c>
      <c r="C589">
        <f>IF($C$1=0,0,IFERROR(VALUE(SUBSTITUTE(SUBSTITUTE(SUBSTITUTE(INDEX(貼り付け!$A$1:$BZ$3001,588,$C$1)&amp;"",",",""),"¥",""),"￥","")),0))</f>
        <v/>
      </c>
      <c r="D589">
        <f>IF($D$1=0,0,IFERROR(VALUE(SUBSTITUTE(SUBSTITUTE(SUBSTITUTE(INDEX(貼り付け!$A$1:$BZ$3001,588,$D$1)&amp;"",",",""),"¥",""),"￥","")),0))</f>
        <v/>
      </c>
      <c r="E589">
        <f>IF($E$1=0,0,IFERROR(VALUE(SUBSTITUTE(SUBSTITUTE(SUBSTITUTE(INDEX(貼り付け!$A$1:$BZ$3001,588,$E$1)&amp;"",",",""),"¥",""),"￥","")),0))</f>
        <v/>
      </c>
      <c r="F589">
        <f>IF($F$1=0,0,IFERROR(VALUE(SUBSTITUTE(SUBSTITUTE(SUBSTITUTE(INDEX(貼り付け!$A$1:$BZ$3001,588,$F$1)&amp;"",",",""),"¥",""),"￥","")),0))</f>
        <v/>
      </c>
      <c r="G589">
        <f>IF(ISNUMBER(B589),YEAR(B589),"")</f>
        <v/>
      </c>
      <c r="H589">
        <f>IF(ISNUMBER(B589),MONTH(B589),"")</f>
        <v/>
      </c>
      <c r="I589">
        <f>IFERROR(IF($B$1=0,"",IF(ISNUMBER(INDEX(貼り付け!$A$1:$BZ$3001,588,$B$1)),"",SUBSTITUTE(SUBSTITUTE(SUBSTITUTE(SUBSTITUTE(TRIM(LEFT(INDEX(貼り付け!$A$1:$BZ$3001,588,$B$1)&amp;"",FIND(" ",TRIM(INDEX(貼り付け!$A$1:$BZ$3001,588,$B$1)&amp;"")&amp;" ")-1)),"/","-"),"年","-"),"月","-"),"日",""))),"")</f>
        <v/>
      </c>
      <c r="J589">
        <f>IFERROR(MID(I589,FIND("-",I589)+1,99),"")</f>
        <v/>
      </c>
    </row>
    <row r="590">
      <c r="B590">
        <f>IFERROR(IF($B$1=0,"",IF(INDEX(貼り付け!$A$1:$BZ$3001,589,$B$1)="","",IF(ISNUMBER(INDEX(貼り付け!$A$1:$BZ$3001,589,$B$1)),INT(INDEX(貼り付け!$A$1:$BZ$3001,589,$B$1)),DATE(VALUE(LEFT(I590,FIND("-",I590)-1)),VALUE(LEFT(J590,FIND("-",J590)-1)),VALUE(MID(J590,FIND("-",J590)+1,99)))))),"")</f>
        <v/>
      </c>
      <c r="C590">
        <f>IF($C$1=0,0,IFERROR(VALUE(SUBSTITUTE(SUBSTITUTE(SUBSTITUTE(INDEX(貼り付け!$A$1:$BZ$3001,589,$C$1)&amp;"",",",""),"¥",""),"￥","")),0))</f>
        <v/>
      </c>
      <c r="D590">
        <f>IF($D$1=0,0,IFERROR(VALUE(SUBSTITUTE(SUBSTITUTE(SUBSTITUTE(INDEX(貼り付け!$A$1:$BZ$3001,589,$D$1)&amp;"",",",""),"¥",""),"￥","")),0))</f>
        <v/>
      </c>
      <c r="E590">
        <f>IF($E$1=0,0,IFERROR(VALUE(SUBSTITUTE(SUBSTITUTE(SUBSTITUTE(INDEX(貼り付け!$A$1:$BZ$3001,589,$E$1)&amp;"",",",""),"¥",""),"￥","")),0))</f>
        <v/>
      </c>
      <c r="F590">
        <f>IF($F$1=0,0,IFERROR(VALUE(SUBSTITUTE(SUBSTITUTE(SUBSTITUTE(INDEX(貼り付け!$A$1:$BZ$3001,589,$F$1)&amp;"",",",""),"¥",""),"￥","")),0))</f>
        <v/>
      </c>
      <c r="G590">
        <f>IF(ISNUMBER(B590),YEAR(B590),"")</f>
        <v/>
      </c>
      <c r="H590">
        <f>IF(ISNUMBER(B590),MONTH(B590),"")</f>
        <v/>
      </c>
      <c r="I590">
        <f>IFERROR(IF($B$1=0,"",IF(ISNUMBER(INDEX(貼り付け!$A$1:$BZ$3001,589,$B$1)),"",SUBSTITUTE(SUBSTITUTE(SUBSTITUTE(SUBSTITUTE(TRIM(LEFT(INDEX(貼り付け!$A$1:$BZ$3001,589,$B$1)&amp;"",FIND(" ",TRIM(INDEX(貼り付け!$A$1:$BZ$3001,589,$B$1)&amp;"")&amp;" ")-1)),"/","-"),"年","-"),"月","-"),"日",""))),"")</f>
        <v/>
      </c>
      <c r="J590">
        <f>IFERROR(MID(I590,FIND("-",I590)+1,99),"")</f>
        <v/>
      </c>
    </row>
    <row r="591">
      <c r="B591">
        <f>IFERROR(IF($B$1=0,"",IF(INDEX(貼り付け!$A$1:$BZ$3001,590,$B$1)="","",IF(ISNUMBER(INDEX(貼り付け!$A$1:$BZ$3001,590,$B$1)),INT(INDEX(貼り付け!$A$1:$BZ$3001,590,$B$1)),DATE(VALUE(LEFT(I591,FIND("-",I591)-1)),VALUE(LEFT(J591,FIND("-",J591)-1)),VALUE(MID(J591,FIND("-",J591)+1,99)))))),"")</f>
        <v/>
      </c>
      <c r="C591">
        <f>IF($C$1=0,0,IFERROR(VALUE(SUBSTITUTE(SUBSTITUTE(SUBSTITUTE(INDEX(貼り付け!$A$1:$BZ$3001,590,$C$1)&amp;"",",",""),"¥",""),"￥","")),0))</f>
        <v/>
      </c>
      <c r="D591">
        <f>IF($D$1=0,0,IFERROR(VALUE(SUBSTITUTE(SUBSTITUTE(SUBSTITUTE(INDEX(貼り付け!$A$1:$BZ$3001,590,$D$1)&amp;"",",",""),"¥",""),"￥","")),0))</f>
        <v/>
      </c>
      <c r="E591">
        <f>IF($E$1=0,0,IFERROR(VALUE(SUBSTITUTE(SUBSTITUTE(SUBSTITUTE(INDEX(貼り付け!$A$1:$BZ$3001,590,$E$1)&amp;"",",",""),"¥",""),"￥","")),0))</f>
        <v/>
      </c>
      <c r="F591">
        <f>IF($F$1=0,0,IFERROR(VALUE(SUBSTITUTE(SUBSTITUTE(SUBSTITUTE(INDEX(貼り付け!$A$1:$BZ$3001,590,$F$1)&amp;"",",",""),"¥",""),"￥","")),0))</f>
        <v/>
      </c>
      <c r="G591">
        <f>IF(ISNUMBER(B591),YEAR(B591),"")</f>
        <v/>
      </c>
      <c r="H591">
        <f>IF(ISNUMBER(B591),MONTH(B591),"")</f>
        <v/>
      </c>
      <c r="I591">
        <f>IFERROR(IF($B$1=0,"",IF(ISNUMBER(INDEX(貼り付け!$A$1:$BZ$3001,590,$B$1)),"",SUBSTITUTE(SUBSTITUTE(SUBSTITUTE(SUBSTITUTE(TRIM(LEFT(INDEX(貼り付け!$A$1:$BZ$3001,590,$B$1)&amp;"",FIND(" ",TRIM(INDEX(貼り付け!$A$1:$BZ$3001,590,$B$1)&amp;"")&amp;" ")-1)),"/","-"),"年","-"),"月","-"),"日",""))),"")</f>
        <v/>
      </c>
      <c r="J591">
        <f>IFERROR(MID(I591,FIND("-",I591)+1,99),"")</f>
        <v/>
      </c>
    </row>
    <row r="592">
      <c r="B592">
        <f>IFERROR(IF($B$1=0,"",IF(INDEX(貼り付け!$A$1:$BZ$3001,591,$B$1)="","",IF(ISNUMBER(INDEX(貼り付け!$A$1:$BZ$3001,591,$B$1)),INT(INDEX(貼り付け!$A$1:$BZ$3001,591,$B$1)),DATE(VALUE(LEFT(I592,FIND("-",I592)-1)),VALUE(LEFT(J592,FIND("-",J592)-1)),VALUE(MID(J592,FIND("-",J592)+1,99)))))),"")</f>
        <v/>
      </c>
      <c r="C592">
        <f>IF($C$1=0,0,IFERROR(VALUE(SUBSTITUTE(SUBSTITUTE(SUBSTITUTE(INDEX(貼り付け!$A$1:$BZ$3001,591,$C$1)&amp;"",",",""),"¥",""),"￥","")),0))</f>
        <v/>
      </c>
      <c r="D592">
        <f>IF($D$1=0,0,IFERROR(VALUE(SUBSTITUTE(SUBSTITUTE(SUBSTITUTE(INDEX(貼り付け!$A$1:$BZ$3001,591,$D$1)&amp;"",",",""),"¥",""),"￥","")),0))</f>
        <v/>
      </c>
      <c r="E592">
        <f>IF($E$1=0,0,IFERROR(VALUE(SUBSTITUTE(SUBSTITUTE(SUBSTITUTE(INDEX(貼り付け!$A$1:$BZ$3001,591,$E$1)&amp;"",",",""),"¥",""),"￥","")),0))</f>
        <v/>
      </c>
      <c r="F592">
        <f>IF($F$1=0,0,IFERROR(VALUE(SUBSTITUTE(SUBSTITUTE(SUBSTITUTE(INDEX(貼り付け!$A$1:$BZ$3001,591,$F$1)&amp;"",",",""),"¥",""),"￥","")),0))</f>
        <v/>
      </c>
      <c r="G592">
        <f>IF(ISNUMBER(B592),YEAR(B592),"")</f>
        <v/>
      </c>
      <c r="H592">
        <f>IF(ISNUMBER(B592),MONTH(B592),"")</f>
        <v/>
      </c>
      <c r="I592">
        <f>IFERROR(IF($B$1=0,"",IF(ISNUMBER(INDEX(貼り付け!$A$1:$BZ$3001,591,$B$1)),"",SUBSTITUTE(SUBSTITUTE(SUBSTITUTE(SUBSTITUTE(TRIM(LEFT(INDEX(貼り付け!$A$1:$BZ$3001,591,$B$1)&amp;"",FIND(" ",TRIM(INDEX(貼り付け!$A$1:$BZ$3001,591,$B$1)&amp;"")&amp;" ")-1)),"/","-"),"年","-"),"月","-"),"日",""))),"")</f>
        <v/>
      </c>
      <c r="J592">
        <f>IFERROR(MID(I592,FIND("-",I592)+1,99),"")</f>
        <v/>
      </c>
    </row>
    <row r="593">
      <c r="B593">
        <f>IFERROR(IF($B$1=0,"",IF(INDEX(貼り付け!$A$1:$BZ$3001,592,$B$1)="","",IF(ISNUMBER(INDEX(貼り付け!$A$1:$BZ$3001,592,$B$1)),INT(INDEX(貼り付け!$A$1:$BZ$3001,592,$B$1)),DATE(VALUE(LEFT(I593,FIND("-",I593)-1)),VALUE(LEFT(J593,FIND("-",J593)-1)),VALUE(MID(J593,FIND("-",J593)+1,99)))))),"")</f>
        <v/>
      </c>
      <c r="C593">
        <f>IF($C$1=0,0,IFERROR(VALUE(SUBSTITUTE(SUBSTITUTE(SUBSTITUTE(INDEX(貼り付け!$A$1:$BZ$3001,592,$C$1)&amp;"",",",""),"¥",""),"￥","")),0))</f>
        <v/>
      </c>
      <c r="D593">
        <f>IF($D$1=0,0,IFERROR(VALUE(SUBSTITUTE(SUBSTITUTE(SUBSTITUTE(INDEX(貼り付け!$A$1:$BZ$3001,592,$D$1)&amp;"",",",""),"¥",""),"￥","")),0))</f>
        <v/>
      </c>
      <c r="E593">
        <f>IF($E$1=0,0,IFERROR(VALUE(SUBSTITUTE(SUBSTITUTE(SUBSTITUTE(INDEX(貼り付け!$A$1:$BZ$3001,592,$E$1)&amp;"",",",""),"¥",""),"￥","")),0))</f>
        <v/>
      </c>
      <c r="F593">
        <f>IF($F$1=0,0,IFERROR(VALUE(SUBSTITUTE(SUBSTITUTE(SUBSTITUTE(INDEX(貼り付け!$A$1:$BZ$3001,592,$F$1)&amp;"",",",""),"¥",""),"￥","")),0))</f>
        <v/>
      </c>
      <c r="G593">
        <f>IF(ISNUMBER(B593),YEAR(B593),"")</f>
        <v/>
      </c>
      <c r="H593">
        <f>IF(ISNUMBER(B593),MONTH(B593),"")</f>
        <v/>
      </c>
      <c r="I593">
        <f>IFERROR(IF($B$1=0,"",IF(ISNUMBER(INDEX(貼り付け!$A$1:$BZ$3001,592,$B$1)),"",SUBSTITUTE(SUBSTITUTE(SUBSTITUTE(SUBSTITUTE(TRIM(LEFT(INDEX(貼り付け!$A$1:$BZ$3001,592,$B$1)&amp;"",FIND(" ",TRIM(INDEX(貼り付け!$A$1:$BZ$3001,592,$B$1)&amp;"")&amp;" ")-1)),"/","-"),"年","-"),"月","-"),"日",""))),"")</f>
        <v/>
      </c>
      <c r="J593">
        <f>IFERROR(MID(I593,FIND("-",I593)+1,99),"")</f>
        <v/>
      </c>
    </row>
    <row r="594">
      <c r="B594">
        <f>IFERROR(IF($B$1=0,"",IF(INDEX(貼り付け!$A$1:$BZ$3001,593,$B$1)="","",IF(ISNUMBER(INDEX(貼り付け!$A$1:$BZ$3001,593,$B$1)),INT(INDEX(貼り付け!$A$1:$BZ$3001,593,$B$1)),DATE(VALUE(LEFT(I594,FIND("-",I594)-1)),VALUE(LEFT(J594,FIND("-",J594)-1)),VALUE(MID(J594,FIND("-",J594)+1,99)))))),"")</f>
        <v/>
      </c>
      <c r="C594">
        <f>IF($C$1=0,0,IFERROR(VALUE(SUBSTITUTE(SUBSTITUTE(SUBSTITUTE(INDEX(貼り付け!$A$1:$BZ$3001,593,$C$1)&amp;"",",",""),"¥",""),"￥","")),0))</f>
        <v/>
      </c>
      <c r="D594">
        <f>IF($D$1=0,0,IFERROR(VALUE(SUBSTITUTE(SUBSTITUTE(SUBSTITUTE(INDEX(貼り付け!$A$1:$BZ$3001,593,$D$1)&amp;"",",",""),"¥",""),"￥","")),0))</f>
        <v/>
      </c>
      <c r="E594">
        <f>IF($E$1=0,0,IFERROR(VALUE(SUBSTITUTE(SUBSTITUTE(SUBSTITUTE(INDEX(貼り付け!$A$1:$BZ$3001,593,$E$1)&amp;"",",",""),"¥",""),"￥","")),0))</f>
        <v/>
      </c>
      <c r="F594">
        <f>IF($F$1=0,0,IFERROR(VALUE(SUBSTITUTE(SUBSTITUTE(SUBSTITUTE(INDEX(貼り付け!$A$1:$BZ$3001,593,$F$1)&amp;"",",",""),"¥",""),"￥","")),0))</f>
        <v/>
      </c>
      <c r="G594">
        <f>IF(ISNUMBER(B594),YEAR(B594),"")</f>
        <v/>
      </c>
      <c r="H594">
        <f>IF(ISNUMBER(B594),MONTH(B594),"")</f>
        <v/>
      </c>
      <c r="I594">
        <f>IFERROR(IF($B$1=0,"",IF(ISNUMBER(INDEX(貼り付け!$A$1:$BZ$3001,593,$B$1)),"",SUBSTITUTE(SUBSTITUTE(SUBSTITUTE(SUBSTITUTE(TRIM(LEFT(INDEX(貼り付け!$A$1:$BZ$3001,593,$B$1)&amp;"",FIND(" ",TRIM(INDEX(貼り付け!$A$1:$BZ$3001,593,$B$1)&amp;"")&amp;" ")-1)),"/","-"),"年","-"),"月","-"),"日",""))),"")</f>
        <v/>
      </c>
      <c r="J594">
        <f>IFERROR(MID(I594,FIND("-",I594)+1,99),"")</f>
        <v/>
      </c>
    </row>
    <row r="595">
      <c r="B595">
        <f>IFERROR(IF($B$1=0,"",IF(INDEX(貼り付け!$A$1:$BZ$3001,594,$B$1)="","",IF(ISNUMBER(INDEX(貼り付け!$A$1:$BZ$3001,594,$B$1)),INT(INDEX(貼り付け!$A$1:$BZ$3001,594,$B$1)),DATE(VALUE(LEFT(I595,FIND("-",I595)-1)),VALUE(LEFT(J595,FIND("-",J595)-1)),VALUE(MID(J595,FIND("-",J595)+1,99)))))),"")</f>
        <v/>
      </c>
      <c r="C595">
        <f>IF($C$1=0,0,IFERROR(VALUE(SUBSTITUTE(SUBSTITUTE(SUBSTITUTE(INDEX(貼り付け!$A$1:$BZ$3001,594,$C$1)&amp;"",",",""),"¥",""),"￥","")),0))</f>
        <v/>
      </c>
      <c r="D595">
        <f>IF($D$1=0,0,IFERROR(VALUE(SUBSTITUTE(SUBSTITUTE(SUBSTITUTE(INDEX(貼り付け!$A$1:$BZ$3001,594,$D$1)&amp;"",",",""),"¥",""),"￥","")),0))</f>
        <v/>
      </c>
      <c r="E595">
        <f>IF($E$1=0,0,IFERROR(VALUE(SUBSTITUTE(SUBSTITUTE(SUBSTITUTE(INDEX(貼り付け!$A$1:$BZ$3001,594,$E$1)&amp;"",",",""),"¥",""),"￥","")),0))</f>
        <v/>
      </c>
      <c r="F595">
        <f>IF($F$1=0,0,IFERROR(VALUE(SUBSTITUTE(SUBSTITUTE(SUBSTITUTE(INDEX(貼り付け!$A$1:$BZ$3001,594,$F$1)&amp;"",",",""),"¥",""),"￥","")),0))</f>
        <v/>
      </c>
      <c r="G595">
        <f>IF(ISNUMBER(B595),YEAR(B595),"")</f>
        <v/>
      </c>
      <c r="H595">
        <f>IF(ISNUMBER(B595),MONTH(B595),"")</f>
        <v/>
      </c>
      <c r="I595">
        <f>IFERROR(IF($B$1=0,"",IF(ISNUMBER(INDEX(貼り付け!$A$1:$BZ$3001,594,$B$1)),"",SUBSTITUTE(SUBSTITUTE(SUBSTITUTE(SUBSTITUTE(TRIM(LEFT(INDEX(貼り付け!$A$1:$BZ$3001,594,$B$1)&amp;"",FIND(" ",TRIM(INDEX(貼り付け!$A$1:$BZ$3001,594,$B$1)&amp;"")&amp;" ")-1)),"/","-"),"年","-"),"月","-"),"日",""))),"")</f>
        <v/>
      </c>
      <c r="J595">
        <f>IFERROR(MID(I595,FIND("-",I595)+1,99),"")</f>
        <v/>
      </c>
    </row>
    <row r="596">
      <c r="B596">
        <f>IFERROR(IF($B$1=0,"",IF(INDEX(貼り付け!$A$1:$BZ$3001,595,$B$1)="","",IF(ISNUMBER(INDEX(貼り付け!$A$1:$BZ$3001,595,$B$1)),INT(INDEX(貼り付け!$A$1:$BZ$3001,595,$B$1)),DATE(VALUE(LEFT(I596,FIND("-",I596)-1)),VALUE(LEFT(J596,FIND("-",J596)-1)),VALUE(MID(J596,FIND("-",J596)+1,99)))))),"")</f>
        <v/>
      </c>
      <c r="C596">
        <f>IF($C$1=0,0,IFERROR(VALUE(SUBSTITUTE(SUBSTITUTE(SUBSTITUTE(INDEX(貼り付け!$A$1:$BZ$3001,595,$C$1)&amp;"",",",""),"¥",""),"￥","")),0))</f>
        <v/>
      </c>
      <c r="D596">
        <f>IF($D$1=0,0,IFERROR(VALUE(SUBSTITUTE(SUBSTITUTE(SUBSTITUTE(INDEX(貼り付け!$A$1:$BZ$3001,595,$D$1)&amp;"",",",""),"¥",""),"￥","")),0))</f>
        <v/>
      </c>
      <c r="E596">
        <f>IF($E$1=0,0,IFERROR(VALUE(SUBSTITUTE(SUBSTITUTE(SUBSTITUTE(INDEX(貼り付け!$A$1:$BZ$3001,595,$E$1)&amp;"",",",""),"¥",""),"￥","")),0))</f>
        <v/>
      </c>
      <c r="F596">
        <f>IF($F$1=0,0,IFERROR(VALUE(SUBSTITUTE(SUBSTITUTE(SUBSTITUTE(INDEX(貼り付け!$A$1:$BZ$3001,595,$F$1)&amp;"",",",""),"¥",""),"￥","")),0))</f>
        <v/>
      </c>
      <c r="G596">
        <f>IF(ISNUMBER(B596),YEAR(B596),"")</f>
        <v/>
      </c>
      <c r="H596">
        <f>IF(ISNUMBER(B596),MONTH(B596),"")</f>
        <v/>
      </c>
      <c r="I596">
        <f>IFERROR(IF($B$1=0,"",IF(ISNUMBER(INDEX(貼り付け!$A$1:$BZ$3001,595,$B$1)),"",SUBSTITUTE(SUBSTITUTE(SUBSTITUTE(SUBSTITUTE(TRIM(LEFT(INDEX(貼り付け!$A$1:$BZ$3001,595,$B$1)&amp;"",FIND(" ",TRIM(INDEX(貼り付け!$A$1:$BZ$3001,595,$B$1)&amp;"")&amp;" ")-1)),"/","-"),"年","-"),"月","-"),"日",""))),"")</f>
        <v/>
      </c>
      <c r="J596">
        <f>IFERROR(MID(I596,FIND("-",I596)+1,99),"")</f>
        <v/>
      </c>
    </row>
    <row r="597">
      <c r="B597">
        <f>IFERROR(IF($B$1=0,"",IF(INDEX(貼り付け!$A$1:$BZ$3001,596,$B$1)="","",IF(ISNUMBER(INDEX(貼り付け!$A$1:$BZ$3001,596,$B$1)),INT(INDEX(貼り付け!$A$1:$BZ$3001,596,$B$1)),DATE(VALUE(LEFT(I597,FIND("-",I597)-1)),VALUE(LEFT(J597,FIND("-",J597)-1)),VALUE(MID(J597,FIND("-",J597)+1,99)))))),"")</f>
        <v/>
      </c>
      <c r="C597">
        <f>IF($C$1=0,0,IFERROR(VALUE(SUBSTITUTE(SUBSTITUTE(SUBSTITUTE(INDEX(貼り付け!$A$1:$BZ$3001,596,$C$1)&amp;"",",",""),"¥",""),"￥","")),0))</f>
        <v/>
      </c>
      <c r="D597">
        <f>IF($D$1=0,0,IFERROR(VALUE(SUBSTITUTE(SUBSTITUTE(SUBSTITUTE(INDEX(貼り付け!$A$1:$BZ$3001,596,$D$1)&amp;"",",",""),"¥",""),"￥","")),0))</f>
        <v/>
      </c>
      <c r="E597">
        <f>IF($E$1=0,0,IFERROR(VALUE(SUBSTITUTE(SUBSTITUTE(SUBSTITUTE(INDEX(貼り付け!$A$1:$BZ$3001,596,$E$1)&amp;"",",",""),"¥",""),"￥","")),0))</f>
        <v/>
      </c>
      <c r="F597">
        <f>IF($F$1=0,0,IFERROR(VALUE(SUBSTITUTE(SUBSTITUTE(SUBSTITUTE(INDEX(貼り付け!$A$1:$BZ$3001,596,$F$1)&amp;"",",",""),"¥",""),"￥","")),0))</f>
        <v/>
      </c>
      <c r="G597">
        <f>IF(ISNUMBER(B597),YEAR(B597),"")</f>
        <v/>
      </c>
      <c r="H597">
        <f>IF(ISNUMBER(B597),MONTH(B597),"")</f>
        <v/>
      </c>
      <c r="I597">
        <f>IFERROR(IF($B$1=0,"",IF(ISNUMBER(INDEX(貼り付け!$A$1:$BZ$3001,596,$B$1)),"",SUBSTITUTE(SUBSTITUTE(SUBSTITUTE(SUBSTITUTE(TRIM(LEFT(INDEX(貼り付け!$A$1:$BZ$3001,596,$B$1)&amp;"",FIND(" ",TRIM(INDEX(貼り付け!$A$1:$BZ$3001,596,$B$1)&amp;"")&amp;" ")-1)),"/","-"),"年","-"),"月","-"),"日",""))),"")</f>
        <v/>
      </c>
      <c r="J597">
        <f>IFERROR(MID(I597,FIND("-",I597)+1,99),"")</f>
        <v/>
      </c>
    </row>
    <row r="598">
      <c r="B598">
        <f>IFERROR(IF($B$1=0,"",IF(INDEX(貼り付け!$A$1:$BZ$3001,597,$B$1)="","",IF(ISNUMBER(INDEX(貼り付け!$A$1:$BZ$3001,597,$B$1)),INT(INDEX(貼り付け!$A$1:$BZ$3001,597,$B$1)),DATE(VALUE(LEFT(I598,FIND("-",I598)-1)),VALUE(LEFT(J598,FIND("-",J598)-1)),VALUE(MID(J598,FIND("-",J598)+1,99)))))),"")</f>
        <v/>
      </c>
      <c r="C598">
        <f>IF($C$1=0,0,IFERROR(VALUE(SUBSTITUTE(SUBSTITUTE(SUBSTITUTE(INDEX(貼り付け!$A$1:$BZ$3001,597,$C$1)&amp;"",",",""),"¥",""),"￥","")),0))</f>
        <v/>
      </c>
      <c r="D598">
        <f>IF($D$1=0,0,IFERROR(VALUE(SUBSTITUTE(SUBSTITUTE(SUBSTITUTE(INDEX(貼り付け!$A$1:$BZ$3001,597,$D$1)&amp;"",",",""),"¥",""),"￥","")),0))</f>
        <v/>
      </c>
      <c r="E598">
        <f>IF($E$1=0,0,IFERROR(VALUE(SUBSTITUTE(SUBSTITUTE(SUBSTITUTE(INDEX(貼り付け!$A$1:$BZ$3001,597,$E$1)&amp;"",",",""),"¥",""),"￥","")),0))</f>
        <v/>
      </c>
      <c r="F598">
        <f>IF($F$1=0,0,IFERROR(VALUE(SUBSTITUTE(SUBSTITUTE(SUBSTITUTE(INDEX(貼り付け!$A$1:$BZ$3001,597,$F$1)&amp;"",",",""),"¥",""),"￥","")),0))</f>
        <v/>
      </c>
      <c r="G598">
        <f>IF(ISNUMBER(B598),YEAR(B598),"")</f>
        <v/>
      </c>
      <c r="H598">
        <f>IF(ISNUMBER(B598),MONTH(B598),"")</f>
        <v/>
      </c>
      <c r="I598">
        <f>IFERROR(IF($B$1=0,"",IF(ISNUMBER(INDEX(貼り付け!$A$1:$BZ$3001,597,$B$1)),"",SUBSTITUTE(SUBSTITUTE(SUBSTITUTE(SUBSTITUTE(TRIM(LEFT(INDEX(貼り付け!$A$1:$BZ$3001,597,$B$1)&amp;"",FIND(" ",TRIM(INDEX(貼り付け!$A$1:$BZ$3001,597,$B$1)&amp;"")&amp;" ")-1)),"/","-"),"年","-"),"月","-"),"日",""))),"")</f>
        <v/>
      </c>
      <c r="J598">
        <f>IFERROR(MID(I598,FIND("-",I598)+1,99),"")</f>
        <v/>
      </c>
    </row>
    <row r="599">
      <c r="B599">
        <f>IFERROR(IF($B$1=0,"",IF(INDEX(貼り付け!$A$1:$BZ$3001,598,$B$1)="","",IF(ISNUMBER(INDEX(貼り付け!$A$1:$BZ$3001,598,$B$1)),INT(INDEX(貼り付け!$A$1:$BZ$3001,598,$B$1)),DATE(VALUE(LEFT(I599,FIND("-",I599)-1)),VALUE(LEFT(J599,FIND("-",J599)-1)),VALUE(MID(J599,FIND("-",J599)+1,99)))))),"")</f>
        <v/>
      </c>
      <c r="C599">
        <f>IF($C$1=0,0,IFERROR(VALUE(SUBSTITUTE(SUBSTITUTE(SUBSTITUTE(INDEX(貼り付け!$A$1:$BZ$3001,598,$C$1)&amp;"",",",""),"¥",""),"￥","")),0))</f>
        <v/>
      </c>
      <c r="D599">
        <f>IF($D$1=0,0,IFERROR(VALUE(SUBSTITUTE(SUBSTITUTE(SUBSTITUTE(INDEX(貼り付け!$A$1:$BZ$3001,598,$D$1)&amp;"",",",""),"¥",""),"￥","")),0))</f>
        <v/>
      </c>
      <c r="E599">
        <f>IF($E$1=0,0,IFERROR(VALUE(SUBSTITUTE(SUBSTITUTE(SUBSTITUTE(INDEX(貼り付け!$A$1:$BZ$3001,598,$E$1)&amp;"",",",""),"¥",""),"￥","")),0))</f>
        <v/>
      </c>
      <c r="F599">
        <f>IF($F$1=0,0,IFERROR(VALUE(SUBSTITUTE(SUBSTITUTE(SUBSTITUTE(INDEX(貼り付け!$A$1:$BZ$3001,598,$F$1)&amp;"",",",""),"¥",""),"￥","")),0))</f>
        <v/>
      </c>
      <c r="G599">
        <f>IF(ISNUMBER(B599),YEAR(B599),"")</f>
        <v/>
      </c>
      <c r="H599">
        <f>IF(ISNUMBER(B599),MONTH(B599),"")</f>
        <v/>
      </c>
      <c r="I599">
        <f>IFERROR(IF($B$1=0,"",IF(ISNUMBER(INDEX(貼り付け!$A$1:$BZ$3001,598,$B$1)),"",SUBSTITUTE(SUBSTITUTE(SUBSTITUTE(SUBSTITUTE(TRIM(LEFT(INDEX(貼り付け!$A$1:$BZ$3001,598,$B$1)&amp;"",FIND(" ",TRIM(INDEX(貼り付け!$A$1:$BZ$3001,598,$B$1)&amp;"")&amp;" ")-1)),"/","-"),"年","-"),"月","-"),"日",""))),"")</f>
        <v/>
      </c>
      <c r="J599">
        <f>IFERROR(MID(I599,FIND("-",I599)+1,99),"")</f>
        <v/>
      </c>
    </row>
    <row r="600">
      <c r="B600">
        <f>IFERROR(IF($B$1=0,"",IF(INDEX(貼り付け!$A$1:$BZ$3001,599,$B$1)="","",IF(ISNUMBER(INDEX(貼り付け!$A$1:$BZ$3001,599,$B$1)),INT(INDEX(貼り付け!$A$1:$BZ$3001,599,$B$1)),DATE(VALUE(LEFT(I600,FIND("-",I600)-1)),VALUE(LEFT(J600,FIND("-",J600)-1)),VALUE(MID(J600,FIND("-",J600)+1,99)))))),"")</f>
        <v/>
      </c>
      <c r="C600">
        <f>IF($C$1=0,0,IFERROR(VALUE(SUBSTITUTE(SUBSTITUTE(SUBSTITUTE(INDEX(貼り付け!$A$1:$BZ$3001,599,$C$1)&amp;"",",",""),"¥",""),"￥","")),0))</f>
        <v/>
      </c>
      <c r="D600">
        <f>IF($D$1=0,0,IFERROR(VALUE(SUBSTITUTE(SUBSTITUTE(SUBSTITUTE(INDEX(貼り付け!$A$1:$BZ$3001,599,$D$1)&amp;"",",",""),"¥",""),"￥","")),0))</f>
        <v/>
      </c>
      <c r="E600">
        <f>IF($E$1=0,0,IFERROR(VALUE(SUBSTITUTE(SUBSTITUTE(SUBSTITUTE(INDEX(貼り付け!$A$1:$BZ$3001,599,$E$1)&amp;"",",",""),"¥",""),"￥","")),0))</f>
        <v/>
      </c>
      <c r="F600">
        <f>IF($F$1=0,0,IFERROR(VALUE(SUBSTITUTE(SUBSTITUTE(SUBSTITUTE(INDEX(貼り付け!$A$1:$BZ$3001,599,$F$1)&amp;"",",",""),"¥",""),"￥","")),0))</f>
        <v/>
      </c>
      <c r="G600">
        <f>IF(ISNUMBER(B600),YEAR(B600),"")</f>
        <v/>
      </c>
      <c r="H600">
        <f>IF(ISNUMBER(B600),MONTH(B600),"")</f>
        <v/>
      </c>
      <c r="I600">
        <f>IFERROR(IF($B$1=0,"",IF(ISNUMBER(INDEX(貼り付け!$A$1:$BZ$3001,599,$B$1)),"",SUBSTITUTE(SUBSTITUTE(SUBSTITUTE(SUBSTITUTE(TRIM(LEFT(INDEX(貼り付け!$A$1:$BZ$3001,599,$B$1)&amp;"",FIND(" ",TRIM(INDEX(貼り付け!$A$1:$BZ$3001,599,$B$1)&amp;"")&amp;" ")-1)),"/","-"),"年","-"),"月","-"),"日",""))),"")</f>
        <v/>
      </c>
      <c r="J600">
        <f>IFERROR(MID(I600,FIND("-",I600)+1,99),"")</f>
        <v/>
      </c>
    </row>
    <row r="601">
      <c r="B601">
        <f>IFERROR(IF($B$1=0,"",IF(INDEX(貼り付け!$A$1:$BZ$3001,600,$B$1)="","",IF(ISNUMBER(INDEX(貼り付け!$A$1:$BZ$3001,600,$B$1)),INT(INDEX(貼り付け!$A$1:$BZ$3001,600,$B$1)),DATE(VALUE(LEFT(I601,FIND("-",I601)-1)),VALUE(LEFT(J601,FIND("-",J601)-1)),VALUE(MID(J601,FIND("-",J601)+1,99)))))),"")</f>
        <v/>
      </c>
      <c r="C601">
        <f>IF($C$1=0,0,IFERROR(VALUE(SUBSTITUTE(SUBSTITUTE(SUBSTITUTE(INDEX(貼り付け!$A$1:$BZ$3001,600,$C$1)&amp;"",",",""),"¥",""),"￥","")),0))</f>
        <v/>
      </c>
      <c r="D601">
        <f>IF($D$1=0,0,IFERROR(VALUE(SUBSTITUTE(SUBSTITUTE(SUBSTITUTE(INDEX(貼り付け!$A$1:$BZ$3001,600,$D$1)&amp;"",",",""),"¥",""),"￥","")),0))</f>
        <v/>
      </c>
      <c r="E601">
        <f>IF($E$1=0,0,IFERROR(VALUE(SUBSTITUTE(SUBSTITUTE(SUBSTITUTE(INDEX(貼り付け!$A$1:$BZ$3001,600,$E$1)&amp;"",",",""),"¥",""),"￥","")),0))</f>
        <v/>
      </c>
      <c r="F601">
        <f>IF($F$1=0,0,IFERROR(VALUE(SUBSTITUTE(SUBSTITUTE(SUBSTITUTE(INDEX(貼り付け!$A$1:$BZ$3001,600,$F$1)&amp;"",",",""),"¥",""),"￥","")),0))</f>
        <v/>
      </c>
      <c r="G601">
        <f>IF(ISNUMBER(B601),YEAR(B601),"")</f>
        <v/>
      </c>
      <c r="H601">
        <f>IF(ISNUMBER(B601),MONTH(B601),"")</f>
        <v/>
      </c>
      <c r="I601">
        <f>IFERROR(IF($B$1=0,"",IF(ISNUMBER(INDEX(貼り付け!$A$1:$BZ$3001,600,$B$1)),"",SUBSTITUTE(SUBSTITUTE(SUBSTITUTE(SUBSTITUTE(TRIM(LEFT(INDEX(貼り付け!$A$1:$BZ$3001,600,$B$1)&amp;"",FIND(" ",TRIM(INDEX(貼り付け!$A$1:$BZ$3001,600,$B$1)&amp;"")&amp;" ")-1)),"/","-"),"年","-"),"月","-"),"日",""))),"")</f>
        <v/>
      </c>
      <c r="J601">
        <f>IFERROR(MID(I601,FIND("-",I601)+1,99),"")</f>
        <v/>
      </c>
    </row>
    <row r="602">
      <c r="B602">
        <f>IFERROR(IF($B$1=0,"",IF(INDEX(貼り付け!$A$1:$BZ$3001,601,$B$1)="","",IF(ISNUMBER(INDEX(貼り付け!$A$1:$BZ$3001,601,$B$1)),INT(INDEX(貼り付け!$A$1:$BZ$3001,601,$B$1)),DATE(VALUE(LEFT(I602,FIND("-",I602)-1)),VALUE(LEFT(J602,FIND("-",J602)-1)),VALUE(MID(J602,FIND("-",J602)+1,99)))))),"")</f>
        <v/>
      </c>
      <c r="C602">
        <f>IF($C$1=0,0,IFERROR(VALUE(SUBSTITUTE(SUBSTITUTE(SUBSTITUTE(INDEX(貼り付け!$A$1:$BZ$3001,601,$C$1)&amp;"",",",""),"¥",""),"￥","")),0))</f>
        <v/>
      </c>
      <c r="D602">
        <f>IF($D$1=0,0,IFERROR(VALUE(SUBSTITUTE(SUBSTITUTE(SUBSTITUTE(INDEX(貼り付け!$A$1:$BZ$3001,601,$D$1)&amp;"",",",""),"¥",""),"￥","")),0))</f>
        <v/>
      </c>
      <c r="E602">
        <f>IF($E$1=0,0,IFERROR(VALUE(SUBSTITUTE(SUBSTITUTE(SUBSTITUTE(INDEX(貼り付け!$A$1:$BZ$3001,601,$E$1)&amp;"",",",""),"¥",""),"￥","")),0))</f>
        <v/>
      </c>
      <c r="F602">
        <f>IF($F$1=0,0,IFERROR(VALUE(SUBSTITUTE(SUBSTITUTE(SUBSTITUTE(INDEX(貼り付け!$A$1:$BZ$3001,601,$F$1)&amp;"",",",""),"¥",""),"￥","")),0))</f>
        <v/>
      </c>
      <c r="G602">
        <f>IF(ISNUMBER(B602),YEAR(B602),"")</f>
        <v/>
      </c>
      <c r="H602">
        <f>IF(ISNUMBER(B602),MONTH(B602),"")</f>
        <v/>
      </c>
      <c r="I602">
        <f>IFERROR(IF($B$1=0,"",IF(ISNUMBER(INDEX(貼り付け!$A$1:$BZ$3001,601,$B$1)),"",SUBSTITUTE(SUBSTITUTE(SUBSTITUTE(SUBSTITUTE(TRIM(LEFT(INDEX(貼り付け!$A$1:$BZ$3001,601,$B$1)&amp;"",FIND(" ",TRIM(INDEX(貼り付け!$A$1:$BZ$3001,601,$B$1)&amp;"")&amp;" ")-1)),"/","-"),"年","-"),"月","-"),"日",""))),"")</f>
        <v/>
      </c>
      <c r="J602">
        <f>IFERROR(MID(I602,FIND("-",I602)+1,99),"")</f>
        <v/>
      </c>
    </row>
    <row r="603">
      <c r="B603">
        <f>IFERROR(IF($B$1=0,"",IF(INDEX(貼り付け!$A$1:$BZ$3001,602,$B$1)="","",IF(ISNUMBER(INDEX(貼り付け!$A$1:$BZ$3001,602,$B$1)),INT(INDEX(貼り付け!$A$1:$BZ$3001,602,$B$1)),DATE(VALUE(LEFT(I603,FIND("-",I603)-1)),VALUE(LEFT(J603,FIND("-",J603)-1)),VALUE(MID(J603,FIND("-",J603)+1,99)))))),"")</f>
        <v/>
      </c>
      <c r="C603">
        <f>IF($C$1=0,0,IFERROR(VALUE(SUBSTITUTE(SUBSTITUTE(SUBSTITUTE(INDEX(貼り付け!$A$1:$BZ$3001,602,$C$1)&amp;"",",",""),"¥",""),"￥","")),0))</f>
        <v/>
      </c>
      <c r="D603">
        <f>IF($D$1=0,0,IFERROR(VALUE(SUBSTITUTE(SUBSTITUTE(SUBSTITUTE(INDEX(貼り付け!$A$1:$BZ$3001,602,$D$1)&amp;"",",",""),"¥",""),"￥","")),0))</f>
        <v/>
      </c>
      <c r="E603">
        <f>IF($E$1=0,0,IFERROR(VALUE(SUBSTITUTE(SUBSTITUTE(SUBSTITUTE(INDEX(貼り付け!$A$1:$BZ$3001,602,$E$1)&amp;"",",",""),"¥",""),"￥","")),0))</f>
        <v/>
      </c>
      <c r="F603">
        <f>IF($F$1=0,0,IFERROR(VALUE(SUBSTITUTE(SUBSTITUTE(SUBSTITUTE(INDEX(貼り付け!$A$1:$BZ$3001,602,$F$1)&amp;"",",",""),"¥",""),"￥","")),0))</f>
        <v/>
      </c>
      <c r="G603">
        <f>IF(ISNUMBER(B603),YEAR(B603),"")</f>
        <v/>
      </c>
      <c r="H603">
        <f>IF(ISNUMBER(B603),MONTH(B603),"")</f>
        <v/>
      </c>
      <c r="I603">
        <f>IFERROR(IF($B$1=0,"",IF(ISNUMBER(INDEX(貼り付け!$A$1:$BZ$3001,602,$B$1)),"",SUBSTITUTE(SUBSTITUTE(SUBSTITUTE(SUBSTITUTE(TRIM(LEFT(INDEX(貼り付け!$A$1:$BZ$3001,602,$B$1)&amp;"",FIND(" ",TRIM(INDEX(貼り付け!$A$1:$BZ$3001,602,$B$1)&amp;"")&amp;" ")-1)),"/","-"),"年","-"),"月","-"),"日",""))),"")</f>
        <v/>
      </c>
      <c r="J603">
        <f>IFERROR(MID(I603,FIND("-",I603)+1,99),"")</f>
        <v/>
      </c>
    </row>
    <row r="604">
      <c r="B604">
        <f>IFERROR(IF($B$1=0,"",IF(INDEX(貼り付け!$A$1:$BZ$3001,603,$B$1)="","",IF(ISNUMBER(INDEX(貼り付け!$A$1:$BZ$3001,603,$B$1)),INT(INDEX(貼り付け!$A$1:$BZ$3001,603,$B$1)),DATE(VALUE(LEFT(I604,FIND("-",I604)-1)),VALUE(LEFT(J604,FIND("-",J604)-1)),VALUE(MID(J604,FIND("-",J604)+1,99)))))),"")</f>
        <v/>
      </c>
      <c r="C604">
        <f>IF($C$1=0,0,IFERROR(VALUE(SUBSTITUTE(SUBSTITUTE(SUBSTITUTE(INDEX(貼り付け!$A$1:$BZ$3001,603,$C$1)&amp;"",",",""),"¥",""),"￥","")),0))</f>
        <v/>
      </c>
      <c r="D604">
        <f>IF($D$1=0,0,IFERROR(VALUE(SUBSTITUTE(SUBSTITUTE(SUBSTITUTE(INDEX(貼り付け!$A$1:$BZ$3001,603,$D$1)&amp;"",",",""),"¥",""),"￥","")),0))</f>
        <v/>
      </c>
      <c r="E604">
        <f>IF($E$1=0,0,IFERROR(VALUE(SUBSTITUTE(SUBSTITUTE(SUBSTITUTE(INDEX(貼り付け!$A$1:$BZ$3001,603,$E$1)&amp;"",",",""),"¥",""),"￥","")),0))</f>
        <v/>
      </c>
      <c r="F604">
        <f>IF($F$1=0,0,IFERROR(VALUE(SUBSTITUTE(SUBSTITUTE(SUBSTITUTE(INDEX(貼り付け!$A$1:$BZ$3001,603,$F$1)&amp;"",",",""),"¥",""),"￥","")),0))</f>
        <v/>
      </c>
      <c r="G604">
        <f>IF(ISNUMBER(B604),YEAR(B604),"")</f>
        <v/>
      </c>
      <c r="H604">
        <f>IF(ISNUMBER(B604),MONTH(B604),"")</f>
        <v/>
      </c>
      <c r="I604">
        <f>IFERROR(IF($B$1=0,"",IF(ISNUMBER(INDEX(貼り付け!$A$1:$BZ$3001,603,$B$1)),"",SUBSTITUTE(SUBSTITUTE(SUBSTITUTE(SUBSTITUTE(TRIM(LEFT(INDEX(貼り付け!$A$1:$BZ$3001,603,$B$1)&amp;"",FIND(" ",TRIM(INDEX(貼り付け!$A$1:$BZ$3001,603,$B$1)&amp;"")&amp;" ")-1)),"/","-"),"年","-"),"月","-"),"日",""))),"")</f>
        <v/>
      </c>
      <c r="J604">
        <f>IFERROR(MID(I604,FIND("-",I604)+1,99),"")</f>
        <v/>
      </c>
    </row>
    <row r="605">
      <c r="B605">
        <f>IFERROR(IF($B$1=0,"",IF(INDEX(貼り付け!$A$1:$BZ$3001,604,$B$1)="","",IF(ISNUMBER(INDEX(貼り付け!$A$1:$BZ$3001,604,$B$1)),INT(INDEX(貼り付け!$A$1:$BZ$3001,604,$B$1)),DATE(VALUE(LEFT(I605,FIND("-",I605)-1)),VALUE(LEFT(J605,FIND("-",J605)-1)),VALUE(MID(J605,FIND("-",J605)+1,99)))))),"")</f>
        <v/>
      </c>
      <c r="C605">
        <f>IF($C$1=0,0,IFERROR(VALUE(SUBSTITUTE(SUBSTITUTE(SUBSTITUTE(INDEX(貼り付け!$A$1:$BZ$3001,604,$C$1)&amp;"",",",""),"¥",""),"￥","")),0))</f>
        <v/>
      </c>
      <c r="D605">
        <f>IF($D$1=0,0,IFERROR(VALUE(SUBSTITUTE(SUBSTITUTE(SUBSTITUTE(INDEX(貼り付け!$A$1:$BZ$3001,604,$D$1)&amp;"",",",""),"¥",""),"￥","")),0))</f>
        <v/>
      </c>
      <c r="E605">
        <f>IF($E$1=0,0,IFERROR(VALUE(SUBSTITUTE(SUBSTITUTE(SUBSTITUTE(INDEX(貼り付け!$A$1:$BZ$3001,604,$E$1)&amp;"",",",""),"¥",""),"￥","")),0))</f>
        <v/>
      </c>
      <c r="F605">
        <f>IF($F$1=0,0,IFERROR(VALUE(SUBSTITUTE(SUBSTITUTE(SUBSTITUTE(INDEX(貼り付け!$A$1:$BZ$3001,604,$F$1)&amp;"",",",""),"¥",""),"￥","")),0))</f>
        <v/>
      </c>
      <c r="G605">
        <f>IF(ISNUMBER(B605),YEAR(B605),"")</f>
        <v/>
      </c>
      <c r="H605">
        <f>IF(ISNUMBER(B605),MONTH(B605),"")</f>
        <v/>
      </c>
      <c r="I605">
        <f>IFERROR(IF($B$1=0,"",IF(ISNUMBER(INDEX(貼り付け!$A$1:$BZ$3001,604,$B$1)),"",SUBSTITUTE(SUBSTITUTE(SUBSTITUTE(SUBSTITUTE(TRIM(LEFT(INDEX(貼り付け!$A$1:$BZ$3001,604,$B$1)&amp;"",FIND(" ",TRIM(INDEX(貼り付け!$A$1:$BZ$3001,604,$B$1)&amp;"")&amp;" ")-1)),"/","-"),"年","-"),"月","-"),"日",""))),"")</f>
        <v/>
      </c>
      <c r="J605">
        <f>IFERROR(MID(I605,FIND("-",I605)+1,99),"")</f>
        <v/>
      </c>
    </row>
    <row r="606">
      <c r="B606">
        <f>IFERROR(IF($B$1=0,"",IF(INDEX(貼り付け!$A$1:$BZ$3001,605,$B$1)="","",IF(ISNUMBER(INDEX(貼り付け!$A$1:$BZ$3001,605,$B$1)),INT(INDEX(貼り付け!$A$1:$BZ$3001,605,$B$1)),DATE(VALUE(LEFT(I606,FIND("-",I606)-1)),VALUE(LEFT(J606,FIND("-",J606)-1)),VALUE(MID(J606,FIND("-",J606)+1,99)))))),"")</f>
        <v/>
      </c>
      <c r="C606">
        <f>IF($C$1=0,0,IFERROR(VALUE(SUBSTITUTE(SUBSTITUTE(SUBSTITUTE(INDEX(貼り付け!$A$1:$BZ$3001,605,$C$1)&amp;"",",",""),"¥",""),"￥","")),0))</f>
        <v/>
      </c>
      <c r="D606">
        <f>IF($D$1=0,0,IFERROR(VALUE(SUBSTITUTE(SUBSTITUTE(SUBSTITUTE(INDEX(貼り付け!$A$1:$BZ$3001,605,$D$1)&amp;"",",",""),"¥",""),"￥","")),0))</f>
        <v/>
      </c>
      <c r="E606">
        <f>IF($E$1=0,0,IFERROR(VALUE(SUBSTITUTE(SUBSTITUTE(SUBSTITUTE(INDEX(貼り付け!$A$1:$BZ$3001,605,$E$1)&amp;"",",",""),"¥",""),"￥","")),0))</f>
        <v/>
      </c>
      <c r="F606">
        <f>IF($F$1=0,0,IFERROR(VALUE(SUBSTITUTE(SUBSTITUTE(SUBSTITUTE(INDEX(貼り付け!$A$1:$BZ$3001,605,$F$1)&amp;"",",",""),"¥",""),"￥","")),0))</f>
        <v/>
      </c>
      <c r="G606">
        <f>IF(ISNUMBER(B606),YEAR(B606),"")</f>
        <v/>
      </c>
      <c r="H606">
        <f>IF(ISNUMBER(B606),MONTH(B606),"")</f>
        <v/>
      </c>
      <c r="I606">
        <f>IFERROR(IF($B$1=0,"",IF(ISNUMBER(INDEX(貼り付け!$A$1:$BZ$3001,605,$B$1)),"",SUBSTITUTE(SUBSTITUTE(SUBSTITUTE(SUBSTITUTE(TRIM(LEFT(INDEX(貼り付け!$A$1:$BZ$3001,605,$B$1)&amp;"",FIND(" ",TRIM(INDEX(貼り付け!$A$1:$BZ$3001,605,$B$1)&amp;"")&amp;" ")-1)),"/","-"),"年","-"),"月","-"),"日",""))),"")</f>
        <v/>
      </c>
      <c r="J606">
        <f>IFERROR(MID(I606,FIND("-",I606)+1,99),"")</f>
        <v/>
      </c>
    </row>
    <row r="607">
      <c r="B607">
        <f>IFERROR(IF($B$1=0,"",IF(INDEX(貼り付け!$A$1:$BZ$3001,606,$B$1)="","",IF(ISNUMBER(INDEX(貼り付け!$A$1:$BZ$3001,606,$B$1)),INT(INDEX(貼り付け!$A$1:$BZ$3001,606,$B$1)),DATE(VALUE(LEFT(I607,FIND("-",I607)-1)),VALUE(LEFT(J607,FIND("-",J607)-1)),VALUE(MID(J607,FIND("-",J607)+1,99)))))),"")</f>
        <v/>
      </c>
      <c r="C607">
        <f>IF($C$1=0,0,IFERROR(VALUE(SUBSTITUTE(SUBSTITUTE(SUBSTITUTE(INDEX(貼り付け!$A$1:$BZ$3001,606,$C$1)&amp;"",",",""),"¥",""),"￥","")),0))</f>
        <v/>
      </c>
      <c r="D607">
        <f>IF($D$1=0,0,IFERROR(VALUE(SUBSTITUTE(SUBSTITUTE(SUBSTITUTE(INDEX(貼り付け!$A$1:$BZ$3001,606,$D$1)&amp;"",",",""),"¥",""),"￥","")),0))</f>
        <v/>
      </c>
      <c r="E607">
        <f>IF($E$1=0,0,IFERROR(VALUE(SUBSTITUTE(SUBSTITUTE(SUBSTITUTE(INDEX(貼り付け!$A$1:$BZ$3001,606,$E$1)&amp;"",",",""),"¥",""),"￥","")),0))</f>
        <v/>
      </c>
      <c r="F607">
        <f>IF($F$1=0,0,IFERROR(VALUE(SUBSTITUTE(SUBSTITUTE(SUBSTITUTE(INDEX(貼り付け!$A$1:$BZ$3001,606,$F$1)&amp;"",",",""),"¥",""),"￥","")),0))</f>
        <v/>
      </c>
      <c r="G607">
        <f>IF(ISNUMBER(B607),YEAR(B607),"")</f>
        <v/>
      </c>
      <c r="H607">
        <f>IF(ISNUMBER(B607),MONTH(B607),"")</f>
        <v/>
      </c>
      <c r="I607">
        <f>IFERROR(IF($B$1=0,"",IF(ISNUMBER(INDEX(貼り付け!$A$1:$BZ$3001,606,$B$1)),"",SUBSTITUTE(SUBSTITUTE(SUBSTITUTE(SUBSTITUTE(TRIM(LEFT(INDEX(貼り付け!$A$1:$BZ$3001,606,$B$1)&amp;"",FIND(" ",TRIM(INDEX(貼り付け!$A$1:$BZ$3001,606,$B$1)&amp;"")&amp;" ")-1)),"/","-"),"年","-"),"月","-"),"日",""))),"")</f>
        <v/>
      </c>
      <c r="J607">
        <f>IFERROR(MID(I607,FIND("-",I607)+1,99),"")</f>
        <v/>
      </c>
    </row>
    <row r="608">
      <c r="B608">
        <f>IFERROR(IF($B$1=0,"",IF(INDEX(貼り付け!$A$1:$BZ$3001,607,$B$1)="","",IF(ISNUMBER(INDEX(貼り付け!$A$1:$BZ$3001,607,$B$1)),INT(INDEX(貼り付け!$A$1:$BZ$3001,607,$B$1)),DATE(VALUE(LEFT(I608,FIND("-",I608)-1)),VALUE(LEFT(J608,FIND("-",J608)-1)),VALUE(MID(J608,FIND("-",J608)+1,99)))))),"")</f>
        <v/>
      </c>
      <c r="C608">
        <f>IF($C$1=0,0,IFERROR(VALUE(SUBSTITUTE(SUBSTITUTE(SUBSTITUTE(INDEX(貼り付け!$A$1:$BZ$3001,607,$C$1)&amp;"",",",""),"¥",""),"￥","")),0))</f>
        <v/>
      </c>
      <c r="D608">
        <f>IF($D$1=0,0,IFERROR(VALUE(SUBSTITUTE(SUBSTITUTE(SUBSTITUTE(INDEX(貼り付け!$A$1:$BZ$3001,607,$D$1)&amp;"",",",""),"¥",""),"￥","")),0))</f>
        <v/>
      </c>
      <c r="E608">
        <f>IF($E$1=0,0,IFERROR(VALUE(SUBSTITUTE(SUBSTITUTE(SUBSTITUTE(INDEX(貼り付け!$A$1:$BZ$3001,607,$E$1)&amp;"",",",""),"¥",""),"￥","")),0))</f>
        <v/>
      </c>
      <c r="F608">
        <f>IF($F$1=0,0,IFERROR(VALUE(SUBSTITUTE(SUBSTITUTE(SUBSTITUTE(INDEX(貼り付け!$A$1:$BZ$3001,607,$F$1)&amp;"",",",""),"¥",""),"￥","")),0))</f>
        <v/>
      </c>
      <c r="G608">
        <f>IF(ISNUMBER(B608),YEAR(B608),"")</f>
        <v/>
      </c>
      <c r="H608">
        <f>IF(ISNUMBER(B608),MONTH(B608),"")</f>
        <v/>
      </c>
      <c r="I608">
        <f>IFERROR(IF($B$1=0,"",IF(ISNUMBER(INDEX(貼り付け!$A$1:$BZ$3001,607,$B$1)),"",SUBSTITUTE(SUBSTITUTE(SUBSTITUTE(SUBSTITUTE(TRIM(LEFT(INDEX(貼り付け!$A$1:$BZ$3001,607,$B$1)&amp;"",FIND(" ",TRIM(INDEX(貼り付け!$A$1:$BZ$3001,607,$B$1)&amp;"")&amp;" ")-1)),"/","-"),"年","-"),"月","-"),"日",""))),"")</f>
        <v/>
      </c>
      <c r="J608">
        <f>IFERROR(MID(I608,FIND("-",I608)+1,99),"")</f>
        <v/>
      </c>
    </row>
    <row r="609">
      <c r="B609">
        <f>IFERROR(IF($B$1=0,"",IF(INDEX(貼り付け!$A$1:$BZ$3001,608,$B$1)="","",IF(ISNUMBER(INDEX(貼り付け!$A$1:$BZ$3001,608,$B$1)),INT(INDEX(貼り付け!$A$1:$BZ$3001,608,$B$1)),DATE(VALUE(LEFT(I609,FIND("-",I609)-1)),VALUE(LEFT(J609,FIND("-",J609)-1)),VALUE(MID(J609,FIND("-",J609)+1,99)))))),"")</f>
        <v/>
      </c>
      <c r="C609">
        <f>IF($C$1=0,0,IFERROR(VALUE(SUBSTITUTE(SUBSTITUTE(SUBSTITUTE(INDEX(貼り付け!$A$1:$BZ$3001,608,$C$1)&amp;"",",",""),"¥",""),"￥","")),0))</f>
        <v/>
      </c>
      <c r="D609">
        <f>IF($D$1=0,0,IFERROR(VALUE(SUBSTITUTE(SUBSTITUTE(SUBSTITUTE(INDEX(貼り付け!$A$1:$BZ$3001,608,$D$1)&amp;"",",",""),"¥",""),"￥","")),0))</f>
        <v/>
      </c>
      <c r="E609">
        <f>IF($E$1=0,0,IFERROR(VALUE(SUBSTITUTE(SUBSTITUTE(SUBSTITUTE(INDEX(貼り付け!$A$1:$BZ$3001,608,$E$1)&amp;"",",",""),"¥",""),"￥","")),0))</f>
        <v/>
      </c>
      <c r="F609">
        <f>IF($F$1=0,0,IFERROR(VALUE(SUBSTITUTE(SUBSTITUTE(SUBSTITUTE(INDEX(貼り付け!$A$1:$BZ$3001,608,$F$1)&amp;"",",",""),"¥",""),"￥","")),0))</f>
        <v/>
      </c>
      <c r="G609">
        <f>IF(ISNUMBER(B609),YEAR(B609),"")</f>
        <v/>
      </c>
      <c r="H609">
        <f>IF(ISNUMBER(B609),MONTH(B609),"")</f>
        <v/>
      </c>
      <c r="I609">
        <f>IFERROR(IF($B$1=0,"",IF(ISNUMBER(INDEX(貼り付け!$A$1:$BZ$3001,608,$B$1)),"",SUBSTITUTE(SUBSTITUTE(SUBSTITUTE(SUBSTITUTE(TRIM(LEFT(INDEX(貼り付け!$A$1:$BZ$3001,608,$B$1)&amp;"",FIND(" ",TRIM(INDEX(貼り付け!$A$1:$BZ$3001,608,$B$1)&amp;"")&amp;" ")-1)),"/","-"),"年","-"),"月","-"),"日",""))),"")</f>
        <v/>
      </c>
      <c r="J609">
        <f>IFERROR(MID(I609,FIND("-",I609)+1,99),"")</f>
        <v/>
      </c>
    </row>
    <row r="610">
      <c r="B610">
        <f>IFERROR(IF($B$1=0,"",IF(INDEX(貼り付け!$A$1:$BZ$3001,609,$B$1)="","",IF(ISNUMBER(INDEX(貼り付け!$A$1:$BZ$3001,609,$B$1)),INT(INDEX(貼り付け!$A$1:$BZ$3001,609,$B$1)),DATE(VALUE(LEFT(I610,FIND("-",I610)-1)),VALUE(LEFT(J610,FIND("-",J610)-1)),VALUE(MID(J610,FIND("-",J610)+1,99)))))),"")</f>
        <v/>
      </c>
      <c r="C610">
        <f>IF($C$1=0,0,IFERROR(VALUE(SUBSTITUTE(SUBSTITUTE(SUBSTITUTE(INDEX(貼り付け!$A$1:$BZ$3001,609,$C$1)&amp;"",",",""),"¥",""),"￥","")),0))</f>
        <v/>
      </c>
      <c r="D610">
        <f>IF($D$1=0,0,IFERROR(VALUE(SUBSTITUTE(SUBSTITUTE(SUBSTITUTE(INDEX(貼り付け!$A$1:$BZ$3001,609,$D$1)&amp;"",",",""),"¥",""),"￥","")),0))</f>
        <v/>
      </c>
      <c r="E610">
        <f>IF($E$1=0,0,IFERROR(VALUE(SUBSTITUTE(SUBSTITUTE(SUBSTITUTE(INDEX(貼り付け!$A$1:$BZ$3001,609,$E$1)&amp;"",",",""),"¥",""),"￥","")),0))</f>
        <v/>
      </c>
      <c r="F610">
        <f>IF($F$1=0,0,IFERROR(VALUE(SUBSTITUTE(SUBSTITUTE(SUBSTITUTE(INDEX(貼り付け!$A$1:$BZ$3001,609,$F$1)&amp;"",",",""),"¥",""),"￥","")),0))</f>
        <v/>
      </c>
      <c r="G610">
        <f>IF(ISNUMBER(B610),YEAR(B610),"")</f>
        <v/>
      </c>
      <c r="H610">
        <f>IF(ISNUMBER(B610),MONTH(B610),"")</f>
        <v/>
      </c>
      <c r="I610">
        <f>IFERROR(IF($B$1=0,"",IF(ISNUMBER(INDEX(貼り付け!$A$1:$BZ$3001,609,$B$1)),"",SUBSTITUTE(SUBSTITUTE(SUBSTITUTE(SUBSTITUTE(TRIM(LEFT(INDEX(貼り付け!$A$1:$BZ$3001,609,$B$1)&amp;"",FIND(" ",TRIM(INDEX(貼り付け!$A$1:$BZ$3001,609,$B$1)&amp;"")&amp;" ")-1)),"/","-"),"年","-"),"月","-"),"日",""))),"")</f>
        <v/>
      </c>
      <c r="J610">
        <f>IFERROR(MID(I610,FIND("-",I610)+1,99),"")</f>
        <v/>
      </c>
    </row>
    <row r="611">
      <c r="B611">
        <f>IFERROR(IF($B$1=0,"",IF(INDEX(貼り付け!$A$1:$BZ$3001,610,$B$1)="","",IF(ISNUMBER(INDEX(貼り付け!$A$1:$BZ$3001,610,$B$1)),INT(INDEX(貼り付け!$A$1:$BZ$3001,610,$B$1)),DATE(VALUE(LEFT(I611,FIND("-",I611)-1)),VALUE(LEFT(J611,FIND("-",J611)-1)),VALUE(MID(J611,FIND("-",J611)+1,99)))))),"")</f>
        <v/>
      </c>
      <c r="C611">
        <f>IF($C$1=0,0,IFERROR(VALUE(SUBSTITUTE(SUBSTITUTE(SUBSTITUTE(INDEX(貼り付け!$A$1:$BZ$3001,610,$C$1)&amp;"",",",""),"¥",""),"￥","")),0))</f>
        <v/>
      </c>
      <c r="D611">
        <f>IF($D$1=0,0,IFERROR(VALUE(SUBSTITUTE(SUBSTITUTE(SUBSTITUTE(INDEX(貼り付け!$A$1:$BZ$3001,610,$D$1)&amp;"",",",""),"¥",""),"￥","")),0))</f>
        <v/>
      </c>
      <c r="E611">
        <f>IF($E$1=0,0,IFERROR(VALUE(SUBSTITUTE(SUBSTITUTE(SUBSTITUTE(INDEX(貼り付け!$A$1:$BZ$3001,610,$E$1)&amp;"",",",""),"¥",""),"￥","")),0))</f>
        <v/>
      </c>
      <c r="F611">
        <f>IF($F$1=0,0,IFERROR(VALUE(SUBSTITUTE(SUBSTITUTE(SUBSTITUTE(INDEX(貼り付け!$A$1:$BZ$3001,610,$F$1)&amp;"",",",""),"¥",""),"￥","")),0))</f>
        <v/>
      </c>
      <c r="G611">
        <f>IF(ISNUMBER(B611),YEAR(B611),"")</f>
        <v/>
      </c>
      <c r="H611">
        <f>IF(ISNUMBER(B611),MONTH(B611),"")</f>
        <v/>
      </c>
      <c r="I611">
        <f>IFERROR(IF($B$1=0,"",IF(ISNUMBER(INDEX(貼り付け!$A$1:$BZ$3001,610,$B$1)),"",SUBSTITUTE(SUBSTITUTE(SUBSTITUTE(SUBSTITUTE(TRIM(LEFT(INDEX(貼り付け!$A$1:$BZ$3001,610,$B$1)&amp;"",FIND(" ",TRIM(INDEX(貼り付け!$A$1:$BZ$3001,610,$B$1)&amp;"")&amp;" ")-1)),"/","-"),"年","-"),"月","-"),"日",""))),"")</f>
        <v/>
      </c>
      <c r="J611">
        <f>IFERROR(MID(I611,FIND("-",I611)+1,99),"")</f>
        <v/>
      </c>
    </row>
    <row r="612">
      <c r="B612">
        <f>IFERROR(IF($B$1=0,"",IF(INDEX(貼り付け!$A$1:$BZ$3001,611,$B$1)="","",IF(ISNUMBER(INDEX(貼り付け!$A$1:$BZ$3001,611,$B$1)),INT(INDEX(貼り付け!$A$1:$BZ$3001,611,$B$1)),DATE(VALUE(LEFT(I612,FIND("-",I612)-1)),VALUE(LEFT(J612,FIND("-",J612)-1)),VALUE(MID(J612,FIND("-",J612)+1,99)))))),"")</f>
        <v/>
      </c>
      <c r="C612">
        <f>IF($C$1=0,0,IFERROR(VALUE(SUBSTITUTE(SUBSTITUTE(SUBSTITUTE(INDEX(貼り付け!$A$1:$BZ$3001,611,$C$1)&amp;"",",",""),"¥",""),"￥","")),0))</f>
        <v/>
      </c>
      <c r="D612">
        <f>IF($D$1=0,0,IFERROR(VALUE(SUBSTITUTE(SUBSTITUTE(SUBSTITUTE(INDEX(貼り付け!$A$1:$BZ$3001,611,$D$1)&amp;"",",",""),"¥",""),"￥","")),0))</f>
        <v/>
      </c>
      <c r="E612">
        <f>IF($E$1=0,0,IFERROR(VALUE(SUBSTITUTE(SUBSTITUTE(SUBSTITUTE(INDEX(貼り付け!$A$1:$BZ$3001,611,$E$1)&amp;"",",",""),"¥",""),"￥","")),0))</f>
        <v/>
      </c>
      <c r="F612">
        <f>IF($F$1=0,0,IFERROR(VALUE(SUBSTITUTE(SUBSTITUTE(SUBSTITUTE(INDEX(貼り付け!$A$1:$BZ$3001,611,$F$1)&amp;"",",",""),"¥",""),"￥","")),0))</f>
        <v/>
      </c>
      <c r="G612">
        <f>IF(ISNUMBER(B612),YEAR(B612),"")</f>
        <v/>
      </c>
      <c r="H612">
        <f>IF(ISNUMBER(B612),MONTH(B612),"")</f>
        <v/>
      </c>
      <c r="I612">
        <f>IFERROR(IF($B$1=0,"",IF(ISNUMBER(INDEX(貼り付け!$A$1:$BZ$3001,611,$B$1)),"",SUBSTITUTE(SUBSTITUTE(SUBSTITUTE(SUBSTITUTE(TRIM(LEFT(INDEX(貼り付け!$A$1:$BZ$3001,611,$B$1)&amp;"",FIND(" ",TRIM(INDEX(貼り付け!$A$1:$BZ$3001,611,$B$1)&amp;"")&amp;" ")-1)),"/","-"),"年","-"),"月","-"),"日",""))),"")</f>
        <v/>
      </c>
      <c r="J612">
        <f>IFERROR(MID(I612,FIND("-",I612)+1,99),"")</f>
        <v/>
      </c>
    </row>
    <row r="613">
      <c r="B613">
        <f>IFERROR(IF($B$1=0,"",IF(INDEX(貼り付け!$A$1:$BZ$3001,612,$B$1)="","",IF(ISNUMBER(INDEX(貼り付け!$A$1:$BZ$3001,612,$B$1)),INT(INDEX(貼り付け!$A$1:$BZ$3001,612,$B$1)),DATE(VALUE(LEFT(I613,FIND("-",I613)-1)),VALUE(LEFT(J613,FIND("-",J613)-1)),VALUE(MID(J613,FIND("-",J613)+1,99)))))),"")</f>
        <v/>
      </c>
      <c r="C613">
        <f>IF($C$1=0,0,IFERROR(VALUE(SUBSTITUTE(SUBSTITUTE(SUBSTITUTE(INDEX(貼り付け!$A$1:$BZ$3001,612,$C$1)&amp;"",",",""),"¥",""),"￥","")),0))</f>
        <v/>
      </c>
      <c r="D613">
        <f>IF($D$1=0,0,IFERROR(VALUE(SUBSTITUTE(SUBSTITUTE(SUBSTITUTE(INDEX(貼り付け!$A$1:$BZ$3001,612,$D$1)&amp;"",",",""),"¥",""),"￥","")),0))</f>
        <v/>
      </c>
      <c r="E613">
        <f>IF($E$1=0,0,IFERROR(VALUE(SUBSTITUTE(SUBSTITUTE(SUBSTITUTE(INDEX(貼り付け!$A$1:$BZ$3001,612,$E$1)&amp;"",",",""),"¥",""),"￥","")),0))</f>
        <v/>
      </c>
      <c r="F613">
        <f>IF($F$1=0,0,IFERROR(VALUE(SUBSTITUTE(SUBSTITUTE(SUBSTITUTE(INDEX(貼り付け!$A$1:$BZ$3001,612,$F$1)&amp;"",",",""),"¥",""),"￥","")),0))</f>
        <v/>
      </c>
      <c r="G613">
        <f>IF(ISNUMBER(B613),YEAR(B613),"")</f>
        <v/>
      </c>
      <c r="H613">
        <f>IF(ISNUMBER(B613),MONTH(B613),"")</f>
        <v/>
      </c>
      <c r="I613">
        <f>IFERROR(IF($B$1=0,"",IF(ISNUMBER(INDEX(貼り付け!$A$1:$BZ$3001,612,$B$1)),"",SUBSTITUTE(SUBSTITUTE(SUBSTITUTE(SUBSTITUTE(TRIM(LEFT(INDEX(貼り付け!$A$1:$BZ$3001,612,$B$1)&amp;"",FIND(" ",TRIM(INDEX(貼り付け!$A$1:$BZ$3001,612,$B$1)&amp;"")&amp;" ")-1)),"/","-"),"年","-"),"月","-"),"日",""))),"")</f>
        <v/>
      </c>
      <c r="J613">
        <f>IFERROR(MID(I613,FIND("-",I613)+1,99),"")</f>
        <v/>
      </c>
    </row>
    <row r="614">
      <c r="B614">
        <f>IFERROR(IF($B$1=0,"",IF(INDEX(貼り付け!$A$1:$BZ$3001,613,$B$1)="","",IF(ISNUMBER(INDEX(貼り付け!$A$1:$BZ$3001,613,$B$1)),INT(INDEX(貼り付け!$A$1:$BZ$3001,613,$B$1)),DATE(VALUE(LEFT(I614,FIND("-",I614)-1)),VALUE(LEFT(J614,FIND("-",J614)-1)),VALUE(MID(J614,FIND("-",J614)+1,99)))))),"")</f>
        <v/>
      </c>
      <c r="C614">
        <f>IF($C$1=0,0,IFERROR(VALUE(SUBSTITUTE(SUBSTITUTE(SUBSTITUTE(INDEX(貼り付け!$A$1:$BZ$3001,613,$C$1)&amp;"",",",""),"¥",""),"￥","")),0))</f>
        <v/>
      </c>
      <c r="D614">
        <f>IF($D$1=0,0,IFERROR(VALUE(SUBSTITUTE(SUBSTITUTE(SUBSTITUTE(INDEX(貼り付け!$A$1:$BZ$3001,613,$D$1)&amp;"",",",""),"¥",""),"￥","")),0))</f>
        <v/>
      </c>
      <c r="E614">
        <f>IF($E$1=0,0,IFERROR(VALUE(SUBSTITUTE(SUBSTITUTE(SUBSTITUTE(INDEX(貼り付け!$A$1:$BZ$3001,613,$E$1)&amp;"",",",""),"¥",""),"￥","")),0))</f>
        <v/>
      </c>
      <c r="F614">
        <f>IF($F$1=0,0,IFERROR(VALUE(SUBSTITUTE(SUBSTITUTE(SUBSTITUTE(INDEX(貼り付け!$A$1:$BZ$3001,613,$F$1)&amp;"",",",""),"¥",""),"￥","")),0))</f>
        <v/>
      </c>
      <c r="G614">
        <f>IF(ISNUMBER(B614),YEAR(B614),"")</f>
        <v/>
      </c>
      <c r="H614">
        <f>IF(ISNUMBER(B614),MONTH(B614),"")</f>
        <v/>
      </c>
      <c r="I614">
        <f>IFERROR(IF($B$1=0,"",IF(ISNUMBER(INDEX(貼り付け!$A$1:$BZ$3001,613,$B$1)),"",SUBSTITUTE(SUBSTITUTE(SUBSTITUTE(SUBSTITUTE(TRIM(LEFT(INDEX(貼り付け!$A$1:$BZ$3001,613,$B$1)&amp;"",FIND(" ",TRIM(INDEX(貼り付け!$A$1:$BZ$3001,613,$B$1)&amp;"")&amp;" ")-1)),"/","-"),"年","-"),"月","-"),"日",""))),"")</f>
        <v/>
      </c>
      <c r="J614">
        <f>IFERROR(MID(I614,FIND("-",I614)+1,99),"")</f>
        <v/>
      </c>
    </row>
    <row r="615">
      <c r="B615">
        <f>IFERROR(IF($B$1=0,"",IF(INDEX(貼り付け!$A$1:$BZ$3001,614,$B$1)="","",IF(ISNUMBER(INDEX(貼り付け!$A$1:$BZ$3001,614,$B$1)),INT(INDEX(貼り付け!$A$1:$BZ$3001,614,$B$1)),DATE(VALUE(LEFT(I615,FIND("-",I615)-1)),VALUE(LEFT(J615,FIND("-",J615)-1)),VALUE(MID(J615,FIND("-",J615)+1,99)))))),"")</f>
        <v/>
      </c>
      <c r="C615">
        <f>IF($C$1=0,0,IFERROR(VALUE(SUBSTITUTE(SUBSTITUTE(SUBSTITUTE(INDEX(貼り付け!$A$1:$BZ$3001,614,$C$1)&amp;"",",",""),"¥",""),"￥","")),0))</f>
        <v/>
      </c>
      <c r="D615">
        <f>IF($D$1=0,0,IFERROR(VALUE(SUBSTITUTE(SUBSTITUTE(SUBSTITUTE(INDEX(貼り付け!$A$1:$BZ$3001,614,$D$1)&amp;"",",",""),"¥",""),"￥","")),0))</f>
        <v/>
      </c>
      <c r="E615">
        <f>IF($E$1=0,0,IFERROR(VALUE(SUBSTITUTE(SUBSTITUTE(SUBSTITUTE(INDEX(貼り付け!$A$1:$BZ$3001,614,$E$1)&amp;"",",",""),"¥",""),"￥","")),0))</f>
        <v/>
      </c>
      <c r="F615">
        <f>IF($F$1=0,0,IFERROR(VALUE(SUBSTITUTE(SUBSTITUTE(SUBSTITUTE(INDEX(貼り付け!$A$1:$BZ$3001,614,$F$1)&amp;"",",",""),"¥",""),"￥","")),0))</f>
        <v/>
      </c>
      <c r="G615">
        <f>IF(ISNUMBER(B615),YEAR(B615),"")</f>
        <v/>
      </c>
      <c r="H615">
        <f>IF(ISNUMBER(B615),MONTH(B615),"")</f>
        <v/>
      </c>
      <c r="I615">
        <f>IFERROR(IF($B$1=0,"",IF(ISNUMBER(INDEX(貼り付け!$A$1:$BZ$3001,614,$B$1)),"",SUBSTITUTE(SUBSTITUTE(SUBSTITUTE(SUBSTITUTE(TRIM(LEFT(INDEX(貼り付け!$A$1:$BZ$3001,614,$B$1)&amp;"",FIND(" ",TRIM(INDEX(貼り付け!$A$1:$BZ$3001,614,$B$1)&amp;"")&amp;" ")-1)),"/","-"),"年","-"),"月","-"),"日",""))),"")</f>
        <v/>
      </c>
      <c r="J615">
        <f>IFERROR(MID(I615,FIND("-",I615)+1,99),"")</f>
        <v/>
      </c>
    </row>
    <row r="616">
      <c r="B616">
        <f>IFERROR(IF($B$1=0,"",IF(INDEX(貼り付け!$A$1:$BZ$3001,615,$B$1)="","",IF(ISNUMBER(INDEX(貼り付け!$A$1:$BZ$3001,615,$B$1)),INT(INDEX(貼り付け!$A$1:$BZ$3001,615,$B$1)),DATE(VALUE(LEFT(I616,FIND("-",I616)-1)),VALUE(LEFT(J616,FIND("-",J616)-1)),VALUE(MID(J616,FIND("-",J616)+1,99)))))),"")</f>
        <v/>
      </c>
      <c r="C616">
        <f>IF($C$1=0,0,IFERROR(VALUE(SUBSTITUTE(SUBSTITUTE(SUBSTITUTE(INDEX(貼り付け!$A$1:$BZ$3001,615,$C$1)&amp;"",",",""),"¥",""),"￥","")),0))</f>
        <v/>
      </c>
      <c r="D616">
        <f>IF($D$1=0,0,IFERROR(VALUE(SUBSTITUTE(SUBSTITUTE(SUBSTITUTE(INDEX(貼り付け!$A$1:$BZ$3001,615,$D$1)&amp;"",",",""),"¥",""),"￥","")),0))</f>
        <v/>
      </c>
      <c r="E616">
        <f>IF($E$1=0,0,IFERROR(VALUE(SUBSTITUTE(SUBSTITUTE(SUBSTITUTE(INDEX(貼り付け!$A$1:$BZ$3001,615,$E$1)&amp;"",",",""),"¥",""),"￥","")),0))</f>
        <v/>
      </c>
      <c r="F616">
        <f>IF($F$1=0,0,IFERROR(VALUE(SUBSTITUTE(SUBSTITUTE(SUBSTITUTE(INDEX(貼り付け!$A$1:$BZ$3001,615,$F$1)&amp;"",",",""),"¥",""),"￥","")),0))</f>
        <v/>
      </c>
      <c r="G616">
        <f>IF(ISNUMBER(B616),YEAR(B616),"")</f>
        <v/>
      </c>
      <c r="H616">
        <f>IF(ISNUMBER(B616),MONTH(B616),"")</f>
        <v/>
      </c>
      <c r="I616">
        <f>IFERROR(IF($B$1=0,"",IF(ISNUMBER(INDEX(貼り付け!$A$1:$BZ$3001,615,$B$1)),"",SUBSTITUTE(SUBSTITUTE(SUBSTITUTE(SUBSTITUTE(TRIM(LEFT(INDEX(貼り付け!$A$1:$BZ$3001,615,$B$1)&amp;"",FIND(" ",TRIM(INDEX(貼り付け!$A$1:$BZ$3001,615,$B$1)&amp;"")&amp;" ")-1)),"/","-"),"年","-"),"月","-"),"日",""))),"")</f>
        <v/>
      </c>
      <c r="J616">
        <f>IFERROR(MID(I616,FIND("-",I616)+1,99),"")</f>
        <v/>
      </c>
    </row>
    <row r="617">
      <c r="B617">
        <f>IFERROR(IF($B$1=0,"",IF(INDEX(貼り付け!$A$1:$BZ$3001,616,$B$1)="","",IF(ISNUMBER(INDEX(貼り付け!$A$1:$BZ$3001,616,$B$1)),INT(INDEX(貼り付け!$A$1:$BZ$3001,616,$B$1)),DATE(VALUE(LEFT(I617,FIND("-",I617)-1)),VALUE(LEFT(J617,FIND("-",J617)-1)),VALUE(MID(J617,FIND("-",J617)+1,99)))))),"")</f>
        <v/>
      </c>
      <c r="C617">
        <f>IF($C$1=0,0,IFERROR(VALUE(SUBSTITUTE(SUBSTITUTE(SUBSTITUTE(INDEX(貼り付け!$A$1:$BZ$3001,616,$C$1)&amp;"",",",""),"¥",""),"￥","")),0))</f>
        <v/>
      </c>
      <c r="D617">
        <f>IF($D$1=0,0,IFERROR(VALUE(SUBSTITUTE(SUBSTITUTE(SUBSTITUTE(INDEX(貼り付け!$A$1:$BZ$3001,616,$D$1)&amp;"",",",""),"¥",""),"￥","")),0))</f>
        <v/>
      </c>
      <c r="E617">
        <f>IF($E$1=0,0,IFERROR(VALUE(SUBSTITUTE(SUBSTITUTE(SUBSTITUTE(INDEX(貼り付け!$A$1:$BZ$3001,616,$E$1)&amp;"",",",""),"¥",""),"￥","")),0))</f>
        <v/>
      </c>
      <c r="F617">
        <f>IF($F$1=0,0,IFERROR(VALUE(SUBSTITUTE(SUBSTITUTE(SUBSTITUTE(INDEX(貼り付け!$A$1:$BZ$3001,616,$F$1)&amp;"",",",""),"¥",""),"￥","")),0))</f>
        <v/>
      </c>
      <c r="G617">
        <f>IF(ISNUMBER(B617),YEAR(B617),"")</f>
        <v/>
      </c>
      <c r="H617">
        <f>IF(ISNUMBER(B617),MONTH(B617),"")</f>
        <v/>
      </c>
      <c r="I617">
        <f>IFERROR(IF($B$1=0,"",IF(ISNUMBER(INDEX(貼り付け!$A$1:$BZ$3001,616,$B$1)),"",SUBSTITUTE(SUBSTITUTE(SUBSTITUTE(SUBSTITUTE(TRIM(LEFT(INDEX(貼り付け!$A$1:$BZ$3001,616,$B$1)&amp;"",FIND(" ",TRIM(INDEX(貼り付け!$A$1:$BZ$3001,616,$B$1)&amp;"")&amp;" ")-1)),"/","-"),"年","-"),"月","-"),"日",""))),"")</f>
        <v/>
      </c>
      <c r="J617">
        <f>IFERROR(MID(I617,FIND("-",I617)+1,99),"")</f>
        <v/>
      </c>
    </row>
    <row r="618">
      <c r="B618">
        <f>IFERROR(IF($B$1=0,"",IF(INDEX(貼り付け!$A$1:$BZ$3001,617,$B$1)="","",IF(ISNUMBER(INDEX(貼り付け!$A$1:$BZ$3001,617,$B$1)),INT(INDEX(貼り付け!$A$1:$BZ$3001,617,$B$1)),DATE(VALUE(LEFT(I618,FIND("-",I618)-1)),VALUE(LEFT(J618,FIND("-",J618)-1)),VALUE(MID(J618,FIND("-",J618)+1,99)))))),"")</f>
        <v/>
      </c>
      <c r="C618">
        <f>IF($C$1=0,0,IFERROR(VALUE(SUBSTITUTE(SUBSTITUTE(SUBSTITUTE(INDEX(貼り付け!$A$1:$BZ$3001,617,$C$1)&amp;"",",",""),"¥",""),"￥","")),0))</f>
        <v/>
      </c>
      <c r="D618">
        <f>IF($D$1=0,0,IFERROR(VALUE(SUBSTITUTE(SUBSTITUTE(SUBSTITUTE(INDEX(貼り付け!$A$1:$BZ$3001,617,$D$1)&amp;"",",",""),"¥",""),"￥","")),0))</f>
        <v/>
      </c>
      <c r="E618">
        <f>IF($E$1=0,0,IFERROR(VALUE(SUBSTITUTE(SUBSTITUTE(SUBSTITUTE(INDEX(貼り付け!$A$1:$BZ$3001,617,$E$1)&amp;"",",",""),"¥",""),"￥","")),0))</f>
        <v/>
      </c>
      <c r="F618">
        <f>IF($F$1=0,0,IFERROR(VALUE(SUBSTITUTE(SUBSTITUTE(SUBSTITUTE(INDEX(貼り付け!$A$1:$BZ$3001,617,$F$1)&amp;"",",",""),"¥",""),"￥","")),0))</f>
        <v/>
      </c>
      <c r="G618">
        <f>IF(ISNUMBER(B618),YEAR(B618),"")</f>
        <v/>
      </c>
      <c r="H618">
        <f>IF(ISNUMBER(B618),MONTH(B618),"")</f>
        <v/>
      </c>
      <c r="I618">
        <f>IFERROR(IF($B$1=0,"",IF(ISNUMBER(INDEX(貼り付け!$A$1:$BZ$3001,617,$B$1)),"",SUBSTITUTE(SUBSTITUTE(SUBSTITUTE(SUBSTITUTE(TRIM(LEFT(INDEX(貼り付け!$A$1:$BZ$3001,617,$B$1)&amp;"",FIND(" ",TRIM(INDEX(貼り付け!$A$1:$BZ$3001,617,$B$1)&amp;"")&amp;" ")-1)),"/","-"),"年","-"),"月","-"),"日",""))),"")</f>
        <v/>
      </c>
      <c r="J618">
        <f>IFERROR(MID(I618,FIND("-",I618)+1,99),"")</f>
        <v/>
      </c>
    </row>
    <row r="619">
      <c r="B619">
        <f>IFERROR(IF($B$1=0,"",IF(INDEX(貼り付け!$A$1:$BZ$3001,618,$B$1)="","",IF(ISNUMBER(INDEX(貼り付け!$A$1:$BZ$3001,618,$B$1)),INT(INDEX(貼り付け!$A$1:$BZ$3001,618,$B$1)),DATE(VALUE(LEFT(I619,FIND("-",I619)-1)),VALUE(LEFT(J619,FIND("-",J619)-1)),VALUE(MID(J619,FIND("-",J619)+1,99)))))),"")</f>
        <v/>
      </c>
      <c r="C619">
        <f>IF($C$1=0,0,IFERROR(VALUE(SUBSTITUTE(SUBSTITUTE(SUBSTITUTE(INDEX(貼り付け!$A$1:$BZ$3001,618,$C$1)&amp;"",",",""),"¥",""),"￥","")),0))</f>
        <v/>
      </c>
      <c r="D619">
        <f>IF($D$1=0,0,IFERROR(VALUE(SUBSTITUTE(SUBSTITUTE(SUBSTITUTE(INDEX(貼り付け!$A$1:$BZ$3001,618,$D$1)&amp;"",",",""),"¥",""),"￥","")),0))</f>
        <v/>
      </c>
      <c r="E619">
        <f>IF($E$1=0,0,IFERROR(VALUE(SUBSTITUTE(SUBSTITUTE(SUBSTITUTE(INDEX(貼り付け!$A$1:$BZ$3001,618,$E$1)&amp;"",",",""),"¥",""),"￥","")),0))</f>
        <v/>
      </c>
      <c r="F619">
        <f>IF($F$1=0,0,IFERROR(VALUE(SUBSTITUTE(SUBSTITUTE(SUBSTITUTE(INDEX(貼り付け!$A$1:$BZ$3001,618,$F$1)&amp;"",",",""),"¥",""),"￥","")),0))</f>
        <v/>
      </c>
      <c r="G619">
        <f>IF(ISNUMBER(B619),YEAR(B619),"")</f>
        <v/>
      </c>
      <c r="H619">
        <f>IF(ISNUMBER(B619),MONTH(B619),"")</f>
        <v/>
      </c>
      <c r="I619">
        <f>IFERROR(IF($B$1=0,"",IF(ISNUMBER(INDEX(貼り付け!$A$1:$BZ$3001,618,$B$1)),"",SUBSTITUTE(SUBSTITUTE(SUBSTITUTE(SUBSTITUTE(TRIM(LEFT(INDEX(貼り付け!$A$1:$BZ$3001,618,$B$1)&amp;"",FIND(" ",TRIM(INDEX(貼り付け!$A$1:$BZ$3001,618,$B$1)&amp;"")&amp;" ")-1)),"/","-"),"年","-"),"月","-"),"日",""))),"")</f>
        <v/>
      </c>
      <c r="J619">
        <f>IFERROR(MID(I619,FIND("-",I619)+1,99),"")</f>
        <v/>
      </c>
    </row>
    <row r="620">
      <c r="B620">
        <f>IFERROR(IF($B$1=0,"",IF(INDEX(貼り付け!$A$1:$BZ$3001,619,$B$1)="","",IF(ISNUMBER(INDEX(貼り付け!$A$1:$BZ$3001,619,$B$1)),INT(INDEX(貼り付け!$A$1:$BZ$3001,619,$B$1)),DATE(VALUE(LEFT(I620,FIND("-",I620)-1)),VALUE(LEFT(J620,FIND("-",J620)-1)),VALUE(MID(J620,FIND("-",J620)+1,99)))))),"")</f>
        <v/>
      </c>
      <c r="C620">
        <f>IF($C$1=0,0,IFERROR(VALUE(SUBSTITUTE(SUBSTITUTE(SUBSTITUTE(INDEX(貼り付け!$A$1:$BZ$3001,619,$C$1)&amp;"",",",""),"¥",""),"￥","")),0))</f>
        <v/>
      </c>
      <c r="D620">
        <f>IF($D$1=0,0,IFERROR(VALUE(SUBSTITUTE(SUBSTITUTE(SUBSTITUTE(INDEX(貼り付け!$A$1:$BZ$3001,619,$D$1)&amp;"",",",""),"¥",""),"￥","")),0))</f>
        <v/>
      </c>
      <c r="E620">
        <f>IF($E$1=0,0,IFERROR(VALUE(SUBSTITUTE(SUBSTITUTE(SUBSTITUTE(INDEX(貼り付け!$A$1:$BZ$3001,619,$E$1)&amp;"",",",""),"¥",""),"￥","")),0))</f>
        <v/>
      </c>
      <c r="F620">
        <f>IF($F$1=0,0,IFERROR(VALUE(SUBSTITUTE(SUBSTITUTE(SUBSTITUTE(INDEX(貼り付け!$A$1:$BZ$3001,619,$F$1)&amp;"",",",""),"¥",""),"￥","")),0))</f>
        <v/>
      </c>
      <c r="G620">
        <f>IF(ISNUMBER(B620),YEAR(B620),"")</f>
        <v/>
      </c>
      <c r="H620">
        <f>IF(ISNUMBER(B620),MONTH(B620),"")</f>
        <v/>
      </c>
      <c r="I620">
        <f>IFERROR(IF($B$1=0,"",IF(ISNUMBER(INDEX(貼り付け!$A$1:$BZ$3001,619,$B$1)),"",SUBSTITUTE(SUBSTITUTE(SUBSTITUTE(SUBSTITUTE(TRIM(LEFT(INDEX(貼り付け!$A$1:$BZ$3001,619,$B$1)&amp;"",FIND(" ",TRIM(INDEX(貼り付け!$A$1:$BZ$3001,619,$B$1)&amp;"")&amp;" ")-1)),"/","-"),"年","-"),"月","-"),"日",""))),"")</f>
        <v/>
      </c>
      <c r="J620">
        <f>IFERROR(MID(I620,FIND("-",I620)+1,99),"")</f>
        <v/>
      </c>
    </row>
    <row r="621">
      <c r="B621">
        <f>IFERROR(IF($B$1=0,"",IF(INDEX(貼り付け!$A$1:$BZ$3001,620,$B$1)="","",IF(ISNUMBER(INDEX(貼り付け!$A$1:$BZ$3001,620,$B$1)),INT(INDEX(貼り付け!$A$1:$BZ$3001,620,$B$1)),DATE(VALUE(LEFT(I621,FIND("-",I621)-1)),VALUE(LEFT(J621,FIND("-",J621)-1)),VALUE(MID(J621,FIND("-",J621)+1,99)))))),"")</f>
        <v/>
      </c>
      <c r="C621">
        <f>IF($C$1=0,0,IFERROR(VALUE(SUBSTITUTE(SUBSTITUTE(SUBSTITUTE(INDEX(貼り付け!$A$1:$BZ$3001,620,$C$1)&amp;"",",",""),"¥",""),"￥","")),0))</f>
        <v/>
      </c>
      <c r="D621">
        <f>IF($D$1=0,0,IFERROR(VALUE(SUBSTITUTE(SUBSTITUTE(SUBSTITUTE(INDEX(貼り付け!$A$1:$BZ$3001,620,$D$1)&amp;"",",",""),"¥",""),"￥","")),0))</f>
        <v/>
      </c>
      <c r="E621">
        <f>IF($E$1=0,0,IFERROR(VALUE(SUBSTITUTE(SUBSTITUTE(SUBSTITUTE(INDEX(貼り付け!$A$1:$BZ$3001,620,$E$1)&amp;"",",",""),"¥",""),"￥","")),0))</f>
        <v/>
      </c>
      <c r="F621">
        <f>IF($F$1=0,0,IFERROR(VALUE(SUBSTITUTE(SUBSTITUTE(SUBSTITUTE(INDEX(貼り付け!$A$1:$BZ$3001,620,$F$1)&amp;"",",",""),"¥",""),"￥","")),0))</f>
        <v/>
      </c>
      <c r="G621">
        <f>IF(ISNUMBER(B621),YEAR(B621),"")</f>
        <v/>
      </c>
      <c r="H621">
        <f>IF(ISNUMBER(B621),MONTH(B621),"")</f>
        <v/>
      </c>
      <c r="I621">
        <f>IFERROR(IF($B$1=0,"",IF(ISNUMBER(INDEX(貼り付け!$A$1:$BZ$3001,620,$B$1)),"",SUBSTITUTE(SUBSTITUTE(SUBSTITUTE(SUBSTITUTE(TRIM(LEFT(INDEX(貼り付け!$A$1:$BZ$3001,620,$B$1)&amp;"",FIND(" ",TRIM(INDEX(貼り付け!$A$1:$BZ$3001,620,$B$1)&amp;"")&amp;" ")-1)),"/","-"),"年","-"),"月","-"),"日",""))),"")</f>
        <v/>
      </c>
      <c r="J621">
        <f>IFERROR(MID(I621,FIND("-",I621)+1,99),"")</f>
        <v/>
      </c>
    </row>
    <row r="622">
      <c r="B622">
        <f>IFERROR(IF($B$1=0,"",IF(INDEX(貼り付け!$A$1:$BZ$3001,621,$B$1)="","",IF(ISNUMBER(INDEX(貼り付け!$A$1:$BZ$3001,621,$B$1)),INT(INDEX(貼り付け!$A$1:$BZ$3001,621,$B$1)),DATE(VALUE(LEFT(I622,FIND("-",I622)-1)),VALUE(LEFT(J622,FIND("-",J622)-1)),VALUE(MID(J622,FIND("-",J622)+1,99)))))),"")</f>
        <v/>
      </c>
      <c r="C622">
        <f>IF($C$1=0,0,IFERROR(VALUE(SUBSTITUTE(SUBSTITUTE(SUBSTITUTE(INDEX(貼り付け!$A$1:$BZ$3001,621,$C$1)&amp;"",",",""),"¥",""),"￥","")),0))</f>
        <v/>
      </c>
      <c r="D622">
        <f>IF($D$1=0,0,IFERROR(VALUE(SUBSTITUTE(SUBSTITUTE(SUBSTITUTE(INDEX(貼り付け!$A$1:$BZ$3001,621,$D$1)&amp;"",",",""),"¥",""),"￥","")),0))</f>
        <v/>
      </c>
      <c r="E622">
        <f>IF($E$1=0,0,IFERROR(VALUE(SUBSTITUTE(SUBSTITUTE(SUBSTITUTE(INDEX(貼り付け!$A$1:$BZ$3001,621,$E$1)&amp;"",",",""),"¥",""),"￥","")),0))</f>
        <v/>
      </c>
      <c r="F622">
        <f>IF($F$1=0,0,IFERROR(VALUE(SUBSTITUTE(SUBSTITUTE(SUBSTITUTE(INDEX(貼り付け!$A$1:$BZ$3001,621,$F$1)&amp;"",",",""),"¥",""),"￥","")),0))</f>
        <v/>
      </c>
      <c r="G622">
        <f>IF(ISNUMBER(B622),YEAR(B622),"")</f>
        <v/>
      </c>
      <c r="H622">
        <f>IF(ISNUMBER(B622),MONTH(B622),"")</f>
        <v/>
      </c>
      <c r="I622">
        <f>IFERROR(IF($B$1=0,"",IF(ISNUMBER(INDEX(貼り付け!$A$1:$BZ$3001,621,$B$1)),"",SUBSTITUTE(SUBSTITUTE(SUBSTITUTE(SUBSTITUTE(TRIM(LEFT(INDEX(貼り付け!$A$1:$BZ$3001,621,$B$1)&amp;"",FIND(" ",TRIM(INDEX(貼り付け!$A$1:$BZ$3001,621,$B$1)&amp;"")&amp;" ")-1)),"/","-"),"年","-"),"月","-"),"日",""))),"")</f>
        <v/>
      </c>
      <c r="J622">
        <f>IFERROR(MID(I622,FIND("-",I622)+1,99),"")</f>
        <v/>
      </c>
    </row>
    <row r="623">
      <c r="B623">
        <f>IFERROR(IF($B$1=0,"",IF(INDEX(貼り付け!$A$1:$BZ$3001,622,$B$1)="","",IF(ISNUMBER(INDEX(貼り付け!$A$1:$BZ$3001,622,$B$1)),INT(INDEX(貼り付け!$A$1:$BZ$3001,622,$B$1)),DATE(VALUE(LEFT(I623,FIND("-",I623)-1)),VALUE(LEFT(J623,FIND("-",J623)-1)),VALUE(MID(J623,FIND("-",J623)+1,99)))))),"")</f>
        <v/>
      </c>
      <c r="C623">
        <f>IF($C$1=0,0,IFERROR(VALUE(SUBSTITUTE(SUBSTITUTE(SUBSTITUTE(INDEX(貼り付け!$A$1:$BZ$3001,622,$C$1)&amp;"",",",""),"¥",""),"￥","")),0))</f>
        <v/>
      </c>
      <c r="D623">
        <f>IF($D$1=0,0,IFERROR(VALUE(SUBSTITUTE(SUBSTITUTE(SUBSTITUTE(INDEX(貼り付け!$A$1:$BZ$3001,622,$D$1)&amp;"",",",""),"¥",""),"￥","")),0))</f>
        <v/>
      </c>
      <c r="E623">
        <f>IF($E$1=0,0,IFERROR(VALUE(SUBSTITUTE(SUBSTITUTE(SUBSTITUTE(INDEX(貼り付け!$A$1:$BZ$3001,622,$E$1)&amp;"",",",""),"¥",""),"￥","")),0))</f>
        <v/>
      </c>
      <c r="F623">
        <f>IF($F$1=0,0,IFERROR(VALUE(SUBSTITUTE(SUBSTITUTE(SUBSTITUTE(INDEX(貼り付け!$A$1:$BZ$3001,622,$F$1)&amp;"",",",""),"¥",""),"￥","")),0))</f>
        <v/>
      </c>
      <c r="G623">
        <f>IF(ISNUMBER(B623),YEAR(B623),"")</f>
        <v/>
      </c>
      <c r="H623">
        <f>IF(ISNUMBER(B623),MONTH(B623),"")</f>
        <v/>
      </c>
      <c r="I623">
        <f>IFERROR(IF($B$1=0,"",IF(ISNUMBER(INDEX(貼り付け!$A$1:$BZ$3001,622,$B$1)),"",SUBSTITUTE(SUBSTITUTE(SUBSTITUTE(SUBSTITUTE(TRIM(LEFT(INDEX(貼り付け!$A$1:$BZ$3001,622,$B$1)&amp;"",FIND(" ",TRIM(INDEX(貼り付け!$A$1:$BZ$3001,622,$B$1)&amp;"")&amp;" ")-1)),"/","-"),"年","-"),"月","-"),"日",""))),"")</f>
        <v/>
      </c>
      <c r="J623">
        <f>IFERROR(MID(I623,FIND("-",I623)+1,99),"")</f>
        <v/>
      </c>
    </row>
    <row r="624">
      <c r="B624">
        <f>IFERROR(IF($B$1=0,"",IF(INDEX(貼り付け!$A$1:$BZ$3001,623,$B$1)="","",IF(ISNUMBER(INDEX(貼り付け!$A$1:$BZ$3001,623,$B$1)),INT(INDEX(貼り付け!$A$1:$BZ$3001,623,$B$1)),DATE(VALUE(LEFT(I624,FIND("-",I624)-1)),VALUE(LEFT(J624,FIND("-",J624)-1)),VALUE(MID(J624,FIND("-",J624)+1,99)))))),"")</f>
        <v/>
      </c>
      <c r="C624">
        <f>IF($C$1=0,0,IFERROR(VALUE(SUBSTITUTE(SUBSTITUTE(SUBSTITUTE(INDEX(貼り付け!$A$1:$BZ$3001,623,$C$1)&amp;"",",",""),"¥",""),"￥","")),0))</f>
        <v/>
      </c>
      <c r="D624">
        <f>IF($D$1=0,0,IFERROR(VALUE(SUBSTITUTE(SUBSTITUTE(SUBSTITUTE(INDEX(貼り付け!$A$1:$BZ$3001,623,$D$1)&amp;"",",",""),"¥",""),"￥","")),0))</f>
        <v/>
      </c>
      <c r="E624">
        <f>IF($E$1=0,0,IFERROR(VALUE(SUBSTITUTE(SUBSTITUTE(SUBSTITUTE(INDEX(貼り付け!$A$1:$BZ$3001,623,$E$1)&amp;"",",",""),"¥",""),"￥","")),0))</f>
        <v/>
      </c>
      <c r="F624">
        <f>IF($F$1=0,0,IFERROR(VALUE(SUBSTITUTE(SUBSTITUTE(SUBSTITUTE(INDEX(貼り付け!$A$1:$BZ$3001,623,$F$1)&amp;"",",",""),"¥",""),"￥","")),0))</f>
        <v/>
      </c>
      <c r="G624">
        <f>IF(ISNUMBER(B624),YEAR(B624),"")</f>
        <v/>
      </c>
      <c r="H624">
        <f>IF(ISNUMBER(B624),MONTH(B624),"")</f>
        <v/>
      </c>
      <c r="I624">
        <f>IFERROR(IF($B$1=0,"",IF(ISNUMBER(INDEX(貼り付け!$A$1:$BZ$3001,623,$B$1)),"",SUBSTITUTE(SUBSTITUTE(SUBSTITUTE(SUBSTITUTE(TRIM(LEFT(INDEX(貼り付け!$A$1:$BZ$3001,623,$B$1)&amp;"",FIND(" ",TRIM(INDEX(貼り付け!$A$1:$BZ$3001,623,$B$1)&amp;"")&amp;" ")-1)),"/","-"),"年","-"),"月","-"),"日",""))),"")</f>
        <v/>
      </c>
      <c r="J624">
        <f>IFERROR(MID(I624,FIND("-",I624)+1,99),"")</f>
        <v/>
      </c>
    </row>
    <row r="625">
      <c r="B625">
        <f>IFERROR(IF($B$1=0,"",IF(INDEX(貼り付け!$A$1:$BZ$3001,624,$B$1)="","",IF(ISNUMBER(INDEX(貼り付け!$A$1:$BZ$3001,624,$B$1)),INT(INDEX(貼り付け!$A$1:$BZ$3001,624,$B$1)),DATE(VALUE(LEFT(I625,FIND("-",I625)-1)),VALUE(LEFT(J625,FIND("-",J625)-1)),VALUE(MID(J625,FIND("-",J625)+1,99)))))),"")</f>
        <v/>
      </c>
      <c r="C625">
        <f>IF($C$1=0,0,IFERROR(VALUE(SUBSTITUTE(SUBSTITUTE(SUBSTITUTE(INDEX(貼り付け!$A$1:$BZ$3001,624,$C$1)&amp;"",",",""),"¥",""),"￥","")),0))</f>
        <v/>
      </c>
      <c r="D625">
        <f>IF($D$1=0,0,IFERROR(VALUE(SUBSTITUTE(SUBSTITUTE(SUBSTITUTE(INDEX(貼り付け!$A$1:$BZ$3001,624,$D$1)&amp;"",",",""),"¥",""),"￥","")),0))</f>
        <v/>
      </c>
      <c r="E625">
        <f>IF($E$1=0,0,IFERROR(VALUE(SUBSTITUTE(SUBSTITUTE(SUBSTITUTE(INDEX(貼り付け!$A$1:$BZ$3001,624,$E$1)&amp;"",",",""),"¥",""),"￥","")),0))</f>
        <v/>
      </c>
      <c r="F625">
        <f>IF($F$1=0,0,IFERROR(VALUE(SUBSTITUTE(SUBSTITUTE(SUBSTITUTE(INDEX(貼り付け!$A$1:$BZ$3001,624,$F$1)&amp;"",",",""),"¥",""),"￥","")),0))</f>
        <v/>
      </c>
      <c r="G625">
        <f>IF(ISNUMBER(B625),YEAR(B625),"")</f>
        <v/>
      </c>
      <c r="H625">
        <f>IF(ISNUMBER(B625),MONTH(B625),"")</f>
        <v/>
      </c>
      <c r="I625">
        <f>IFERROR(IF($B$1=0,"",IF(ISNUMBER(INDEX(貼り付け!$A$1:$BZ$3001,624,$B$1)),"",SUBSTITUTE(SUBSTITUTE(SUBSTITUTE(SUBSTITUTE(TRIM(LEFT(INDEX(貼り付け!$A$1:$BZ$3001,624,$B$1)&amp;"",FIND(" ",TRIM(INDEX(貼り付け!$A$1:$BZ$3001,624,$B$1)&amp;"")&amp;" ")-1)),"/","-"),"年","-"),"月","-"),"日",""))),"")</f>
        <v/>
      </c>
      <c r="J625">
        <f>IFERROR(MID(I625,FIND("-",I625)+1,99),"")</f>
        <v/>
      </c>
    </row>
    <row r="626">
      <c r="B626">
        <f>IFERROR(IF($B$1=0,"",IF(INDEX(貼り付け!$A$1:$BZ$3001,625,$B$1)="","",IF(ISNUMBER(INDEX(貼り付け!$A$1:$BZ$3001,625,$B$1)),INT(INDEX(貼り付け!$A$1:$BZ$3001,625,$B$1)),DATE(VALUE(LEFT(I626,FIND("-",I626)-1)),VALUE(LEFT(J626,FIND("-",J626)-1)),VALUE(MID(J626,FIND("-",J626)+1,99)))))),"")</f>
        <v/>
      </c>
      <c r="C626">
        <f>IF($C$1=0,0,IFERROR(VALUE(SUBSTITUTE(SUBSTITUTE(SUBSTITUTE(INDEX(貼り付け!$A$1:$BZ$3001,625,$C$1)&amp;"",",",""),"¥",""),"￥","")),0))</f>
        <v/>
      </c>
      <c r="D626">
        <f>IF($D$1=0,0,IFERROR(VALUE(SUBSTITUTE(SUBSTITUTE(SUBSTITUTE(INDEX(貼り付け!$A$1:$BZ$3001,625,$D$1)&amp;"",",",""),"¥",""),"￥","")),0))</f>
        <v/>
      </c>
      <c r="E626">
        <f>IF($E$1=0,0,IFERROR(VALUE(SUBSTITUTE(SUBSTITUTE(SUBSTITUTE(INDEX(貼り付け!$A$1:$BZ$3001,625,$E$1)&amp;"",",",""),"¥",""),"￥","")),0))</f>
        <v/>
      </c>
      <c r="F626">
        <f>IF($F$1=0,0,IFERROR(VALUE(SUBSTITUTE(SUBSTITUTE(SUBSTITUTE(INDEX(貼り付け!$A$1:$BZ$3001,625,$F$1)&amp;"",",",""),"¥",""),"￥","")),0))</f>
        <v/>
      </c>
      <c r="G626">
        <f>IF(ISNUMBER(B626),YEAR(B626),"")</f>
        <v/>
      </c>
      <c r="H626">
        <f>IF(ISNUMBER(B626),MONTH(B626),"")</f>
        <v/>
      </c>
      <c r="I626">
        <f>IFERROR(IF($B$1=0,"",IF(ISNUMBER(INDEX(貼り付け!$A$1:$BZ$3001,625,$B$1)),"",SUBSTITUTE(SUBSTITUTE(SUBSTITUTE(SUBSTITUTE(TRIM(LEFT(INDEX(貼り付け!$A$1:$BZ$3001,625,$B$1)&amp;"",FIND(" ",TRIM(INDEX(貼り付け!$A$1:$BZ$3001,625,$B$1)&amp;"")&amp;" ")-1)),"/","-"),"年","-"),"月","-"),"日",""))),"")</f>
        <v/>
      </c>
      <c r="J626">
        <f>IFERROR(MID(I626,FIND("-",I626)+1,99),"")</f>
        <v/>
      </c>
    </row>
    <row r="627">
      <c r="B627">
        <f>IFERROR(IF($B$1=0,"",IF(INDEX(貼り付け!$A$1:$BZ$3001,626,$B$1)="","",IF(ISNUMBER(INDEX(貼り付け!$A$1:$BZ$3001,626,$B$1)),INT(INDEX(貼り付け!$A$1:$BZ$3001,626,$B$1)),DATE(VALUE(LEFT(I627,FIND("-",I627)-1)),VALUE(LEFT(J627,FIND("-",J627)-1)),VALUE(MID(J627,FIND("-",J627)+1,99)))))),"")</f>
        <v/>
      </c>
      <c r="C627">
        <f>IF($C$1=0,0,IFERROR(VALUE(SUBSTITUTE(SUBSTITUTE(SUBSTITUTE(INDEX(貼り付け!$A$1:$BZ$3001,626,$C$1)&amp;"",",",""),"¥",""),"￥","")),0))</f>
        <v/>
      </c>
      <c r="D627">
        <f>IF($D$1=0,0,IFERROR(VALUE(SUBSTITUTE(SUBSTITUTE(SUBSTITUTE(INDEX(貼り付け!$A$1:$BZ$3001,626,$D$1)&amp;"",",",""),"¥",""),"￥","")),0))</f>
        <v/>
      </c>
      <c r="E627">
        <f>IF($E$1=0,0,IFERROR(VALUE(SUBSTITUTE(SUBSTITUTE(SUBSTITUTE(INDEX(貼り付け!$A$1:$BZ$3001,626,$E$1)&amp;"",",",""),"¥",""),"￥","")),0))</f>
        <v/>
      </c>
      <c r="F627">
        <f>IF($F$1=0,0,IFERROR(VALUE(SUBSTITUTE(SUBSTITUTE(SUBSTITUTE(INDEX(貼り付け!$A$1:$BZ$3001,626,$F$1)&amp;"",",",""),"¥",""),"￥","")),0))</f>
        <v/>
      </c>
      <c r="G627">
        <f>IF(ISNUMBER(B627),YEAR(B627),"")</f>
        <v/>
      </c>
      <c r="H627">
        <f>IF(ISNUMBER(B627),MONTH(B627),"")</f>
        <v/>
      </c>
      <c r="I627">
        <f>IFERROR(IF($B$1=0,"",IF(ISNUMBER(INDEX(貼り付け!$A$1:$BZ$3001,626,$B$1)),"",SUBSTITUTE(SUBSTITUTE(SUBSTITUTE(SUBSTITUTE(TRIM(LEFT(INDEX(貼り付け!$A$1:$BZ$3001,626,$B$1)&amp;"",FIND(" ",TRIM(INDEX(貼り付け!$A$1:$BZ$3001,626,$B$1)&amp;"")&amp;" ")-1)),"/","-"),"年","-"),"月","-"),"日",""))),"")</f>
        <v/>
      </c>
      <c r="J627">
        <f>IFERROR(MID(I627,FIND("-",I627)+1,99),"")</f>
        <v/>
      </c>
    </row>
    <row r="628">
      <c r="B628">
        <f>IFERROR(IF($B$1=0,"",IF(INDEX(貼り付け!$A$1:$BZ$3001,627,$B$1)="","",IF(ISNUMBER(INDEX(貼り付け!$A$1:$BZ$3001,627,$B$1)),INT(INDEX(貼り付け!$A$1:$BZ$3001,627,$B$1)),DATE(VALUE(LEFT(I628,FIND("-",I628)-1)),VALUE(LEFT(J628,FIND("-",J628)-1)),VALUE(MID(J628,FIND("-",J628)+1,99)))))),"")</f>
        <v/>
      </c>
      <c r="C628">
        <f>IF($C$1=0,0,IFERROR(VALUE(SUBSTITUTE(SUBSTITUTE(SUBSTITUTE(INDEX(貼り付け!$A$1:$BZ$3001,627,$C$1)&amp;"",",",""),"¥",""),"￥","")),0))</f>
        <v/>
      </c>
      <c r="D628">
        <f>IF($D$1=0,0,IFERROR(VALUE(SUBSTITUTE(SUBSTITUTE(SUBSTITUTE(INDEX(貼り付け!$A$1:$BZ$3001,627,$D$1)&amp;"",",",""),"¥",""),"￥","")),0))</f>
        <v/>
      </c>
      <c r="E628">
        <f>IF($E$1=0,0,IFERROR(VALUE(SUBSTITUTE(SUBSTITUTE(SUBSTITUTE(INDEX(貼り付け!$A$1:$BZ$3001,627,$E$1)&amp;"",",",""),"¥",""),"￥","")),0))</f>
        <v/>
      </c>
      <c r="F628">
        <f>IF($F$1=0,0,IFERROR(VALUE(SUBSTITUTE(SUBSTITUTE(SUBSTITUTE(INDEX(貼り付け!$A$1:$BZ$3001,627,$F$1)&amp;"",",",""),"¥",""),"￥","")),0))</f>
        <v/>
      </c>
      <c r="G628">
        <f>IF(ISNUMBER(B628),YEAR(B628),"")</f>
        <v/>
      </c>
      <c r="H628">
        <f>IF(ISNUMBER(B628),MONTH(B628),"")</f>
        <v/>
      </c>
      <c r="I628">
        <f>IFERROR(IF($B$1=0,"",IF(ISNUMBER(INDEX(貼り付け!$A$1:$BZ$3001,627,$B$1)),"",SUBSTITUTE(SUBSTITUTE(SUBSTITUTE(SUBSTITUTE(TRIM(LEFT(INDEX(貼り付け!$A$1:$BZ$3001,627,$B$1)&amp;"",FIND(" ",TRIM(INDEX(貼り付け!$A$1:$BZ$3001,627,$B$1)&amp;"")&amp;" ")-1)),"/","-"),"年","-"),"月","-"),"日",""))),"")</f>
        <v/>
      </c>
      <c r="J628">
        <f>IFERROR(MID(I628,FIND("-",I628)+1,99),"")</f>
        <v/>
      </c>
    </row>
    <row r="629">
      <c r="B629">
        <f>IFERROR(IF($B$1=0,"",IF(INDEX(貼り付け!$A$1:$BZ$3001,628,$B$1)="","",IF(ISNUMBER(INDEX(貼り付け!$A$1:$BZ$3001,628,$B$1)),INT(INDEX(貼り付け!$A$1:$BZ$3001,628,$B$1)),DATE(VALUE(LEFT(I629,FIND("-",I629)-1)),VALUE(LEFT(J629,FIND("-",J629)-1)),VALUE(MID(J629,FIND("-",J629)+1,99)))))),"")</f>
        <v/>
      </c>
      <c r="C629">
        <f>IF($C$1=0,0,IFERROR(VALUE(SUBSTITUTE(SUBSTITUTE(SUBSTITUTE(INDEX(貼り付け!$A$1:$BZ$3001,628,$C$1)&amp;"",",",""),"¥",""),"￥","")),0))</f>
        <v/>
      </c>
      <c r="D629">
        <f>IF($D$1=0,0,IFERROR(VALUE(SUBSTITUTE(SUBSTITUTE(SUBSTITUTE(INDEX(貼り付け!$A$1:$BZ$3001,628,$D$1)&amp;"",",",""),"¥",""),"￥","")),0))</f>
        <v/>
      </c>
      <c r="E629">
        <f>IF($E$1=0,0,IFERROR(VALUE(SUBSTITUTE(SUBSTITUTE(SUBSTITUTE(INDEX(貼り付け!$A$1:$BZ$3001,628,$E$1)&amp;"",",",""),"¥",""),"￥","")),0))</f>
        <v/>
      </c>
      <c r="F629">
        <f>IF($F$1=0,0,IFERROR(VALUE(SUBSTITUTE(SUBSTITUTE(SUBSTITUTE(INDEX(貼り付け!$A$1:$BZ$3001,628,$F$1)&amp;"",",",""),"¥",""),"￥","")),0))</f>
        <v/>
      </c>
      <c r="G629">
        <f>IF(ISNUMBER(B629),YEAR(B629),"")</f>
        <v/>
      </c>
      <c r="H629">
        <f>IF(ISNUMBER(B629),MONTH(B629),"")</f>
        <v/>
      </c>
      <c r="I629">
        <f>IFERROR(IF($B$1=0,"",IF(ISNUMBER(INDEX(貼り付け!$A$1:$BZ$3001,628,$B$1)),"",SUBSTITUTE(SUBSTITUTE(SUBSTITUTE(SUBSTITUTE(TRIM(LEFT(INDEX(貼り付け!$A$1:$BZ$3001,628,$B$1)&amp;"",FIND(" ",TRIM(INDEX(貼り付け!$A$1:$BZ$3001,628,$B$1)&amp;"")&amp;" ")-1)),"/","-"),"年","-"),"月","-"),"日",""))),"")</f>
        <v/>
      </c>
      <c r="J629">
        <f>IFERROR(MID(I629,FIND("-",I629)+1,99),"")</f>
        <v/>
      </c>
    </row>
    <row r="630">
      <c r="B630">
        <f>IFERROR(IF($B$1=0,"",IF(INDEX(貼り付け!$A$1:$BZ$3001,629,$B$1)="","",IF(ISNUMBER(INDEX(貼り付け!$A$1:$BZ$3001,629,$B$1)),INT(INDEX(貼り付け!$A$1:$BZ$3001,629,$B$1)),DATE(VALUE(LEFT(I630,FIND("-",I630)-1)),VALUE(LEFT(J630,FIND("-",J630)-1)),VALUE(MID(J630,FIND("-",J630)+1,99)))))),"")</f>
        <v/>
      </c>
      <c r="C630">
        <f>IF($C$1=0,0,IFERROR(VALUE(SUBSTITUTE(SUBSTITUTE(SUBSTITUTE(INDEX(貼り付け!$A$1:$BZ$3001,629,$C$1)&amp;"",",",""),"¥",""),"￥","")),0))</f>
        <v/>
      </c>
      <c r="D630">
        <f>IF($D$1=0,0,IFERROR(VALUE(SUBSTITUTE(SUBSTITUTE(SUBSTITUTE(INDEX(貼り付け!$A$1:$BZ$3001,629,$D$1)&amp;"",",",""),"¥",""),"￥","")),0))</f>
        <v/>
      </c>
      <c r="E630">
        <f>IF($E$1=0,0,IFERROR(VALUE(SUBSTITUTE(SUBSTITUTE(SUBSTITUTE(INDEX(貼り付け!$A$1:$BZ$3001,629,$E$1)&amp;"",",",""),"¥",""),"￥","")),0))</f>
        <v/>
      </c>
      <c r="F630">
        <f>IF($F$1=0,0,IFERROR(VALUE(SUBSTITUTE(SUBSTITUTE(SUBSTITUTE(INDEX(貼り付け!$A$1:$BZ$3001,629,$F$1)&amp;"",",",""),"¥",""),"￥","")),0))</f>
        <v/>
      </c>
      <c r="G630">
        <f>IF(ISNUMBER(B630),YEAR(B630),"")</f>
        <v/>
      </c>
      <c r="H630">
        <f>IF(ISNUMBER(B630),MONTH(B630),"")</f>
        <v/>
      </c>
      <c r="I630">
        <f>IFERROR(IF($B$1=0,"",IF(ISNUMBER(INDEX(貼り付け!$A$1:$BZ$3001,629,$B$1)),"",SUBSTITUTE(SUBSTITUTE(SUBSTITUTE(SUBSTITUTE(TRIM(LEFT(INDEX(貼り付け!$A$1:$BZ$3001,629,$B$1)&amp;"",FIND(" ",TRIM(INDEX(貼り付け!$A$1:$BZ$3001,629,$B$1)&amp;"")&amp;" ")-1)),"/","-"),"年","-"),"月","-"),"日",""))),"")</f>
        <v/>
      </c>
      <c r="J630">
        <f>IFERROR(MID(I630,FIND("-",I630)+1,99),"")</f>
        <v/>
      </c>
    </row>
    <row r="631">
      <c r="B631">
        <f>IFERROR(IF($B$1=0,"",IF(INDEX(貼り付け!$A$1:$BZ$3001,630,$B$1)="","",IF(ISNUMBER(INDEX(貼り付け!$A$1:$BZ$3001,630,$B$1)),INT(INDEX(貼り付け!$A$1:$BZ$3001,630,$B$1)),DATE(VALUE(LEFT(I631,FIND("-",I631)-1)),VALUE(LEFT(J631,FIND("-",J631)-1)),VALUE(MID(J631,FIND("-",J631)+1,99)))))),"")</f>
        <v/>
      </c>
      <c r="C631">
        <f>IF($C$1=0,0,IFERROR(VALUE(SUBSTITUTE(SUBSTITUTE(SUBSTITUTE(INDEX(貼り付け!$A$1:$BZ$3001,630,$C$1)&amp;"",",",""),"¥",""),"￥","")),0))</f>
        <v/>
      </c>
      <c r="D631">
        <f>IF($D$1=0,0,IFERROR(VALUE(SUBSTITUTE(SUBSTITUTE(SUBSTITUTE(INDEX(貼り付け!$A$1:$BZ$3001,630,$D$1)&amp;"",",",""),"¥",""),"￥","")),0))</f>
        <v/>
      </c>
      <c r="E631">
        <f>IF($E$1=0,0,IFERROR(VALUE(SUBSTITUTE(SUBSTITUTE(SUBSTITUTE(INDEX(貼り付け!$A$1:$BZ$3001,630,$E$1)&amp;"",",",""),"¥",""),"￥","")),0))</f>
        <v/>
      </c>
      <c r="F631">
        <f>IF($F$1=0,0,IFERROR(VALUE(SUBSTITUTE(SUBSTITUTE(SUBSTITUTE(INDEX(貼り付け!$A$1:$BZ$3001,630,$F$1)&amp;"",",",""),"¥",""),"￥","")),0))</f>
        <v/>
      </c>
      <c r="G631">
        <f>IF(ISNUMBER(B631),YEAR(B631),"")</f>
        <v/>
      </c>
      <c r="H631">
        <f>IF(ISNUMBER(B631),MONTH(B631),"")</f>
        <v/>
      </c>
      <c r="I631">
        <f>IFERROR(IF($B$1=0,"",IF(ISNUMBER(INDEX(貼り付け!$A$1:$BZ$3001,630,$B$1)),"",SUBSTITUTE(SUBSTITUTE(SUBSTITUTE(SUBSTITUTE(TRIM(LEFT(INDEX(貼り付け!$A$1:$BZ$3001,630,$B$1)&amp;"",FIND(" ",TRIM(INDEX(貼り付け!$A$1:$BZ$3001,630,$B$1)&amp;"")&amp;" ")-1)),"/","-"),"年","-"),"月","-"),"日",""))),"")</f>
        <v/>
      </c>
      <c r="J631">
        <f>IFERROR(MID(I631,FIND("-",I631)+1,99),"")</f>
        <v/>
      </c>
    </row>
    <row r="632">
      <c r="B632">
        <f>IFERROR(IF($B$1=0,"",IF(INDEX(貼り付け!$A$1:$BZ$3001,631,$B$1)="","",IF(ISNUMBER(INDEX(貼り付け!$A$1:$BZ$3001,631,$B$1)),INT(INDEX(貼り付け!$A$1:$BZ$3001,631,$B$1)),DATE(VALUE(LEFT(I632,FIND("-",I632)-1)),VALUE(LEFT(J632,FIND("-",J632)-1)),VALUE(MID(J632,FIND("-",J632)+1,99)))))),"")</f>
        <v/>
      </c>
      <c r="C632">
        <f>IF($C$1=0,0,IFERROR(VALUE(SUBSTITUTE(SUBSTITUTE(SUBSTITUTE(INDEX(貼り付け!$A$1:$BZ$3001,631,$C$1)&amp;"",",",""),"¥",""),"￥","")),0))</f>
        <v/>
      </c>
      <c r="D632">
        <f>IF($D$1=0,0,IFERROR(VALUE(SUBSTITUTE(SUBSTITUTE(SUBSTITUTE(INDEX(貼り付け!$A$1:$BZ$3001,631,$D$1)&amp;"",",",""),"¥",""),"￥","")),0))</f>
        <v/>
      </c>
      <c r="E632">
        <f>IF($E$1=0,0,IFERROR(VALUE(SUBSTITUTE(SUBSTITUTE(SUBSTITUTE(INDEX(貼り付け!$A$1:$BZ$3001,631,$E$1)&amp;"",",",""),"¥",""),"￥","")),0))</f>
        <v/>
      </c>
      <c r="F632">
        <f>IF($F$1=0,0,IFERROR(VALUE(SUBSTITUTE(SUBSTITUTE(SUBSTITUTE(INDEX(貼り付け!$A$1:$BZ$3001,631,$F$1)&amp;"",",",""),"¥",""),"￥","")),0))</f>
        <v/>
      </c>
      <c r="G632">
        <f>IF(ISNUMBER(B632),YEAR(B632),"")</f>
        <v/>
      </c>
      <c r="H632">
        <f>IF(ISNUMBER(B632),MONTH(B632),"")</f>
        <v/>
      </c>
      <c r="I632">
        <f>IFERROR(IF($B$1=0,"",IF(ISNUMBER(INDEX(貼り付け!$A$1:$BZ$3001,631,$B$1)),"",SUBSTITUTE(SUBSTITUTE(SUBSTITUTE(SUBSTITUTE(TRIM(LEFT(INDEX(貼り付け!$A$1:$BZ$3001,631,$B$1)&amp;"",FIND(" ",TRIM(INDEX(貼り付け!$A$1:$BZ$3001,631,$B$1)&amp;"")&amp;" ")-1)),"/","-"),"年","-"),"月","-"),"日",""))),"")</f>
        <v/>
      </c>
      <c r="J632">
        <f>IFERROR(MID(I632,FIND("-",I632)+1,99),"")</f>
        <v/>
      </c>
    </row>
    <row r="633">
      <c r="B633">
        <f>IFERROR(IF($B$1=0,"",IF(INDEX(貼り付け!$A$1:$BZ$3001,632,$B$1)="","",IF(ISNUMBER(INDEX(貼り付け!$A$1:$BZ$3001,632,$B$1)),INT(INDEX(貼り付け!$A$1:$BZ$3001,632,$B$1)),DATE(VALUE(LEFT(I633,FIND("-",I633)-1)),VALUE(LEFT(J633,FIND("-",J633)-1)),VALUE(MID(J633,FIND("-",J633)+1,99)))))),"")</f>
        <v/>
      </c>
      <c r="C633">
        <f>IF($C$1=0,0,IFERROR(VALUE(SUBSTITUTE(SUBSTITUTE(SUBSTITUTE(INDEX(貼り付け!$A$1:$BZ$3001,632,$C$1)&amp;"",",",""),"¥",""),"￥","")),0))</f>
        <v/>
      </c>
      <c r="D633">
        <f>IF($D$1=0,0,IFERROR(VALUE(SUBSTITUTE(SUBSTITUTE(SUBSTITUTE(INDEX(貼り付け!$A$1:$BZ$3001,632,$D$1)&amp;"",",",""),"¥",""),"￥","")),0))</f>
        <v/>
      </c>
      <c r="E633">
        <f>IF($E$1=0,0,IFERROR(VALUE(SUBSTITUTE(SUBSTITUTE(SUBSTITUTE(INDEX(貼り付け!$A$1:$BZ$3001,632,$E$1)&amp;"",",",""),"¥",""),"￥","")),0))</f>
        <v/>
      </c>
      <c r="F633">
        <f>IF($F$1=0,0,IFERROR(VALUE(SUBSTITUTE(SUBSTITUTE(SUBSTITUTE(INDEX(貼り付け!$A$1:$BZ$3001,632,$F$1)&amp;"",",",""),"¥",""),"￥","")),0))</f>
        <v/>
      </c>
      <c r="G633">
        <f>IF(ISNUMBER(B633),YEAR(B633),"")</f>
        <v/>
      </c>
      <c r="H633">
        <f>IF(ISNUMBER(B633),MONTH(B633),"")</f>
        <v/>
      </c>
      <c r="I633">
        <f>IFERROR(IF($B$1=0,"",IF(ISNUMBER(INDEX(貼り付け!$A$1:$BZ$3001,632,$B$1)),"",SUBSTITUTE(SUBSTITUTE(SUBSTITUTE(SUBSTITUTE(TRIM(LEFT(INDEX(貼り付け!$A$1:$BZ$3001,632,$B$1)&amp;"",FIND(" ",TRIM(INDEX(貼り付け!$A$1:$BZ$3001,632,$B$1)&amp;"")&amp;" ")-1)),"/","-"),"年","-"),"月","-"),"日",""))),"")</f>
        <v/>
      </c>
      <c r="J633">
        <f>IFERROR(MID(I633,FIND("-",I633)+1,99),"")</f>
        <v/>
      </c>
    </row>
    <row r="634">
      <c r="B634">
        <f>IFERROR(IF($B$1=0,"",IF(INDEX(貼り付け!$A$1:$BZ$3001,633,$B$1)="","",IF(ISNUMBER(INDEX(貼り付け!$A$1:$BZ$3001,633,$B$1)),INT(INDEX(貼り付け!$A$1:$BZ$3001,633,$B$1)),DATE(VALUE(LEFT(I634,FIND("-",I634)-1)),VALUE(LEFT(J634,FIND("-",J634)-1)),VALUE(MID(J634,FIND("-",J634)+1,99)))))),"")</f>
        <v/>
      </c>
      <c r="C634">
        <f>IF($C$1=0,0,IFERROR(VALUE(SUBSTITUTE(SUBSTITUTE(SUBSTITUTE(INDEX(貼り付け!$A$1:$BZ$3001,633,$C$1)&amp;"",",",""),"¥",""),"￥","")),0))</f>
        <v/>
      </c>
      <c r="D634">
        <f>IF($D$1=0,0,IFERROR(VALUE(SUBSTITUTE(SUBSTITUTE(SUBSTITUTE(INDEX(貼り付け!$A$1:$BZ$3001,633,$D$1)&amp;"",",",""),"¥",""),"￥","")),0))</f>
        <v/>
      </c>
      <c r="E634">
        <f>IF($E$1=0,0,IFERROR(VALUE(SUBSTITUTE(SUBSTITUTE(SUBSTITUTE(INDEX(貼り付け!$A$1:$BZ$3001,633,$E$1)&amp;"",",",""),"¥",""),"￥","")),0))</f>
        <v/>
      </c>
      <c r="F634">
        <f>IF($F$1=0,0,IFERROR(VALUE(SUBSTITUTE(SUBSTITUTE(SUBSTITUTE(INDEX(貼り付け!$A$1:$BZ$3001,633,$F$1)&amp;"",",",""),"¥",""),"￥","")),0))</f>
        <v/>
      </c>
      <c r="G634">
        <f>IF(ISNUMBER(B634),YEAR(B634),"")</f>
        <v/>
      </c>
      <c r="H634">
        <f>IF(ISNUMBER(B634),MONTH(B634),"")</f>
        <v/>
      </c>
      <c r="I634">
        <f>IFERROR(IF($B$1=0,"",IF(ISNUMBER(INDEX(貼り付け!$A$1:$BZ$3001,633,$B$1)),"",SUBSTITUTE(SUBSTITUTE(SUBSTITUTE(SUBSTITUTE(TRIM(LEFT(INDEX(貼り付け!$A$1:$BZ$3001,633,$B$1)&amp;"",FIND(" ",TRIM(INDEX(貼り付け!$A$1:$BZ$3001,633,$B$1)&amp;"")&amp;" ")-1)),"/","-"),"年","-"),"月","-"),"日",""))),"")</f>
        <v/>
      </c>
      <c r="J634">
        <f>IFERROR(MID(I634,FIND("-",I634)+1,99),"")</f>
        <v/>
      </c>
    </row>
    <row r="635">
      <c r="B635">
        <f>IFERROR(IF($B$1=0,"",IF(INDEX(貼り付け!$A$1:$BZ$3001,634,$B$1)="","",IF(ISNUMBER(INDEX(貼り付け!$A$1:$BZ$3001,634,$B$1)),INT(INDEX(貼り付け!$A$1:$BZ$3001,634,$B$1)),DATE(VALUE(LEFT(I635,FIND("-",I635)-1)),VALUE(LEFT(J635,FIND("-",J635)-1)),VALUE(MID(J635,FIND("-",J635)+1,99)))))),"")</f>
        <v/>
      </c>
      <c r="C635">
        <f>IF($C$1=0,0,IFERROR(VALUE(SUBSTITUTE(SUBSTITUTE(SUBSTITUTE(INDEX(貼り付け!$A$1:$BZ$3001,634,$C$1)&amp;"",",",""),"¥",""),"￥","")),0))</f>
        <v/>
      </c>
      <c r="D635">
        <f>IF($D$1=0,0,IFERROR(VALUE(SUBSTITUTE(SUBSTITUTE(SUBSTITUTE(INDEX(貼り付け!$A$1:$BZ$3001,634,$D$1)&amp;"",",",""),"¥",""),"￥","")),0))</f>
        <v/>
      </c>
      <c r="E635">
        <f>IF($E$1=0,0,IFERROR(VALUE(SUBSTITUTE(SUBSTITUTE(SUBSTITUTE(INDEX(貼り付け!$A$1:$BZ$3001,634,$E$1)&amp;"",",",""),"¥",""),"￥","")),0))</f>
        <v/>
      </c>
      <c r="F635">
        <f>IF($F$1=0,0,IFERROR(VALUE(SUBSTITUTE(SUBSTITUTE(SUBSTITUTE(INDEX(貼り付け!$A$1:$BZ$3001,634,$F$1)&amp;"",",",""),"¥",""),"￥","")),0))</f>
        <v/>
      </c>
      <c r="G635">
        <f>IF(ISNUMBER(B635),YEAR(B635),"")</f>
        <v/>
      </c>
      <c r="H635">
        <f>IF(ISNUMBER(B635),MONTH(B635),"")</f>
        <v/>
      </c>
      <c r="I635">
        <f>IFERROR(IF($B$1=0,"",IF(ISNUMBER(INDEX(貼り付け!$A$1:$BZ$3001,634,$B$1)),"",SUBSTITUTE(SUBSTITUTE(SUBSTITUTE(SUBSTITUTE(TRIM(LEFT(INDEX(貼り付け!$A$1:$BZ$3001,634,$B$1)&amp;"",FIND(" ",TRIM(INDEX(貼り付け!$A$1:$BZ$3001,634,$B$1)&amp;"")&amp;" ")-1)),"/","-"),"年","-"),"月","-"),"日",""))),"")</f>
        <v/>
      </c>
      <c r="J635">
        <f>IFERROR(MID(I635,FIND("-",I635)+1,99),"")</f>
        <v/>
      </c>
    </row>
    <row r="636">
      <c r="B636">
        <f>IFERROR(IF($B$1=0,"",IF(INDEX(貼り付け!$A$1:$BZ$3001,635,$B$1)="","",IF(ISNUMBER(INDEX(貼り付け!$A$1:$BZ$3001,635,$B$1)),INT(INDEX(貼り付け!$A$1:$BZ$3001,635,$B$1)),DATE(VALUE(LEFT(I636,FIND("-",I636)-1)),VALUE(LEFT(J636,FIND("-",J636)-1)),VALUE(MID(J636,FIND("-",J636)+1,99)))))),"")</f>
        <v/>
      </c>
      <c r="C636">
        <f>IF($C$1=0,0,IFERROR(VALUE(SUBSTITUTE(SUBSTITUTE(SUBSTITUTE(INDEX(貼り付け!$A$1:$BZ$3001,635,$C$1)&amp;"",",",""),"¥",""),"￥","")),0))</f>
        <v/>
      </c>
      <c r="D636">
        <f>IF($D$1=0,0,IFERROR(VALUE(SUBSTITUTE(SUBSTITUTE(SUBSTITUTE(INDEX(貼り付け!$A$1:$BZ$3001,635,$D$1)&amp;"",",",""),"¥",""),"￥","")),0))</f>
        <v/>
      </c>
      <c r="E636">
        <f>IF($E$1=0,0,IFERROR(VALUE(SUBSTITUTE(SUBSTITUTE(SUBSTITUTE(INDEX(貼り付け!$A$1:$BZ$3001,635,$E$1)&amp;"",",",""),"¥",""),"￥","")),0))</f>
        <v/>
      </c>
      <c r="F636">
        <f>IF($F$1=0,0,IFERROR(VALUE(SUBSTITUTE(SUBSTITUTE(SUBSTITUTE(INDEX(貼り付け!$A$1:$BZ$3001,635,$F$1)&amp;"",",",""),"¥",""),"￥","")),0))</f>
        <v/>
      </c>
      <c r="G636">
        <f>IF(ISNUMBER(B636),YEAR(B636),"")</f>
        <v/>
      </c>
      <c r="H636">
        <f>IF(ISNUMBER(B636),MONTH(B636),"")</f>
        <v/>
      </c>
      <c r="I636">
        <f>IFERROR(IF($B$1=0,"",IF(ISNUMBER(INDEX(貼り付け!$A$1:$BZ$3001,635,$B$1)),"",SUBSTITUTE(SUBSTITUTE(SUBSTITUTE(SUBSTITUTE(TRIM(LEFT(INDEX(貼り付け!$A$1:$BZ$3001,635,$B$1)&amp;"",FIND(" ",TRIM(INDEX(貼り付け!$A$1:$BZ$3001,635,$B$1)&amp;"")&amp;" ")-1)),"/","-"),"年","-"),"月","-"),"日",""))),"")</f>
        <v/>
      </c>
      <c r="J636">
        <f>IFERROR(MID(I636,FIND("-",I636)+1,99),"")</f>
        <v/>
      </c>
    </row>
    <row r="637">
      <c r="B637">
        <f>IFERROR(IF($B$1=0,"",IF(INDEX(貼り付け!$A$1:$BZ$3001,636,$B$1)="","",IF(ISNUMBER(INDEX(貼り付け!$A$1:$BZ$3001,636,$B$1)),INT(INDEX(貼り付け!$A$1:$BZ$3001,636,$B$1)),DATE(VALUE(LEFT(I637,FIND("-",I637)-1)),VALUE(LEFT(J637,FIND("-",J637)-1)),VALUE(MID(J637,FIND("-",J637)+1,99)))))),"")</f>
        <v/>
      </c>
      <c r="C637">
        <f>IF($C$1=0,0,IFERROR(VALUE(SUBSTITUTE(SUBSTITUTE(SUBSTITUTE(INDEX(貼り付け!$A$1:$BZ$3001,636,$C$1)&amp;"",",",""),"¥",""),"￥","")),0))</f>
        <v/>
      </c>
      <c r="D637">
        <f>IF($D$1=0,0,IFERROR(VALUE(SUBSTITUTE(SUBSTITUTE(SUBSTITUTE(INDEX(貼り付け!$A$1:$BZ$3001,636,$D$1)&amp;"",",",""),"¥",""),"￥","")),0))</f>
        <v/>
      </c>
      <c r="E637">
        <f>IF($E$1=0,0,IFERROR(VALUE(SUBSTITUTE(SUBSTITUTE(SUBSTITUTE(INDEX(貼り付け!$A$1:$BZ$3001,636,$E$1)&amp;"",",",""),"¥",""),"￥","")),0))</f>
        <v/>
      </c>
      <c r="F637">
        <f>IF($F$1=0,0,IFERROR(VALUE(SUBSTITUTE(SUBSTITUTE(SUBSTITUTE(INDEX(貼り付け!$A$1:$BZ$3001,636,$F$1)&amp;"",",",""),"¥",""),"￥","")),0))</f>
        <v/>
      </c>
      <c r="G637">
        <f>IF(ISNUMBER(B637),YEAR(B637),"")</f>
        <v/>
      </c>
      <c r="H637">
        <f>IF(ISNUMBER(B637),MONTH(B637),"")</f>
        <v/>
      </c>
      <c r="I637">
        <f>IFERROR(IF($B$1=0,"",IF(ISNUMBER(INDEX(貼り付け!$A$1:$BZ$3001,636,$B$1)),"",SUBSTITUTE(SUBSTITUTE(SUBSTITUTE(SUBSTITUTE(TRIM(LEFT(INDEX(貼り付け!$A$1:$BZ$3001,636,$B$1)&amp;"",FIND(" ",TRIM(INDEX(貼り付け!$A$1:$BZ$3001,636,$B$1)&amp;"")&amp;" ")-1)),"/","-"),"年","-"),"月","-"),"日",""))),"")</f>
        <v/>
      </c>
      <c r="J637">
        <f>IFERROR(MID(I637,FIND("-",I637)+1,99),"")</f>
        <v/>
      </c>
    </row>
    <row r="638">
      <c r="B638">
        <f>IFERROR(IF($B$1=0,"",IF(INDEX(貼り付け!$A$1:$BZ$3001,637,$B$1)="","",IF(ISNUMBER(INDEX(貼り付け!$A$1:$BZ$3001,637,$B$1)),INT(INDEX(貼り付け!$A$1:$BZ$3001,637,$B$1)),DATE(VALUE(LEFT(I638,FIND("-",I638)-1)),VALUE(LEFT(J638,FIND("-",J638)-1)),VALUE(MID(J638,FIND("-",J638)+1,99)))))),"")</f>
        <v/>
      </c>
      <c r="C638">
        <f>IF($C$1=0,0,IFERROR(VALUE(SUBSTITUTE(SUBSTITUTE(SUBSTITUTE(INDEX(貼り付け!$A$1:$BZ$3001,637,$C$1)&amp;"",",",""),"¥",""),"￥","")),0))</f>
        <v/>
      </c>
      <c r="D638">
        <f>IF($D$1=0,0,IFERROR(VALUE(SUBSTITUTE(SUBSTITUTE(SUBSTITUTE(INDEX(貼り付け!$A$1:$BZ$3001,637,$D$1)&amp;"",",",""),"¥",""),"￥","")),0))</f>
        <v/>
      </c>
      <c r="E638">
        <f>IF($E$1=0,0,IFERROR(VALUE(SUBSTITUTE(SUBSTITUTE(SUBSTITUTE(INDEX(貼り付け!$A$1:$BZ$3001,637,$E$1)&amp;"",",",""),"¥",""),"￥","")),0))</f>
        <v/>
      </c>
      <c r="F638">
        <f>IF($F$1=0,0,IFERROR(VALUE(SUBSTITUTE(SUBSTITUTE(SUBSTITUTE(INDEX(貼り付け!$A$1:$BZ$3001,637,$F$1)&amp;"",",",""),"¥",""),"￥","")),0))</f>
        <v/>
      </c>
      <c r="G638">
        <f>IF(ISNUMBER(B638),YEAR(B638),"")</f>
        <v/>
      </c>
      <c r="H638">
        <f>IF(ISNUMBER(B638),MONTH(B638),"")</f>
        <v/>
      </c>
      <c r="I638">
        <f>IFERROR(IF($B$1=0,"",IF(ISNUMBER(INDEX(貼り付け!$A$1:$BZ$3001,637,$B$1)),"",SUBSTITUTE(SUBSTITUTE(SUBSTITUTE(SUBSTITUTE(TRIM(LEFT(INDEX(貼り付け!$A$1:$BZ$3001,637,$B$1)&amp;"",FIND(" ",TRIM(INDEX(貼り付け!$A$1:$BZ$3001,637,$B$1)&amp;"")&amp;" ")-1)),"/","-"),"年","-"),"月","-"),"日",""))),"")</f>
        <v/>
      </c>
      <c r="J638">
        <f>IFERROR(MID(I638,FIND("-",I638)+1,99),"")</f>
        <v/>
      </c>
    </row>
    <row r="639">
      <c r="B639">
        <f>IFERROR(IF($B$1=0,"",IF(INDEX(貼り付け!$A$1:$BZ$3001,638,$B$1)="","",IF(ISNUMBER(INDEX(貼り付け!$A$1:$BZ$3001,638,$B$1)),INT(INDEX(貼り付け!$A$1:$BZ$3001,638,$B$1)),DATE(VALUE(LEFT(I639,FIND("-",I639)-1)),VALUE(LEFT(J639,FIND("-",J639)-1)),VALUE(MID(J639,FIND("-",J639)+1,99)))))),"")</f>
        <v/>
      </c>
      <c r="C639">
        <f>IF($C$1=0,0,IFERROR(VALUE(SUBSTITUTE(SUBSTITUTE(SUBSTITUTE(INDEX(貼り付け!$A$1:$BZ$3001,638,$C$1)&amp;"",",",""),"¥",""),"￥","")),0))</f>
        <v/>
      </c>
      <c r="D639">
        <f>IF($D$1=0,0,IFERROR(VALUE(SUBSTITUTE(SUBSTITUTE(SUBSTITUTE(INDEX(貼り付け!$A$1:$BZ$3001,638,$D$1)&amp;"",",",""),"¥",""),"￥","")),0))</f>
        <v/>
      </c>
      <c r="E639">
        <f>IF($E$1=0,0,IFERROR(VALUE(SUBSTITUTE(SUBSTITUTE(SUBSTITUTE(INDEX(貼り付け!$A$1:$BZ$3001,638,$E$1)&amp;"",",",""),"¥",""),"￥","")),0))</f>
        <v/>
      </c>
      <c r="F639">
        <f>IF($F$1=0,0,IFERROR(VALUE(SUBSTITUTE(SUBSTITUTE(SUBSTITUTE(INDEX(貼り付け!$A$1:$BZ$3001,638,$F$1)&amp;"",",",""),"¥",""),"￥","")),0))</f>
        <v/>
      </c>
      <c r="G639">
        <f>IF(ISNUMBER(B639),YEAR(B639),"")</f>
        <v/>
      </c>
      <c r="H639">
        <f>IF(ISNUMBER(B639),MONTH(B639),"")</f>
        <v/>
      </c>
      <c r="I639">
        <f>IFERROR(IF($B$1=0,"",IF(ISNUMBER(INDEX(貼り付け!$A$1:$BZ$3001,638,$B$1)),"",SUBSTITUTE(SUBSTITUTE(SUBSTITUTE(SUBSTITUTE(TRIM(LEFT(INDEX(貼り付け!$A$1:$BZ$3001,638,$B$1)&amp;"",FIND(" ",TRIM(INDEX(貼り付け!$A$1:$BZ$3001,638,$B$1)&amp;"")&amp;" ")-1)),"/","-"),"年","-"),"月","-"),"日",""))),"")</f>
        <v/>
      </c>
      <c r="J639">
        <f>IFERROR(MID(I639,FIND("-",I639)+1,99),"")</f>
        <v/>
      </c>
    </row>
    <row r="640">
      <c r="B640">
        <f>IFERROR(IF($B$1=0,"",IF(INDEX(貼り付け!$A$1:$BZ$3001,639,$B$1)="","",IF(ISNUMBER(INDEX(貼り付け!$A$1:$BZ$3001,639,$B$1)),INT(INDEX(貼り付け!$A$1:$BZ$3001,639,$B$1)),DATE(VALUE(LEFT(I640,FIND("-",I640)-1)),VALUE(LEFT(J640,FIND("-",J640)-1)),VALUE(MID(J640,FIND("-",J640)+1,99)))))),"")</f>
        <v/>
      </c>
      <c r="C640">
        <f>IF($C$1=0,0,IFERROR(VALUE(SUBSTITUTE(SUBSTITUTE(SUBSTITUTE(INDEX(貼り付け!$A$1:$BZ$3001,639,$C$1)&amp;"",",",""),"¥",""),"￥","")),0))</f>
        <v/>
      </c>
      <c r="D640">
        <f>IF($D$1=0,0,IFERROR(VALUE(SUBSTITUTE(SUBSTITUTE(SUBSTITUTE(INDEX(貼り付け!$A$1:$BZ$3001,639,$D$1)&amp;"",",",""),"¥",""),"￥","")),0))</f>
        <v/>
      </c>
      <c r="E640">
        <f>IF($E$1=0,0,IFERROR(VALUE(SUBSTITUTE(SUBSTITUTE(SUBSTITUTE(INDEX(貼り付け!$A$1:$BZ$3001,639,$E$1)&amp;"",",",""),"¥",""),"￥","")),0))</f>
        <v/>
      </c>
      <c r="F640">
        <f>IF($F$1=0,0,IFERROR(VALUE(SUBSTITUTE(SUBSTITUTE(SUBSTITUTE(INDEX(貼り付け!$A$1:$BZ$3001,639,$F$1)&amp;"",",",""),"¥",""),"￥","")),0))</f>
        <v/>
      </c>
      <c r="G640">
        <f>IF(ISNUMBER(B640),YEAR(B640),"")</f>
        <v/>
      </c>
      <c r="H640">
        <f>IF(ISNUMBER(B640),MONTH(B640),"")</f>
        <v/>
      </c>
      <c r="I640">
        <f>IFERROR(IF($B$1=0,"",IF(ISNUMBER(INDEX(貼り付け!$A$1:$BZ$3001,639,$B$1)),"",SUBSTITUTE(SUBSTITUTE(SUBSTITUTE(SUBSTITUTE(TRIM(LEFT(INDEX(貼り付け!$A$1:$BZ$3001,639,$B$1)&amp;"",FIND(" ",TRIM(INDEX(貼り付け!$A$1:$BZ$3001,639,$B$1)&amp;"")&amp;" ")-1)),"/","-"),"年","-"),"月","-"),"日",""))),"")</f>
        <v/>
      </c>
      <c r="J640">
        <f>IFERROR(MID(I640,FIND("-",I640)+1,99),"")</f>
        <v/>
      </c>
    </row>
    <row r="641">
      <c r="B641">
        <f>IFERROR(IF($B$1=0,"",IF(INDEX(貼り付け!$A$1:$BZ$3001,640,$B$1)="","",IF(ISNUMBER(INDEX(貼り付け!$A$1:$BZ$3001,640,$B$1)),INT(INDEX(貼り付け!$A$1:$BZ$3001,640,$B$1)),DATE(VALUE(LEFT(I641,FIND("-",I641)-1)),VALUE(LEFT(J641,FIND("-",J641)-1)),VALUE(MID(J641,FIND("-",J641)+1,99)))))),"")</f>
        <v/>
      </c>
      <c r="C641">
        <f>IF($C$1=0,0,IFERROR(VALUE(SUBSTITUTE(SUBSTITUTE(SUBSTITUTE(INDEX(貼り付け!$A$1:$BZ$3001,640,$C$1)&amp;"",",",""),"¥",""),"￥","")),0))</f>
        <v/>
      </c>
      <c r="D641">
        <f>IF($D$1=0,0,IFERROR(VALUE(SUBSTITUTE(SUBSTITUTE(SUBSTITUTE(INDEX(貼り付け!$A$1:$BZ$3001,640,$D$1)&amp;"",",",""),"¥",""),"￥","")),0))</f>
        <v/>
      </c>
      <c r="E641">
        <f>IF($E$1=0,0,IFERROR(VALUE(SUBSTITUTE(SUBSTITUTE(SUBSTITUTE(INDEX(貼り付け!$A$1:$BZ$3001,640,$E$1)&amp;"",",",""),"¥",""),"￥","")),0))</f>
        <v/>
      </c>
      <c r="F641">
        <f>IF($F$1=0,0,IFERROR(VALUE(SUBSTITUTE(SUBSTITUTE(SUBSTITUTE(INDEX(貼り付け!$A$1:$BZ$3001,640,$F$1)&amp;"",",",""),"¥",""),"￥","")),0))</f>
        <v/>
      </c>
      <c r="G641">
        <f>IF(ISNUMBER(B641),YEAR(B641),"")</f>
        <v/>
      </c>
      <c r="H641">
        <f>IF(ISNUMBER(B641),MONTH(B641),"")</f>
        <v/>
      </c>
      <c r="I641">
        <f>IFERROR(IF($B$1=0,"",IF(ISNUMBER(INDEX(貼り付け!$A$1:$BZ$3001,640,$B$1)),"",SUBSTITUTE(SUBSTITUTE(SUBSTITUTE(SUBSTITUTE(TRIM(LEFT(INDEX(貼り付け!$A$1:$BZ$3001,640,$B$1)&amp;"",FIND(" ",TRIM(INDEX(貼り付け!$A$1:$BZ$3001,640,$B$1)&amp;"")&amp;" ")-1)),"/","-"),"年","-"),"月","-"),"日",""))),"")</f>
        <v/>
      </c>
      <c r="J641">
        <f>IFERROR(MID(I641,FIND("-",I641)+1,99),"")</f>
        <v/>
      </c>
    </row>
    <row r="642">
      <c r="B642">
        <f>IFERROR(IF($B$1=0,"",IF(INDEX(貼り付け!$A$1:$BZ$3001,641,$B$1)="","",IF(ISNUMBER(INDEX(貼り付け!$A$1:$BZ$3001,641,$B$1)),INT(INDEX(貼り付け!$A$1:$BZ$3001,641,$B$1)),DATE(VALUE(LEFT(I642,FIND("-",I642)-1)),VALUE(LEFT(J642,FIND("-",J642)-1)),VALUE(MID(J642,FIND("-",J642)+1,99)))))),"")</f>
        <v/>
      </c>
      <c r="C642">
        <f>IF($C$1=0,0,IFERROR(VALUE(SUBSTITUTE(SUBSTITUTE(SUBSTITUTE(INDEX(貼り付け!$A$1:$BZ$3001,641,$C$1)&amp;"",",",""),"¥",""),"￥","")),0))</f>
        <v/>
      </c>
      <c r="D642">
        <f>IF($D$1=0,0,IFERROR(VALUE(SUBSTITUTE(SUBSTITUTE(SUBSTITUTE(INDEX(貼り付け!$A$1:$BZ$3001,641,$D$1)&amp;"",",",""),"¥",""),"￥","")),0))</f>
        <v/>
      </c>
      <c r="E642">
        <f>IF($E$1=0,0,IFERROR(VALUE(SUBSTITUTE(SUBSTITUTE(SUBSTITUTE(INDEX(貼り付け!$A$1:$BZ$3001,641,$E$1)&amp;"",",",""),"¥",""),"￥","")),0))</f>
        <v/>
      </c>
      <c r="F642">
        <f>IF($F$1=0,0,IFERROR(VALUE(SUBSTITUTE(SUBSTITUTE(SUBSTITUTE(INDEX(貼り付け!$A$1:$BZ$3001,641,$F$1)&amp;"",",",""),"¥",""),"￥","")),0))</f>
        <v/>
      </c>
      <c r="G642">
        <f>IF(ISNUMBER(B642),YEAR(B642),"")</f>
        <v/>
      </c>
      <c r="H642">
        <f>IF(ISNUMBER(B642),MONTH(B642),"")</f>
        <v/>
      </c>
      <c r="I642">
        <f>IFERROR(IF($B$1=0,"",IF(ISNUMBER(INDEX(貼り付け!$A$1:$BZ$3001,641,$B$1)),"",SUBSTITUTE(SUBSTITUTE(SUBSTITUTE(SUBSTITUTE(TRIM(LEFT(INDEX(貼り付け!$A$1:$BZ$3001,641,$B$1)&amp;"",FIND(" ",TRIM(INDEX(貼り付け!$A$1:$BZ$3001,641,$B$1)&amp;"")&amp;" ")-1)),"/","-"),"年","-"),"月","-"),"日",""))),"")</f>
        <v/>
      </c>
      <c r="J642">
        <f>IFERROR(MID(I642,FIND("-",I642)+1,99),"")</f>
        <v/>
      </c>
    </row>
    <row r="643">
      <c r="B643">
        <f>IFERROR(IF($B$1=0,"",IF(INDEX(貼り付け!$A$1:$BZ$3001,642,$B$1)="","",IF(ISNUMBER(INDEX(貼り付け!$A$1:$BZ$3001,642,$B$1)),INT(INDEX(貼り付け!$A$1:$BZ$3001,642,$B$1)),DATE(VALUE(LEFT(I643,FIND("-",I643)-1)),VALUE(LEFT(J643,FIND("-",J643)-1)),VALUE(MID(J643,FIND("-",J643)+1,99)))))),"")</f>
        <v/>
      </c>
      <c r="C643">
        <f>IF($C$1=0,0,IFERROR(VALUE(SUBSTITUTE(SUBSTITUTE(SUBSTITUTE(INDEX(貼り付け!$A$1:$BZ$3001,642,$C$1)&amp;"",",",""),"¥",""),"￥","")),0))</f>
        <v/>
      </c>
      <c r="D643">
        <f>IF($D$1=0,0,IFERROR(VALUE(SUBSTITUTE(SUBSTITUTE(SUBSTITUTE(INDEX(貼り付け!$A$1:$BZ$3001,642,$D$1)&amp;"",",",""),"¥",""),"￥","")),0))</f>
        <v/>
      </c>
      <c r="E643">
        <f>IF($E$1=0,0,IFERROR(VALUE(SUBSTITUTE(SUBSTITUTE(SUBSTITUTE(INDEX(貼り付け!$A$1:$BZ$3001,642,$E$1)&amp;"",",",""),"¥",""),"￥","")),0))</f>
        <v/>
      </c>
      <c r="F643">
        <f>IF($F$1=0,0,IFERROR(VALUE(SUBSTITUTE(SUBSTITUTE(SUBSTITUTE(INDEX(貼り付け!$A$1:$BZ$3001,642,$F$1)&amp;"",",",""),"¥",""),"￥","")),0))</f>
        <v/>
      </c>
      <c r="G643">
        <f>IF(ISNUMBER(B643),YEAR(B643),"")</f>
        <v/>
      </c>
      <c r="H643">
        <f>IF(ISNUMBER(B643),MONTH(B643),"")</f>
        <v/>
      </c>
      <c r="I643">
        <f>IFERROR(IF($B$1=0,"",IF(ISNUMBER(INDEX(貼り付け!$A$1:$BZ$3001,642,$B$1)),"",SUBSTITUTE(SUBSTITUTE(SUBSTITUTE(SUBSTITUTE(TRIM(LEFT(INDEX(貼り付け!$A$1:$BZ$3001,642,$B$1)&amp;"",FIND(" ",TRIM(INDEX(貼り付け!$A$1:$BZ$3001,642,$B$1)&amp;"")&amp;" ")-1)),"/","-"),"年","-"),"月","-"),"日",""))),"")</f>
        <v/>
      </c>
      <c r="J643">
        <f>IFERROR(MID(I643,FIND("-",I643)+1,99),"")</f>
        <v/>
      </c>
    </row>
    <row r="644">
      <c r="B644">
        <f>IFERROR(IF($B$1=0,"",IF(INDEX(貼り付け!$A$1:$BZ$3001,643,$B$1)="","",IF(ISNUMBER(INDEX(貼り付け!$A$1:$BZ$3001,643,$B$1)),INT(INDEX(貼り付け!$A$1:$BZ$3001,643,$B$1)),DATE(VALUE(LEFT(I644,FIND("-",I644)-1)),VALUE(LEFT(J644,FIND("-",J644)-1)),VALUE(MID(J644,FIND("-",J644)+1,99)))))),"")</f>
        <v/>
      </c>
      <c r="C644">
        <f>IF($C$1=0,0,IFERROR(VALUE(SUBSTITUTE(SUBSTITUTE(SUBSTITUTE(INDEX(貼り付け!$A$1:$BZ$3001,643,$C$1)&amp;"",",",""),"¥",""),"￥","")),0))</f>
        <v/>
      </c>
      <c r="D644">
        <f>IF($D$1=0,0,IFERROR(VALUE(SUBSTITUTE(SUBSTITUTE(SUBSTITUTE(INDEX(貼り付け!$A$1:$BZ$3001,643,$D$1)&amp;"",",",""),"¥",""),"￥","")),0))</f>
        <v/>
      </c>
      <c r="E644">
        <f>IF($E$1=0,0,IFERROR(VALUE(SUBSTITUTE(SUBSTITUTE(SUBSTITUTE(INDEX(貼り付け!$A$1:$BZ$3001,643,$E$1)&amp;"",",",""),"¥",""),"￥","")),0))</f>
        <v/>
      </c>
      <c r="F644">
        <f>IF($F$1=0,0,IFERROR(VALUE(SUBSTITUTE(SUBSTITUTE(SUBSTITUTE(INDEX(貼り付け!$A$1:$BZ$3001,643,$F$1)&amp;"",",",""),"¥",""),"￥","")),0))</f>
        <v/>
      </c>
      <c r="G644">
        <f>IF(ISNUMBER(B644),YEAR(B644),"")</f>
        <v/>
      </c>
      <c r="H644">
        <f>IF(ISNUMBER(B644),MONTH(B644),"")</f>
        <v/>
      </c>
      <c r="I644">
        <f>IFERROR(IF($B$1=0,"",IF(ISNUMBER(INDEX(貼り付け!$A$1:$BZ$3001,643,$B$1)),"",SUBSTITUTE(SUBSTITUTE(SUBSTITUTE(SUBSTITUTE(TRIM(LEFT(INDEX(貼り付け!$A$1:$BZ$3001,643,$B$1)&amp;"",FIND(" ",TRIM(INDEX(貼り付け!$A$1:$BZ$3001,643,$B$1)&amp;"")&amp;" ")-1)),"/","-"),"年","-"),"月","-"),"日",""))),"")</f>
        <v/>
      </c>
      <c r="J644">
        <f>IFERROR(MID(I644,FIND("-",I644)+1,99),"")</f>
        <v/>
      </c>
    </row>
    <row r="645">
      <c r="B645">
        <f>IFERROR(IF($B$1=0,"",IF(INDEX(貼り付け!$A$1:$BZ$3001,644,$B$1)="","",IF(ISNUMBER(INDEX(貼り付け!$A$1:$BZ$3001,644,$B$1)),INT(INDEX(貼り付け!$A$1:$BZ$3001,644,$B$1)),DATE(VALUE(LEFT(I645,FIND("-",I645)-1)),VALUE(LEFT(J645,FIND("-",J645)-1)),VALUE(MID(J645,FIND("-",J645)+1,99)))))),"")</f>
        <v/>
      </c>
      <c r="C645">
        <f>IF($C$1=0,0,IFERROR(VALUE(SUBSTITUTE(SUBSTITUTE(SUBSTITUTE(INDEX(貼り付け!$A$1:$BZ$3001,644,$C$1)&amp;"",",",""),"¥",""),"￥","")),0))</f>
        <v/>
      </c>
      <c r="D645">
        <f>IF($D$1=0,0,IFERROR(VALUE(SUBSTITUTE(SUBSTITUTE(SUBSTITUTE(INDEX(貼り付け!$A$1:$BZ$3001,644,$D$1)&amp;"",",",""),"¥",""),"￥","")),0))</f>
        <v/>
      </c>
      <c r="E645">
        <f>IF($E$1=0,0,IFERROR(VALUE(SUBSTITUTE(SUBSTITUTE(SUBSTITUTE(INDEX(貼り付け!$A$1:$BZ$3001,644,$E$1)&amp;"",",",""),"¥",""),"￥","")),0))</f>
        <v/>
      </c>
      <c r="F645">
        <f>IF($F$1=0,0,IFERROR(VALUE(SUBSTITUTE(SUBSTITUTE(SUBSTITUTE(INDEX(貼り付け!$A$1:$BZ$3001,644,$F$1)&amp;"",",",""),"¥",""),"￥","")),0))</f>
        <v/>
      </c>
      <c r="G645">
        <f>IF(ISNUMBER(B645),YEAR(B645),"")</f>
        <v/>
      </c>
      <c r="H645">
        <f>IF(ISNUMBER(B645),MONTH(B645),"")</f>
        <v/>
      </c>
      <c r="I645">
        <f>IFERROR(IF($B$1=0,"",IF(ISNUMBER(INDEX(貼り付け!$A$1:$BZ$3001,644,$B$1)),"",SUBSTITUTE(SUBSTITUTE(SUBSTITUTE(SUBSTITUTE(TRIM(LEFT(INDEX(貼り付け!$A$1:$BZ$3001,644,$B$1)&amp;"",FIND(" ",TRIM(INDEX(貼り付け!$A$1:$BZ$3001,644,$B$1)&amp;"")&amp;" ")-1)),"/","-"),"年","-"),"月","-"),"日",""))),"")</f>
        <v/>
      </c>
      <c r="J645">
        <f>IFERROR(MID(I645,FIND("-",I645)+1,99),"")</f>
        <v/>
      </c>
    </row>
    <row r="646">
      <c r="B646">
        <f>IFERROR(IF($B$1=0,"",IF(INDEX(貼り付け!$A$1:$BZ$3001,645,$B$1)="","",IF(ISNUMBER(INDEX(貼り付け!$A$1:$BZ$3001,645,$B$1)),INT(INDEX(貼り付け!$A$1:$BZ$3001,645,$B$1)),DATE(VALUE(LEFT(I646,FIND("-",I646)-1)),VALUE(LEFT(J646,FIND("-",J646)-1)),VALUE(MID(J646,FIND("-",J646)+1,99)))))),"")</f>
        <v/>
      </c>
      <c r="C646">
        <f>IF($C$1=0,0,IFERROR(VALUE(SUBSTITUTE(SUBSTITUTE(SUBSTITUTE(INDEX(貼り付け!$A$1:$BZ$3001,645,$C$1)&amp;"",",",""),"¥",""),"￥","")),0))</f>
        <v/>
      </c>
      <c r="D646">
        <f>IF($D$1=0,0,IFERROR(VALUE(SUBSTITUTE(SUBSTITUTE(SUBSTITUTE(INDEX(貼り付け!$A$1:$BZ$3001,645,$D$1)&amp;"",",",""),"¥",""),"￥","")),0))</f>
        <v/>
      </c>
      <c r="E646">
        <f>IF($E$1=0,0,IFERROR(VALUE(SUBSTITUTE(SUBSTITUTE(SUBSTITUTE(INDEX(貼り付け!$A$1:$BZ$3001,645,$E$1)&amp;"",",",""),"¥",""),"￥","")),0))</f>
        <v/>
      </c>
      <c r="F646">
        <f>IF($F$1=0,0,IFERROR(VALUE(SUBSTITUTE(SUBSTITUTE(SUBSTITUTE(INDEX(貼り付け!$A$1:$BZ$3001,645,$F$1)&amp;"",",",""),"¥",""),"￥","")),0))</f>
        <v/>
      </c>
      <c r="G646">
        <f>IF(ISNUMBER(B646),YEAR(B646),"")</f>
        <v/>
      </c>
      <c r="H646">
        <f>IF(ISNUMBER(B646),MONTH(B646),"")</f>
        <v/>
      </c>
      <c r="I646">
        <f>IFERROR(IF($B$1=0,"",IF(ISNUMBER(INDEX(貼り付け!$A$1:$BZ$3001,645,$B$1)),"",SUBSTITUTE(SUBSTITUTE(SUBSTITUTE(SUBSTITUTE(TRIM(LEFT(INDEX(貼り付け!$A$1:$BZ$3001,645,$B$1)&amp;"",FIND(" ",TRIM(INDEX(貼り付け!$A$1:$BZ$3001,645,$B$1)&amp;"")&amp;" ")-1)),"/","-"),"年","-"),"月","-"),"日",""))),"")</f>
        <v/>
      </c>
      <c r="J646">
        <f>IFERROR(MID(I646,FIND("-",I646)+1,99),"")</f>
        <v/>
      </c>
    </row>
    <row r="647">
      <c r="B647">
        <f>IFERROR(IF($B$1=0,"",IF(INDEX(貼り付け!$A$1:$BZ$3001,646,$B$1)="","",IF(ISNUMBER(INDEX(貼り付け!$A$1:$BZ$3001,646,$B$1)),INT(INDEX(貼り付け!$A$1:$BZ$3001,646,$B$1)),DATE(VALUE(LEFT(I647,FIND("-",I647)-1)),VALUE(LEFT(J647,FIND("-",J647)-1)),VALUE(MID(J647,FIND("-",J647)+1,99)))))),"")</f>
        <v/>
      </c>
      <c r="C647">
        <f>IF($C$1=0,0,IFERROR(VALUE(SUBSTITUTE(SUBSTITUTE(SUBSTITUTE(INDEX(貼り付け!$A$1:$BZ$3001,646,$C$1)&amp;"",",",""),"¥",""),"￥","")),0))</f>
        <v/>
      </c>
      <c r="D647">
        <f>IF($D$1=0,0,IFERROR(VALUE(SUBSTITUTE(SUBSTITUTE(SUBSTITUTE(INDEX(貼り付け!$A$1:$BZ$3001,646,$D$1)&amp;"",",",""),"¥",""),"￥","")),0))</f>
        <v/>
      </c>
      <c r="E647">
        <f>IF($E$1=0,0,IFERROR(VALUE(SUBSTITUTE(SUBSTITUTE(SUBSTITUTE(INDEX(貼り付け!$A$1:$BZ$3001,646,$E$1)&amp;"",",",""),"¥",""),"￥","")),0))</f>
        <v/>
      </c>
      <c r="F647">
        <f>IF($F$1=0,0,IFERROR(VALUE(SUBSTITUTE(SUBSTITUTE(SUBSTITUTE(INDEX(貼り付け!$A$1:$BZ$3001,646,$F$1)&amp;"",",",""),"¥",""),"￥","")),0))</f>
        <v/>
      </c>
      <c r="G647">
        <f>IF(ISNUMBER(B647),YEAR(B647),"")</f>
        <v/>
      </c>
      <c r="H647">
        <f>IF(ISNUMBER(B647),MONTH(B647),"")</f>
        <v/>
      </c>
      <c r="I647">
        <f>IFERROR(IF($B$1=0,"",IF(ISNUMBER(INDEX(貼り付け!$A$1:$BZ$3001,646,$B$1)),"",SUBSTITUTE(SUBSTITUTE(SUBSTITUTE(SUBSTITUTE(TRIM(LEFT(INDEX(貼り付け!$A$1:$BZ$3001,646,$B$1)&amp;"",FIND(" ",TRIM(INDEX(貼り付け!$A$1:$BZ$3001,646,$B$1)&amp;"")&amp;" ")-1)),"/","-"),"年","-"),"月","-"),"日",""))),"")</f>
        <v/>
      </c>
      <c r="J647">
        <f>IFERROR(MID(I647,FIND("-",I647)+1,99),"")</f>
        <v/>
      </c>
    </row>
    <row r="648">
      <c r="B648">
        <f>IFERROR(IF($B$1=0,"",IF(INDEX(貼り付け!$A$1:$BZ$3001,647,$B$1)="","",IF(ISNUMBER(INDEX(貼り付け!$A$1:$BZ$3001,647,$B$1)),INT(INDEX(貼り付け!$A$1:$BZ$3001,647,$B$1)),DATE(VALUE(LEFT(I648,FIND("-",I648)-1)),VALUE(LEFT(J648,FIND("-",J648)-1)),VALUE(MID(J648,FIND("-",J648)+1,99)))))),"")</f>
        <v/>
      </c>
      <c r="C648">
        <f>IF($C$1=0,0,IFERROR(VALUE(SUBSTITUTE(SUBSTITUTE(SUBSTITUTE(INDEX(貼り付け!$A$1:$BZ$3001,647,$C$1)&amp;"",",",""),"¥",""),"￥","")),0))</f>
        <v/>
      </c>
      <c r="D648">
        <f>IF($D$1=0,0,IFERROR(VALUE(SUBSTITUTE(SUBSTITUTE(SUBSTITUTE(INDEX(貼り付け!$A$1:$BZ$3001,647,$D$1)&amp;"",",",""),"¥",""),"￥","")),0))</f>
        <v/>
      </c>
      <c r="E648">
        <f>IF($E$1=0,0,IFERROR(VALUE(SUBSTITUTE(SUBSTITUTE(SUBSTITUTE(INDEX(貼り付け!$A$1:$BZ$3001,647,$E$1)&amp;"",",",""),"¥",""),"￥","")),0))</f>
        <v/>
      </c>
      <c r="F648">
        <f>IF($F$1=0,0,IFERROR(VALUE(SUBSTITUTE(SUBSTITUTE(SUBSTITUTE(INDEX(貼り付け!$A$1:$BZ$3001,647,$F$1)&amp;"",",",""),"¥",""),"￥","")),0))</f>
        <v/>
      </c>
      <c r="G648">
        <f>IF(ISNUMBER(B648),YEAR(B648),"")</f>
        <v/>
      </c>
      <c r="H648">
        <f>IF(ISNUMBER(B648),MONTH(B648),"")</f>
        <v/>
      </c>
      <c r="I648">
        <f>IFERROR(IF($B$1=0,"",IF(ISNUMBER(INDEX(貼り付け!$A$1:$BZ$3001,647,$B$1)),"",SUBSTITUTE(SUBSTITUTE(SUBSTITUTE(SUBSTITUTE(TRIM(LEFT(INDEX(貼り付け!$A$1:$BZ$3001,647,$B$1)&amp;"",FIND(" ",TRIM(INDEX(貼り付け!$A$1:$BZ$3001,647,$B$1)&amp;"")&amp;" ")-1)),"/","-"),"年","-"),"月","-"),"日",""))),"")</f>
        <v/>
      </c>
      <c r="J648">
        <f>IFERROR(MID(I648,FIND("-",I648)+1,99),"")</f>
        <v/>
      </c>
    </row>
    <row r="649">
      <c r="B649">
        <f>IFERROR(IF($B$1=0,"",IF(INDEX(貼り付け!$A$1:$BZ$3001,648,$B$1)="","",IF(ISNUMBER(INDEX(貼り付け!$A$1:$BZ$3001,648,$B$1)),INT(INDEX(貼り付け!$A$1:$BZ$3001,648,$B$1)),DATE(VALUE(LEFT(I649,FIND("-",I649)-1)),VALUE(LEFT(J649,FIND("-",J649)-1)),VALUE(MID(J649,FIND("-",J649)+1,99)))))),"")</f>
        <v/>
      </c>
      <c r="C649">
        <f>IF($C$1=0,0,IFERROR(VALUE(SUBSTITUTE(SUBSTITUTE(SUBSTITUTE(INDEX(貼り付け!$A$1:$BZ$3001,648,$C$1)&amp;"",",",""),"¥",""),"￥","")),0))</f>
        <v/>
      </c>
      <c r="D649">
        <f>IF($D$1=0,0,IFERROR(VALUE(SUBSTITUTE(SUBSTITUTE(SUBSTITUTE(INDEX(貼り付け!$A$1:$BZ$3001,648,$D$1)&amp;"",",",""),"¥",""),"￥","")),0))</f>
        <v/>
      </c>
      <c r="E649">
        <f>IF($E$1=0,0,IFERROR(VALUE(SUBSTITUTE(SUBSTITUTE(SUBSTITUTE(INDEX(貼り付け!$A$1:$BZ$3001,648,$E$1)&amp;"",",",""),"¥",""),"￥","")),0))</f>
        <v/>
      </c>
      <c r="F649">
        <f>IF($F$1=0,0,IFERROR(VALUE(SUBSTITUTE(SUBSTITUTE(SUBSTITUTE(INDEX(貼り付け!$A$1:$BZ$3001,648,$F$1)&amp;"",",",""),"¥",""),"￥","")),0))</f>
        <v/>
      </c>
      <c r="G649">
        <f>IF(ISNUMBER(B649),YEAR(B649),"")</f>
        <v/>
      </c>
      <c r="H649">
        <f>IF(ISNUMBER(B649),MONTH(B649),"")</f>
        <v/>
      </c>
      <c r="I649">
        <f>IFERROR(IF($B$1=0,"",IF(ISNUMBER(INDEX(貼り付け!$A$1:$BZ$3001,648,$B$1)),"",SUBSTITUTE(SUBSTITUTE(SUBSTITUTE(SUBSTITUTE(TRIM(LEFT(INDEX(貼り付け!$A$1:$BZ$3001,648,$B$1)&amp;"",FIND(" ",TRIM(INDEX(貼り付け!$A$1:$BZ$3001,648,$B$1)&amp;"")&amp;" ")-1)),"/","-"),"年","-"),"月","-"),"日",""))),"")</f>
        <v/>
      </c>
      <c r="J649">
        <f>IFERROR(MID(I649,FIND("-",I649)+1,99),"")</f>
        <v/>
      </c>
    </row>
    <row r="650">
      <c r="B650">
        <f>IFERROR(IF($B$1=0,"",IF(INDEX(貼り付け!$A$1:$BZ$3001,649,$B$1)="","",IF(ISNUMBER(INDEX(貼り付け!$A$1:$BZ$3001,649,$B$1)),INT(INDEX(貼り付け!$A$1:$BZ$3001,649,$B$1)),DATE(VALUE(LEFT(I650,FIND("-",I650)-1)),VALUE(LEFT(J650,FIND("-",J650)-1)),VALUE(MID(J650,FIND("-",J650)+1,99)))))),"")</f>
        <v/>
      </c>
      <c r="C650">
        <f>IF($C$1=0,0,IFERROR(VALUE(SUBSTITUTE(SUBSTITUTE(SUBSTITUTE(INDEX(貼り付け!$A$1:$BZ$3001,649,$C$1)&amp;"",",",""),"¥",""),"￥","")),0))</f>
        <v/>
      </c>
      <c r="D650">
        <f>IF($D$1=0,0,IFERROR(VALUE(SUBSTITUTE(SUBSTITUTE(SUBSTITUTE(INDEX(貼り付け!$A$1:$BZ$3001,649,$D$1)&amp;"",",",""),"¥",""),"￥","")),0))</f>
        <v/>
      </c>
      <c r="E650">
        <f>IF($E$1=0,0,IFERROR(VALUE(SUBSTITUTE(SUBSTITUTE(SUBSTITUTE(INDEX(貼り付け!$A$1:$BZ$3001,649,$E$1)&amp;"",",",""),"¥",""),"￥","")),0))</f>
        <v/>
      </c>
      <c r="F650">
        <f>IF($F$1=0,0,IFERROR(VALUE(SUBSTITUTE(SUBSTITUTE(SUBSTITUTE(INDEX(貼り付け!$A$1:$BZ$3001,649,$F$1)&amp;"",",",""),"¥",""),"￥","")),0))</f>
        <v/>
      </c>
      <c r="G650">
        <f>IF(ISNUMBER(B650),YEAR(B650),"")</f>
        <v/>
      </c>
      <c r="H650">
        <f>IF(ISNUMBER(B650),MONTH(B650),"")</f>
        <v/>
      </c>
      <c r="I650">
        <f>IFERROR(IF($B$1=0,"",IF(ISNUMBER(INDEX(貼り付け!$A$1:$BZ$3001,649,$B$1)),"",SUBSTITUTE(SUBSTITUTE(SUBSTITUTE(SUBSTITUTE(TRIM(LEFT(INDEX(貼り付け!$A$1:$BZ$3001,649,$B$1)&amp;"",FIND(" ",TRIM(INDEX(貼り付け!$A$1:$BZ$3001,649,$B$1)&amp;"")&amp;" ")-1)),"/","-"),"年","-"),"月","-"),"日",""))),"")</f>
        <v/>
      </c>
      <c r="J650">
        <f>IFERROR(MID(I650,FIND("-",I650)+1,99),"")</f>
        <v/>
      </c>
    </row>
    <row r="651">
      <c r="B651">
        <f>IFERROR(IF($B$1=0,"",IF(INDEX(貼り付け!$A$1:$BZ$3001,650,$B$1)="","",IF(ISNUMBER(INDEX(貼り付け!$A$1:$BZ$3001,650,$B$1)),INT(INDEX(貼り付け!$A$1:$BZ$3001,650,$B$1)),DATE(VALUE(LEFT(I651,FIND("-",I651)-1)),VALUE(LEFT(J651,FIND("-",J651)-1)),VALUE(MID(J651,FIND("-",J651)+1,99)))))),"")</f>
        <v/>
      </c>
      <c r="C651">
        <f>IF($C$1=0,0,IFERROR(VALUE(SUBSTITUTE(SUBSTITUTE(SUBSTITUTE(INDEX(貼り付け!$A$1:$BZ$3001,650,$C$1)&amp;"",",",""),"¥",""),"￥","")),0))</f>
        <v/>
      </c>
      <c r="D651">
        <f>IF($D$1=0,0,IFERROR(VALUE(SUBSTITUTE(SUBSTITUTE(SUBSTITUTE(INDEX(貼り付け!$A$1:$BZ$3001,650,$D$1)&amp;"",",",""),"¥",""),"￥","")),0))</f>
        <v/>
      </c>
      <c r="E651">
        <f>IF($E$1=0,0,IFERROR(VALUE(SUBSTITUTE(SUBSTITUTE(SUBSTITUTE(INDEX(貼り付け!$A$1:$BZ$3001,650,$E$1)&amp;"",",",""),"¥",""),"￥","")),0))</f>
        <v/>
      </c>
      <c r="F651">
        <f>IF($F$1=0,0,IFERROR(VALUE(SUBSTITUTE(SUBSTITUTE(SUBSTITUTE(INDEX(貼り付け!$A$1:$BZ$3001,650,$F$1)&amp;"",",",""),"¥",""),"￥","")),0))</f>
        <v/>
      </c>
      <c r="G651">
        <f>IF(ISNUMBER(B651),YEAR(B651),"")</f>
        <v/>
      </c>
      <c r="H651">
        <f>IF(ISNUMBER(B651),MONTH(B651),"")</f>
        <v/>
      </c>
      <c r="I651">
        <f>IFERROR(IF($B$1=0,"",IF(ISNUMBER(INDEX(貼り付け!$A$1:$BZ$3001,650,$B$1)),"",SUBSTITUTE(SUBSTITUTE(SUBSTITUTE(SUBSTITUTE(TRIM(LEFT(INDEX(貼り付け!$A$1:$BZ$3001,650,$B$1)&amp;"",FIND(" ",TRIM(INDEX(貼り付け!$A$1:$BZ$3001,650,$B$1)&amp;"")&amp;" ")-1)),"/","-"),"年","-"),"月","-"),"日",""))),"")</f>
        <v/>
      </c>
      <c r="J651">
        <f>IFERROR(MID(I651,FIND("-",I651)+1,99),"")</f>
        <v/>
      </c>
    </row>
    <row r="652">
      <c r="B652">
        <f>IFERROR(IF($B$1=0,"",IF(INDEX(貼り付け!$A$1:$BZ$3001,651,$B$1)="","",IF(ISNUMBER(INDEX(貼り付け!$A$1:$BZ$3001,651,$B$1)),INT(INDEX(貼り付け!$A$1:$BZ$3001,651,$B$1)),DATE(VALUE(LEFT(I652,FIND("-",I652)-1)),VALUE(LEFT(J652,FIND("-",J652)-1)),VALUE(MID(J652,FIND("-",J652)+1,99)))))),"")</f>
        <v/>
      </c>
      <c r="C652">
        <f>IF($C$1=0,0,IFERROR(VALUE(SUBSTITUTE(SUBSTITUTE(SUBSTITUTE(INDEX(貼り付け!$A$1:$BZ$3001,651,$C$1)&amp;"",",",""),"¥",""),"￥","")),0))</f>
        <v/>
      </c>
      <c r="D652">
        <f>IF($D$1=0,0,IFERROR(VALUE(SUBSTITUTE(SUBSTITUTE(SUBSTITUTE(INDEX(貼り付け!$A$1:$BZ$3001,651,$D$1)&amp;"",",",""),"¥",""),"￥","")),0))</f>
        <v/>
      </c>
      <c r="E652">
        <f>IF($E$1=0,0,IFERROR(VALUE(SUBSTITUTE(SUBSTITUTE(SUBSTITUTE(INDEX(貼り付け!$A$1:$BZ$3001,651,$E$1)&amp;"",",",""),"¥",""),"￥","")),0))</f>
        <v/>
      </c>
      <c r="F652">
        <f>IF($F$1=0,0,IFERROR(VALUE(SUBSTITUTE(SUBSTITUTE(SUBSTITUTE(INDEX(貼り付け!$A$1:$BZ$3001,651,$F$1)&amp;"",",",""),"¥",""),"￥","")),0))</f>
        <v/>
      </c>
      <c r="G652">
        <f>IF(ISNUMBER(B652),YEAR(B652),"")</f>
        <v/>
      </c>
      <c r="H652">
        <f>IF(ISNUMBER(B652),MONTH(B652),"")</f>
        <v/>
      </c>
      <c r="I652">
        <f>IFERROR(IF($B$1=0,"",IF(ISNUMBER(INDEX(貼り付け!$A$1:$BZ$3001,651,$B$1)),"",SUBSTITUTE(SUBSTITUTE(SUBSTITUTE(SUBSTITUTE(TRIM(LEFT(INDEX(貼り付け!$A$1:$BZ$3001,651,$B$1)&amp;"",FIND(" ",TRIM(INDEX(貼り付け!$A$1:$BZ$3001,651,$B$1)&amp;"")&amp;" ")-1)),"/","-"),"年","-"),"月","-"),"日",""))),"")</f>
        <v/>
      </c>
      <c r="J652">
        <f>IFERROR(MID(I652,FIND("-",I652)+1,99),"")</f>
        <v/>
      </c>
    </row>
    <row r="653">
      <c r="B653">
        <f>IFERROR(IF($B$1=0,"",IF(INDEX(貼り付け!$A$1:$BZ$3001,652,$B$1)="","",IF(ISNUMBER(INDEX(貼り付け!$A$1:$BZ$3001,652,$B$1)),INT(INDEX(貼り付け!$A$1:$BZ$3001,652,$B$1)),DATE(VALUE(LEFT(I653,FIND("-",I653)-1)),VALUE(LEFT(J653,FIND("-",J653)-1)),VALUE(MID(J653,FIND("-",J653)+1,99)))))),"")</f>
        <v/>
      </c>
      <c r="C653">
        <f>IF($C$1=0,0,IFERROR(VALUE(SUBSTITUTE(SUBSTITUTE(SUBSTITUTE(INDEX(貼り付け!$A$1:$BZ$3001,652,$C$1)&amp;"",",",""),"¥",""),"￥","")),0))</f>
        <v/>
      </c>
      <c r="D653">
        <f>IF($D$1=0,0,IFERROR(VALUE(SUBSTITUTE(SUBSTITUTE(SUBSTITUTE(INDEX(貼り付け!$A$1:$BZ$3001,652,$D$1)&amp;"",",",""),"¥",""),"￥","")),0))</f>
        <v/>
      </c>
      <c r="E653">
        <f>IF($E$1=0,0,IFERROR(VALUE(SUBSTITUTE(SUBSTITUTE(SUBSTITUTE(INDEX(貼り付け!$A$1:$BZ$3001,652,$E$1)&amp;"",",",""),"¥",""),"￥","")),0))</f>
        <v/>
      </c>
      <c r="F653">
        <f>IF($F$1=0,0,IFERROR(VALUE(SUBSTITUTE(SUBSTITUTE(SUBSTITUTE(INDEX(貼り付け!$A$1:$BZ$3001,652,$F$1)&amp;"",",",""),"¥",""),"￥","")),0))</f>
        <v/>
      </c>
      <c r="G653">
        <f>IF(ISNUMBER(B653),YEAR(B653),"")</f>
        <v/>
      </c>
      <c r="H653">
        <f>IF(ISNUMBER(B653),MONTH(B653),"")</f>
        <v/>
      </c>
      <c r="I653">
        <f>IFERROR(IF($B$1=0,"",IF(ISNUMBER(INDEX(貼り付け!$A$1:$BZ$3001,652,$B$1)),"",SUBSTITUTE(SUBSTITUTE(SUBSTITUTE(SUBSTITUTE(TRIM(LEFT(INDEX(貼り付け!$A$1:$BZ$3001,652,$B$1)&amp;"",FIND(" ",TRIM(INDEX(貼り付け!$A$1:$BZ$3001,652,$B$1)&amp;"")&amp;" ")-1)),"/","-"),"年","-"),"月","-"),"日",""))),"")</f>
        <v/>
      </c>
      <c r="J653">
        <f>IFERROR(MID(I653,FIND("-",I653)+1,99),"")</f>
        <v/>
      </c>
    </row>
    <row r="654">
      <c r="B654">
        <f>IFERROR(IF($B$1=0,"",IF(INDEX(貼り付け!$A$1:$BZ$3001,653,$B$1)="","",IF(ISNUMBER(INDEX(貼り付け!$A$1:$BZ$3001,653,$B$1)),INT(INDEX(貼り付け!$A$1:$BZ$3001,653,$B$1)),DATE(VALUE(LEFT(I654,FIND("-",I654)-1)),VALUE(LEFT(J654,FIND("-",J654)-1)),VALUE(MID(J654,FIND("-",J654)+1,99)))))),"")</f>
        <v/>
      </c>
      <c r="C654">
        <f>IF($C$1=0,0,IFERROR(VALUE(SUBSTITUTE(SUBSTITUTE(SUBSTITUTE(INDEX(貼り付け!$A$1:$BZ$3001,653,$C$1)&amp;"",",",""),"¥",""),"￥","")),0))</f>
        <v/>
      </c>
      <c r="D654">
        <f>IF($D$1=0,0,IFERROR(VALUE(SUBSTITUTE(SUBSTITUTE(SUBSTITUTE(INDEX(貼り付け!$A$1:$BZ$3001,653,$D$1)&amp;"",",",""),"¥",""),"￥","")),0))</f>
        <v/>
      </c>
      <c r="E654">
        <f>IF($E$1=0,0,IFERROR(VALUE(SUBSTITUTE(SUBSTITUTE(SUBSTITUTE(INDEX(貼り付け!$A$1:$BZ$3001,653,$E$1)&amp;"",",",""),"¥",""),"￥","")),0))</f>
        <v/>
      </c>
      <c r="F654">
        <f>IF($F$1=0,0,IFERROR(VALUE(SUBSTITUTE(SUBSTITUTE(SUBSTITUTE(INDEX(貼り付け!$A$1:$BZ$3001,653,$F$1)&amp;"",",",""),"¥",""),"￥","")),0))</f>
        <v/>
      </c>
      <c r="G654">
        <f>IF(ISNUMBER(B654),YEAR(B654),"")</f>
        <v/>
      </c>
      <c r="H654">
        <f>IF(ISNUMBER(B654),MONTH(B654),"")</f>
        <v/>
      </c>
      <c r="I654">
        <f>IFERROR(IF($B$1=0,"",IF(ISNUMBER(INDEX(貼り付け!$A$1:$BZ$3001,653,$B$1)),"",SUBSTITUTE(SUBSTITUTE(SUBSTITUTE(SUBSTITUTE(TRIM(LEFT(INDEX(貼り付け!$A$1:$BZ$3001,653,$B$1)&amp;"",FIND(" ",TRIM(INDEX(貼り付け!$A$1:$BZ$3001,653,$B$1)&amp;"")&amp;" ")-1)),"/","-"),"年","-"),"月","-"),"日",""))),"")</f>
        <v/>
      </c>
      <c r="J654">
        <f>IFERROR(MID(I654,FIND("-",I654)+1,99),"")</f>
        <v/>
      </c>
    </row>
    <row r="655">
      <c r="B655">
        <f>IFERROR(IF($B$1=0,"",IF(INDEX(貼り付け!$A$1:$BZ$3001,654,$B$1)="","",IF(ISNUMBER(INDEX(貼り付け!$A$1:$BZ$3001,654,$B$1)),INT(INDEX(貼り付け!$A$1:$BZ$3001,654,$B$1)),DATE(VALUE(LEFT(I655,FIND("-",I655)-1)),VALUE(LEFT(J655,FIND("-",J655)-1)),VALUE(MID(J655,FIND("-",J655)+1,99)))))),"")</f>
        <v/>
      </c>
      <c r="C655">
        <f>IF($C$1=0,0,IFERROR(VALUE(SUBSTITUTE(SUBSTITUTE(SUBSTITUTE(INDEX(貼り付け!$A$1:$BZ$3001,654,$C$1)&amp;"",",",""),"¥",""),"￥","")),0))</f>
        <v/>
      </c>
      <c r="D655">
        <f>IF($D$1=0,0,IFERROR(VALUE(SUBSTITUTE(SUBSTITUTE(SUBSTITUTE(INDEX(貼り付け!$A$1:$BZ$3001,654,$D$1)&amp;"",",",""),"¥",""),"￥","")),0))</f>
        <v/>
      </c>
      <c r="E655">
        <f>IF($E$1=0,0,IFERROR(VALUE(SUBSTITUTE(SUBSTITUTE(SUBSTITUTE(INDEX(貼り付け!$A$1:$BZ$3001,654,$E$1)&amp;"",",",""),"¥",""),"￥","")),0))</f>
        <v/>
      </c>
      <c r="F655">
        <f>IF($F$1=0,0,IFERROR(VALUE(SUBSTITUTE(SUBSTITUTE(SUBSTITUTE(INDEX(貼り付け!$A$1:$BZ$3001,654,$F$1)&amp;"",",",""),"¥",""),"￥","")),0))</f>
        <v/>
      </c>
      <c r="G655">
        <f>IF(ISNUMBER(B655),YEAR(B655),"")</f>
        <v/>
      </c>
      <c r="H655">
        <f>IF(ISNUMBER(B655),MONTH(B655),"")</f>
        <v/>
      </c>
      <c r="I655">
        <f>IFERROR(IF($B$1=0,"",IF(ISNUMBER(INDEX(貼り付け!$A$1:$BZ$3001,654,$B$1)),"",SUBSTITUTE(SUBSTITUTE(SUBSTITUTE(SUBSTITUTE(TRIM(LEFT(INDEX(貼り付け!$A$1:$BZ$3001,654,$B$1)&amp;"",FIND(" ",TRIM(INDEX(貼り付け!$A$1:$BZ$3001,654,$B$1)&amp;"")&amp;" ")-1)),"/","-"),"年","-"),"月","-"),"日",""))),"")</f>
        <v/>
      </c>
      <c r="J655">
        <f>IFERROR(MID(I655,FIND("-",I655)+1,99),"")</f>
        <v/>
      </c>
    </row>
    <row r="656">
      <c r="B656">
        <f>IFERROR(IF($B$1=0,"",IF(INDEX(貼り付け!$A$1:$BZ$3001,655,$B$1)="","",IF(ISNUMBER(INDEX(貼り付け!$A$1:$BZ$3001,655,$B$1)),INT(INDEX(貼り付け!$A$1:$BZ$3001,655,$B$1)),DATE(VALUE(LEFT(I656,FIND("-",I656)-1)),VALUE(LEFT(J656,FIND("-",J656)-1)),VALUE(MID(J656,FIND("-",J656)+1,99)))))),"")</f>
        <v/>
      </c>
      <c r="C656">
        <f>IF($C$1=0,0,IFERROR(VALUE(SUBSTITUTE(SUBSTITUTE(SUBSTITUTE(INDEX(貼り付け!$A$1:$BZ$3001,655,$C$1)&amp;"",",",""),"¥",""),"￥","")),0))</f>
        <v/>
      </c>
      <c r="D656">
        <f>IF($D$1=0,0,IFERROR(VALUE(SUBSTITUTE(SUBSTITUTE(SUBSTITUTE(INDEX(貼り付け!$A$1:$BZ$3001,655,$D$1)&amp;"",",",""),"¥",""),"￥","")),0))</f>
        <v/>
      </c>
      <c r="E656">
        <f>IF($E$1=0,0,IFERROR(VALUE(SUBSTITUTE(SUBSTITUTE(SUBSTITUTE(INDEX(貼り付け!$A$1:$BZ$3001,655,$E$1)&amp;"",",",""),"¥",""),"￥","")),0))</f>
        <v/>
      </c>
      <c r="F656">
        <f>IF($F$1=0,0,IFERROR(VALUE(SUBSTITUTE(SUBSTITUTE(SUBSTITUTE(INDEX(貼り付け!$A$1:$BZ$3001,655,$F$1)&amp;"",",",""),"¥",""),"￥","")),0))</f>
        <v/>
      </c>
      <c r="G656">
        <f>IF(ISNUMBER(B656),YEAR(B656),"")</f>
        <v/>
      </c>
      <c r="H656">
        <f>IF(ISNUMBER(B656),MONTH(B656),"")</f>
        <v/>
      </c>
      <c r="I656">
        <f>IFERROR(IF($B$1=0,"",IF(ISNUMBER(INDEX(貼り付け!$A$1:$BZ$3001,655,$B$1)),"",SUBSTITUTE(SUBSTITUTE(SUBSTITUTE(SUBSTITUTE(TRIM(LEFT(INDEX(貼り付け!$A$1:$BZ$3001,655,$B$1)&amp;"",FIND(" ",TRIM(INDEX(貼り付け!$A$1:$BZ$3001,655,$B$1)&amp;"")&amp;" ")-1)),"/","-"),"年","-"),"月","-"),"日",""))),"")</f>
        <v/>
      </c>
      <c r="J656">
        <f>IFERROR(MID(I656,FIND("-",I656)+1,99),"")</f>
        <v/>
      </c>
    </row>
    <row r="657">
      <c r="B657">
        <f>IFERROR(IF($B$1=0,"",IF(INDEX(貼り付け!$A$1:$BZ$3001,656,$B$1)="","",IF(ISNUMBER(INDEX(貼り付け!$A$1:$BZ$3001,656,$B$1)),INT(INDEX(貼り付け!$A$1:$BZ$3001,656,$B$1)),DATE(VALUE(LEFT(I657,FIND("-",I657)-1)),VALUE(LEFT(J657,FIND("-",J657)-1)),VALUE(MID(J657,FIND("-",J657)+1,99)))))),"")</f>
        <v/>
      </c>
      <c r="C657">
        <f>IF($C$1=0,0,IFERROR(VALUE(SUBSTITUTE(SUBSTITUTE(SUBSTITUTE(INDEX(貼り付け!$A$1:$BZ$3001,656,$C$1)&amp;"",",",""),"¥",""),"￥","")),0))</f>
        <v/>
      </c>
      <c r="D657">
        <f>IF($D$1=0,0,IFERROR(VALUE(SUBSTITUTE(SUBSTITUTE(SUBSTITUTE(INDEX(貼り付け!$A$1:$BZ$3001,656,$D$1)&amp;"",",",""),"¥",""),"￥","")),0))</f>
        <v/>
      </c>
      <c r="E657">
        <f>IF($E$1=0,0,IFERROR(VALUE(SUBSTITUTE(SUBSTITUTE(SUBSTITUTE(INDEX(貼り付け!$A$1:$BZ$3001,656,$E$1)&amp;"",",",""),"¥",""),"￥","")),0))</f>
        <v/>
      </c>
      <c r="F657">
        <f>IF($F$1=0,0,IFERROR(VALUE(SUBSTITUTE(SUBSTITUTE(SUBSTITUTE(INDEX(貼り付け!$A$1:$BZ$3001,656,$F$1)&amp;"",",",""),"¥",""),"￥","")),0))</f>
        <v/>
      </c>
      <c r="G657">
        <f>IF(ISNUMBER(B657),YEAR(B657),"")</f>
        <v/>
      </c>
      <c r="H657">
        <f>IF(ISNUMBER(B657),MONTH(B657),"")</f>
        <v/>
      </c>
      <c r="I657">
        <f>IFERROR(IF($B$1=0,"",IF(ISNUMBER(INDEX(貼り付け!$A$1:$BZ$3001,656,$B$1)),"",SUBSTITUTE(SUBSTITUTE(SUBSTITUTE(SUBSTITUTE(TRIM(LEFT(INDEX(貼り付け!$A$1:$BZ$3001,656,$B$1)&amp;"",FIND(" ",TRIM(INDEX(貼り付け!$A$1:$BZ$3001,656,$B$1)&amp;"")&amp;" ")-1)),"/","-"),"年","-"),"月","-"),"日",""))),"")</f>
        <v/>
      </c>
      <c r="J657">
        <f>IFERROR(MID(I657,FIND("-",I657)+1,99),"")</f>
        <v/>
      </c>
    </row>
    <row r="658">
      <c r="B658">
        <f>IFERROR(IF($B$1=0,"",IF(INDEX(貼り付け!$A$1:$BZ$3001,657,$B$1)="","",IF(ISNUMBER(INDEX(貼り付け!$A$1:$BZ$3001,657,$B$1)),INT(INDEX(貼り付け!$A$1:$BZ$3001,657,$B$1)),DATE(VALUE(LEFT(I658,FIND("-",I658)-1)),VALUE(LEFT(J658,FIND("-",J658)-1)),VALUE(MID(J658,FIND("-",J658)+1,99)))))),"")</f>
        <v/>
      </c>
      <c r="C658">
        <f>IF($C$1=0,0,IFERROR(VALUE(SUBSTITUTE(SUBSTITUTE(SUBSTITUTE(INDEX(貼り付け!$A$1:$BZ$3001,657,$C$1)&amp;"",",",""),"¥",""),"￥","")),0))</f>
        <v/>
      </c>
      <c r="D658">
        <f>IF($D$1=0,0,IFERROR(VALUE(SUBSTITUTE(SUBSTITUTE(SUBSTITUTE(INDEX(貼り付け!$A$1:$BZ$3001,657,$D$1)&amp;"",",",""),"¥",""),"￥","")),0))</f>
        <v/>
      </c>
      <c r="E658">
        <f>IF($E$1=0,0,IFERROR(VALUE(SUBSTITUTE(SUBSTITUTE(SUBSTITUTE(INDEX(貼り付け!$A$1:$BZ$3001,657,$E$1)&amp;"",",",""),"¥",""),"￥","")),0))</f>
        <v/>
      </c>
      <c r="F658">
        <f>IF($F$1=0,0,IFERROR(VALUE(SUBSTITUTE(SUBSTITUTE(SUBSTITUTE(INDEX(貼り付け!$A$1:$BZ$3001,657,$F$1)&amp;"",",",""),"¥",""),"￥","")),0))</f>
        <v/>
      </c>
      <c r="G658">
        <f>IF(ISNUMBER(B658),YEAR(B658),"")</f>
        <v/>
      </c>
      <c r="H658">
        <f>IF(ISNUMBER(B658),MONTH(B658),"")</f>
        <v/>
      </c>
      <c r="I658">
        <f>IFERROR(IF($B$1=0,"",IF(ISNUMBER(INDEX(貼り付け!$A$1:$BZ$3001,657,$B$1)),"",SUBSTITUTE(SUBSTITUTE(SUBSTITUTE(SUBSTITUTE(TRIM(LEFT(INDEX(貼り付け!$A$1:$BZ$3001,657,$B$1)&amp;"",FIND(" ",TRIM(INDEX(貼り付け!$A$1:$BZ$3001,657,$B$1)&amp;"")&amp;" ")-1)),"/","-"),"年","-"),"月","-"),"日",""))),"")</f>
        <v/>
      </c>
      <c r="J658">
        <f>IFERROR(MID(I658,FIND("-",I658)+1,99),"")</f>
        <v/>
      </c>
    </row>
    <row r="659">
      <c r="B659">
        <f>IFERROR(IF($B$1=0,"",IF(INDEX(貼り付け!$A$1:$BZ$3001,658,$B$1)="","",IF(ISNUMBER(INDEX(貼り付け!$A$1:$BZ$3001,658,$B$1)),INT(INDEX(貼り付け!$A$1:$BZ$3001,658,$B$1)),DATE(VALUE(LEFT(I659,FIND("-",I659)-1)),VALUE(LEFT(J659,FIND("-",J659)-1)),VALUE(MID(J659,FIND("-",J659)+1,99)))))),"")</f>
        <v/>
      </c>
      <c r="C659">
        <f>IF($C$1=0,0,IFERROR(VALUE(SUBSTITUTE(SUBSTITUTE(SUBSTITUTE(INDEX(貼り付け!$A$1:$BZ$3001,658,$C$1)&amp;"",",",""),"¥",""),"￥","")),0))</f>
        <v/>
      </c>
      <c r="D659">
        <f>IF($D$1=0,0,IFERROR(VALUE(SUBSTITUTE(SUBSTITUTE(SUBSTITUTE(INDEX(貼り付け!$A$1:$BZ$3001,658,$D$1)&amp;"",",",""),"¥",""),"￥","")),0))</f>
        <v/>
      </c>
      <c r="E659">
        <f>IF($E$1=0,0,IFERROR(VALUE(SUBSTITUTE(SUBSTITUTE(SUBSTITUTE(INDEX(貼り付け!$A$1:$BZ$3001,658,$E$1)&amp;"",",",""),"¥",""),"￥","")),0))</f>
        <v/>
      </c>
      <c r="F659">
        <f>IF($F$1=0,0,IFERROR(VALUE(SUBSTITUTE(SUBSTITUTE(SUBSTITUTE(INDEX(貼り付け!$A$1:$BZ$3001,658,$F$1)&amp;"",",",""),"¥",""),"￥","")),0))</f>
        <v/>
      </c>
      <c r="G659">
        <f>IF(ISNUMBER(B659),YEAR(B659),"")</f>
        <v/>
      </c>
      <c r="H659">
        <f>IF(ISNUMBER(B659),MONTH(B659),"")</f>
        <v/>
      </c>
      <c r="I659">
        <f>IFERROR(IF($B$1=0,"",IF(ISNUMBER(INDEX(貼り付け!$A$1:$BZ$3001,658,$B$1)),"",SUBSTITUTE(SUBSTITUTE(SUBSTITUTE(SUBSTITUTE(TRIM(LEFT(INDEX(貼り付け!$A$1:$BZ$3001,658,$B$1)&amp;"",FIND(" ",TRIM(INDEX(貼り付け!$A$1:$BZ$3001,658,$B$1)&amp;"")&amp;" ")-1)),"/","-"),"年","-"),"月","-"),"日",""))),"")</f>
        <v/>
      </c>
      <c r="J659">
        <f>IFERROR(MID(I659,FIND("-",I659)+1,99),"")</f>
        <v/>
      </c>
    </row>
    <row r="660">
      <c r="B660">
        <f>IFERROR(IF($B$1=0,"",IF(INDEX(貼り付け!$A$1:$BZ$3001,659,$B$1)="","",IF(ISNUMBER(INDEX(貼り付け!$A$1:$BZ$3001,659,$B$1)),INT(INDEX(貼り付け!$A$1:$BZ$3001,659,$B$1)),DATE(VALUE(LEFT(I660,FIND("-",I660)-1)),VALUE(LEFT(J660,FIND("-",J660)-1)),VALUE(MID(J660,FIND("-",J660)+1,99)))))),"")</f>
        <v/>
      </c>
      <c r="C660">
        <f>IF($C$1=0,0,IFERROR(VALUE(SUBSTITUTE(SUBSTITUTE(SUBSTITUTE(INDEX(貼り付け!$A$1:$BZ$3001,659,$C$1)&amp;"",",",""),"¥",""),"￥","")),0))</f>
        <v/>
      </c>
      <c r="D660">
        <f>IF($D$1=0,0,IFERROR(VALUE(SUBSTITUTE(SUBSTITUTE(SUBSTITUTE(INDEX(貼り付け!$A$1:$BZ$3001,659,$D$1)&amp;"",",",""),"¥",""),"￥","")),0))</f>
        <v/>
      </c>
      <c r="E660">
        <f>IF($E$1=0,0,IFERROR(VALUE(SUBSTITUTE(SUBSTITUTE(SUBSTITUTE(INDEX(貼り付け!$A$1:$BZ$3001,659,$E$1)&amp;"",",",""),"¥",""),"￥","")),0))</f>
        <v/>
      </c>
      <c r="F660">
        <f>IF($F$1=0,0,IFERROR(VALUE(SUBSTITUTE(SUBSTITUTE(SUBSTITUTE(INDEX(貼り付け!$A$1:$BZ$3001,659,$F$1)&amp;"",",",""),"¥",""),"￥","")),0))</f>
        <v/>
      </c>
      <c r="G660">
        <f>IF(ISNUMBER(B660),YEAR(B660),"")</f>
        <v/>
      </c>
      <c r="H660">
        <f>IF(ISNUMBER(B660),MONTH(B660),"")</f>
        <v/>
      </c>
      <c r="I660">
        <f>IFERROR(IF($B$1=0,"",IF(ISNUMBER(INDEX(貼り付け!$A$1:$BZ$3001,659,$B$1)),"",SUBSTITUTE(SUBSTITUTE(SUBSTITUTE(SUBSTITUTE(TRIM(LEFT(INDEX(貼り付け!$A$1:$BZ$3001,659,$B$1)&amp;"",FIND(" ",TRIM(INDEX(貼り付け!$A$1:$BZ$3001,659,$B$1)&amp;"")&amp;" ")-1)),"/","-"),"年","-"),"月","-"),"日",""))),"")</f>
        <v/>
      </c>
      <c r="J660">
        <f>IFERROR(MID(I660,FIND("-",I660)+1,99),"")</f>
        <v/>
      </c>
    </row>
    <row r="661">
      <c r="B661">
        <f>IFERROR(IF($B$1=0,"",IF(INDEX(貼り付け!$A$1:$BZ$3001,660,$B$1)="","",IF(ISNUMBER(INDEX(貼り付け!$A$1:$BZ$3001,660,$B$1)),INT(INDEX(貼り付け!$A$1:$BZ$3001,660,$B$1)),DATE(VALUE(LEFT(I661,FIND("-",I661)-1)),VALUE(LEFT(J661,FIND("-",J661)-1)),VALUE(MID(J661,FIND("-",J661)+1,99)))))),"")</f>
        <v/>
      </c>
      <c r="C661">
        <f>IF($C$1=0,0,IFERROR(VALUE(SUBSTITUTE(SUBSTITUTE(SUBSTITUTE(INDEX(貼り付け!$A$1:$BZ$3001,660,$C$1)&amp;"",",",""),"¥",""),"￥","")),0))</f>
        <v/>
      </c>
      <c r="D661">
        <f>IF($D$1=0,0,IFERROR(VALUE(SUBSTITUTE(SUBSTITUTE(SUBSTITUTE(INDEX(貼り付け!$A$1:$BZ$3001,660,$D$1)&amp;"",",",""),"¥",""),"￥","")),0))</f>
        <v/>
      </c>
      <c r="E661">
        <f>IF($E$1=0,0,IFERROR(VALUE(SUBSTITUTE(SUBSTITUTE(SUBSTITUTE(INDEX(貼り付け!$A$1:$BZ$3001,660,$E$1)&amp;"",",",""),"¥",""),"￥","")),0))</f>
        <v/>
      </c>
      <c r="F661">
        <f>IF($F$1=0,0,IFERROR(VALUE(SUBSTITUTE(SUBSTITUTE(SUBSTITUTE(INDEX(貼り付け!$A$1:$BZ$3001,660,$F$1)&amp;"",",",""),"¥",""),"￥","")),0))</f>
        <v/>
      </c>
      <c r="G661">
        <f>IF(ISNUMBER(B661),YEAR(B661),"")</f>
        <v/>
      </c>
      <c r="H661">
        <f>IF(ISNUMBER(B661),MONTH(B661),"")</f>
        <v/>
      </c>
      <c r="I661">
        <f>IFERROR(IF($B$1=0,"",IF(ISNUMBER(INDEX(貼り付け!$A$1:$BZ$3001,660,$B$1)),"",SUBSTITUTE(SUBSTITUTE(SUBSTITUTE(SUBSTITUTE(TRIM(LEFT(INDEX(貼り付け!$A$1:$BZ$3001,660,$B$1)&amp;"",FIND(" ",TRIM(INDEX(貼り付け!$A$1:$BZ$3001,660,$B$1)&amp;"")&amp;" ")-1)),"/","-"),"年","-"),"月","-"),"日",""))),"")</f>
        <v/>
      </c>
      <c r="J661">
        <f>IFERROR(MID(I661,FIND("-",I661)+1,99),"")</f>
        <v/>
      </c>
    </row>
    <row r="662">
      <c r="B662">
        <f>IFERROR(IF($B$1=0,"",IF(INDEX(貼り付け!$A$1:$BZ$3001,661,$B$1)="","",IF(ISNUMBER(INDEX(貼り付け!$A$1:$BZ$3001,661,$B$1)),INT(INDEX(貼り付け!$A$1:$BZ$3001,661,$B$1)),DATE(VALUE(LEFT(I662,FIND("-",I662)-1)),VALUE(LEFT(J662,FIND("-",J662)-1)),VALUE(MID(J662,FIND("-",J662)+1,99)))))),"")</f>
        <v/>
      </c>
      <c r="C662">
        <f>IF($C$1=0,0,IFERROR(VALUE(SUBSTITUTE(SUBSTITUTE(SUBSTITUTE(INDEX(貼り付け!$A$1:$BZ$3001,661,$C$1)&amp;"",",",""),"¥",""),"￥","")),0))</f>
        <v/>
      </c>
      <c r="D662">
        <f>IF($D$1=0,0,IFERROR(VALUE(SUBSTITUTE(SUBSTITUTE(SUBSTITUTE(INDEX(貼り付け!$A$1:$BZ$3001,661,$D$1)&amp;"",",",""),"¥",""),"￥","")),0))</f>
        <v/>
      </c>
      <c r="E662">
        <f>IF($E$1=0,0,IFERROR(VALUE(SUBSTITUTE(SUBSTITUTE(SUBSTITUTE(INDEX(貼り付け!$A$1:$BZ$3001,661,$E$1)&amp;"",",",""),"¥",""),"￥","")),0))</f>
        <v/>
      </c>
      <c r="F662">
        <f>IF($F$1=0,0,IFERROR(VALUE(SUBSTITUTE(SUBSTITUTE(SUBSTITUTE(INDEX(貼り付け!$A$1:$BZ$3001,661,$F$1)&amp;"",",",""),"¥",""),"￥","")),0))</f>
        <v/>
      </c>
      <c r="G662">
        <f>IF(ISNUMBER(B662),YEAR(B662),"")</f>
        <v/>
      </c>
      <c r="H662">
        <f>IF(ISNUMBER(B662),MONTH(B662),"")</f>
        <v/>
      </c>
      <c r="I662">
        <f>IFERROR(IF($B$1=0,"",IF(ISNUMBER(INDEX(貼り付け!$A$1:$BZ$3001,661,$B$1)),"",SUBSTITUTE(SUBSTITUTE(SUBSTITUTE(SUBSTITUTE(TRIM(LEFT(INDEX(貼り付け!$A$1:$BZ$3001,661,$B$1)&amp;"",FIND(" ",TRIM(INDEX(貼り付け!$A$1:$BZ$3001,661,$B$1)&amp;"")&amp;" ")-1)),"/","-"),"年","-"),"月","-"),"日",""))),"")</f>
        <v/>
      </c>
      <c r="J662">
        <f>IFERROR(MID(I662,FIND("-",I662)+1,99),"")</f>
        <v/>
      </c>
    </row>
    <row r="663">
      <c r="B663">
        <f>IFERROR(IF($B$1=0,"",IF(INDEX(貼り付け!$A$1:$BZ$3001,662,$B$1)="","",IF(ISNUMBER(INDEX(貼り付け!$A$1:$BZ$3001,662,$B$1)),INT(INDEX(貼り付け!$A$1:$BZ$3001,662,$B$1)),DATE(VALUE(LEFT(I663,FIND("-",I663)-1)),VALUE(LEFT(J663,FIND("-",J663)-1)),VALUE(MID(J663,FIND("-",J663)+1,99)))))),"")</f>
        <v/>
      </c>
      <c r="C663">
        <f>IF($C$1=0,0,IFERROR(VALUE(SUBSTITUTE(SUBSTITUTE(SUBSTITUTE(INDEX(貼り付け!$A$1:$BZ$3001,662,$C$1)&amp;"",",",""),"¥",""),"￥","")),0))</f>
        <v/>
      </c>
      <c r="D663">
        <f>IF($D$1=0,0,IFERROR(VALUE(SUBSTITUTE(SUBSTITUTE(SUBSTITUTE(INDEX(貼り付け!$A$1:$BZ$3001,662,$D$1)&amp;"",",",""),"¥",""),"￥","")),0))</f>
        <v/>
      </c>
      <c r="E663">
        <f>IF($E$1=0,0,IFERROR(VALUE(SUBSTITUTE(SUBSTITUTE(SUBSTITUTE(INDEX(貼り付け!$A$1:$BZ$3001,662,$E$1)&amp;"",",",""),"¥",""),"￥","")),0))</f>
        <v/>
      </c>
      <c r="F663">
        <f>IF($F$1=0,0,IFERROR(VALUE(SUBSTITUTE(SUBSTITUTE(SUBSTITUTE(INDEX(貼り付け!$A$1:$BZ$3001,662,$F$1)&amp;"",",",""),"¥",""),"￥","")),0))</f>
        <v/>
      </c>
      <c r="G663">
        <f>IF(ISNUMBER(B663),YEAR(B663),"")</f>
        <v/>
      </c>
      <c r="H663">
        <f>IF(ISNUMBER(B663),MONTH(B663),"")</f>
        <v/>
      </c>
      <c r="I663">
        <f>IFERROR(IF($B$1=0,"",IF(ISNUMBER(INDEX(貼り付け!$A$1:$BZ$3001,662,$B$1)),"",SUBSTITUTE(SUBSTITUTE(SUBSTITUTE(SUBSTITUTE(TRIM(LEFT(INDEX(貼り付け!$A$1:$BZ$3001,662,$B$1)&amp;"",FIND(" ",TRIM(INDEX(貼り付け!$A$1:$BZ$3001,662,$B$1)&amp;"")&amp;" ")-1)),"/","-"),"年","-"),"月","-"),"日",""))),"")</f>
        <v/>
      </c>
      <c r="J663">
        <f>IFERROR(MID(I663,FIND("-",I663)+1,99),"")</f>
        <v/>
      </c>
    </row>
    <row r="664">
      <c r="B664">
        <f>IFERROR(IF($B$1=0,"",IF(INDEX(貼り付け!$A$1:$BZ$3001,663,$B$1)="","",IF(ISNUMBER(INDEX(貼り付け!$A$1:$BZ$3001,663,$B$1)),INT(INDEX(貼り付け!$A$1:$BZ$3001,663,$B$1)),DATE(VALUE(LEFT(I664,FIND("-",I664)-1)),VALUE(LEFT(J664,FIND("-",J664)-1)),VALUE(MID(J664,FIND("-",J664)+1,99)))))),"")</f>
        <v/>
      </c>
      <c r="C664">
        <f>IF($C$1=0,0,IFERROR(VALUE(SUBSTITUTE(SUBSTITUTE(SUBSTITUTE(INDEX(貼り付け!$A$1:$BZ$3001,663,$C$1)&amp;"",",",""),"¥",""),"￥","")),0))</f>
        <v/>
      </c>
      <c r="D664">
        <f>IF($D$1=0,0,IFERROR(VALUE(SUBSTITUTE(SUBSTITUTE(SUBSTITUTE(INDEX(貼り付け!$A$1:$BZ$3001,663,$D$1)&amp;"",",",""),"¥",""),"￥","")),0))</f>
        <v/>
      </c>
      <c r="E664">
        <f>IF($E$1=0,0,IFERROR(VALUE(SUBSTITUTE(SUBSTITUTE(SUBSTITUTE(INDEX(貼り付け!$A$1:$BZ$3001,663,$E$1)&amp;"",",",""),"¥",""),"￥","")),0))</f>
        <v/>
      </c>
      <c r="F664">
        <f>IF($F$1=0,0,IFERROR(VALUE(SUBSTITUTE(SUBSTITUTE(SUBSTITUTE(INDEX(貼り付け!$A$1:$BZ$3001,663,$F$1)&amp;"",",",""),"¥",""),"￥","")),0))</f>
        <v/>
      </c>
      <c r="G664">
        <f>IF(ISNUMBER(B664),YEAR(B664),"")</f>
        <v/>
      </c>
      <c r="H664">
        <f>IF(ISNUMBER(B664),MONTH(B664),"")</f>
        <v/>
      </c>
      <c r="I664">
        <f>IFERROR(IF($B$1=0,"",IF(ISNUMBER(INDEX(貼り付け!$A$1:$BZ$3001,663,$B$1)),"",SUBSTITUTE(SUBSTITUTE(SUBSTITUTE(SUBSTITUTE(TRIM(LEFT(INDEX(貼り付け!$A$1:$BZ$3001,663,$B$1)&amp;"",FIND(" ",TRIM(INDEX(貼り付け!$A$1:$BZ$3001,663,$B$1)&amp;"")&amp;" ")-1)),"/","-"),"年","-"),"月","-"),"日",""))),"")</f>
        <v/>
      </c>
      <c r="J664">
        <f>IFERROR(MID(I664,FIND("-",I664)+1,99),"")</f>
        <v/>
      </c>
    </row>
    <row r="665">
      <c r="B665">
        <f>IFERROR(IF($B$1=0,"",IF(INDEX(貼り付け!$A$1:$BZ$3001,664,$B$1)="","",IF(ISNUMBER(INDEX(貼り付け!$A$1:$BZ$3001,664,$B$1)),INT(INDEX(貼り付け!$A$1:$BZ$3001,664,$B$1)),DATE(VALUE(LEFT(I665,FIND("-",I665)-1)),VALUE(LEFT(J665,FIND("-",J665)-1)),VALUE(MID(J665,FIND("-",J665)+1,99)))))),"")</f>
        <v/>
      </c>
      <c r="C665">
        <f>IF($C$1=0,0,IFERROR(VALUE(SUBSTITUTE(SUBSTITUTE(SUBSTITUTE(INDEX(貼り付け!$A$1:$BZ$3001,664,$C$1)&amp;"",",",""),"¥",""),"￥","")),0))</f>
        <v/>
      </c>
      <c r="D665">
        <f>IF($D$1=0,0,IFERROR(VALUE(SUBSTITUTE(SUBSTITUTE(SUBSTITUTE(INDEX(貼り付け!$A$1:$BZ$3001,664,$D$1)&amp;"",",",""),"¥",""),"￥","")),0))</f>
        <v/>
      </c>
      <c r="E665">
        <f>IF($E$1=0,0,IFERROR(VALUE(SUBSTITUTE(SUBSTITUTE(SUBSTITUTE(INDEX(貼り付け!$A$1:$BZ$3001,664,$E$1)&amp;"",",",""),"¥",""),"￥","")),0))</f>
        <v/>
      </c>
      <c r="F665">
        <f>IF($F$1=0,0,IFERROR(VALUE(SUBSTITUTE(SUBSTITUTE(SUBSTITUTE(INDEX(貼り付け!$A$1:$BZ$3001,664,$F$1)&amp;"",",",""),"¥",""),"￥","")),0))</f>
        <v/>
      </c>
      <c r="G665">
        <f>IF(ISNUMBER(B665),YEAR(B665),"")</f>
        <v/>
      </c>
      <c r="H665">
        <f>IF(ISNUMBER(B665),MONTH(B665),"")</f>
        <v/>
      </c>
      <c r="I665">
        <f>IFERROR(IF($B$1=0,"",IF(ISNUMBER(INDEX(貼り付け!$A$1:$BZ$3001,664,$B$1)),"",SUBSTITUTE(SUBSTITUTE(SUBSTITUTE(SUBSTITUTE(TRIM(LEFT(INDEX(貼り付け!$A$1:$BZ$3001,664,$B$1)&amp;"",FIND(" ",TRIM(INDEX(貼り付け!$A$1:$BZ$3001,664,$B$1)&amp;"")&amp;" ")-1)),"/","-"),"年","-"),"月","-"),"日",""))),"")</f>
        <v/>
      </c>
      <c r="J665">
        <f>IFERROR(MID(I665,FIND("-",I665)+1,99),"")</f>
        <v/>
      </c>
    </row>
    <row r="666">
      <c r="B666">
        <f>IFERROR(IF($B$1=0,"",IF(INDEX(貼り付け!$A$1:$BZ$3001,665,$B$1)="","",IF(ISNUMBER(INDEX(貼り付け!$A$1:$BZ$3001,665,$B$1)),INT(INDEX(貼り付け!$A$1:$BZ$3001,665,$B$1)),DATE(VALUE(LEFT(I666,FIND("-",I666)-1)),VALUE(LEFT(J666,FIND("-",J666)-1)),VALUE(MID(J666,FIND("-",J666)+1,99)))))),"")</f>
        <v/>
      </c>
      <c r="C666">
        <f>IF($C$1=0,0,IFERROR(VALUE(SUBSTITUTE(SUBSTITUTE(SUBSTITUTE(INDEX(貼り付け!$A$1:$BZ$3001,665,$C$1)&amp;"",",",""),"¥",""),"￥","")),0))</f>
        <v/>
      </c>
      <c r="D666">
        <f>IF($D$1=0,0,IFERROR(VALUE(SUBSTITUTE(SUBSTITUTE(SUBSTITUTE(INDEX(貼り付け!$A$1:$BZ$3001,665,$D$1)&amp;"",",",""),"¥",""),"￥","")),0))</f>
        <v/>
      </c>
      <c r="E666">
        <f>IF($E$1=0,0,IFERROR(VALUE(SUBSTITUTE(SUBSTITUTE(SUBSTITUTE(INDEX(貼り付け!$A$1:$BZ$3001,665,$E$1)&amp;"",",",""),"¥",""),"￥","")),0))</f>
        <v/>
      </c>
      <c r="F666">
        <f>IF($F$1=0,0,IFERROR(VALUE(SUBSTITUTE(SUBSTITUTE(SUBSTITUTE(INDEX(貼り付け!$A$1:$BZ$3001,665,$F$1)&amp;"",",",""),"¥",""),"￥","")),0))</f>
        <v/>
      </c>
      <c r="G666">
        <f>IF(ISNUMBER(B666),YEAR(B666),"")</f>
        <v/>
      </c>
      <c r="H666">
        <f>IF(ISNUMBER(B666),MONTH(B666),"")</f>
        <v/>
      </c>
      <c r="I666">
        <f>IFERROR(IF($B$1=0,"",IF(ISNUMBER(INDEX(貼り付け!$A$1:$BZ$3001,665,$B$1)),"",SUBSTITUTE(SUBSTITUTE(SUBSTITUTE(SUBSTITUTE(TRIM(LEFT(INDEX(貼り付け!$A$1:$BZ$3001,665,$B$1)&amp;"",FIND(" ",TRIM(INDEX(貼り付け!$A$1:$BZ$3001,665,$B$1)&amp;"")&amp;" ")-1)),"/","-"),"年","-"),"月","-"),"日",""))),"")</f>
        <v/>
      </c>
      <c r="J666">
        <f>IFERROR(MID(I666,FIND("-",I666)+1,99),"")</f>
        <v/>
      </c>
    </row>
    <row r="667">
      <c r="B667">
        <f>IFERROR(IF($B$1=0,"",IF(INDEX(貼り付け!$A$1:$BZ$3001,666,$B$1)="","",IF(ISNUMBER(INDEX(貼り付け!$A$1:$BZ$3001,666,$B$1)),INT(INDEX(貼り付け!$A$1:$BZ$3001,666,$B$1)),DATE(VALUE(LEFT(I667,FIND("-",I667)-1)),VALUE(LEFT(J667,FIND("-",J667)-1)),VALUE(MID(J667,FIND("-",J667)+1,99)))))),"")</f>
        <v/>
      </c>
      <c r="C667">
        <f>IF($C$1=0,0,IFERROR(VALUE(SUBSTITUTE(SUBSTITUTE(SUBSTITUTE(INDEX(貼り付け!$A$1:$BZ$3001,666,$C$1)&amp;"",",",""),"¥",""),"￥","")),0))</f>
        <v/>
      </c>
      <c r="D667">
        <f>IF($D$1=0,0,IFERROR(VALUE(SUBSTITUTE(SUBSTITUTE(SUBSTITUTE(INDEX(貼り付け!$A$1:$BZ$3001,666,$D$1)&amp;"",",",""),"¥",""),"￥","")),0))</f>
        <v/>
      </c>
      <c r="E667">
        <f>IF($E$1=0,0,IFERROR(VALUE(SUBSTITUTE(SUBSTITUTE(SUBSTITUTE(INDEX(貼り付け!$A$1:$BZ$3001,666,$E$1)&amp;"",",",""),"¥",""),"￥","")),0))</f>
        <v/>
      </c>
      <c r="F667">
        <f>IF($F$1=0,0,IFERROR(VALUE(SUBSTITUTE(SUBSTITUTE(SUBSTITUTE(INDEX(貼り付け!$A$1:$BZ$3001,666,$F$1)&amp;"",",",""),"¥",""),"￥","")),0))</f>
        <v/>
      </c>
      <c r="G667">
        <f>IF(ISNUMBER(B667),YEAR(B667),"")</f>
        <v/>
      </c>
      <c r="H667">
        <f>IF(ISNUMBER(B667),MONTH(B667),"")</f>
        <v/>
      </c>
      <c r="I667">
        <f>IFERROR(IF($B$1=0,"",IF(ISNUMBER(INDEX(貼り付け!$A$1:$BZ$3001,666,$B$1)),"",SUBSTITUTE(SUBSTITUTE(SUBSTITUTE(SUBSTITUTE(TRIM(LEFT(INDEX(貼り付け!$A$1:$BZ$3001,666,$B$1)&amp;"",FIND(" ",TRIM(INDEX(貼り付け!$A$1:$BZ$3001,666,$B$1)&amp;"")&amp;" ")-1)),"/","-"),"年","-"),"月","-"),"日",""))),"")</f>
        <v/>
      </c>
      <c r="J667">
        <f>IFERROR(MID(I667,FIND("-",I667)+1,99),"")</f>
        <v/>
      </c>
    </row>
    <row r="668">
      <c r="B668">
        <f>IFERROR(IF($B$1=0,"",IF(INDEX(貼り付け!$A$1:$BZ$3001,667,$B$1)="","",IF(ISNUMBER(INDEX(貼り付け!$A$1:$BZ$3001,667,$B$1)),INT(INDEX(貼り付け!$A$1:$BZ$3001,667,$B$1)),DATE(VALUE(LEFT(I668,FIND("-",I668)-1)),VALUE(LEFT(J668,FIND("-",J668)-1)),VALUE(MID(J668,FIND("-",J668)+1,99)))))),"")</f>
        <v/>
      </c>
      <c r="C668">
        <f>IF($C$1=0,0,IFERROR(VALUE(SUBSTITUTE(SUBSTITUTE(SUBSTITUTE(INDEX(貼り付け!$A$1:$BZ$3001,667,$C$1)&amp;"",",",""),"¥",""),"￥","")),0))</f>
        <v/>
      </c>
      <c r="D668">
        <f>IF($D$1=0,0,IFERROR(VALUE(SUBSTITUTE(SUBSTITUTE(SUBSTITUTE(INDEX(貼り付け!$A$1:$BZ$3001,667,$D$1)&amp;"",",",""),"¥",""),"￥","")),0))</f>
        <v/>
      </c>
      <c r="E668">
        <f>IF($E$1=0,0,IFERROR(VALUE(SUBSTITUTE(SUBSTITUTE(SUBSTITUTE(INDEX(貼り付け!$A$1:$BZ$3001,667,$E$1)&amp;"",",",""),"¥",""),"￥","")),0))</f>
        <v/>
      </c>
      <c r="F668">
        <f>IF($F$1=0,0,IFERROR(VALUE(SUBSTITUTE(SUBSTITUTE(SUBSTITUTE(INDEX(貼り付け!$A$1:$BZ$3001,667,$F$1)&amp;"",",",""),"¥",""),"￥","")),0))</f>
        <v/>
      </c>
      <c r="G668">
        <f>IF(ISNUMBER(B668),YEAR(B668),"")</f>
        <v/>
      </c>
      <c r="H668">
        <f>IF(ISNUMBER(B668),MONTH(B668),"")</f>
        <v/>
      </c>
      <c r="I668">
        <f>IFERROR(IF($B$1=0,"",IF(ISNUMBER(INDEX(貼り付け!$A$1:$BZ$3001,667,$B$1)),"",SUBSTITUTE(SUBSTITUTE(SUBSTITUTE(SUBSTITUTE(TRIM(LEFT(INDEX(貼り付け!$A$1:$BZ$3001,667,$B$1)&amp;"",FIND(" ",TRIM(INDEX(貼り付け!$A$1:$BZ$3001,667,$B$1)&amp;"")&amp;" ")-1)),"/","-"),"年","-"),"月","-"),"日",""))),"")</f>
        <v/>
      </c>
      <c r="J668">
        <f>IFERROR(MID(I668,FIND("-",I668)+1,99),"")</f>
        <v/>
      </c>
    </row>
    <row r="669">
      <c r="B669">
        <f>IFERROR(IF($B$1=0,"",IF(INDEX(貼り付け!$A$1:$BZ$3001,668,$B$1)="","",IF(ISNUMBER(INDEX(貼り付け!$A$1:$BZ$3001,668,$B$1)),INT(INDEX(貼り付け!$A$1:$BZ$3001,668,$B$1)),DATE(VALUE(LEFT(I669,FIND("-",I669)-1)),VALUE(LEFT(J669,FIND("-",J669)-1)),VALUE(MID(J669,FIND("-",J669)+1,99)))))),"")</f>
        <v/>
      </c>
      <c r="C669">
        <f>IF($C$1=0,0,IFERROR(VALUE(SUBSTITUTE(SUBSTITUTE(SUBSTITUTE(INDEX(貼り付け!$A$1:$BZ$3001,668,$C$1)&amp;"",",",""),"¥",""),"￥","")),0))</f>
        <v/>
      </c>
      <c r="D669">
        <f>IF($D$1=0,0,IFERROR(VALUE(SUBSTITUTE(SUBSTITUTE(SUBSTITUTE(INDEX(貼り付け!$A$1:$BZ$3001,668,$D$1)&amp;"",",",""),"¥",""),"￥","")),0))</f>
        <v/>
      </c>
      <c r="E669">
        <f>IF($E$1=0,0,IFERROR(VALUE(SUBSTITUTE(SUBSTITUTE(SUBSTITUTE(INDEX(貼り付け!$A$1:$BZ$3001,668,$E$1)&amp;"",",",""),"¥",""),"￥","")),0))</f>
        <v/>
      </c>
      <c r="F669">
        <f>IF($F$1=0,0,IFERROR(VALUE(SUBSTITUTE(SUBSTITUTE(SUBSTITUTE(INDEX(貼り付け!$A$1:$BZ$3001,668,$F$1)&amp;"",",",""),"¥",""),"￥","")),0))</f>
        <v/>
      </c>
      <c r="G669">
        <f>IF(ISNUMBER(B669),YEAR(B669),"")</f>
        <v/>
      </c>
      <c r="H669">
        <f>IF(ISNUMBER(B669),MONTH(B669),"")</f>
        <v/>
      </c>
      <c r="I669">
        <f>IFERROR(IF($B$1=0,"",IF(ISNUMBER(INDEX(貼り付け!$A$1:$BZ$3001,668,$B$1)),"",SUBSTITUTE(SUBSTITUTE(SUBSTITUTE(SUBSTITUTE(TRIM(LEFT(INDEX(貼り付け!$A$1:$BZ$3001,668,$B$1)&amp;"",FIND(" ",TRIM(INDEX(貼り付け!$A$1:$BZ$3001,668,$B$1)&amp;"")&amp;" ")-1)),"/","-"),"年","-"),"月","-"),"日",""))),"")</f>
        <v/>
      </c>
      <c r="J669">
        <f>IFERROR(MID(I669,FIND("-",I669)+1,99),"")</f>
        <v/>
      </c>
    </row>
    <row r="670">
      <c r="B670">
        <f>IFERROR(IF($B$1=0,"",IF(INDEX(貼り付け!$A$1:$BZ$3001,669,$B$1)="","",IF(ISNUMBER(INDEX(貼り付け!$A$1:$BZ$3001,669,$B$1)),INT(INDEX(貼り付け!$A$1:$BZ$3001,669,$B$1)),DATE(VALUE(LEFT(I670,FIND("-",I670)-1)),VALUE(LEFT(J670,FIND("-",J670)-1)),VALUE(MID(J670,FIND("-",J670)+1,99)))))),"")</f>
        <v/>
      </c>
      <c r="C670">
        <f>IF($C$1=0,0,IFERROR(VALUE(SUBSTITUTE(SUBSTITUTE(SUBSTITUTE(INDEX(貼り付け!$A$1:$BZ$3001,669,$C$1)&amp;"",",",""),"¥",""),"￥","")),0))</f>
        <v/>
      </c>
      <c r="D670">
        <f>IF($D$1=0,0,IFERROR(VALUE(SUBSTITUTE(SUBSTITUTE(SUBSTITUTE(INDEX(貼り付け!$A$1:$BZ$3001,669,$D$1)&amp;"",",",""),"¥",""),"￥","")),0))</f>
        <v/>
      </c>
      <c r="E670">
        <f>IF($E$1=0,0,IFERROR(VALUE(SUBSTITUTE(SUBSTITUTE(SUBSTITUTE(INDEX(貼り付け!$A$1:$BZ$3001,669,$E$1)&amp;"",",",""),"¥",""),"￥","")),0))</f>
        <v/>
      </c>
      <c r="F670">
        <f>IF($F$1=0,0,IFERROR(VALUE(SUBSTITUTE(SUBSTITUTE(SUBSTITUTE(INDEX(貼り付け!$A$1:$BZ$3001,669,$F$1)&amp;"",",",""),"¥",""),"￥","")),0))</f>
        <v/>
      </c>
      <c r="G670">
        <f>IF(ISNUMBER(B670),YEAR(B670),"")</f>
        <v/>
      </c>
      <c r="H670">
        <f>IF(ISNUMBER(B670),MONTH(B670),"")</f>
        <v/>
      </c>
      <c r="I670">
        <f>IFERROR(IF($B$1=0,"",IF(ISNUMBER(INDEX(貼り付け!$A$1:$BZ$3001,669,$B$1)),"",SUBSTITUTE(SUBSTITUTE(SUBSTITUTE(SUBSTITUTE(TRIM(LEFT(INDEX(貼り付け!$A$1:$BZ$3001,669,$B$1)&amp;"",FIND(" ",TRIM(INDEX(貼り付け!$A$1:$BZ$3001,669,$B$1)&amp;"")&amp;" ")-1)),"/","-"),"年","-"),"月","-"),"日",""))),"")</f>
        <v/>
      </c>
      <c r="J670">
        <f>IFERROR(MID(I670,FIND("-",I670)+1,99),"")</f>
        <v/>
      </c>
    </row>
    <row r="671">
      <c r="B671">
        <f>IFERROR(IF($B$1=0,"",IF(INDEX(貼り付け!$A$1:$BZ$3001,670,$B$1)="","",IF(ISNUMBER(INDEX(貼り付け!$A$1:$BZ$3001,670,$B$1)),INT(INDEX(貼り付け!$A$1:$BZ$3001,670,$B$1)),DATE(VALUE(LEFT(I671,FIND("-",I671)-1)),VALUE(LEFT(J671,FIND("-",J671)-1)),VALUE(MID(J671,FIND("-",J671)+1,99)))))),"")</f>
        <v/>
      </c>
      <c r="C671">
        <f>IF($C$1=0,0,IFERROR(VALUE(SUBSTITUTE(SUBSTITUTE(SUBSTITUTE(INDEX(貼り付け!$A$1:$BZ$3001,670,$C$1)&amp;"",",",""),"¥",""),"￥","")),0))</f>
        <v/>
      </c>
      <c r="D671">
        <f>IF($D$1=0,0,IFERROR(VALUE(SUBSTITUTE(SUBSTITUTE(SUBSTITUTE(INDEX(貼り付け!$A$1:$BZ$3001,670,$D$1)&amp;"",",",""),"¥",""),"￥","")),0))</f>
        <v/>
      </c>
      <c r="E671">
        <f>IF($E$1=0,0,IFERROR(VALUE(SUBSTITUTE(SUBSTITUTE(SUBSTITUTE(INDEX(貼り付け!$A$1:$BZ$3001,670,$E$1)&amp;"",",",""),"¥",""),"￥","")),0))</f>
        <v/>
      </c>
      <c r="F671">
        <f>IF($F$1=0,0,IFERROR(VALUE(SUBSTITUTE(SUBSTITUTE(SUBSTITUTE(INDEX(貼り付け!$A$1:$BZ$3001,670,$F$1)&amp;"",",",""),"¥",""),"￥","")),0))</f>
        <v/>
      </c>
      <c r="G671">
        <f>IF(ISNUMBER(B671),YEAR(B671),"")</f>
        <v/>
      </c>
      <c r="H671">
        <f>IF(ISNUMBER(B671),MONTH(B671),"")</f>
        <v/>
      </c>
      <c r="I671">
        <f>IFERROR(IF($B$1=0,"",IF(ISNUMBER(INDEX(貼り付け!$A$1:$BZ$3001,670,$B$1)),"",SUBSTITUTE(SUBSTITUTE(SUBSTITUTE(SUBSTITUTE(TRIM(LEFT(INDEX(貼り付け!$A$1:$BZ$3001,670,$B$1)&amp;"",FIND(" ",TRIM(INDEX(貼り付け!$A$1:$BZ$3001,670,$B$1)&amp;"")&amp;" ")-1)),"/","-"),"年","-"),"月","-"),"日",""))),"")</f>
        <v/>
      </c>
      <c r="J671">
        <f>IFERROR(MID(I671,FIND("-",I671)+1,99),"")</f>
        <v/>
      </c>
    </row>
    <row r="672">
      <c r="B672">
        <f>IFERROR(IF($B$1=0,"",IF(INDEX(貼り付け!$A$1:$BZ$3001,671,$B$1)="","",IF(ISNUMBER(INDEX(貼り付け!$A$1:$BZ$3001,671,$B$1)),INT(INDEX(貼り付け!$A$1:$BZ$3001,671,$B$1)),DATE(VALUE(LEFT(I672,FIND("-",I672)-1)),VALUE(LEFT(J672,FIND("-",J672)-1)),VALUE(MID(J672,FIND("-",J672)+1,99)))))),"")</f>
        <v/>
      </c>
      <c r="C672">
        <f>IF($C$1=0,0,IFERROR(VALUE(SUBSTITUTE(SUBSTITUTE(SUBSTITUTE(INDEX(貼り付け!$A$1:$BZ$3001,671,$C$1)&amp;"",",",""),"¥",""),"￥","")),0))</f>
        <v/>
      </c>
      <c r="D672">
        <f>IF($D$1=0,0,IFERROR(VALUE(SUBSTITUTE(SUBSTITUTE(SUBSTITUTE(INDEX(貼り付け!$A$1:$BZ$3001,671,$D$1)&amp;"",",",""),"¥",""),"￥","")),0))</f>
        <v/>
      </c>
      <c r="E672">
        <f>IF($E$1=0,0,IFERROR(VALUE(SUBSTITUTE(SUBSTITUTE(SUBSTITUTE(INDEX(貼り付け!$A$1:$BZ$3001,671,$E$1)&amp;"",",",""),"¥",""),"￥","")),0))</f>
        <v/>
      </c>
      <c r="F672">
        <f>IF($F$1=0,0,IFERROR(VALUE(SUBSTITUTE(SUBSTITUTE(SUBSTITUTE(INDEX(貼り付け!$A$1:$BZ$3001,671,$F$1)&amp;"",",",""),"¥",""),"￥","")),0))</f>
        <v/>
      </c>
      <c r="G672">
        <f>IF(ISNUMBER(B672),YEAR(B672),"")</f>
        <v/>
      </c>
      <c r="H672">
        <f>IF(ISNUMBER(B672),MONTH(B672),"")</f>
        <v/>
      </c>
      <c r="I672">
        <f>IFERROR(IF($B$1=0,"",IF(ISNUMBER(INDEX(貼り付け!$A$1:$BZ$3001,671,$B$1)),"",SUBSTITUTE(SUBSTITUTE(SUBSTITUTE(SUBSTITUTE(TRIM(LEFT(INDEX(貼り付け!$A$1:$BZ$3001,671,$B$1)&amp;"",FIND(" ",TRIM(INDEX(貼り付け!$A$1:$BZ$3001,671,$B$1)&amp;"")&amp;" ")-1)),"/","-"),"年","-"),"月","-"),"日",""))),"")</f>
        <v/>
      </c>
      <c r="J672">
        <f>IFERROR(MID(I672,FIND("-",I672)+1,99),"")</f>
        <v/>
      </c>
    </row>
    <row r="673">
      <c r="B673">
        <f>IFERROR(IF($B$1=0,"",IF(INDEX(貼り付け!$A$1:$BZ$3001,672,$B$1)="","",IF(ISNUMBER(INDEX(貼り付け!$A$1:$BZ$3001,672,$B$1)),INT(INDEX(貼り付け!$A$1:$BZ$3001,672,$B$1)),DATE(VALUE(LEFT(I673,FIND("-",I673)-1)),VALUE(LEFT(J673,FIND("-",J673)-1)),VALUE(MID(J673,FIND("-",J673)+1,99)))))),"")</f>
        <v/>
      </c>
      <c r="C673">
        <f>IF($C$1=0,0,IFERROR(VALUE(SUBSTITUTE(SUBSTITUTE(SUBSTITUTE(INDEX(貼り付け!$A$1:$BZ$3001,672,$C$1)&amp;"",",",""),"¥",""),"￥","")),0))</f>
        <v/>
      </c>
      <c r="D673">
        <f>IF($D$1=0,0,IFERROR(VALUE(SUBSTITUTE(SUBSTITUTE(SUBSTITUTE(INDEX(貼り付け!$A$1:$BZ$3001,672,$D$1)&amp;"",",",""),"¥",""),"￥","")),0))</f>
        <v/>
      </c>
      <c r="E673">
        <f>IF($E$1=0,0,IFERROR(VALUE(SUBSTITUTE(SUBSTITUTE(SUBSTITUTE(INDEX(貼り付け!$A$1:$BZ$3001,672,$E$1)&amp;"",",",""),"¥",""),"￥","")),0))</f>
        <v/>
      </c>
      <c r="F673">
        <f>IF($F$1=0,0,IFERROR(VALUE(SUBSTITUTE(SUBSTITUTE(SUBSTITUTE(INDEX(貼り付け!$A$1:$BZ$3001,672,$F$1)&amp;"",",",""),"¥",""),"￥","")),0))</f>
        <v/>
      </c>
      <c r="G673">
        <f>IF(ISNUMBER(B673),YEAR(B673),"")</f>
        <v/>
      </c>
      <c r="H673">
        <f>IF(ISNUMBER(B673),MONTH(B673),"")</f>
        <v/>
      </c>
      <c r="I673">
        <f>IFERROR(IF($B$1=0,"",IF(ISNUMBER(INDEX(貼り付け!$A$1:$BZ$3001,672,$B$1)),"",SUBSTITUTE(SUBSTITUTE(SUBSTITUTE(SUBSTITUTE(TRIM(LEFT(INDEX(貼り付け!$A$1:$BZ$3001,672,$B$1)&amp;"",FIND(" ",TRIM(INDEX(貼り付け!$A$1:$BZ$3001,672,$B$1)&amp;"")&amp;" ")-1)),"/","-"),"年","-"),"月","-"),"日",""))),"")</f>
        <v/>
      </c>
      <c r="J673">
        <f>IFERROR(MID(I673,FIND("-",I673)+1,99),"")</f>
        <v/>
      </c>
    </row>
    <row r="674">
      <c r="B674">
        <f>IFERROR(IF($B$1=0,"",IF(INDEX(貼り付け!$A$1:$BZ$3001,673,$B$1)="","",IF(ISNUMBER(INDEX(貼り付け!$A$1:$BZ$3001,673,$B$1)),INT(INDEX(貼り付け!$A$1:$BZ$3001,673,$B$1)),DATE(VALUE(LEFT(I674,FIND("-",I674)-1)),VALUE(LEFT(J674,FIND("-",J674)-1)),VALUE(MID(J674,FIND("-",J674)+1,99)))))),"")</f>
        <v/>
      </c>
      <c r="C674">
        <f>IF($C$1=0,0,IFERROR(VALUE(SUBSTITUTE(SUBSTITUTE(SUBSTITUTE(INDEX(貼り付け!$A$1:$BZ$3001,673,$C$1)&amp;"",",",""),"¥",""),"￥","")),0))</f>
        <v/>
      </c>
      <c r="D674">
        <f>IF($D$1=0,0,IFERROR(VALUE(SUBSTITUTE(SUBSTITUTE(SUBSTITUTE(INDEX(貼り付け!$A$1:$BZ$3001,673,$D$1)&amp;"",",",""),"¥",""),"￥","")),0))</f>
        <v/>
      </c>
      <c r="E674">
        <f>IF($E$1=0,0,IFERROR(VALUE(SUBSTITUTE(SUBSTITUTE(SUBSTITUTE(INDEX(貼り付け!$A$1:$BZ$3001,673,$E$1)&amp;"",",",""),"¥",""),"￥","")),0))</f>
        <v/>
      </c>
      <c r="F674">
        <f>IF($F$1=0,0,IFERROR(VALUE(SUBSTITUTE(SUBSTITUTE(SUBSTITUTE(INDEX(貼り付け!$A$1:$BZ$3001,673,$F$1)&amp;"",",",""),"¥",""),"￥","")),0))</f>
        <v/>
      </c>
      <c r="G674">
        <f>IF(ISNUMBER(B674),YEAR(B674),"")</f>
        <v/>
      </c>
      <c r="H674">
        <f>IF(ISNUMBER(B674),MONTH(B674),"")</f>
        <v/>
      </c>
      <c r="I674">
        <f>IFERROR(IF($B$1=0,"",IF(ISNUMBER(INDEX(貼り付け!$A$1:$BZ$3001,673,$B$1)),"",SUBSTITUTE(SUBSTITUTE(SUBSTITUTE(SUBSTITUTE(TRIM(LEFT(INDEX(貼り付け!$A$1:$BZ$3001,673,$B$1)&amp;"",FIND(" ",TRIM(INDEX(貼り付け!$A$1:$BZ$3001,673,$B$1)&amp;"")&amp;" ")-1)),"/","-"),"年","-"),"月","-"),"日",""))),"")</f>
        <v/>
      </c>
      <c r="J674">
        <f>IFERROR(MID(I674,FIND("-",I674)+1,99),"")</f>
        <v/>
      </c>
    </row>
    <row r="675">
      <c r="B675">
        <f>IFERROR(IF($B$1=0,"",IF(INDEX(貼り付け!$A$1:$BZ$3001,674,$B$1)="","",IF(ISNUMBER(INDEX(貼り付け!$A$1:$BZ$3001,674,$B$1)),INT(INDEX(貼り付け!$A$1:$BZ$3001,674,$B$1)),DATE(VALUE(LEFT(I675,FIND("-",I675)-1)),VALUE(LEFT(J675,FIND("-",J675)-1)),VALUE(MID(J675,FIND("-",J675)+1,99)))))),"")</f>
        <v/>
      </c>
      <c r="C675">
        <f>IF($C$1=0,0,IFERROR(VALUE(SUBSTITUTE(SUBSTITUTE(SUBSTITUTE(INDEX(貼り付け!$A$1:$BZ$3001,674,$C$1)&amp;"",",",""),"¥",""),"￥","")),0))</f>
        <v/>
      </c>
      <c r="D675">
        <f>IF($D$1=0,0,IFERROR(VALUE(SUBSTITUTE(SUBSTITUTE(SUBSTITUTE(INDEX(貼り付け!$A$1:$BZ$3001,674,$D$1)&amp;"",",",""),"¥",""),"￥","")),0))</f>
        <v/>
      </c>
      <c r="E675">
        <f>IF($E$1=0,0,IFERROR(VALUE(SUBSTITUTE(SUBSTITUTE(SUBSTITUTE(INDEX(貼り付け!$A$1:$BZ$3001,674,$E$1)&amp;"",",",""),"¥",""),"￥","")),0))</f>
        <v/>
      </c>
      <c r="F675">
        <f>IF($F$1=0,0,IFERROR(VALUE(SUBSTITUTE(SUBSTITUTE(SUBSTITUTE(INDEX(貼り付け!$A$1:$BZ$3001,674,$F$1)&amp;"",",",""),"¥",""),"￥","")),0))</f>
        <v/>
      </c>
      <c r="G675">
        <f>IF(ISNUMBER(B675),YEAR(B675),"")</f>
        <v/>
      </c>
      <c r="H675">
        <f>IF(ISNUMBER(B675),MONTH(B675),"")</f>
        <v/>
      </c>
      <c r="I675">
        <f>IFERROR(IF($B$1=0,"",IF(ISNUMBER(INDEX(貼り付け!$A$1:$BZ$3001,674,$B$1)),"",SUBSTITUTE(SUBSTITUTE(SUBSTITUTE(SUBSTITUTE(TRIM(LEFT(INDEX(貼り付け!$A$1:$BZ$3001,674,$B$1)&amp;"",FIND(" ",TRIM(INDEX(貼り付け!$A$1:$BZ$3001,674,$B$1)&amp;"")&amp;" ")-1)),"/","-"),"年","-"),"月","-"),"日",""))),"")</f>
        <v/>
      </c>
      <c r="J675">
        <f>IFERROR(MID(I675,FIND("-",I675)+1,99),"")</f>
        <v/>
      </c>
    </row>
    <row r="676">
      <c r="B676">
        <f>IFERROR(IF($B$1=0,"",IF(INDEX(貼り付け!$A$1:$BZ$3001,675,$B$1)="","",IF(ISNUMBER(INDEX(貼り付け!$A$1:$BZ$3001,675,$B$1)),INT(INDEX(貼り付け!$A$1:$BZ$3001,675,$B$1)),DATE(VALUE(LEFT(I676,FIND("-",I676)-1)),VALUE(LEFT(J676,FIND("-",J676)-1)),VALUE(MID(J676,FIND("-",J676)+1,99)))))),"")</f>
        <v/>
      </c>
      <c r="C676">
        <f>IF($C$1=0,0,IFERROR(VALUE(SUBSTITUTE(SUBSTITUTE(SUBSTITUTE(INDEX(貼り付け!$A$1:$BZ$3001,675,$C$1)&amp;"",",",""),"¥",""),"￥","")),0))</f>
        <v/>
      </c>
      <c r="D676">
        <f>IF($D$1=0,0,IFERROR(VALUE(SUBSTITUTE(SUBSTITUTE(SUBSTITUTE(INDEX(貼り付け!$A$1:$BZ$3001,675,$D$1)&amp;"",",",""),"¥",""),"￥","")),0))</f>
        <v/>
      </c>
      <c r="E676">
        <f>IF($E$1=0,0,IFERROR(VALUE(SUBSTITUTE(SUBSTITUTE(SUBSTITUTE(INDEX(貼り付け!$A$1:$BZ$3001,675,$E$1)&amp;"",",",""),"¥",""),"￥","")),0))</f>
        <v/>
      </c>
      <c r="F676">
        <f>IF($F$1=0,0,IFERROR(VALUE(SUBSTITUTE(SUBSTITUTE(SUBSTITUTE(INDEX(貼り付け!$A$1:$BZ$3001,675,$F$1)&amp;"",",",""),"¥",""),"￥","")),0))</f>
        <v/>
      </c>
      <c r="G676">
        <f>IF(ISNUMBER(B676),YEAR(B676),"")</f>
        <v/>
      </c>
      <c r="H676">
        <f>IF(ISNUMBER(B676),MONTH(B676),"")</f>
        <v/>
      </c>
      <c r="I676">
        <f>IFERROR(IF($B$1=0,"",IF(ISNUMBER(INDEX(貼り付け!$A$1:$BZ$3001,675,$B$1)),"",SUBSTITUTE(SUBSTITUTE(SUBSTITUTE(SUBSTITUTE(TRIM(LEFT(INDEX(貼り付け!$A$1:$BZ$3001,675,$B$1)&amp;"",FIND(" ",TRIM(INDEX(貼り付け!$A$1:$BZ$3001,675,$B$1)&amp;"")&amp;" ")-1)),"/","-"),"年","-"),"月","-"),"日",""))),"")</f>
        <v/>
      </c>
      <c r="J676">
        <f>IFERROR(MID(I676,FIND("-",I676)+1,99),"")</f>
        <v/>
      </c>
    </row>
    <row r="677">
      <c r="B677">
        <f>IFERROR(IF($B$1=0,"",IF(INDEX(貼り付け!$A$1:$BZ$3001,676,$B$1)="","",IF(ISNUMBER(INDEX(貼り付け!$A$1:$BZ$3001,676,$B$1)),INT(INDEX(貼り付け!$A$1:$BZ$3001,676,$B$1)),DATE(VALUE(LEFT(I677,FIND("-",I677)-1)),VALUE(LEFT(J677,FIND("-",J677)-1)),VALUE(MID(J677,FIND("-",J677)+1,99)))))),"")</f>
        <v/>
      </c>
      <c r="C677">
        <f>IF($C$1=0,0,IFERROR(VALUE(SUBSTITUTE(SUBSTITUTE(SUBSTITUTE(INDEX(貼り付け!$A$1:$BZ$3001,676,$C$1)&amp;"",",",""),"¥",""),"￥","")),0))</f>
        <v/>
      </c>
      <c r="D677">
        <f>IF($D$1=0,0,IFERROR(VALUE(SUBSTITUTE(SUBSTITUTE(SUBSTITUTE(INDEX(貼り付け!$A$1:$BZ$3001,676,$D$1)&amp;"",",",""),"¥",""),"￥","")),0))</f>
        <v/>
      </c>
      <c r="E677">
        <f>IF($E$1=0,0,IFERROR(VALUE(SUBSTITUTE(SUBSTITUTE(SUBSTITUTE(INDEX(貼り付け!$A$1:$BZ$3001,676,$E$1)&amp;"",",",""),"¥",""),"￥","")),0))</f>
        <v/>
      </c>
      <c r="F677">
        <f>IF($F$1=0,0,IFERROR(VALUE(SUBSTITUTE(SUBSTITUTE(SUBSTITUTE(INDEX(貼り付け!$A$1:$BZ$3001,676,$F$1)&amp;"",",",""),"¥",""),"￥","")),0))</f>
        <v/>
      </c>
      <c r="G677">
        <f>IF(ISNUMBER(B677),YEAR(B677),"")</f>
        <v/>
      </c>
      <c r="H677">
        <f>IF(ISNUMBER(B677),MONTH(B677),"")</f>
        <v/>
      </c>
      <c r="I677">
        <f>IFERROR(IF($B$1=0,"",IF(ISNUMBER(INDEX(貼り付け!$A$1:$BZ$3001,676,$B$1)),"",SUBSTITUTE(SUBSTITUTE(SUBSTITUTE(SUBSTITUTE(TRIM(LEFT(INDEX(貼り付け!$A$1:$BZ$3001,676,$B$1)&amp;"",FIND(" ",TRIM(INDEX(貼り付け!$A$1:$BZ$3001,676,$B$1)&amp;"")&amp;" ")-1)),"/","-"),"年","-"),"月","-"),"日",""))),"")</f>
        <v/>
      </c>
      <c r="J677">
        <f>IFERROR(MID(I677,FIND("-",I677)+1,99),"")</f>
        <v/>
      </c>
    </row>
    <row r="678">
      <c r="B678">
        <f>IFERROR(IF($B$1=0,"",IF(INDEX(貼り付け!$A$1:$BZ$3001,677,$B$1)="","",IF(ISNUMBER(INDEX(貼り付け!$A$1:$BZ$3001,677,$B$1)),INT(INDEX(貼り付け!$A$1:$BZ$3001,677,$B$1)),DATE(VALUE(LEFT(I678,FIND("-",I678)-1)),VALUE(LEFT(J678,FIND("-",J678)-1)),VALUE(MID(J678,FIND("-",J678)+1,99)))))),"")</f>
        <v/>
      </c>
      <c r="C678">
        <f>IF($C$1=0,0,IFERROR(VALUE(SUBSTITUTE(SUBSTITUTE(SUBSTITUTE(INDEX(貼り付け!$A$1:$BZ$3001,677,$C$1)&amp;"",",",""),"¥",""),"￥","")),0))</f>
        <v/>
      </c>
      <c r="D678">
        <f>IF($D$1=0,0,IFERROR(VALUE(SUBSTITUTE(SUBSTITUTE(SUBSTITUTE(INDEX(貼り付け!$A$1:$BZ$3001,677,$D$1)&amp;"",",",""),"¥",""),"￥","")),0))</f>
        <v/>
      </c>
      <c r="E678">
        <f>IF($E$1=0,0,IFERROR(VALUE(SUBSTITUTE(SUBSTITUTE(SUBSTITUTE(INDEX(貼り付け!$A$1:$BZ$3001,677,$E$1)&amp;"",",",""),"¥",""),"￥","")),0))</f>
        <v/>
      </c>
      <c r="F678">
        <f>IF($F$1=0,0,IFERROR(VALUE(SUBSTITUTE(SUBSTITUTE(SUBSTITUTE(INDEX(貼り付け!$A$1:$BZ$3001,677,$F$1)&amp;"",",",""),"¥",""),"￥","")),0))</f>
        <v/>
      </c>
      <c r="G678">
        <f>IF(ISNUMBER(B678),YEAR(B678),"")</f>
        <v/>
      </c>
      <c r="H678">
        <f>IF(ISNUMBER(B678),MONTH(B678),"")</f>
        <v/>
      </c>
      <c r="I678">
        <f>IFERROR(IF($B$1=0,"",IF(ISNUMBER(INDEX(貼り付け!$A$1:$BZ$3001,677,$B$1)),"",SUBSTITUTE(SUBSTITUTE(SUBSTITUTE(SUBSTITUTE(TRIM(LEFT(INDEX(貼り付け!$A$1:$BZ$3001,677,$B$1)&amp;"",FIND(" ",TRIM(INDEX(貼り付け!$A$1:$BZ$3001,677,$B$1)&amp;"")&amp;" ")-1)),"/","-"),"年","-"),"月","-"),"日",""))),"")</f>
        <v/>
      </c>
      <c r="J678">
        <f>IFERROR(MID(I678,FIND("-",I678)+1,99),"")</f>
        <v/>
      </c>
    </row>
    <row r="679">
      <c r="B679">
        <f>IFERROR(IF($B$1=0,"",IF(INDEX(貼り付け!$A$1:$BZ$3001,678,$B$1)="","",IF(ISNUMBER(INDEX(貼り付け!$A$1:$BZ$3001,678,$B$1)),INT(INDEX(貼り付け!$A$1:$BZ$3001,678,$B$1)),DATE(VALUE(LEFT(I679,FIND("-",I679)-1)),VALUE(LEFT(J679,FIND("-",J679)-1)),VALUE(MID(J679,FIND("-",J679)+1,99)))))),"")</f>
        <v/>
      </c>
      <c r="C679">
        <f>IF($C$1=0,0,IFERROR(VALUE(SUBSTITUTE(SUBSTITUTE(SUBSTITUTE(INDEX(貼り付け!$A$1:$BZ$3001,678,$C$1)&amp;"",",",""),"¥",""),"￥","")),0))</f>
        <v/>
      </c>
      <c r="D679">
        <f>IF($D$1=0,0,IFERROR(VALUE(SUBSTITUTE(SUBSTITUTE(SUBSTITUTE(INDEX(貼り付け!$A$1:$BZ$3001,678,$D$1)&amp;"",",",""),"¥",""),"￥","")),0))</f>
        <v/>
      </c>
      <c r="E679">
        <f>IF($E$1=0,0,IFERROR(VALUE(SUBSTITUTE(SUBSTITUTE(SUBSTITUTE(INDEX(貼り付け!$A$1:$BZ$3001,678,$E$1)&amp;"",",",""),"¥",""),"￥","")),0))</f>
        <v/>
      </c>
      <c r="F679">
        <f>IF($F$1=0,0,IFERROR(VALUE(SUBSTITUTE(SUBSTITUTE(SUBSTITUTE(INDEX(貼り付け!$A$1:$BZ$3001,678,$F$1)&amp;"",",",""),"¥",""),"￥","")),0))</f>
        <v/>
      </c>
      <c r="G679">
        <f>IF(ISNUMBER(B679),YEAR(B679),"")</f>
        <v/>
      </c>
      <c r="H679">
        <f>IF(ISNUMBER(B679),MONTH(B679),"")</f>
        <v/>
      </c>
      <c r="I679">
        <f>IFERROR(IF($B$1=0,"",IF(ISNUMBER(INDEX(貼り付け!$A$1:$BZ$3001,678,$B$1)),"",SUBSTITUTE(SUBSTITUTE(SUBSTITUTE(SUBSTITUTE(TRIM(LEFT(INDEX(貼り付け!$A$1:$BZ$3001,678,$B$1)&amp;"",FIND(" ",TRIM(INDEX(貼り付け!$A$1:$BZ$3001,678,$B$1)&amp;"")&amp;" ")-1)),"/","-"),"年","-"),"月","-"),"日",""))),"")</f>
        <v/>
      </c>
      <c r="J679">
        <f>IFERROR(MID(I679,FIND("-",I679)+1,99),"")</f>
        <v/>
      </c>
    </row>
    <row r="680">
      <c r="B680">
        <f>IFERROR(IF($B$1=0,"",IF(INDEX(貼り付け!$A$1:$BZ$3001,679,$B$1)="","",IF(ISNUMBER(INDEX(貼り付け!$A$1:$BZ$3001,679,$B$1)),INT(INDEX(貼り付け!$A$1:$BZ$3001,679,$B$1)),DATE(VALUE(LEFT(I680,FIND("-",I680)-1)),VALUE(LEFT(J680,FIND("-",J680)-1)),VALUE(MID(J680,FIND("-",J680)+1,99)))))),"")</f>
        <v/>
      </c>
      <c r="C680">
        <f>IF($C$1=0,0,IFERROR(VALUE(SUBSTITUTE(SUBSTITUTE(SUBSTITUTE(INDEX(貼り付け!$A$1:$BZ$3001,679,$C$1)&amp;"",",",""),"¥",""),"￥","")),0))</f>
        <v/>
      </c>
      <c r="D680">
        <f>IF($D$1=0,0,IFERROR(VALUE(SUBSTITUTE(SUBSTITUTE(SUBSTITUTE(INDEX(貼り付け!$A$1:$BZ$3001,679,$D$1)&amp;"",",",""),"¥",""),"￥","")),0))</f>
        <v/>
      </c>
      <c r="E680">
        <f>IF($E$1=0,0,IFERROR(VALUE(SUBSTITUTE(SUBSTITUTE(SUBSTITUTE(INDEX(貼り付け!$A$1:$BZ$3001,679,$E$1)&amp;"",",",""),"¥",""),"￥","")),0))</f>
        <v/>
      </c>
      <c r="F680">
        <f>IF($F$1=0,0,IFERROR(VALUE(SUBSTITUTE(SUBSTITUTE(SUBSTITUTE(INDEX(貼り付け!$A$1:$BZ$3001,679,$F$1)&amp;"",",",""),"¥",""),"￥","")),0))</f>
        <v/>
      </c>
      <c r="G680">
        <f>IF(ISNUMBER(B680),YEAR(B680),"")</f>
        <v/>
      </c>
      <c r="H680">
        <f>IF(ISNUMBER(B680),MONTH(B680),"")</f>
        <v/>
      </c>
      <c r="I680">
        <f>IFERROR(IF($B$1=0,"",IF(ISNUMBER(INDEX(貼り付け!$A$1:$BZ$3001,679,$B$1)),"",SUBSTITUTE(SUBSTITUTE(SUBSTITUTE(SUBSTITUTE(TRIM(LEFT(INDEX(貼り付け!$A$1:$BZ$3001,679,$B$1)&amp;"",FIND(" ",TRIM(INDEX(貼り付け!$A$1:$BZ$3001,679,$B$1)&amp;"")&amp;" ")-1)),"/","-"),"年","-"),"月","-"),"日",""))),"")</f>
        <v/>
      </c>
      <c r="J680">
        <f>IFERROR(MID(I680,FIND("-",I680)+1,99),"")</f>
        <v/>
      </c>
    </row>
    <row r="681">
      <c r="B681">
        <f>IFERROR(IF($B$1=0,"",IF(INDEX(貼り付け!$A$1:$BZ$3001,680,$B$1)="","",IF(ISNUMBER(INDEX(貼り付け!$A$1:$BZ$3001,680,$B$1)),INT(INDEX(貼り付け!$A$1:$BZ$3001,680,$B$1)),DATE(VALUE(LEFT(I681,FIND("-",I681)-1)),VALUE(LEFT(J681,FIND("-",J681)-1)),VALUE(MID(J681,FIND("-",J681)+1,99)))))),"")</f>
        <v/>
      </c>
      <c r="C681">
        <f>IF($C$1=0,0,IFERROR(VALUE(SUBSTITUTE(SUBSTITUTE(SUBSTITUTE(INDEX(貼り付け!$A$1:$BZ$3001,680,$C$1)&amp;"",",",""),"¥",""),"￥","")),0))</f>
        <v/>
      </c>
      <c r="D681">
        <f>IF($D$1=0,0,IFERROR(VALUE(SUBSTITUTE(SUBSTITUTE(SUBSTITUTE(INDEX(貼り付け!$A$1:$BZ$3001,680,$D$1)&amp;"",",",""),"¥",""),"￥","")),0))</f>
        <v/>
      </c>
      <c r="E681">
        <f>IF($E$1=0,0,IFERROR(VALUE(SUBSTITUTE(SUBSTITUTE(SUBSTITUTE(INDEX(貼り付け!$A$1:$BZ$3001,680,$E$1)&amp;"",",",""),"¥",""),"￥","")),0))</f>
        <v/>
      </c>
      <c r="F681">
        <f>IF($F$1=0,0,IFERROR(VALUE(SUBSTITUTE(SUBSTITUTE(SUBSTITUTE(INDEX(貼り付け!$A$1:$BZ$3001,680,$F$1)&amp;"",",",""),"¥",""),"￥","")),0))</f>
        <v/>
      </c>
      <c r="G681">
        <f>IF(ISNUMBER(B681),YEAR(B681),"")</f>
        <v/>
      </c>
      <c r="H681">
        <f>IF(ISNUMBER(B681),MONTH(B681),"")</f>
        <v/>
      </c>
      <c r="I681">
        <f>IFERROR(IF($B$1=0,"",IF(ISNUMBER(INDEX(貼り付け!$A$1:$BZ$3001,680,$B$1)),"",SUBSTITUTE(SUBSTITUTE(SUBSTITUTE(SUBSTITUTE(TRIM(LEFT(INDEX(貼り付け!$A$1:$BZ$3001,680,$B$1)&amp;"",FIND(" ",TRIM(INDEX(貼り付け!$A$1:$BZ$3001,680,$B$1)&amp;"")&amp;" ")-1)),"/","-"),"年","-"),"月","-"),"日",""))),"")</f>
        <v/>
      </c>
      <c r="J681">
        <f>IFERROR(MID(I681,FIND("-",I681)+1,99),"")</f>
        <v/>
      </c>
    </row>
    <row r="682">
      <c r="B682">
        <f>IFERROR(IF($B$1=0,"",IF(INDEX(貼り付け!$A$1:$BZ$3001,681,$B$1)="","",IF(ISNUMBER(INDEX(貼り付け!$A$1:$BZ$3001,681,$B$1)),INT(INDEX(貼り付け!$A$1:$BZ$3001,681,$B$1)),DATE(VALUE(LEFT(I682,FIND("-",I682)-1)),VALUE(LEFT(J682,FIND("-",J682)-1)),VALUE(MID(J682,FIND("-",J682)+1,99)))))),"")</f>
        <v/>
      </c>
      <c r="C682">
        <f>IF($C$1=0,0,IFERROR(VALUE(SUBSTITUTE(SUBSTITUTE(SUBSTITUTE(INDEX(貼り付け!$A$1:$BZ$3001,681,$C$1)&amp;"",",",""),"¥",""),"￥","")),0))</f>
        <v/>
      </c>
      <c r="D682">
        <f>IF($D$1=0,0,IFERROR(VALUE(SUBSTITUTE(SUBSTITUTE(SUBSTITUTE(INDEX(貼り付け!$A$1:$BZ$3001,681,$D$1)&amp;"",",",""),"¥",""),"￥","")),0))</f>
        <v/>
      </c>
      <c r="E682">
        <f>IF($E$1=0,0,IFERROR(VALUE(SUBSTITUTE(SUBSTITUTE(SUBSTITUTE(INDEX(貼り付け!$A$1:$BZ$3001,681,$E$1)&amp;"",",",""),"¥",""),"￥","")),0))</f>
        <v/>
      </c>
      <c r="F682">
        <f>IF($F$1=0,0,IFERROR(VALUE(SUBSTITUTE(SUBSTITUTE(SUBSTITUTE(INDEX(貼り付け!$A$1:$BZ$3001,681,$F$1)&amp;"",",",""),"¥",""),"￥","")),0))</f>
        <v/>
      </c>
      <c r="G682">
        <f>IF(ISNUMBER(B682),YEAR(B682),"")</f>
        <v/>
      </c>
      <c r="H682">
        <f>IF(ISNUMBER(B682),MONTH(B682),"")</f>
        <v/>
      </c>
      <c r="I682">
        <f>IFERROR(IF($B$1=0,"",IF(ISNUMBER(INDEX(貼り付け!$A$1:$BZ$3001,681,$B$1)),"",SUBSTITUTE(SUBSTITUTE(SUBSTITUTE(SUBSTITUTE(TRIM(LEFT(INDEX(貼り付け!$A$1:$BZ$3001,681,$B$1)&amp;"",FIND(" ",TRIM(INDEX(貼り付け!$A$1:$BZ$3001,681,$B$1)&amp;"")&amp;" ")-1)),"/","-"),"年","-"),"月","-"),"日",""))),"")</f>
        <v/>
      </c>
      <c r="J682">
        <f>IFERROR(MID(I682,FIND("-",I682)+1,99),"")</f>
        <v/>
      </c>
    </row>
    <row r="683">
      <c r="B683">
        <f>IFERROR(IF($B$1=0,"",IF(INDEX(貼り付け!$A$1:$BZ$3001,682,$B$1)="","",IF(ISNUMBER(INDEX(貼り付け!$A$1:$BZ$3001,682,$B$1)),INT(INDEX(貼り付け!$A$1:$BZ$3001,682,$B$1)),DATE(VALUE(LEFT(I683,FIND("-",I683)-1)),VALUE(LEFT(J683,FIND("-",J683)-1)),VALUE(MID(J683,FIND("-",J683)+1,99)))))),"")</f>
        <v/>
      </c>
      <c r="C683">
        <f>IF($C$1=0,0,IFERROR(VALUE(SUBSTITUTE(SUBSTITUTE(SUBSTITUTE(INDEX(貼り付け!$A$1:$BZ$3001,682,$C$1)&amp;"",",",""),"¥",""),"￥","")),0))</f>
        <v/>
      </c>
      <c r="D683">
        <f>IF($D$1=0,0,IFERROR(VALUE(SUBSTITUTE(SUBSTITUTE(SUBSTITUTE(INDEX(貼り付け!$A$1:$BZ$3001,682,$D$1)&amp;"",",",""),"¥",""),"￥","")),0))</f>
        <v/>
      </c>
      <c r="E683">
        <f>IF($E$1=0,0,IFERROR(VALUE(SUBSTITUTE(SUBSTITUTE(SUBSTITUTE(INDEX(貼り付け!$A$1:$BZ$3001,682,$E$1)&amp;"",",",""),"¥",""),"￥","")),0))</f>
        <v/>
      </c>
      <c r="F683">
        <f>IF($F$1=0,0,IFERROR(VALUE(SUBSTITUTE(SUBSTITUTE(SUBSTITUTE(INDEX(貼り付け!$A$1:$BZ$3001,682,$F$1)&amp;"",",",""),"¥",""),"￥","")),0))</f>
        <v/>
      </c>
      <c r="G683">
        <f>IF(ISNUMBER(B683),YEAR(B683),"")</f>
        <v/>
      </c>
      <c r="H683">
        <f>IF(ISNUMBER(B683),MONTH(B683),"")</f>
        <v/>
      </c>
      <c r="I683">
        <f>IFERROR(IF($B$1=0,"",IF(ISNUMBER(INDEX(貼り付け!$A$1:$BZ$3001,682,$B$1)),"",SUBSTITUTE(SUBSTITUTE(SUBSTITUTE(SUBSTITUTE(TRIM(LEFT(INDEX(貼り付け!$A$1:$BZ$3001,682,$B$1)&amp;"",FIND(" ",TRIM(INDEX(貼り付け!$A$1:$BZ$3001,682,$B$1)&amp;"")&amp;" ")-1)),"/","-"),"年","-"),"月","-"),"日",""))),"")</f>
        <v/>
      </c>
      <c r="J683">
        <f>IFERROR(MID(I683,FIND("-",I683)+1,99),"")</f>
        <v/>
      </c>
    </row>
    <row r="684">
      <c r="B684">
        <f>IFERROR(IF($B$1=0,"",IF(INDEX(貼り付け!$A$1:$BZ$3001,683,$B$1)="","",IF(ISNUMBER(INDEX(貼り付け!$A$1:$BZ$3001,683,$B$1)),INT(INDEX(貼り付け!$A$1:$BZ$3001,683,$B$1)),DATE(VALUE(LEFT(I684,FIND("-",I684)-1)),VALUE(LEFT(J684,FIND("-",J684)-1)),VALUE(MID(J684,FIND("-",J684)+1,99)))))),"")</f>
        <v/>
      </c>
      <c r="C684">
        <f>IF($C$1=0,0,IFERROR(VALUE(SUBSTITUTE(SUBSTITUTE(SUBSTITUTE(INDEX(貼り付け!$A$1:$BZ$3001,683,$C$1)&amp;"",",",""),"¥",""),"￥","")),0))</f>
        <v/>
      </c>
      <c r="D684">
        <f>IF($D$1=0,0,IFERROR(VALUE(SUBSTITUTE(SUBSTITUTE(SUBSTITUTE(INDEX(貼り付け!$A$1:$BZ$3001,683,$D$1)&amp;"",",",""),"¥",""),"￥","")),0))</f>
        <v/>
      </c>
      <c r="E684">
        <f>IF($E$1=0,0,IFERROR(VALUE(SUBSTITUTE(SUBSTITUTE(SUBSTITUTE(INDEX(貼り付け!$A$1:$BZ$3001,683,$E$1)&amp;"",",",""),"¥",""),"￥","")),0))</f>
        <v/>
      </c>
      <c r="F684">
        <f>IF($F$1=0,0,IFERROR(VALUE(SUBSTITUTE(SUBSTITUTE(SUBSTITUTE(INDEX(貼り付け!$A$1:$BZ$3001,683,$F$1)&amp;"",",",""),"¥",""),"￥","")),0))</f>
        <v/>
      </c>
      <c r="G684">
        <f>IF(ISNUMBER(B684),YEAR(B684),"")</f>
        <v/>
      </c>
      <c r="H684">
        <f>IF(ISNUMBER(B684),MONTH(B684),"")</f>
        <v/>
      </c>
      <c r="I684">
        <f>IFERROR(IF($B$1=0,"",IF(ISNUMBER(INDEX(貼り付け!$A$1:$BZ$3001,683,$B$1)),"",SUBSTITUTE(SUBSTITUTE(SUBSTITUTE(SUBSTITUTE(TRIM(LEFT(INDEX(貼り付け!$A$1:$BZ$3001,683,$B$1)&amp;"",FIND(" ",TRIM(INDEX(貼り付け!$A$1:$BZ$3001,683,$B$1)&amp;"")&amp;" ")-1)),"/","-"),"年","-"),"月","-"),"日",""))),"")</f>
        <v/>
      </c>
      <c r="J684">
        <f>IFERROR(MID(I684,FIND("-",I684)+1,99),"")</f>
        <v/>
      </c>
    </row>
    <row r="685">
      <c r="B685">
        <f>IFERROR(IF($B$1=0,"",IF(INDEX(貼り付け!$A$1:$BZ$3001,684,$B$1)="","",IF(ISNUMBER(INDEX(貼り付け!$A$1:$BZ$3001,684,$B$1)),INT(INDEX(貼り付け!$A$1:$BZ$3001,684,$B$1)),DATE(VALUE(LEFT(I685,FIND("-",I685)-1)),VALUE(LEFT(J685,FIND("-",J685)-1)),VALUE(MID(J685,FIND("-",J685)+1,99)))))),"")</f>
        <v/>
      </c>
      <c r="C685">
        <f>IF($C$1=0,0,IFERROR(VALUE(SUBSTITUTE(SUBSTITUTE(SUBSTITUTE(INDEX(貼り付け!$A$1:$BZ$3001,684,$C$1)&amp;"",",",""),"¥",""),"￥","")),0))</f>
        <v/>
      </c>
      <c r="D685">
        <f>IF($D$1=0,0,IFERROR(VALUE(SUBSTITUTE(SUBSTITUTE(SUBSTITUTE(INDEX(貼り付け!$A$1:$BZ$3001,684,$D$1)&amp;"",",",""),"¥",""),"￥","")),0))</f>
        <v/>
      </c>
      <c r="E685">
        <f>IF($E$1=0,0,IFERROR(VALUE(SUBSTITUTE(SUBSTITUTE(SUBSTITUTE(INDEX(貼り付け!$A$1:$BZ$3001,684,$E$1)&amp;"",",",""),"¥",""),"￥","")),0))</f>
        <v/>
      </c>
      <c r="F685">
        <f>IF($F$1=0,0,IFERROR(VALUE(SUBSTITUTE(SUBSTITUTE(SUBSTITUTE(INDEX(貼り付け!$A$1:$BZ$3001,684,$F$1)&amp;"",",",""),"¥",""),"￥","")),0))</f>
        <v/>
      </c>
      <c r="G685">
        <f>IF(ISNUMBER(B685),YEAR(B685),"")</f>
        <v/>
      </c>
      <c r="H685">
        <f>IF(ISNUMBER(B685),MONTH(B685),"")</f>
        <v/>
      </c>
      <c r="I685">
        <f>IFERROR(IF($B$1=0,"",IF(ISNUMBER(INDEX(貼り付け!$A$1:$BZ$3001,684,$B$1)),"",SUBSTITUTE(SUBSTITUTE(SUBSTITUTE(SUBSTITUTE(TRIM(LEFT(INDEX(貼り付け!$A$1:$BZ$3001,684,$B$1)&amp;"",FIND(" ",TRIM(INDEX(貼り付け!$A$1:$BZ$3001,684,$B$1)&amp;"")&amp;" ")-1)),"/","-"),"年","-"),"月","-"),"日",""))),"")</f>
        <v/>
      </c>
      <c r="J685">
        <f>IFERROR(MID(I685,FIND("-",I685)+1,99),"")</f>
        <v/>
      </c>
    </row>
    <row r="686">
      <c r="B686">
        <f>IFERROR(IF($B$1=0,"",IF(INDEX(貼り付け!$A$1:$BZ$3001,685,$B$1)="","",IF(ISNUMBER(INDEX(貼り付け!$A$1:$BZ$3001,685,$B$1)),INT(INDEX(貼り付け!$A$1:$BZ$3001,685,$B$1)),DATE(VALUE(LEFT(I686,FIND("-",I686)-1)),VALUE(LEFT(J686,FIND("-",J686)-1)),VALUE(MID(J686,FIND("-",J686)+1,99)))))),"")</f>
        <v/>
      </c>
      <c r="C686">
        <f>IF($C$1=0,0,IFERROR(VALUE(SUBSTITUTE(SUBSTITUTE(SUBSTITUTE(INDEX(貼り付け!$A$1:$BZ$3001,685,$C$1)&amp;"",",",""),"¥",""),"￥","")),0))</f>
        <v/>
      </c>
      <c r="D686">
        <f>IF($D$1=0,0,IFERROR(VALUE(SUBSTITUTE(SUBSTITUTE(SUBSTITUTE(INDEX(貼り付け!$A$1:$BZ$3001,685,$D$1)&amp;"",",",""),"¥",""),"￥","")),0))</f>
        <v/>
      </c>
      <c r="E686">
        <f>IF($E$1=0,0,IFERROR(VALUE(SUBSTITUTE(SUBSTITUTE(SUBSTITUTE(INDEX(貼り付け!$A$1:$BZ$3001,685,$E$1)&amp;"",",",""),"¥",""),"￥","")),0))</f>
        <v/>
      </c>
      <c r="F686">
        <f>IF($F$1=0,0,IFERROR(VALUE(SUBSTITUTE(SUBSTITUTE(SUBSTITUTE(INDEX(貼り付け!$A$1:$BZ$3001,685,$F$1)&amp;"",",",""),"¥",""),"￥","")),0))</f>
        <v/>
      </c>
      <c r="G686">
        <f>IF(ISNUMBER(B686),YEAR(B686),"")</f>
        <v/>
      </c>
      <c r="H686">
        <f>IF(ISNUMBER(B686),MONTH(B686),"")</f>
        <v/>
      </c>
      <c r="I686">
        <f>IFERROR(IF($B$1=0,"",IF(ISNUMBER(INDEX(貼り付け!$A$1:$BZ$3001,685,$B$1)),"",SUBSTITUTE(SUBSTITUTE(SUBSTITUTE(SUBSTITUTE(TRIM(LEFT(INDEX(貼り付け!$A$1:$BZ$3001,685,$B$1)&amp;"",FIND(" ",TRIM(INDEX(貼り付け!$A$1:$BZ$3001,685,$B$1)&amp;"")&amp;" ")-1)),"/","-"),"年","-"),"月","-"),"日",""))),"")</f>
        <v/>
      </c>
      <c r="J686">
        <f>IFERROR(MID(I686,FIND("-",I686)+1,99),"")</f>
        <v/>
      </c>
    </row>
    <row r="687">
      <c r="B687">
        <f>IFERROR(IF($B$1=0,"",IF(INDEX(貼り付け!$A$1:$BZ$3001,686,$B$1)="","",IF(ISNUMBER(INDEX(貼り付け!$A$1:$BZ$3001,686,$B$1)),INT(INDEX(貼り付け!$A$1:$BZ$3001,686,$B$1)),DATE(VALUE(LEFT(I687,FIND("-",I687)-1)),VALUE(LEFT(J687,FIND("-",J687)-1)),VALUE(MID(J687,FIND("-",J687)+1,99)))))),"")</f>
        <v/>
      </c>
      <c r="C687">
        <f>IF($C$1=0,0,IFERROR(VALUE(SUBSTITUTE(SUBSTITUTE(SUBSTITUTE(INDEX(貼り付け!$A$1:$BZ$3001,686,$C$1)&amp;"",",",""),"¥",""),"￥","")),0))</f>
        <v/>
      </c>
      <c r="D687">
        <f>IF($D$1=0,0,IFERROR(VALUE(SUBSTITUTE(SUBSTITUTE(SUBSTITUTE(INDEX(貼り付け!$A$1:$BZ$3001,686,$D$1)&amp;"",",",""),"¥",""),"￥","")),0))</f>
        <v/>
      </c>
      <c r="E687">
        <f>IF($E$1=0,0,IFERROR(VALUE(SUBSTITUTE(SUBSTITUTE(SUBSTITUTE(INDEX(貼り付け!$A$1:$BZ$3001,686,$E$1)&amp;"",",",""),"¥",""),"￥","")),0))</f>
        <v/>
      </c>
      <c r="F687">
        <f>IF($F$1=0,0,IFERROR(VALUE(SUBSTITUTE(SUBSTITUTE(SUBSTITUTE(INDEX(貼り付け!$A$1:$BZ$3001,686,$F$1)&amp;"",",",""),"¥",""),"￥","")),0))</f>
        <v/>
      </c>
      <c r="G687">
        <f>IF(ISNUMBER(B687),YEAR(B687),"")</f>
        <v/>
      </c>
      <c r="H687">
        <f>IF(ISNUMBER(B687),MONTH(B687),"")</f>
        <v/>
      </c>
      <c r="I687">
        <f>IFERROR(IF($B$1=0,"",IF(ISNUMBER(INDEX(貼り付け!$A$1:$BZ$3001,686,$B$1)),"",SUBSTITUTE(SUBSTITUTE(SUBSTITUTE(SUBSTITUTE(TRIM(LEFT(INDEX(貼り付け!$A$1:$BZ$3001,686,$B$1)&amp;"",FIND(" ",TRIM(INDEX(貼り付け!$A$1:$BZ$3001,686,$B$1)&amp;"")&amp;" ")-1)),"/","-"),"年","-"),"月","-"),"日",""))),"")</f>
        <v/>
      </c>
      <c r="J687">
        <f>IFERROR(MID(I687,FIND("-",I687)+1,99),"")</f>
        <v/>
      </c>
    </row>
    <row r="688">
      <c r="B688">
        <f>IFERROR(IF($B$1=0,"",IF(INDEX(貼り付け!$A$1:$BZ$3001,687,$B$1)="","",IF(ISNUMBER(INDEX(貼り付け!$A$1:$BZ$3001,687,$B$1)),INT(INDEX(貼り付け!$A$1:$BZ$3001,687,$B$1)),DATE(VALUE(LEFT(I688,FIND("-",I688)-1)),VALUE(LEFT(J688,FIND("-",J688)-1)),VALUE(MID(J688,FIND("-",J688)+1,99)))))),"")</f>
        <v/>
      </c>
      <c r="C688">
        <f>IF($C$1=0,0,IFERROR(VALUE(SUBSTITUTE(SUBSTITUTE(SUBSTITUTE(INDEX(貼り付け!$A$1:$BZ$3001,687,$C$1)&amp;"",",",""),"¥",""),"￥","")),0))</f>
        <v/>
      </c>
      <c r="D688">
        <f>IF($D$1=0,0,IFERROR(VALUE(SUBSTITUTE(SUBSTITUTE(SUBSTITUTE(INDEX(貼り付け!$A$1:$BZ$3001,687,$D$1)&amp;"",",",""),"¥",""),"￥","")),0))</f>
        <v/>
      </c>
      <c r="E688">
        <f>IF($E$1=0,0,IFERROR(VALUE(SUBSTITUTE(SUBSTITUTE(SUBSTITUTE(INDEX(貼り付け!$A$1:$BZ$3001,687,$E$1)&amp;"",",",""),"¥",""),"￥","")),0))</f>
        <v/>
      </c>
      <c r="F688">
        <f>IF($F$1=0,0,IFERROR(VALUE(SUBSTITUTE(SUBSTITUTE(SUBSTITUTE(INDEX(貼り付け!$A$1:$BZ$3001,687,$F$1)&amp;"",",",""),"¥",""),"￥","")),0))</f>
        <v/>
      </c>
      <c r="G688">
        <f>IF(ISNUMBER(B688),YEAR(B688),"")</f>
        <v/>
      </c>
      <c r="H688">
        <f>IF(ISNUMBER(B688),MONTH(B688),"")</f>
        <v/>
      </c>
      <c r="I688">
        <f>IFERROR(IF($B$1=0,"",IF(ISNUMBER(INDEX(貼り付け!$A$1:$BZ$3001,687,$B$1)),"",SUBSTITUTE(SUBSTITUTE(SUBSTITUTE(SUBSTITUTE(TRIM(LEFT(INDEX(貼り付け!$A$1:$BZ$3001,687,$B$1)&amp;"",FIND(" ",TRIM(INDEX(貼り付け!$A$1:$BZ$3001,687,$B$1)&amp;"")&amp;" ")-1)),"/","-"),"年","-"),"月","-"),"日",""))),"")</f>
        <v/>
      </c>
      <c r="J688">
        <f>IFERROR(MID(I688,FIND("-",I688)+1,99),"")</f>
        <v/>
      </c>
    </row>
    <row r="689">
      <c r="B689">
        <f>IFERROR(IF($B$1=0,"",IF(INDEX(貼り付け!$A$1:$BZ$3001,688,$B$1)="","",IF(ISNUMBER(INDEX(貼り付け!$A$1:$BZ$3001,688,$B$1)),INT(INDEX(貼り付け!$A$1:$BZ$3001,688,$B$1)),DATE(VALUE(LEFT(I689,FIND("-",I689)-1)),VALUE(LEFT(J689,FIND("-",J689)-1)),VALUE(MID(J689,FIND("-",J689)+1,99)))))),"")</f>
        <v/>
      </c>
      <c r="C689">
        <f>IF($C$1=0,0,IFERROR(VALUE(SUBSTITUTE(SUBSTITUTE(SUBSTITUTE(INDEX(貼り付け!$A$1:$BZ$3001,688,$C$1)&amp;"",",",""),"¥",""),"￥","")),0))</f>
        <v/>
      </c>
      <c r="D689">
        <f>IF($D$1=0,0,IFERROR(VALUE(SUBSTITUTE(SUBSTITUTE(SUBSTITUTE(INDEX(貼り付け!$A$1:$BZ$3001,688,$D$1)&amp;"",",",""),"¥",""),"￥","")),0))</f>
        <v/>
      </c>
      <c r="E689">
        <f>IF($E$1=0,0,IFERROR(VALUE(SUBSTITUTE(SUBSTITUTE(SUBSTITUTE(INDEX(貼り付け!$A$1:$BZ$3001,688,$E$1)&amp;"",",",""),"¥",""),"￥","")),0))</f>
        <v/>
      </c>
      <c r="F689">
        <f>IF($F$1=0,0,IFERROR(VALUE(SUBSTITUTE(SUBSTITUTE(SUBSTITUTE(INDEX(貼り付け!$A$1:$BZ$3001,688,$F$1)&amp;"",",",""),"¥",""),"￥","")),0))</f>
        <v/>
      </c>
      <c r="G689">
        <f>IF(ISNUMBER(B689),YEAR(B689),"")</f>
        <v/>
      </c>
      <c r="H689">
        <f>IF(ISNUMBER(B689),MONTH(B689),"")</f>
        <v/>
      </c>
      <c r="I689">
        <f>IFERROR(IF($B$1=0,"",IF(ISNUMBER(INDEX(貼り付け!$A$1:$BZ$3001,688,$B$1)),"",SUBSTITUTE(SUBSTITUTE(SUBSTITUTE(SUBSTITUTE(TRIM(LEFT(INDEX(貼り付け!$A$1:$BZ$3001,688,$B$1)&amp;"",FIND(" ",TRIM(INDEX(貼り付け!$A$1:$BZ$3001,688,$B$1)&amp;"")&amp;" ")-1)),"/","-"),"年","-"),"月","-"),"日",""))),"")</f>
        <v/>
      </c>
      <c r="J689">
        <f>IFERROR(MID(I689,FIND("-",I689)+1,99),"")</f>
        <v/>
      </c>
    </row>
    <row r="690">
      <c r="B690">
        <f>IFERROR(IF($B$1=0,"",IF(INDEX(貼り付け!$A$1:$BZ$3001,689,$B$1)="","",IF(ISNUMBER(INDEX(貼り付け!$A$1:$BZ$3001,689,$B$1)),INT(INDEX(貼り付け!$A$1:$BZ$3001,689,$B$1)),DATE(VALUE(LEFT(I690,FIND("-",I690)-1)),VALUE(LEFT(J690,FIND("-",J690)-1)),VALUE(MID(J690,FIND("-",J690)+1,99)))))),"")</f>
        <v/>
      </c>
      <c r="C690">
        <f>IF($C$1=0,0,IFERROR(VALUE(SUBSTITUTE(SUBSTITUTE(SUBSTITUTE(INDEX(貼り付け!$A$1:$BZ$3001,689,$C$1)&amp;"",",",""),"¥",""),"￥","")),0))</f>
        <v/>
      </c>
      <c r="D690">
        <f>IF($D$1=0,0,IFERROR(VALUE(SUBSTITUTE(SUBSTITUTE(SUBSTITUTE(INDEX(貼り付け!$A$1:$BZ$3001,689,$D$1)&amp;"",",",""),"¥",""),"￥","")),0))</f>
        <v/>
      </c>
      <c r="E690">
        <f>IF($E$1=0,0,IFERROR(VALUE(SUBSTITUTE(SUBSTITUTE(SUBSTITUTE(INDEX(貼り付け!$A$1:$BZ$3001,689,$E$1)&amp;"",",",""),"¥",""),"￥","")),0))</f>
        <v/>
      </c>
      <c r="F690">
        <f>IF($F$1=0,0,IFERROR(VALUE(SUBSTITUTE(SUBSTITUTE(SUBSTITUTE(INDEX(貼り付け!$A$1:$BZ$3001,689,$F$1)&amp;"",",",""),"¥",""),"￥","")),0))</f>
        <v/>
      </c>
      <c r="G690">
        <f>IF(ISNUMBER(B690),YEAR(B690),"")</f>
        <v/>
      </c>
      <c r="H690">
        <f>IF(ISNUMBER(B690),MONTH(B690),"")</f>
        <v/>
      </c>
      <c r="I690">
        <f>IFERROR(IF($B$1=0,"",IF(ISNUMBER(INDEX(貼り付け!$A$1:$BZ$3001,689,$B$1)),"",SUBSTITUTE(SUBSTITUTE(SUBSTITUTE(SUBSTITUTE(TRIM(LEFT(INDEX(貼り付け!$A$1:$BZ$3001,689,$B$1)&amp;"",FIND(" ",TRIM(INDEX(貼り付け!$A$1:$BZ$3001,689,$B$1)&amp;"")&amp;" ")-1)),"/","-"),"年","-"),"月","-"),"日",""))),"")</f>
        <v/>
      </c>
      <c r="J690">
        <f>IFERROR(MID(I690,FIND("-",I690)+1,99),"")</f>
        <v/>
      </c>
    </row>
    <row r="691">
      <c r="B691">
        <f>IFERROR(IF($B$1=0,"",IF(INDEX(貼り付け!$A$1:$BZ$3001,690,$B$1)="","",IF(ISNUMBER(INDEX(貼り付け!$A$1:$BZ$3001,690,$B$1)),INT(INDEX(貼り付け!$A$1:$BZ$3001,690,$B$1)),DATE(VALUE(LEFT(I691,FIND("-",I691)-1)),VALUE(LEFT(J691,FIND("-",J691)-1)),VALUE(MID(J691,FIND("-",J691)+1,99)))))),"")</f>
        <v/>
      </c>
      <c r="C691">
        <f>IF($C$1=0,0,IFERROR(VALUE(SUBSTITUTE(SUBSTITUTE(SUBSTITUTE(INDEX(貼り付け!$A$1:$BZ$3001,690,$C$1)&amp;"",",",""),"¥",""),"￥","")),0))</f>
        <v/>
      </c>
      <c r="D691">
        <f>IF($D$1=0,0,IFERROR(VALUE(SUBSTITUTE(SUBSTITUTE(SUBSTITUTE(INDEX(貼り付け!$A$1:$BZ$3001,690,$D$1)&amp;"",",",""),"¥",""),"￥","")),0))</f>
        <v/>
      </c>
      <c r="E691">
        <f>IF($E$1=0,0,IFERROR(VALUE(SUBSTITUTE(SUBSTITUTE(SUBSTITUTE(INDEX(貼り付け!$A$1:$BZ$3001,690,$E$1)&amp;"",",",""),"¥",""),"￥","")),0))</f>
        <v/>
      </c>
      <c r="F691">
        <f>IF($F$1=0,0,IFERROR(VALUE(SUBSTITUTE(SUBSTITUTE(SUBSTITUTE(INDEX(貼り付け!$A$1:$BZ$3001,690,$F$1)&amp;"",",",""),"¥",""),"￥","")),0))</f>
        <v/>
      </c>
      <c r="G691">
        <f>IF(ISNUMBER(B691),YEAR(B691),"")</f>
        <v/>
      </c>
      <c r="H691">
        <f>IF(ISNUMBER(B691),MONTH(B691),"")</f>
        <v/>
      </c>
      <c r="I691">
        <f>IFERROR(IF($B$1=0,"",IF(ISNUMBER(INDEX(貼り付け!$A$1:$BZ$3001,690,$B$1)),"",SUBSTITUTE(SUBSTITUTE(SUBSTITUTE(SUBSTITUTE(TRIM(LEFT(INDEX(貼り付け!$A$1:$BZ$3001,690,$B$1)&amp;"",FIND(" ",TRIM(INDEX(貼り付け!$A$1:$BZ$3001,690,$B$1)&amp;"")&amp;" ")-1)),"/","-"),"年","-"),"月","-"),"日",""))),"")</f>
        <v/>
      </c>
      <c r="J691">
        <f>IFERROR(MID(I691,FIND("-",I691)+1,99),"")</f>
        <v/>
      </c>
    </row>
    <row r="692">
      <c r="B692">
        <f>IFERROR(IF($B$1=0,"",IF(INDEX(貼り付け!$A$1:$BZ$3001,691,$B$1)="","",IF(ISNUMBER(INDEX(貼り付け!$A$1:$BZ$3001,691,$B$1)),INT(INDEX(貼り付け!$A$1:$BZ$3001,691,$B$1)),DATE(VALUE(LEFT(I692,FIND("-",I692)-1)),VALUE(LEFT(J692,FIND("-",J692)-1)),VALUE(MID(J692,FIND("-",J692)+1,99)))))),"")</f>
        <v/>
      </c>
      <c r="C692">
        <f>IF($C$1=0,0,IFERROR(VALUE(SUBSTITUTE(SUBSTITUTE(SUBSTITUTE(INDEX(貼り付け!$A$1:$BZ$3001,691,$C$1)&amp;"",",",""),"¥",""),"￥","")),0))</f>
        <v/>
      </c>
      <c r="D692">
        <f>IF($D$1=0,0,IFERROR(VALUE(SUBSTITUTE(SUBSTITUTE(SUBSTITUTE(INDEX(貼り付け!$A$1:$BZ$3001,691,$D$1)&amp;"",",",""),"¥",""),"￥","")),0))</f>
        <v/>
      </c>
      <c r="E692">
        <f>IF($E$1=0,0,IFERROR(VALUE(SUBSTITUTE(SUBSTITUTE(SUBSTITUTE(INDEX(貼り付け!$A$1:$BZ$3001,691,$E$1)&amp;"",",",""),"¥",""),"￥","")),0))</f>
        <v/>
      </c>
      <c r="F692">
        <f>IF($F$1=0,0,IFERROR(VALUE(SUBSTITUTE(SUBSTITUTE(SUBSTITUTE(INDEX(貼り付け!$A$1:$BZ$3001,691,$F$1)&amp;"",",",""),"¥",""),"￥","")),0))</f>
        <v/>
      </c>
      <c r="G692">
        <f>IF(ISNUMBER(B692),YEAR(B692),"")</f>
        <v/>
      </c>
      <c r="H692">
        <f>IF(ISNUMBER(B692),MONTH(B692),"")</f>
        <v/>
      </c>
      <c r="I692">
        <f>IFERROR(IF($B$1=0,"",IF(ISNUMBER(INDEX(貼り付け!$A$1:$BZ$3001,691,$B$1)),"",SUBSTITUTE(SUBSTITUTE(SUBSTITUTE(SUBSTITUTE(TRIM(LEFT(INDEX(貼り付け!$A$1:$BZ$3001,691,$B$1)&amp;"",FIND(" ",TRIM(INDEX(貼り付け!$A$1:$BZ$3001,691,$B$1)&amp;"")&amp;" ")-1)),"/","-"),"年","-"),"月","-"),"日",""))),"")</f>
        <v/>
      </c>
      <c r="J692">
        <f>IFERROR(MID(I692,FIND("-",I692)+1,99),"")</f>
        <v/>
      </c>
    </row>
    <row r="693">
      <c r="B693">
        <f>IFERROR(IF($B$1=0,"",IF(INDEX(貼り付け!$A$1:$BZ$3001,692,$B$1)="","",IF(ISNUMBER(INDEX(貼り付け!$A$1:$BZ$3001,692,$B$1)),INT(INDEX(貼り付け!$A$1:$BZ$3001,692,$B$1)),DATE(VALUE(LEFT(I693,FIND("-",I693)-1)),VALUE(LEFT(J693,FIND("-",J693)-1)),VALUE(MID(J693,FIND("-",J693)+1,99)))))),"")</f>
        <v/>
      </c>
      <c r="C693">
        <f>IF($C$1=0,0,IFERROR(VALUE(SUBSTITUTE(SUBSTITUTE(SUBSTITUTE(INDEX(貼り付け!$A$1:$BZ$3001,692,$C$1)&amp;"",",",""),"¥",""),"￥","")),0))</f>
        <v/>
      </c>
      <c r="D693">
        <f>IF($D$1=0,0,IFERROR(VALUE(SUBSTITUTE(SUBSTITUTE(SUBSTITUTE(INDEX(貼り付け!$A$1:$BZ$3001,692,$D$1)&amp;"",",",""),"¥",""),"￥","")),0))</f>
        <v/>
      </c>
      <c r="E693">
        <f>IF($E$1=0,0,IFERROR(VALUE(SUBSTITUTE(SUBSTITUTE(SUBSTITUTE(INDEX(貼り付け!$A$1:$BZ$3001,692,$E$1)&amp;"",",",""),"¥",""),"￥","")),0))</f>
        <v/>
      </c>
      <c r="F693">
        <f>IF($F$1=0,0,IFERROR(VALUE(SUBSTITUTE(SUBSTITUTE(SUBSTITUTE(INDEX(貼り付け!$A$1:$BZ$3001,692,$F$1)&amp;"",",",""),"¥",""),"￥","")),0))</f>
        <v/>
      </c>
      <c r="G693">
        <f>IF(ISNUMBER(B693),YEAR(B693),"")</f>
        <v/>
      </c>
      <c r="H693">
        <f>IF(ISNUMBER(B693),MONTH(B693),"")</f>
        <v/>
      </c>
      <c r="I693">
        <f>IFERROR(IF($B$1=0,"",IF(ISNUMBER(INDEX(貼り付け!$A$1:$BZ$3001,692,$B$1)),"",SUBSTITUTE(SUBSTITUTE(SUBSTITUTE(SUBSTITUTE(TRIM(LEFT(INDEX(貼り付け!$A$1:$BZ$3001,692,$B$1)&amp;"",FIND(" ",TRIM(INDEX(貼り付け!$A$1:$BZ$3001,692,$B$1)&amp;"")&amp;" ")-1)),"/","-"),"年","-"),"月","-"),"日",""))),"")</f>
        <v/>
      </c>
      <c r="J693">
        <f>IFERROR(MID(I693,FIND("-",I693)+1,99),"")</f>
        <v/>
      </c>
    </row>
    <row r="694">
      <c r="B694">
        <f>IFERROR(IF($B$1=0,"",IF(INDEX(貼り付け!$A$1:$BZ$3001,693,$B$1)="","",IF(ISNUMBER(INDEX(貼り付け!$A$1:$BZ$3001,693,$B$1)),INT(INDEX(貼り付け!$A$1:$BZ$3001,693,$B$1)),DATE(VALUE(LEFT(I694,FIND("-",I694)-1)),VALUE(LEFT(J694,FIND("-",J694)-1)),VALUE(MID(J694,FIND("-",J694)+1,99)))))),"")</f>
        <v/>
      </c>
      <c r="C694">
        <f>IF($C$1=0,0,IFERROR(VALUE(SUBSTITUTE(SUBSTITUTE(SUBSTITUTE(INDEX(貼り付け!$A$1:$BZ$3001,693,$C$1)&amp;"",",",""),"¥",""),"￥","")),0))</f>
        <v/>
      </c>
      <c r="D694">
        <f>IF($D$1=0,0,IFERROR(VALUE(SUBSTITUTE(SUBSTITUTE(SUBSTITUTE(INDEX(貼り付け!$A$1:$BZ$3001,693,$D$1)&amp;"",",",""),"¥",""),"￥","")),0))</f>
        <v/>
      </c>
      <c r="E694">
        <f>IF($E$1=0,0,IFERROR(VALUE(SUBSTITUTE(SUBSTITUTE(SUBSTITUTE(INDEX(貼り付け!$A$1:$BZ$3001,693,$E$1)&amp;"",",",""),"¥",""),"￥","")),0))</f>
        <v/>
      </c>
      <c r="F694">
        <f>IF($F$1=0,0,IFERROR(VALUE(SUBSTITUTE(SUBSTITUTE(SUBSTITUTE(INDEX(貼り付け!$A$1:$BZ$3001,693,$F$1)&amp;"",",",""),"¥",""),"￥","")),0))</f>
        <v/>
      </c>
      <c r="G694">
        <f>IF(ISNUMBER(B694),YEAR(B694),"")</f>
        <v/>
      </c>
      <c r="H694">
        <f>IF(ISNUMBER(B694),MONTH(B694),"")</f>
        <v/>
      </c>
      <c r="I694">
        <f>IFERROR(IF($B$1=0,"",IF(ISNUMBER(INDEX(貼り付け!$A$1:$BZ$3001,693,$B$1)),"",SUBSTITUTE(SUBSTITUTE(SUBSTITUTE(SUBSTITUTE(TRIM(LEFT(INDEX(貼り付け!$A$1:$BZ$3001,693,$B$1)&amp;"",FIND(" ",TRIM(INDEX(貼り付け!$A$1:$BZ$3001,693,$B$1)&amp;"")&amp;" ")-1)),"/","-"),"年","-"),"月","-"),"日",""))),"")</f>
        <v/>
      </c>
      <c r="J694">
        <f>IFERROR(MID(I694,FIND("-",I694)+1,99),"")</f>
        <v/>
      </c>
    </row>
    <row r="695">
      <c r="B695">
        <f>IFERROR(IF($B$1=0,"",IF(INDEX(貼り付け!$A$1:$BZ$3001,694,$B$1)="","",IF(ISNUMBER(INDEX(貼り付け!$A$1:$BZ$3001,694,$B$1)),INT(INDEX(貼り付け!$A$1:$BZ$3001,694,$B$1)),DATE(VALUE(LEFT(I695,FIND("-",I695)-1)),VALUE(LEFT(J695,FIND("-",J695)-1)),VALUE(MID(J695,FIND("-",J695)+1,99)))))),"")</f>
        <v/>
      </c>
      <c r="C695">
        <f>IF($C$1=0,0,IFERROR(VALUE(SUBSTITUTE(SUBSTITUTE(SUBSTITUTE(INDEX(貼り付け!$A$1:$BZ$3001,694,$C$1)&amp;"",",",""),"¥",""),"￥","")),0))</f>
        <v/>
      </c>
      <c r="D695">
        <f>IF($D$1=0,0,IFERROR(VALUE(SUBSTITUTE(SUBSTITUTE(SUBSTITUTE(INDEX(貼り付け!$A$1:$BZ$3001,694,$D$1)&amp;"",",",""),"¥",""),"￥","")),0))</f>
        <v/>
      </c>
      <c r="E695">
        <f>IF($E$1=0,0,IFERROR(VALUE(SUBSTITUTE(SUBSTITUTE(SUBSTITUTE(INDEX(貼り付け!$A$1:$BZ$3001,694,$E$1)&amp;"",",",""),"¥",""),"￥","")),0))</f>
        <v/>
      </c>
      <c r="F695">
        <f>IF($F$1=0,0,IFERROR(VALUE(SUBSTITUTE(SUBSTITUTE(SUBSTITUTE(INDEX(貼り付け!$A$1:$BZ$3001,694,$F$1)&amp;"",",",""),"¥",""),"￥","")),0))</f>
        <v/>
      </c>
      <c r="G695">
        <f>IF(ISNUMBER(B695),YEAR(B695),"")</f>
        <v/>
      </c>
      <c r="H695">
        <f>IF(ISNUMBER(B695),MONTH(B695),"")</f>
        <v/>
      </c>
      <c r="I695">
        <f>IFERROR(IF($B$1=0,"",IF(ISNUMBER(INDEX(貼り付け!$A$1:$BZ$3001,694,$B$1)),"",SUBSTITUTE(SUBSTITUTE(SUBSTITUTE(SUBSTITUTE(TRIM(LEFT(INDEX(貼り付け!$A$1:$BZ$3001,694,$B$1)&amp;"",FIND(" ",TRIM(INDEX(貼り付け!$A$1:$BZ$3001,694,$B$1)&amp;"")&amp;" ")-1)),"/","-"),"年","-"),"月","-"),"日",""))),"")</f>
        <v/>
      </c>
      <c r="J695">
        <f>IFERROR(MID(I695,FIND("-",I695)+1,99),"")</f>
        <v/>
      </c>
    </row>
    <row r="696">
      <c r="B696">
        <f>IFERROR(IF($B$1=0,"",IF(INDEX(貼り付け!$A$1:$BZ$3001,695,$B$1)="","",IF(ISNUMBER(INDEX(貼り付け!$A$1:$BZ$3001,695,$B$1)),INT(INDEX(貼り付け!$A$1:$BZ$3001,695,$B$1)),DATE(VALUE(LEFT(I696,FIND("-",I696)-1)),VALUE(LEFT(J696,FIND("-",J696)-1)),VALUE(MID(J696,FIND("-",J696)+1,99)))))),"")</f>
        <v/>
      </c>
      <c r="C696">
        <f>IF($C$1=0,0,IFERROR(VALUE(SUBSTITUTE(SUBSTITUTE(SUBSTITUTE(INDEX(貼り付け!$A$1:$BZ$3001,695,$C$1)&amp;"",",",""),"¥",""),"￥","")),0))</f>
        <v/>
      </c>
      <c r="D696">
        <f>IF($D$1=0,0,IFERROR(VALUE(SUBSTITUTE(SUBSTITUTE(SUBSTITUTE(INDEX(貼り付け!$A$1:$BZ$3001,695,$D$1)&amp;"",",",""),"¥",""),"￥","")),0))</f>
        <v/>
      </c>
      <c r="E696">
        <f>IF($E$1=0,0,IFERROR(VALUE(SUBSTITUTE(SUBSTITUTE(SUBSTITUTE(INDEX(貼り付け!$A$1:$BZ$3001,695,$E$1)&amp;"",",",""),"¥",""),"￥","")),0))</f>
        <v/>
      </c>
      <c r="F696">
        <f>IF($F$1=0,0,IFERROR(VALUE(SUBSTITUTE(SUBSTITUTE(SUBSTITUTE(INDEX(貼り付け!$A$1:$BZ$3001,695,$F$1)&amp;"",",",""),"¥",""),"￥","")),0))</f>
        <v/>
      </c>
      <c r="G696">
        <f>IF(ISNUMBER(B696),YEAR(B696),"")</f>
        <v/>
      </c>
      <c r="H696">
        <f>IF(ISNUMBER(B696),MONTH(B696),"")</f>
        <v/>
      </c>
      <c r="I696">
        <f>IFERROR(IF($B$1=0,"",IF(ISNUMBER(INDEX(貼り付け!$A$1:$BZ$3001,695,$B$1)),"",SUBSTITUTE(SUBSTITUTE(SUBSTITUTE(SUBSTITUTE(TRIM(LEFT(INDEX(貼り付け!$A$1:$BZ$3001,695,$B$1)&amp;"",FIND(" ",TRIM(INDEX(貼り付け!$A$1:$BZ$3001,695,$B$1)&amp;"")&amp;" ")-1)),"/","-"),"年","-"),"月","-"),"日",""))),"")</f>
        <v/>
      </c>
      <c r="J696">
        <f>IFERROR(MID(I696,FIND("-",I696)+1,99),"")</f>
        <v/>
      </c>
    </row>
    <row r="697">
      <c r="B697">
        <f>IFERROR(IF($B$1=0,"",IF(INDEX(貼り付け!$A$1:$BZ$3001,696,$B$1)="","",IF(ISNUMBER(INDEX(貼り付け!$A$1:$BZ$3001,696,$B$1)),INT(INDEX(貼り付け!$A$1:$BZ$3001,696,$B$1)),DATE(VALUE(LEFT(I697,FIND("-",I697)-1)),VALUE(LEFT(J697,FIND("-",J697)-1)),VALUE(MID(J697,FIND("-",J697)+1,99)))))),"")</f>
        <v/>
      </c>
      <c r="C697">
        <f>IF($C$1=0,0,IFERROR(VALUE(SUBSTITUTE(SUBSTITUTE(SUBSTITUTE(INDEX(貼り付け!$A$1:$BZ$3001,696,$C$1)&amp;"",",",""),"¥",""),"￥","")),0))</f>
        <v/>
      </c>
      <c r="D697">
        <f>IF($D$1=0,0,IFERROR(VALUE(SUBSTITUTE(SUBSTITUTE(SUBSTITUTE(INDEX(貼り付け!$A$1:$BZ$3001,696,$D$1)&amp;"",",",""),"¥",""),"￥","")),0))</f>
        <v/>
      </c>
      <c r="E697">
        <f>IF($E$1=0,0,IFERROR(VALUE(SUBSTITUTE(SUBSTITUTE(SUBSTITUTE(INDEX(貼り付け!$A$1:$BZ$3001,696,$E$1)&amp;"",",",""),"¥",""),"￥","")),0))</f>
        <v/>
      </c>
      <c r="F697">
        <f>IF($F$1=0,0,IFERROR(VALUE(SUBSTITUTE(SUBSTITUTE(SUBSTITUTE(INDEX(貼り付け!$A$1:$BZ$3001,696,$F$1)&amp;"",",",""),"¥",""),"￥","")),0))</f>
        <v/>
      </c>
      <c r="G697">
        <f>IF(ISNUMBER(B697),YEAR(B697),"")</f>
        <v/>
      </c>
      <c r="H697">
        <f>IF(ISNUMBER(B697),MONTH(B697),"")</f>
        <v/>
      </c>
      <c r="I697">
        <f>IFERROR(IF($B$1=0,"",IF(ISNUMBER(INDEX(貼り付け!$A$1:$BZ$3001,696,$B$1)),"",SUBSTITUTE(SUBSTITUTE(SUBSTITUTE(SUBSTITUTE(TRIM(LEFT(INDEX(貼り付け!$A$1:$BZ$3001,696,$B$1)&amp;"",FIND(" ",TRIM(INDEX(貼り付け!$A$1:$BZ$3001,696,$B$1)&amp;"")&amp;" ")-1)),"/","-"),"年","-"),"月","-"),"日",""))),"")</f>
        <v/>
      </c>
      <c r="J697">
        <f>IFERROR(MID(I697,FIND("-",I697)+1,99),"")</f>
        <v/>
      </c>
    </row>
    <row r="698">
      <c r="B698">
        <f>IFERROR(IF($B$1=0,"",IF(INDEX(貼り付け!$A$1:$BZ$3001,697,$B$1)="","",IF(ISNUMBER(INDEX(貼り付け!$A$1:$BZ$3001,697,$B$1)),INT(INDEX(貼り付け!$A$1:$BZ$3001,697,$B$1)),DATE(VALUE(LEFT(I698,FIND("-",I698)-1)),VALUE(LEFT(J698,FIND("-",J698)-1)),VALUE(MID(J698,FIND("-",J698)+1,99)))))),"")</f>
        <v/>
      </c>
      <c r="C698">
        <f>IF($C$1=0,0,IFERROR(VALUE(SUBSTITUTE(SUBSTITUTE(SUBSTITUTE(INDEX(貼り付け!$A$1:$BZ$3001,697,$C$1)&amp;"",",",""),"¥",""),"￥","")),0))</f>
        <v/>
      </c>
      <c r="D698">
        <f>IF($D$1=0,0,IFERROR(VALUE(SUBSTITUTE(SUBSTITUTE(SUBSTITUTE(INDEX(貼り付け!$A$1:$BZ$3001,697,$D$1)&amp;"",",",""),"¥",""),"￥","")),0))</f>
        <v/>
      </c>
      <c r="E698">
        <f>IF($E$1=0,0,IFERROR(VALUE(SUBSTITUTE(SUBSTITUTE(SUBSTITUTE(INDEX(貼り付け!$A$1:$BZ$3001,697,$E$1)&amp;"",",",""),"¥",""),"￥","")),0))</f>
        <v/>
      </c>
      <c r="F698">
        <f>IF($F$1=0,0,IFERROR(VALUE(SUBSTITUTE(SUBSTITUTE(SUBSTITUTE(INDEX(貼り付け!$A$1:$BZ$3001,697,$F$1)&amp;"",",",""),"¥",""),"￥","")),0))</f>
        <v/>
      </c>
      <c r="G698">
        <f>IF(ISNUMBER(B698),YEAR(B698),"")</f>
        <v/>
      </c>
      <c r="H698">
        <f>IF(ISNUMBER(B698),MONTH(B698),"")</f>
        <v/>
      </c>
      <c r="I698">
        <f>IFERROR(IF($B$1=0,"",IF(ISNUMBER(INDEX(貼り付け!$A$1:$BZ$3001,697,$B$1)),"",SUBSTITUTE(SUBSTITUTE(SUBSTITUTE(SUBSTITUTE(TRIM(LEFT(INDEX(貼り付け!$A$1:$BZ$3001,697,$B$1)&amp;"",FIND(" ",TRIM(INDEX(貼り付け!$A$1:$BZ$3001,697,$B$1)&amp;"")&amp;" ")-1)),"/","-"),"年","-"),"月","-"),"日",""))),"")</f>
        <v/>
      </c>
      <c r="J698">
        <f>IFERROR(MID(I698,FIND("-",I698)+1,99),"")</f>
        <v/>
      </c>
    </row>
    <row r="699">
      <c r="B699">
        <f>IFERROR(IF($B$1=0,"",IF(INDEX(貼り付け!$A$1:$BZ$3001,698,$B$1)="","",IF(ISNUMBER(INDEX(貼り付け!$A$1:$BZ$3001,698,$B$1)),INT(INDEX(貼り付け!$A$1:$BZ$3001,698,$B$1)),DATE(VALUE(LEFT(I699,FIND("-",I699)-1)),VALUE(LEFT(J699,FIND("-",J699)-1)),VALUE(MID(J699,FIND("-",J699)+1,99)))))),"")</f>
        <v/>
      </c>
      <c r="C699">
        <f>IF($C$1=0,0,IFERROR(VALUE(SUBSTITUTE(SUBSTITUTE(SUBSTITUTE(INDEX(貼り付け!$A$1:$BZ$3001,698,$C$1)&amp;"",",",""),"¥",""),"￥","")),0))</f>
        <v/>
      </c>
      <c r="D699">
        <f>IF($D$1=0,0,IFERROR(VALUE(SUBSTITUTE(SUBSTITUTE(SUBSTITUTE(INDEX(貼り付け!$A$1:$BZ$3001,698,$D$1)&amp;"",",",""),"¥",""),"￥","")),0))</f>
        <v/>
      </c>
      <c r="E699">
        <f>IF($E$1=0,0,IFERROR(VALUE(SUBSTITUTE(SUBSTITUTE(SUBSTITUTE(INDEX(貼り付け!$A$1:$BZ$3001,698,$E$1)&amp;"",",",""),"¥",""),"￥","")),0))</f>
        <v/>
      </c>
      <c r="F699">
        <f>IF($F$1=0,0,IFERROR(VALUE(SUBSTITUTE(SUBSTITUTE(SUBSTITUTE(INDEX(貼り付け!$A$1:$BZ$3001,698,$F$1)&amp;"",",",""),"¥",""),"￥","")),0))</f>
        <v/>
      </c>
      <c r="G699">
        <f>IF(ISNUMBER(B699),YEAR(B699),"")</f>
        <v/>
      </c>
      <c r="H699">
        <f>IF(ISNUMBER(B699),MONTH(B699),"")</f>
        <v/>
      </c>
      <c r="I699">
        <f>IFERROR(IF($B$1=0,"",IF(ISNUMBER(INDEX(貼り付け!$A$1:$BZ$3001,698,$B$1)),"",SUBSTITUTE(SUBSTITUTE(SUBSTITUTE(SUBSTITUTE(TRIM(LEFT(INDEX(貼り付け!$A$1:$BZ$3001,698,$B$1)&amp;"",FIND(" ",TRIM(INDEX(貼り付け!$A$1:$BZ$3001,698,$B$1)&amp;"")&amp;" ")-1)),"/","-"),"年","-"),"月","-"),"日",""))),"")</f>
        <v/>
      </c>
      <c r="J699">
        <f>IFERROR(MID(I699,FIND("-",I699)+1,99),"")</f>
        <v/>
      </c>
    </row>
    <row r="700">
      <c r="B700">
        <f>IFERROR(IF($B$1=0,"",IF(INDEX(貼り付け!$A$1:$BZ$3001,699,$B$1)="","",IF(ISNUMBER(INDEX(貼り付け!$A$1:$BZ$3001,699,$B$1)),INT(INDEX(貼り付け!$A$1:$BZ$3001,699,$B$1)),DATE(VALUE(LEFT(I700,FIND("-",I700)-1)),VALUE(LEFT(J700,FIND("-",J700)-1)),VALUE(MID(J700,FIND("-",J700)+1,99)))))),"")</f>
        <v/>
      </c>
      <c r="C700">
        <f>IF($C$1=0,0,IFERROR(VALUE(SUBSTITUTE(SUBSTITUTE(SUBSTITUTE(INDEX(貼り付け!$A$1:$BZ$3001,699,$C$1)&amp;"",",",""),"¥",""),"￥","")),0))</f>
        <v/>
      </c>
      <c r="D700">
        <f>IF($D$1=0,0,IFERROR(VALUE(SUBSTITUTE(SUBSTITUTE(SUBSTITUTE(INDEX(貼り付け!$A$1:$BZ$3001,699,$D$1)&amp;"",",",""),"¥",""),"￥","")),0))</f>
        <v/>
      </c>
      <c r="E700">
        <f>IF($E$1=0,0,IFERROR(VALUE(SUBSTITUTE(SUBSTITUTE(SUBSTITUTE(INDEX(貼り付け!$A$1:$BZ$3001,699,$E$1)&amp;"",",",""),"¥",""),"￥","")),0))</f>
        <v/>
      </c>
      <c r="F700">
        <f>IF($F$1=0,0,IFERROR(VALUE(SUBSTITUTE(SUBSTITUTE(SUBSTITUTE(INDEX(貼り付け!$A$1:$BZ$3001,699,$F$1)&amp;"",",",""),"¥",""),"￥","")),0))</f>
        <v/>
      </c>
      <c r="G700">
        <f>IF(ISNUMBER(B700),YEAR(B700),"")</f>
        <v/>
      </c>
      <c r="H700">
        <f>IF(ISNUMBER(B700),MONTH(B700),"")</f>
        <v/>
      </c>
      <c r="I700">
        <f>IFERROR(IF($B$1=0,"",IF(ISNUMBER(INDEX(貼り付け!$A$1:$BZ$3001,699,$B$1)),"",SUBSTITUTE(SUBSTITUTE(SUBSTITUTE(SUBSTITUTE(TRIM(LEFT(INDEX(貼り付け!$A$1:$BZ$3001,699,$B$1)&amp;"",FIND(" ",TRIM(INDEX(貼り付け!$A$1:$BZ$3001,699,$B$1)&amp;"")&amp;" ")-1)),"/","-"),"年","-"),"月","-"),"日",""))),"")</f>
        <v/>
      </c>
      <c r="J700">
        <f>IFERROR(MID(I700,FIND("-",I700)+1,99),"")</f>
        <v/>
      </c>
    </row>
    <row r="701">
      <c r="B701">
        <f>IFERROR(IF($B$1=0,"",IF(INDEX(貼り付け!$A$1:$BZ$3001,700,$B$1)="","",IF(ISNUMBER(INDEX(貼り付け!$A$1:$BZ$3001,700,$B$1)),INT(INDEX(貼り付け!$A$1:$BZ$3001,700,$B$1)),DATE(VALUE(LEFT(I701,FIND("-",I701)-1)),VALUE(LEFT(J701,FIND("-",J701)-1)),VALUE(MID(J701,FIND("-",J701)+1,99)))))),"")</f>
        <v/>
      </c>
      <c r="C701">
        <f>IF($C$1=0,0,IFERROR(VALUE(SUBSTITUTE(SUBSTITUTE(SUBSTITUTE(INDEX(貼り付け!$A$1:$BZ$3001,700,$C$1)&amp;"",",",""),"¥",""),"￥","")),0))</f>
        <v/>
      </c>
      <c r="D701">
        <f>IF($D$1=0,0,IFERROR(VALUE(SUBSTITUTE(SUBSTITUTE(SUBSTITUTE(INDEX(貼り付け!$A$1:$BZ$3001,700,$D$1)&amp;"",",",""),"¥",""),"￥","")),0))</f>
        <v/>
      </c>
      <c r="E701">
        <f>IF($E$1=0,0,IFERROR(VALUE(SUBSTITUTE(SUBSTITUTE(SUBSTITUTE(INDEX(貼り付け!$A$1:$BZ$3001,700,$E$1)&amp;"",",",""),"¥",""),"￥","")),0))</f>
        <v/>
      </c>
      <c r="F701">
        <f>IF($F$1=0,0,IFERROR(VALUE(SUBSTITUTE(SUBSTITUTE(SUBSTITUTE(INDEX(貼り付け!$A$1:$BZ$3001,700,$F$1)&amp;"",",",""),"¥",""),"￥","")),0))</f>
        <v/>
      </c>
      <c r="G701">
        <f>IF(ISNUMBER(B701),YEAR(B701),"")</f>
        <v/>
      </c>
      <c r="H701">
        <f>IF(ISNUMBER(B701),MONTH(B701),"")</f>
        <v/>
      </c>
      <c r="I701">
        <f>IFERROR(IF($B$1=0,"",IF(ISNUMBER(INDEX(貼り付け!$A$1:$BZ$3001,700,$B$1)),"",SUBSTITUTE(SUBSTITUTE(SUBSTITUTE(SUBSTITUTE(TRIM(LEFT(INDEX(貼り付け!$A$1:$BZ$3001,700,$B$1)&amp;"",FIND(" ",TRIM(INDEX(貼り付け!$A$1:$BZ$3001,700,$B$1)&amp;"")&amp;" ")-1)),"/","-"),"年","-"),"月","-"),"日",""))),"")</f>
        <v/>
      </c>
      <c r="J701">
        <f>IFERROR(MID(I701,FIND("-",I701)+1,99),"")</f>
        <v/>
      </c>
    </row>
    <row r="702">
      <c r="B702">
        <f>IFERROR(IF($B$1=0,"",IF(INDEX(貼り付け!$A$1:$BZ$3001,701,$B$1)="","",IF(ISNUMBER(INDEX(貼り付け!$A$1:$BZ$3001,701,$B$1)),INT(INDEX(貼り付け!$A$1:$BZ$3001,701,$B$1)),DATE(VALUE(LEFT(I702,FIND("-",I702)-1)),VALUE(LEFT(J702,FIND("-",J702)-1)),VALUE(MID(J702,FIND("-",J702)+1,99)))))),"")</f>
        <v/>
      </c>
      <c r="C702">
        <f>IF($C$1=0,0,IFERROR(VALUE(SUBSTITUTE(SUBSTITUTE(SUBSTITUTE(INDEX(貼り付け!$A$1:$BZ$3001,701,$C$1)&amp;"",",",""),"¥",""),"￥","")),0))</f>
        <v/>
      </c>
      <c r="D702">
        <f>IF($D$1=0,0,IFERROR(VALUE(SUBSTITUTE(SUBSTITUTE(SUBSTITUTE(INDEX(貼り付け!$A$1:$BZ$3001,701,$D$1)&amp;"",",",""),"¥",""),"￥","")),0))</f>
        <v/>
      </c>
      <c r="E702">
        <f>IF($E$1=0,0,IFERROR(VALUE(SUBSTITUTE(SUBSTITUTE(SUBSTITUTE(INDEX(貼り付け!$A$1:$BZ$3001,701,$E$1)&amp;"",",",""),"¥",""),"￥","")),0))</f>
        <v/>
      </c>
      <c r="F702">
        <f>IF($F$1=0,0,IFERROR(VALUE(SUBSTITUTE(SUBSTITUTE(SUBSTITUTE(INDEX(貼り付け!$A$1:$BZ$3001,701,$F$1)&amp;"",",",""),"¥",""),"￥","")),0))</f>
        <v/>
      </c>
      <c r="G702">
        <f>IF(ISNUMBER(B702),YEAR(B702),"")</f>
        <v/>
      </c>
      <c r="H702">
        <f>IF(ISNUMBER(B702),MONTH(B702),"")</f>
        <v/>
      </c>
      <c r="I702">
        <f>IFERROR(IF($B$1=0,"",IF(ISNUMBER(INDEX(貼り付け!$A$1:$BZ$3001,701,$B$1)),"",SUBSTITUTE(SUBSTITUTE(SUBSTITUTE(SUBSTITUTE(TRIM(LEFT(INDEX(貼り付け!$A$1:$BZ$3001,701,$B$1)&amp;"",FIND(" ",TRIM(INDEX(貼り付け!$A$1:$BZ$3001,701,$B$1)&amp;"")&amp;" ")-1)),"/","-"),"年","-"),"月","-"),"日",""))),"")</f>
        <v/>
      </c>
      <c r="J702">
        <f>IFERROR(MID(I702,FIND("-",I702)+1,99),"")</f>
        <v/>
      </c>
    </row>
    <row r="703">
      <c r="B703">
        <f>IFERROR(IF($B$1=0,"",IF(INDEX(貼り付け!$A$1:$BZ$3001,702,$B$1)="","",IF(ISNUMBER(INDEX(貼り付け!$A$1:$BZ$3001,702,$B$1)),INT(INDEX(貼り付け!$A$1:$BZ$3001,702,$B$1)),DATE(VALUE(LEFT(I703,FIND("-",I703)-1)),VALUE(LEFT(J703,FIND("-",J703)-1)),VALUE(MID(J703,FIND("-",J703)+1,99)))))),"")</f>
        <v/>
      </c>
      <c r="C703">
        <f>IF($C$1=0,0,IFERROR(VALUE(SUBSTITUTE(SUBSTITUTE(SUBSTITUTE(INDEX(貼り付け!$A$1:$BZ$3001,702,$C$1)&amp;"",",",""),"¥",""),"￥","")),0))</f>
        <v/>
      </c>
      <c r="D703">
        <f>IF($D$1=0,0,IFERROR(VALUE(SUBSTITUTE(SUBSTITUTE(SUBSTITUTE(INDEX(貼り付け!$A$1:$BZ$3001,702,$D$1)&amp;"",",",""),"¥",""),"￥","")),0))</f>
        <v/>
      </c>
      <c r="E703">
        <f>IF($E$1=0,0,IFERROR(VALUE(SUBSTITUTE(SUBSTITUTE(SUBSTITUTE(INDEX(貼り付け!$A$1:$BZ$3001,702,$E$1)&amp;"",",",""),"¥",""),"￥","")),0))</f>
        <v/>
      </c>
      <c r="F703">
        <f>IF($F$1=0,0,IFERROR(VALUE(SUBSTITUTE(SUBSTITUTE(SUBSTITUTE(INDEX(貼り付け!$A$1:$BZ$3001,702,$F$1)&amp;"",",",""),"¥",""),"￥","")),0))</f>
        <v/>
      </c>
      <c r="G703">
        <f>IF(ISNUMBER(B703),YEAR(B703),"")</f>
        <v/>
      </c>
      <c r="H703">
        <f>IF(ISNUMBER(B703),MONTH(B703),"")</f>
        <v/>
      </c>
      <c r="I703">
        <f>IFERROR(IF($B$1=0,"",IF(ISNUMBER(INDEX(貼り付け!$A$1:$BZ$3001,702,$B$1)),"",SUBSTITUTE(SUBSTITUTE(SUBSTITUTE(SUBSTITUTE(TRIM(LEFT(INDEX(貼り付け!$A$1:$BZ$3001,702,$B$1)&amp;"",FIND(" ",TRIM(INDEX(貼り付け!$A$1:$BZ$3001,702,$B$1)&amp;"")&amp;" ")-1)),"/","-"),"年","-"),"月","-"),"日",""))),"")</f>
        <v/>
      </c>
      <c r="J703">
        <f>IFERROR(MID(I703,FIND("-",I703)+1,99),"")</f>
        <v/>
      </c>
    </row>
    <row r="704">
      <c r="B704">
        <f>IFERROR(IF($B$1=0,"",IF(INDEX(貼り付け!$A$1:$BZ$3001,703,$B$1)="","",IF(ISNUMBER(INDEX(貼り付け!$A$1:$BZ$3001,703,$B$1)),INT(INDEX(貼り付け!$A$1:$BZ$3001,703,$B$1)),DATE(VALUE(LEFT(I704,FIND("-",I704)-1)),VALUE(LEFT(J704,FIND("-",J704)-1)),VALUE(MID(J704,FIND("-",J704)+1,99)))))),"")</f>
        <v/>
      </c>
      <c r="C704">
        <f>IF($C$1=0,0,IFERROR(VALUE(SUBSTITUTE(SUBSTITUTE(SUBSTITUTE(INDEX(貼り付け!$A$1:$BZ$3001,703,$C$1)&amp;"",",",""),"¥",""),"￥","")),0))</f>
        <v/>
      </c>
      <c r="D704">
        <f>IF($D$1=0,0,IFERROR(VALUE(SUBSTITUTE(SUBSTITUTE(SUBSTITUTE(INDEX(貼り付け!$A$1:$BZ$3001,703,$D$1)&amp;"",",",""),"¥",""),"￥","")),0))</f>
        <v/>
      </c>
      <c r="E704">
        <f>IF($E$1=0,0,IFERROR(VALUE(SUBSTITUTE(SUBSTITUTE(SUBSTITUTE(INDEX(貼り付け!$A$1:$BZ$3001,703,$E$1)&amp;"",",",""),"¥",""),"￥","")),0))</f>
        <v/>
      </c>
      <c r="F704">
        <f>IF($F$1=0,0,IFERROR(VALUE(SUBSTITUTE(SUBSTITUTE(SUBSTITUTE(INDEX(貼り付け!$A$1:$BZ$3001,703,$F$1)&amp;"",",",""),"¥",""),"￥","")),0))</f>
        <v/>
      </c>
      <c r="G704">
        <f>IF(ISNUMBER(B704),YEAR(B704),"")</f>
        <v/>
      </c>
      <c r="H704">
        <f>IF(ISNUMBER(B704),MONTH(B704),"")</f>
        <v/>
      </c>
      <c r="I704">
        <f>IFERROR(IF($B$1=0,"",IF(ISNUMBER(INDEX(貼り付け!$A$1:$BZ$3001,703,$B$1)),"",SUBSTITUTE(SUBSTITUTE(SUBSTITUTE(SUBSTITUTE(TRIM(LEFT(INDEX(貼り付け!$A$1:$BZ$3001,703,$B$1)&amp;"",FIND(" ",TRIM(INDEX(貼り付け!$A$1:$BZ$3001,703,$B$1)&amp;"")&amp;" ")-1)),"/","-"),"年","-"),"月","-"),"日",""))),"")</f>
        <v/>
      </c>
      <c r="J704">
        <f>IFERROR(MID(I704,FIND("-",I704)+1,99),"")</f>
        <v/>
      </c>
    </row>
    <row r="705">
      <c r="B705">
        <f>IFERROR(IF($B$1=0,"",IF(INDEX(貼り付け!$A$1:$BZ$3001,704,$B$1)="","",IF(ISNUMBER(INDEX(貼り付け!$A$1:$BZ$3001,704,$B$1)),INT(INDEX(貼り付け!$A$1:$BZ$3001,704,$B$1)),DATE(VALUE(LEFT(I705,FIND("-",I705)-1)),VALUE(LEFT(J705,FIND("-",J705)-1)),VALUE(MID(J705,FIND("-",J705)+1,99)))))),"")</f>
        <v/>
      </c>
      <c r="C705">
        <f>IF($C$1=0,0,IFERROR(VALUE(SUBSTITUTE(SUBSTITUTE(SUBSTITUTE(INDEX(貼り付け!$A$1:$BZ$3001,704,$C$1)&amp;"",",",""),"¥",""),"￥","")),0))</f>
        <v/>
      </c>
      <c r="D705">
        <f>IF($D$1=0,0,IFERROR(VALUE(SUBSTITUTE(SUBSTITUTE(SUBSTITUTE(INDEX(貼り付け!$A$1:$BZ$3001,704,$D$1)&amp;"",",",""),"¥",""),"￥","")),0))</f>
        <v/>
      </c>
      <c r="E705">
        <f>IF($E$1=0,0,IFERROR(VALUE(SUBSTITUTE(SUBSTITUTE(SUBSTITUTE(INDEX(貼り付け!$A$1:$BZ$3001,704,$E$1)&amp;"",",",""),"¥",""),"￥","")),0))</f>
        <v/>
      </c>
      <c r="F705">
        <f>IF($F$1=0,0,IFERROR(VALUE(SUBSTITUTE(SUBSTITUTE(SUBSTITUTE(INDEX(貼り付け!$A$1:$BZ$3001,704,$F$1)&amp;"",",",""),"¥",""),"￥","")),0))</f>
        <v/>
      </c>
      <c r="G705">
        <f>IF(ISNUMBER(B705),YEAR(B705),"")</f>
        <v/>
      </c>
      <c r="H705">
        <f>IF(ISNUMBER(B705),MONTH(B705),"")</f>
        <v/>
      </c>
      <c r="I705">
        <f>IFERROR(IF($B$1=0,"",IF(ISNUMBER(INDEX(貼り付け!$A$1:$BZ$3001,704,$B$1)),"",SUBSTITUTE(SUBSTITUTE(SUBSTITUTE(SUBSTITUTE(TRIM(LEFT(INDEX(貼り付け!$A$1:$BZ$3001,704,$B$1)&amp;"",FIND(" ",TRIM(INDEX(貼り付け!$A$1:$BZ$3001,704,$B$1)&amp;"")&amp;" ")-1)),"/","-"),"年","-"),"月","-"),"日",""))),"")</f>
        <v/>
      </c>
      <c r="J705">
        <f>IFERROR(MID(I705,FIND("-",I705)+1,99),"")</f>
        <v/>
      </c>
    </row>
    <row r="706">
      <c r="B706">
        <f>IFERROR(IF($B$1=0,"",IF(INDEX(貼り付け!$A$1:$BZ$3001,705,$B$1)="","",IF(ISNUMBER(INDEX(貼り付け!$A$1:$BZ$3001,705,$B$1)),INT(INDEX(貼り付け!$A$1:$BZ$3001,705,$B$1)),DATE(VALUE(LEFT(I706,FIND("-",I706)-1)),VALUE(LEFT(J706,FIND("-",J706)-1)),VALUE(MID(J706,FIND("-",J706)+1,99)))))),"")</f>
        <v/>
      </c>
      <c r="C706">
        <f>IF($C$1=0,0,IFERROR(VALUE(SUBSTITUTE(SUBSTITUTE(SUBSTITUTE(INDEX(貼り付け!$A$1:$BZ$3001,705,$C$1)&amp;"",",",""),"¥",""),"￥","")),0))</f>
        <v/>
      </c>
      <c r="D706">
        <f>IF($D$1=0,0,IFERROR(VALUE(SUBSTITUTE(SUBSTITUTE(SUBSTITUTE(INDEX(貼り付け!$A$1:$BZ$3001,705,$D$1)&amp;"",",",""),"¥",""),"￥","")),0))</f>
        <v/>
      </c>
      <c r="E706">
        <f>IF($E$1=0,0,IFERROR(VALUE(SUBSTITUTE(SUBSTITUTE(SUBSTITUTE(INDEX(貼り付け!$A$1:$BZ$3001,705,$E$1)&amp;"",",",""),"¥",""),"￥","")),0))</f>
        <v/>
      </c>
      <c r="F706">
        <f>IF($F$1=0,0,IFERROR(VALUE(SUBSTITUTE(SUBSTITUTE(SUBSTITUTE(INDEX(貼り付け!$A$1:$BZ$3001,705,$F$1)&amp;"",",",""),"¥",""),"￥","")),0))</f>
        <v/>
      </c>
      <c r="G706">
        <f>IF(ISNUMBER(B706),YEAR(B706),"")</f>
        <v/>
      </c>
      <c r="H706">
        <f>IF(ISNUMBER(B706),MONTH(B706),"")</f>
        <v/>
      </c>
      <c r="I706">
        <f>IFERROR(IF($B$1=0,"",IF(ISNUMBER(INDEX(貼り付け!$A$1:$BZ$3001,705,$B$1)),"",SUBSTITUTE(SUBSTITUTE(SUBSTITUTE(SUBSTITUTE(TRIM(LEFT(INDEX(貼り付け!$A$1:$BZ$3001,705,$B$1)&amp;"",FIND(" ",TRIM(INDEX(貼り付け!$A$1:$BZ$3001,705,$B$1)&amp;"")&amp;" ")-1)),"/","-"),"年","-"),"月","-"),"日",""))),"")</f>
        <v/>
      </c>
      <c r="J706">
        <f>IFERROR(MID(I706,FIND("-",I706)+1,99),"")</f>
        <v/>
      </c>
    </row>
    <row r="707">
      <c r="B707">
        <f>IFERROR(IF($B$1=0,"",IF(INDEX(貼り付け!$A$1:$BZ$3001,706,$B$1)="","",IF(ISNUMBER(INDEX(貼り付け!$A$1:$BZ$3001,706,$B$1)),INT(INDEX(貼り付け!$A$1:$BZ$3001,706,$B$1)),DATE(VALUE(LEFT(I707,FIND("-",I707)-1)),VALUE(LEFT(J707,FIND("-",J707)-1)),VALUE(MID(J707,FIND("-",J707)+1,99)))))),"")</f>
        <v/>
      </c>
      <c r="C707">
        <f>IF($C$1=0,0,IFERROR(VALUE(SUBSTITUTE(SUBSTITUTE(SUBSTITUTE(INDEX(貼り付け!$A$1:$BZ$3001,706,$C$1)&amp;"",",",""),"¥",""),"￥","")),0))</f>
        <v/>
      </c>
      <c r="D707">
        <f>IF($D$1=0,0,IFERROR(VALUE(SUBSTITUTE(SUBSTITUTE(SUBSTITUTE(INDEX(貼り付け!$A$1:$BZ$3001,706,$D$1)&amp;"",",",""),"¥",""),"￥","")),0))</f>
        <v/>
      </c>
      <c r="E707">
        <f>IF($E$1=0,0,IFERROR(VALUE(SUBSTITUTE(SUBSTITUTE(SUBSTITUTE(INDEX(貼り付け!$A$1:$BZ$3001,706,$E$1)&amp;"",",",""),"¥",""),"￥","")),0))</f>
        <v/>
      </c>
      <c r="F707">
        <f>IF($F$1=0,0,IFERROR(VALUE(SUBSTITUTE(SUBSTITUTE(SUBSTITUTE(INDEX(貼り付け!$A$1:$BZ$3001,706,$F$1)&amp;"",",",""),"¥",""),"￥","")),0))</f>
        <v/>
      </c>
      <c r="G707">
        <f>IF(ISNUMBER(B707),YEAR(B707),"")</f>
        <v/>
      </c>
      <c r="H707">
        <f>IF(ISNUMBER(B707),MONTH(B707),"")</f>
        <v/>
      </c>
      <c r="I707">
        <f>IFERROR(IF($B$1=0,"",IF(ISNUMBER(INDEX(貼り付け!$A$1:$BZ$3001,706,$B$1)),"",SUBSTITUTE(SUBSTITUTE(SUBSTITUTE(SUBSTITUTE(TRIM(LEFT(INDEX(貼り付け!$A$1:$BZ$3001,706,$B$1)&amp;"",FIND(" ",TRIM(INDEX(貼り付け!$A$1:$BZ$3001,706,$B$1)&amp;"")&amp;" ")-1)),"/","-"),"年","-"),"月","-"),"日",""))),"")</f>
        <v/>
      </c>
      <c r="J707">
        <f>IFERROR(MID(I707,FIND("-",I707)+1,99),"")</f>
        <v/>
      </c>
    </row>
    <row r="708">
      <c r="B708">
        <f>IFERROR(IF($B$1=0,"",IF(INDEX(貼り付け!$A$1:$BZ$3001,707,$B$1)="","",IF(ISNUMBER(INDEX(貼り付け!$A$1:$BZ$3001,707,$B$1)),INT(INDEX(貼り付け!$A$1:$BZ$3001,707,$B$1)),DATE(VALUE(LEFT(I708,FIND("-",I708)-1)),VALUE(LEFT(J708,FIND("-",J708)-1)),VALUE(MID(J708,FIND("-",J708)+1,99)))))),"")</f>
        <v/>
      </c>
      <c r="C708">
        <f>IF($C$1=0,0,IFERROR(VALUE(SUBSTITUTE(SUBSTITUTE(SUBSTITUTE(INDEX(貼り付け!$A$1:$BZ$3001,707,$C$1)&amp;"",",",""),"¥",""),"￥","")),0))</f>
        <v/>
      </c>
      <c r="D708">
        <f>IF($D$1=0,0,IFERROR(VALUE(SUBSTITUTE(SUBSTITUTE(SUBSTITUTE(INDEX(貼り付け!$A$1:$BZ$3001,707,$D$1)&amp;"",",",""),"¥",""),"￥","")),0))</f>
        <v/>
      </c>
      <c r="E708">
        <f>IF($E$1=0,0,IFERROR(VALUE(SUBSTITUTE(SUBSTITUTE(SUBSTITUTE(INDEX(貼り付け!$A$1:$BZ$3001,707,$E$1)&amp;"",",",""),"¥",""),"￥","")),0))</f>
        <v/>
      </c>
      <c r="F708">
        <f>IF($F$1=0,0,IFERROR(VALUE(SUBSTITUTE(SUBSTITUTE(SUBSTITUTE(INDEX(貼り付け!$A$1:$BZ$3001,707,$F$1)&amp;"",",",""),"¥",""),"￥","")),0))</f>
        <v/>
      </c>
      <c r="G708">
        <f>IF(ISNUMBER(B708),YEAR(B708),"")</f>
        <v/>
      </c>
      <c r="H708">
        <f>IF(ISNUMBER(B708),MONTH(B708),"")</f>
        <v/>
      </c>
      <c r="I708">
        <f>IFERROR(IF($B$1=0,"",IF(ISNUMBER(INDEX(貼り付け!$A$1:$BZ$3001,707,$B$1)),"",SUBSTITUTE(SUBSTITUTE(SUBSTITUTE(SUBSTITUTE(TRIM(LEFT(INDEX(貼り付け!$A$1:$BZ$3001,707,$B$1)&amp;"",FIND(" ",TRIM(INDEX(貼り付け!$A$1:$BZ$3001,707,$B$1)&amp;"")&amp;" ")-1)),"/","-"),"年","-"),"月","-"),"日",""))),"")</f>
        <v/>
      </c>
      <c r="J708">
        <f>IFERROR(MID(I708,FIND("-",I708)+1,99),"")</f>
        <v/>
      </c>
    </row>
    <row r="709">
      <c r="B709">
        <f>IFERROR(IF($B$1=0,"",IF(INDEX(貼り付け!$A$1:$BZ$3001,708,$B$1)="","",IF(ISNUMBER(INDEX(貼り付け!$A$1:$BZ$3001,708,$B$1)),INT(INDEX(貼り付け!$A$1:$BZ$3001,708,$B$1)),DATE(VALUE(LEFT(I709,FIND("-",I709)-1)),VALUE(LEFT(J709,FIND("-",J709)-1)),VALUE(MID(J709,FIND("-",J709)+1,99)))))),"")</f>
        <v/>
      </c>
      <c r="C709">
        <f>IF($C$1=0,0,IFERROR(VALUE(SUBSTITUTE(SUBSTITUTE(SUBSTITUTE(INDEX(貼り付け!$A$1:$BZ$3001,708,$C$1)&amp;"",",",""),"¥",""),"￥","")),0))</f>
        <v/>
      </c>
      <c r="D709">
        <f>IF($D$1=0,0,IFERROR(VALUE(SUBSTITUTE(SUBSTITUTE(SUBSTITUTE(INDEX(貼り付け!$A$1:$BZ$3001,708,$D$1)&amp;"",",",""),"¥",""),"￥","")),0))</f>
        <v/>
      </c>
      <c r="E709">
        <f>IF($E$1=0,0,IFERROR(VALUE(SUBSTITUTE(SUBSTITUTE(SUBSTITUTE(INDEX(貼り付け!$A$1:$BZ$3001,708,$E$1)&amp;"",",",""),"¥",""),"￥","")),0))</f>
        <v/>
      </c>
      <c r="F709">
        <f>IF($F$1=0,0,IFERROR(VALUE(SUBSTITUTE(SUBSTITUTE(SUBSTITUTE(INDEX(貼り付け!$A$1:$BZ$3001,708,$F$1)&amp;"",",",""),"¥",""),"￥","")),0))</f>
        <v/>
      </c>
      <c r="G709">
        <f>IF(ISNUMBER(B709),YEAR(B709),"")</f>
        <v/>
      </c>
      <c r="H709">
        <f>IF(ISNUMBER(B709),MONTH(B709),"")</f>
        <v/>
      </c>
      <c r="I709">
        <f>IFERROR(IF($B$1=0,"",IF(ISNUMBER(INDEX(貼り付け!$A$1:$BZ$3001,708,$B$1)),"",SUBSTITUTE(SUBSTITUTE(SUBSTITUTE(SUBSTITUTE(TRIM(LEFT(INDEX(貼り付け!$A$1:$BZ$3001,708,$B$1)&amp;"",FIND(" ",TRIM(INDEX(貼り付け!$A$1:$BZ$3001,708,$B$1)&amp;"")&amp;" ")-1)),"/","-"),"年","-"),"月","-"),"日",""))),"")</f>
        <v/>
      </c>
      <c r="J709">
        <f>IFERROR(MID(I709,FIND("-",I709)+1,99),"")</f>
        <v/>
      </c>
    </row>
    <row r="710">
      <c r="B710">
        <f>IFERROR(IF($B$1=0,"",IF(INDEX(貼り付け!$A$1:$BZ$3001,709,$B$1)="","",IF(ISNUMBER(INDEX(貼り付け!$A$1:$BZ$3001,709,$B$1)),INT(INDEX(貼り付け!$A$1:$BZ$3001,709,$B$1)),DATE(VALUE(LEFT(I710,FIND("-",I710)-1)),VALUE(LEFT(J710,FIND("-",J710)-1)),VALUE(MID(J710,FIND("-",J710)+1,99)))))),"")</f>
        <v/>
      </c>
      <c r="C710">
        <f>IF($C$1=0,0,IFERROR(VALUE(SUBSTITUTE(SUBSTITUTE(SUBSTITUTE(INDEX(貼り付け!$A$1:$BZ$3001,709,$C$1)&amp;"",",",""),"¥",""),"￥","")),0))</f>
        <v/>
      </c>
      <c r="D710">
        <f>IF($D$1=0,0,IFERROR(VALUE(SUBSTITUTE(SUBSTITUTE(SUBSTITUTE(INDEX(貼り付け!$A$1:$BZ$3001,709,$D$1)&amp;"",",",""),"¥",""),"￥","")),0))</f>
        <v/>
      </c>
      <c r="E710">
        <f>IF($E$1=0,0,IFERROR(VALUE(SUBSTITUTE(SUBSTITUTE(SUBSTITUTE(INDEX(貼り付け!$A$1:$BZ$3001,709,$E$1)&amp;"",",",""),"¥",""),"￥","")),0))</f>
        <v/>
      </c>
      <c r="F710">
        <f>IF($F$1=0,0,IFERROR(VALUE(SUBSTITUTE(SUBSTITUTE(SUBSTITUTE(INDEX(貼り付け!$A$1:$BZ$3001,709,$F$1)&amp;"",",",""),"¥",""),"￥","")),0))</f>
        <v/>
      </c>
      <c r="G710">
        <f>IF(ISNUMBER(B710),YEAR(B710),"")</f>
        <v/>
      </c>
      <c r="H710">
        <f>IF(ISNUMBER(B710),MONTH(B710),"")</f>
        <v/>
      </c>
      <c r="I710">
        <f>IFERROR(IF($B$1=0,"",IF(ISNUMBER(INDEX(貼り付け!$A$1:$BZ$3001,709,$B$1)),"",SUBSTITUTE(SUBSTITUTE(SUBSTITUTE(SUBSTITUTE(TRIM(LEFT(INDEX(貼り付け!$A$1:$BZ$3001,709,$B$1)&amp;"",FIND(" ",TRIM(INDEX(貼り付け!$A$1:$BZ$3001,709,$B$1)&amp;"")&amp;" ")-1)),"/","-"),"年","-"),"月","-"),"日",""))),"")</f>
        <v/>
      </c>
      <c r="J710">
        <f>IFERROR(MID(I710,FIND("-",I710)+1,99),"")</f>
        <v/>
      </c>
    </row>
    <row r="711">
      <c r="B711">
        <f>IFERROR(IF($B$1=0,"",IF(INDEX(貼り付け!$A$1:$BZ$3001,710,$B$1)="","",IF(ISNUMBER(INDEX(貼り付け!$A$1:$BZ$3001,710,$B$1)),INT(INDEX(貼り付け!$A$1:$BZ$3001,710,$B$1)),DATE(VALUE(LEFT(I711,FIND("-",I711)-1)),VALUE(LEFT(J711,FIND("-",J711)-1)),VALUE(MID(J711,FIND("-",J711)+1,99)))))),"")</f>
        <v/>
      </c>
      <c r="C711">
        <f>IF($C$1=0,0,IFERROR(VALUE(SUBSTITUTE(SUBSTITUTE(SUBSTITUTE(INDEX(貼り付け!$A$1:$BZ$3001,710,$C$1)&amp;"",",",""),"¥",""),"￥","")),0))</f>
        <v/>
      </c>
      <c r="D711">
        <f>IF($D$1=0,0,IFERROR(VALUE(SUBSTITUTE(SUBSTITUTE(SUBSTITUTE(INDEX(貼り付け!$A$1:$BZ$3001,710,$D$1)&amp;"",",",""),"¥",""),"￥","")),0))</f>
        <v/>
      </c>
      <c r="E711">
        <f>IF($E$1=0,0,IFERROR(VALUE(SUBSTITUTE(SUBSTITUTE(SUBSTITUTE(INDEX(貼り付け!$A$1:$BZ$3001,710,$E$1)&amp;"",",",""),"¥",""),"￥","")),0))</f>
        <v/>
      </c>
      <c r="F711">
        <f>IF($F$1=0,0,IFERROR(VALUE(SUBSTITUTE(SUBSTITUTE(SUBSTITUTE(INDEX(貼り付け!$A$1:$BZ$3001,710,$F$1)&amp;"",",",""),"¥",""),"￥","")),0))</f>
        <v/>
      </c>
      <c r="G711">
        <f>IF(ISNUMBER(B711),YEAR(B711),"")</f>
        <v/>
      </c>
      <c r="H711">
        <f>IF(ISNUMBER(B711),MONTH(B711),"")</f>
        <v/>
      </c>
      <c r="I711">
        <f>IFERROR(IF($B$1=0,"",IF(ISNUMBER(INDEX(貼り付け!$A$1:$BZ$3001,710,$B$1)),"",SUBSTITUTE(SUBSTITUTE(SUBSTITUTE(SUBSTITUTE(TRIM(LEFT(INDEX(貼り付け!$A$1:$BZ$3001,710,$B$1)&amp;"",FIND(" ",TRIM(INDEX(貼り付け!$A$1:$BZ$3001,710,$B$1)&amp;"")&amp;" ")-1)),"/","-"),"年","-"),"月","-"),"日",""))),"")</f>
        <v/>
      </c>
      <c r="J711">
        <f>IFERROR(MID(I711,FIND("-",I711)+1,99),"")</f>
        <v/>
      </c>
    </row>
    <row r="712">
      <c r="B712">
        <f>IFERROR(IF($B$1=0,"",IF(INDEX(貼り付け!$A$1:$BZ$3001,711,$B$1)="","",IF(ISNUMBER(INDEX(貼り付け!$A$1:$BZ$3001,711,$B$1)),INT(INDEX(貼り付け!$A$1:$BZ$3001,711,$B$1)),DATE(VALUE(LEFT(I712,FIND("-",I712)-1)),VALUE(LEFT(J712,FIND("-",J712)-1)),VALUE(MID(J712,FIND("-",J712)+1,99)))))),"")</f>
        <v/>
      </c>
      <c r="C712">
        <f>IF($C$1=0,0,IFERROR(VALUE(SUBSTITUTE(SUBSTITUTE(SUBSTITUTE(INDEX(貼り付け!$A$1:$BZ$3001,711,$C$1)&amp;"",",",""),"¥",""),"￥","")),0))</f>
        <v/>
      </c>
      <c r="D712">
        <f>IF($D$1=0,0,IFERROR(VALUE(SUBSTITUTE(SUBSTITUTE(SUBSTITUTE(INDEX(貼り付け!$A$1:$BZ$3001,711,$D$1)&amp;"",",",""),"¥",""),"￥","")),0))</f>
        <v/>
      </c>
      <c r="E712">
        <f>IF($E$1=0,0,IFERROR(VALUE(SUBSTITUTE(SUBSTITUTE(SUBSTITUTE(INDEX(貼り付け!$A$1:$BZ$3001,711,$E$1)&amp;"",",",""),"¥",""),"￥","")),0))</f>
        <v/>
      </c>
      <c r="F712">
        <f>IF($F$1=0,0,IFERROR(VALUE(SUBSTITUTE(SUBSTITUTE(SUBSTITUTE(INDEX(貼り付け!$A$1:$BZ$3001,711,$F$1)&amp;"",",",""),"¥",""),"￥","")),0))</f>
        <v/>
      </c>
      <c r="G712">
        <f>IF(ISNUMBER(B712),YEAR(B712),"")</f>
        <v/>
      </c>
      <c r="H712">
        <f>IF(ISNUMBER(B712),MONTH(B712),"")</f>
        <v/>
      </c>
      <c r="I712">
        <f>IFERROR(IF($B$1=0,"",IF(ISNUMBER(INDEX(貼り付け!$A$1:$BZ$3001,711,$B$1)),"",SUBSTITUTE(SUBSTITUTE(SUBSTITUTE(SUBSTITUTE(TRIM(LEFT(INDEX(貼り付け!$A$1:$BZ$3001,711,$B$1)&amp;"",FIND(" ",TRIM(INDEX(貼り付け!$A$1:$BZ$3001,711,$B$1)&amp;"")&amp;" ")-1)),"/","-"),"年","-"),"月","-"),"日",""))),"")</f>
        <v/>
      </c>
      <c r="J712">
        <f>IFERROR(MID(I712,FIND("-",I712)+1,99),"")</f>
        <v/>
      </c>
    </row>
    <row r="713">
      <c r="B713">
        <f>IFERROR(IF($B$1=0,"",IF(INDEX(貼り付け!$A$1:$BZ$3001,712,$B$1)="","",IF(ISNUMBER(INDEX(貼り付け!$A$1:$BZ$3001,712,$B$1)),INT(INDEX(貼り付け!$A$1:$BZ$3001,712,$B$1)),DATE(VALUE(LEFT(I713,FIND("-",I713)-1)),VALUE(LEFT(J713,FIND("-",J713)-1)),VALUE(MID(J713,FIND("-",J713)+1,99)))))),"")</f>
        <v/>
      </c>
      <c r="C713">
        <f>IF($C$1=0,0,IFERROR(VALUE(SUBSTITUTE(SUBSTITUTE(SUBSTITUTE(INDEX(貼り付け!$A$1:$BZ$3001,712,$C$1)&amp;"",",",""),"¥",""),"￥","")),0))</f>
        <v/>
      </c>
      <c r="D713">
        <f>IF($D$1=0,0,IFERROR(VALUE(SUBSTITUTE(SUBSTITUTE(SUBSTITUTE(INDEX(貼り付け!$A$1:$BZ$3001,712,$D$1)&amp;"",",",""),"¥",""),"￥","")),0))</f>
        <v/>
      </c>
      <c r="E713">
        <f>IF($E$1=0,0,IFERROR(VALUE(SUBSTITUTE(SUBSTITUTE(SUBSTITUTE(INDEX(貼り付け!$A$1:$BZ$3001,712,$E$1)&amp;"",",",""),"¥",""),"￥","")),0))</f>
        <v/>
      </c>
      <c r="F713">
        <f>IF($F$1=0,0,IFERROR(VALUE(SUBSTITUTE(SUBSTITUTE(SUBSTITUTE(INDEX(貼り付け!$A$1:$BZ$3001,712,$F$1)&amp;"",",",""),"¥",""),"￥","")),0))</f>
        <v/>
      </c>
      <c r="G713">
        <f>IF(ISNUMBER(B713),YEAR(B713),"")</f>
        <v/>
      </c>
      <c r="H713">
        <f>IF(ISNUMBER(B713),MONTH(B713),"")</f>
        <v/>
      </c>
      <c r="I713">
        <f>IFERROR(IF($B$1=0,"",IF(ISNUMBER(INDEX(貼り付け!$A$1:$BZ$3001,712,$B$1)),"",SUBSTITUTE(SUBSTITUTE(SUBSTITUTE(SUBSTITUTE(TRIM(LEFT(INDEX(貼り付け!$A$1:$BZ$3001,712,$B$1)&amp;"",FIND(" ",TRIM(INDEX(貼り付け!$A$1:$BZ$3001,712,$B$1)&amp;"")&amp;" ")-1)),"/","-"),"年","-"),"月","-"),"日",""))),"")</f>
        <v/>
      </c>
      <c r="J713">
        <f>IFERROR(MID(I713,FIND("-",I713)+1,99),"")</f>
        <v/>
      </c>
    </row>
    <row r="714">
      <c r="B714">
        <f>IFERROR(IF($B$1=0,"",IF(INDEX(貼り付け!$A$1:$BZ$3001,713,$B$1)="","",IF(ISNUMBER(INDEX(貼り付け!$A$1:$BZ$3001,713,$B$1)),INT(INDEX(貼り付け!$A$1:$BZ$3001,713,$B$1)),DATE(VALUE(LEFT(I714,FIND("-",I714)-1)),VALUE(LEFT(J714,FIND("-",J714)-1)),VALUE(MID(J714,FIND("-",J714)+1,99)))))),"")</f>
        <v/>
      </c>
      <c r="C714">
        <f>IF($C$1=0,0,IFERROR(VALUE(SUBSTITUTE(SUBSTITUTE(SUBSTITUTE(INDEX(貼り付け!$A$1:$BZ$3001,713,$C$1)&amp;"",",",""),"¥",""),"￥","")),0))</f>
        <v/>
      </c>
      <c r="D714">
        <f>IF($D$1=0,0,IFERROR(VALUE(SUBSTITUTE(SUBSTITUTE(SUBSTITUTE(INDEX(貼り付け!$A$1:$BZ$3001,713,$D$1)&amp;"",",",""),"¥",""),"￥","")),0))</f>
        <v/>
      </c>
      <c r="E714">
        <f>IF($E$1=0,0,IFERROR(VALUE(SUBSTITUTE(SUBSTITUTE(SUBSTITUTE(INDEX(貼り付け!$A$1:$BZ$3001,713,$E$1)&amp;"",",",""),"¥",""),"￥","")),0))</f>
        <v/>
      </c>
      <c r="F714">
        <f>IF($F$1=0,0,IFERROR(VALUE(SUBSTITUTE(SUBSTITUTE(SUBSTITUTE(INDEX(貼り付け!$A$1:$BZ$3001,713,$F$1)&amp;"",",",""),"¥",""),"￥","")),0))</f>
        <v/>
      </c>
      <c r="G714">
        <f>IF(ISNUMBER(B714),YEAR(B714),"")</f>
        <v/>
      </c>
      <c r="H714">
        <f>IF(ISNUMBER(B714),MONTH(B714),"")</f>
        <v/>
      </c>
      <c r="I714">
        <f>IFERROR(IF($B$1=0,"",IF(ISNUMBER(INDEX(貼り付け!$A$1:$BZ$3001,713,$B$1)),"",SUBSTITUTE(SUBSTITUTE(SUBSTITUTE(SUBSTITUTE(TRIM(LEFT(INDEX(貼り付け!$A$1:$BZ$3001,713,$B$1)&amp;"",FIND(" ",TRIM(INDEX(貼り付け!$A$1:$BZ$3001,713,$B$1)&amp;"")&amp;" ")-1)),"/","-"),"年","-"),"月","-"),"日",""))),"")</f>
        <v/>
      </c>
      <c r="J714">
        <f>IFERROR(MID(I714,FIND("-",I714)+1,99),"")</f>
        <v/>
      </c>
    </row>
    <row r="715">
      <c r="B715">
        <f>IFERROR(IF($B$1=0,"",IF(INDEX(貼り付け!$A$1:$BZ$3001,714,$B$1)="","",IF(ISNUMBER(INDEX(貼り付け!$A$1:$BZ$3001,714,$B$1)),INT(INDEX(貼り付け!$A$1:$BZ$3001,714,$B$1)),DATE(VALUE(LEFT(I715,FIND("-",I715)-1)),VALUE(LEFT(J715,FIND("-",J715)-1)),VALUE(MID(J715,FIND("-",J715)+1,99)))))),"")</f>
        <v/>
      </c>
      <c r="C715">
        <f>IF($C$1=0,0,IFERROR(VALUE(SUBSTITUTE(SUBSTITUTE(SUBSTITUTE(INDEX(貼り付け!$A$1:$BZ$3001,714,$C$1)&amp;"",",",""),"¥",""),"￥","")),0))</f>
        <v/>
      </c>
      <c r="D715">
        <f>IF($D$1=0,0,IFERROR(VALUE(SUBSTITUTE(SUBSTITUTE(SUBSTITUTE(INDEX(貼り付け!$A$1:$BZ$3001,714,$D$1)&amp;"",",",""),"¥",""),"￥","")),0))</f>
        <v/>
      </c>
      <c r="E715">
        <f>IF($E$1=0,0,IFERROR(VALUE(SUBSTITUTE(SUBSTITUTE(SUBSTITUTE(INDEX(貼り付け!$A$1:$BZ$3001,714,$E$1)&amp;"",",",""),"¥",""),"￥","")),0))</f>
        <v/>
      </c>
      <c r="F715">
        <f>IF($F$1=0,0,IFERROR(VALUE(SUBSTITUTE(SUBSTITUTE(SUBSTITUTE(INDEX(貼り付け!$A$1:$BZ$3001,714,$F$1)&amp;"",",",""),"¥",""),"￥","")),0))</f>
        <v/>
      </c>
      <c r="G715">
        <f>IF(ISNUMBER(B715),YEAR(B715),"")</f>
        <v/>
      </c>
      <c r="H715">
        <f>IF(ISNUMBER(B715),MONTH(B715),"")</f>
        <v/>
      </c>
      <c r="I715">
        <f>IFERROR(IF($B$1=0,"",IF(ISNUMBER(INDEX(貼り付け!$A$1:$BZ$3001,714,$B$1)),"",SUBSTITUTE(SUBSTITUTE(SUBSTITUTE(SUBSTITUTE(TRIM(LEFT(INDEX(貼り付け!$A$1:$BZ$3001,714,$B$1)&amp;"",FIND(" ",TRIM(INDEX(貼り付け!$A$1:$BZ$3001,714,$B$1)&amp;"")&amp;" ")-1)),"/","-"),"年","-"),"月","-"),"日",""))),"")</f>
        <v/>
      </c>
      <c r="J715">
        <f>IFERROR(MID(I715,FIND("-",I715)+1,99),"")</f>
        <v/>
      </c>
    </row>
    <row r="716">
      <c r="B716">
        <f>IFERROR(IF($B$1=0,"",IF(INDEX(貼り付け!$A$1:$BZ$3001,715,$B$1)="","",IF(ISNUMBER(INDEX(貼り付け!$A$1:$BZ$3001,715,$B$1)),INT(INDEX(貼り付け!$A$1:$BZ$3001,715,$B$1)),DATE(VALUE(LEFT(I716,FIND("-",I716)-1)),VALUE(LEFT(J716,FIND("-",J716)-1)),VALUE(MID(J716,FIND("-",J716)+1,99)))))),"")</f>
        <v/>
      </c>
      <c r="C716">
        <f>IF($C$1=0,0,IFERROR(VALUE(SUBSTITUTE(SUBSTITUTE(SUBSTITUTE(INDEX(貼り付け!$A$1:$BZ$3001,715,$C$1)&amp;"",",",""),"¥",""),"￥","")),0))</f>
        <v/>
      </c>
      <c r="D716">
        <f>IF($D$1=0,0,IFERROR(VALUE(SUBSTITUTE(SUBSTITUTE(SUBSTITUTE(INDEX(貼り付け!$A$1:$BZ$3001,715,$D$1)&amp;"",",",""),"¥",""),"￥","")),0))</f>
        <v/>
      </c>
      <c r="E716">
        <f>IF($E$1=0,0,IFERROR(VALUE(SUBSTITUTE(SUBSTITUTE(SUBSTITUTE(INDEX(貼り付け!$A$1:$BZ$3001,715,$E$1)&amp;"",",",""),"¥",""),"￥","")),0))</f>
        <v/>
      </c>
      <c r="F716">
        <f>IF($F$1=0,0,IFERROR(VALUE(SUBSTITUTE(SUBSTITUTE(SUBSTITUTE(INDEX(貼り付け!$A$1:$BZ$3001,715,$F$1)&amp;"",",",""),"¥",""),"￥","")),0))</f>
        <v/>
      </c>
      <c r="G716">
        <f>IF(ISNUMBER(B716),YEAR(B716),"")</f>
        <v/>
      </c>
      <c r="H716">
        <f>IF(ISNUMBER(B716),MONTH(B716),"")</f>
        <v/>
      </c>
      <c r="I716">
        <f>IFERROR(IF($B$1=0,"",IF(ISNUMBER(INDEX(貼り付け!$A$1:$BZ$3001,715,$B$1)),"",SUBSTITUTE(SUBSTITUTE(SUBSTITUTE(SUBSTITUTE(TRIM(LEFT(INDEX(貼り付け!$A$1:$BZ$3001,715,$B$1)&amp;"",FIND(" ",TRIM(INDEX(貼り付け!$A$1:$BZ$3001,715,$B$1)&amp;"")&amp;" ")-1)),"/","-"),"年","-"),"月","-"),"日",""))),"")</f>
        <v/>
      </c>
      <c r="J716">
        <f>IFERROR(MID(I716,FIND("-",I716)+1,99),"")</f>
        <v/>
      </c>
    </row>
    <row r="717">
      <c r="B717">
        <f>IFERROR(IF($B$1=0,"",IF(INDEX(貼り付け!$A$1:$BZ$3001,716,$B$1)="","",IF(ISNUMBER(INDEX(貼り付け!$A$1:$BZ$3001,716,$B$1)),INT(INDEX(貼り付け!$A$1:$BZ$3001,716,$B$1)),DATE(VALUE(LEFT(I717,FIND("-",I717)-1)),VALUE(LEFT(J717,FIND("-",J717)-1)),VALUE(MID(J717,FIND("-",J717)+1,99)))))),"")</f>
        <v/>
      </c>
      <c r="C717">
        <f>IF($C$1=0,0,IFERROR(VALUE(SUBSTITUTE(SUBSTITUTE(SUBSTITUTE(INDEX(貼り付け!$A$1:$BZ$3001,716,$C$1)&amp;"",",",""),"¥",""),"￥","")),0))</f>
        <v/>
      </c>
      <c r="D717">
        <f>IF($D$1=0,0,IFERROR(VALUE(SUBSTITUTE(SUBSTITUTE(SUBSTITUTE(INDEX(貼り付け!$A$1:$BZ$3001,716,$D$1)&amp;"",",",""),"¥",""),"￥","")),0))</f>
        <v/>
      </c>
      <c r="E717">
        <f>IF($E$1=0,0,IFERROR(VALUE(SUBSTITUTE(SUBSTITUTE(SUBSTITUTE(INDEX(貼り付け!$A$1:$BZ$3001,716,$E$1)&amp;"",",",""),"¥",""),"￥","")),0))</f>
        <v/>
      </c>
      <c r="F717">
        <f>IF($F$1=0,0,IFERROR(VALUE(SUBSTITUTE(SUBSTITUTE(SUBSTITUTE(INDEX(貼り付け!$A$1:$BZ$3001,716,$F$1)&amp;"",",",""),"¥",""),"￥","")),0))</f>
        <v/>
      </c>
      <c r="G717">
        <f>IF(ISNUMBER(B717),YEAR(B717),"")</f>
        <v/>
      </c>
      <c r="H717">
        <f>IF(ISNUMBER(B717),MONTH(B717),"")</f>
        <v/>
      </c>
      <c r="I717">
        <f>IFERROR(IF($B$1=0,"",IF(ISNUMBER(INDEX(貼り付け!$A$1:$BZ$3001,716,$B$1)),"",SUBSTITUTE(SUBSTITUTE(SUBSTITUTE(SUBSTITUTE(TRIM(LEFT(INDEX(貼り付け!$A$1:$BZ$3001,716,$B$1)&amp;"",FIND(" ",TRIM(INDEX(貼り付け!$A$1:$BZ$3001,716,$B$1)&amp;"")&amp;" ")-1)),"/","-"),"年","-"),"月","-"),"日",""))),"")</f>
        <v/>
      </c>
      <c r="J717">
        <f>IFERROR(MID(I717,FIND("-",I717)+1,99),"")</f>
        <v/>
      </c>
    </row>
    <row r="718">
      <c r="B718">
        <f>IFERROR(IF($B$1=0,"",IF(INDEX(貼り付け!$A$1:$BZ$3001,717,$B$1)="","",IF(ISNUMBER(INDEX(貼り付け!$A$1:$BZ$3001,717,$B$1)),INT(INDEX(貼り付け!$A$1:$BZ$3001,717,$B$1)),DATE(VALUE(LEFT(I718,FIND("-",I718)-1)),VALUE(LEFT(J718,FIND("-",J718)-1)),VALUE(MID(J718,FIND("-",J718)+1,99)))))),"")</f>
        <v/>
      </c>
      <c r="C718">
        <f>IF($C$1=0,0,IFERROR(VALUE(SUBSTITUTE(SUBSTITUTE(SUBSTITUTE(INDEX(貼り付け!$A$1:$BZ$3001,717,$C$1)&amp;"",",",""),"¥",""),"￥","")),0))</f>
        <v/>
      </c>
      <c r="D718">
        <f>IF($D$1=0,0,IFERROR(VALUE(SUBSTITUTE(SUBSTITUTE(SUBSTITUTE(INDEX(貼り付け!$A$1:$BZ$3001,717,$D$1)&amp;"",",",""),"¥",""),"￥","")),0))</f>
        <v/>
      </c>
      <c r="E718">
        <f>IF($E$1=0,0,IFERROR(VALUE(SUBSTITUTE(SUBSTITUTE(SUBSTITUTE(INDEX(貼り付け!$A$1:$BZ$3001,717,$E$1)&amp;"",",",""),"¥",""),"￥","")),0))</f>
        <v/>
      </c>
      <c r="F718">
        <f>IF($F$1=0,0,IFERROR(VALUE(SUBSTITUTE(SUBSTITUTE(SUBSTITUTE(INDEX(貼り付け!$A$1:$BZ$3001,717,$F$1)&amp;"",",",""),"¥",""),"￥","")),0))</f>
        <v/>
      </c>
      <c r="G718">
        <f>IF(ISNUMBER(B718),YEAR(B718),"")</f>
        <v/>
      </c>
      <c r="H718">
        <f>IF(ISNUMBER(B718),MONTH(B718),"")</f>
        <v/>
      </c>
      <c r="I718">
        <f>IFERROR(IF($B$1=0,"",IF(ISNUMBER(INDEX(貼り付け!$A$1:$BZ$3001,717,$B$1)),"",SUBSTITUTE(SUBSTITUTE(SUBSTITUTE(SUBSTITUTE(TRIM(LEFT(INDEX(貼り付け!$A$1:$BZ$3001,717,$B$1)&amp;"",FIND(" ",TRIM(INDEX(貼り付け!$A$1:$BZ$3001,717,$B$1)&amp;"")&amp;" ")-1)),"/","-"),"年","-"),"月","-"),"日",""))),"")</f>
        <v/>
      </c>
      <c r="J718">
        <f>IFERROR(MID(I718,FIND("-",I718)+1,99),"")</f>
        <v/>
      </c>
    </row>
    <row r="719">
      <c r="B719">
        <f>IFERROR(IF($B$1=0,"",IF(INDEX(貼り付け!$A$1:$BZ$3001,718,$B$1)="","",IF(ISNUMBER(INDEX(貼り付け!$A$1:$BZ$3001,718,$B$1)),INT(INDEX(貼り付け!$A$1:$BZ$3001,718,$B$1)),DATE(VALUE(LEFT(I719,FIND("-",I719)-1)),VALUE(LEFT(J719,FIND("-",J719)-1)),VALUE(MID(J719,FIND("-",J719)+1,99)))))),"")</f>
        <v/>
      </c>
      <c r="C719">
        <f>IF($C$1=0,0,IFERROR(VALUE(SUBSTITUTE(SUBSTITUTE(SUBSTITUTE(INDEX(貼り付け!$A$1:$BZ$3001,718,$C$1)&amp;"",",",""),"¥",""),"￥","")),0))</f>
        <v/>
      </c>
      <c r="D719">
        <f>IF($D$1=0,0,IFERROR(VALUE(SUBSTITUTE(SUBSTITUTE(SUBSTITUTE(INDEX(貼り付け!$A$1:$BZ$3001,718,$D$1)&amp;"",",",""),"¥",""),"￥","")),0))</f>
        <v/>
      </c>
      <c r="E719">
        <f>IF($E$1=0,0,IFERROR(VALUE(SUBSTITUTE(SUBSTITUTE(SUBSTITUTE(INDEX(貼り付け!$A$1:$BZ$3001,718,$E$1)&amp;"",",",""),"¥",""),"￥","")),0))</f>
        <v/>
      </c>
      <c r="F719">
        <f>IF($F$1=0,0,IFERROR(VALUE(SUBSTITUTE(SUBSTITUTE(SUBSTITUTE(INDEX(貼り付け!$A$1:$BZ$3001,718,$F$1)&amp;"",",",""),"¥",""),"￥","")),0))</f>
        <v/>
      </c>
      <c r="G719">
        <f>IF(ISNUMBER(B719),YEAR(B719),"")</f>
        <v/>
      </c>
      <c r="H719">
        <f>IF(ISNUMBER(B719),MONTH(B719),"")</f>
        <v/>
      </c>
      <c r="I719">
        <f>IFERROR(IF($B$1=0,"",IF(ISNUMBER(INDEX(貼り付け!$A$1:$BZ$3001,718,$B$1)),"",SUBSTITUTE(SUBSTITUTE(SUBSTITUTE(SUBSTITUTE(TRIM(LEFT(INDEX(貼り付け!$A$1:$BZ$3001,718,$B$1)&amp;"",FIND(" ",TRIM(INDEX(貼り付け!$A$1:$BZ$3001,718,$B$1)&amp;"")&amp;" ")-1)),"/","-"),"年","-"),"月","-"),"日",""))),"")</f>
        <v/>
      </c>
      <c r="J719">
        <f>IFERROR(MID(I719,FIND("-",I719)+1,99),"")</f>
        <v/>
      </c>
    </row>
    <row r="720">
      <c r="B720">
        <f>IFERROR(IF($B$1=0,"",IF(INDEX(貼り付け!$A$1:$BZ$3001,719,$B$1)="","",IF(ISNUMBER(INDEX(貼り付け!$A$1:$BZ$3001,719,$B$1)),INT(INDEX(貼り付け!$A$1:$BZ$3001,719,$B$1)),DATE(VALUE(LEFT(I720,FIND("-",I720)-1)),VALUE(LEFT(J720,FIND("-",J720)-1)),VALUE(MID(J720,FIND("-",J720)+1,99)))))),"")</f>
        <v/>
      </c>
      <c r="C720">
        <f>IF($C$1=0,0,IFERROR(VALUE(SUBSTITUTE(SUBSTITUTE(SUBSTITUTE(INDEX(貼り付け!$A$1:$BZ$3001,719,$C$1)&amp;"",",",""),"¥",""),"￥","")),0))</f>
        <v/>
      </c>
      <c r="D720">
        <f>IF($D$1=0,0,IFERROR(VALUE(SUBSTITUTE(SUBSTITUTE(SUBSTITUTE(INDEX(貼り付け!$A$1:$BZ$3001,719,$D$1)&amp;"",",",""),"¥",""),"￥","")),0))</f>
        <v/>
      </c>
      <c r="E720">
        <f>IF($E$1=0,0,IFERROR(VALUE(SUBSTITUTE(SUBSTITUTE(SUBSTITUTE(INDEX(貼り付け!$A$1:$BZ$3001,719,$E$1)&amp;"",",",""),"¥",""),"￥","")),0))</f>
        <v/>
      </c>
      <c r="F720">
        <f>IF($F$1=0,0,IFERROR(VALUE(SUBSTITUTE(SUBSTITUTE(SUBSTITUTE(INDEX(貼り付け!$A$1:$BZ$3001,719,$F$1)&amp;"",",",""),"¥",""),"￥","")),0))</f>
        <v/>
      </c>
      <c r="G720">
        <f>IF(ISNUMBER(B720),YEAR(B720),"")</f>
        <v/>
      </c>
      <c r="H720">
        <f>IF(ISNUMBER(B720),MONTH(B720),"")</f>
        <v/>
      </c>
      <c r="I720">
        <f>IFERROR(IF($B$1=0,"",IF(ISNUMBER(INDEX(貼り付け!$A$1:$BZ$3001,719,$B$1)),"",SUBSTITUTE(SUBSTITUTE(SUBSTITUTE(SUBSTITUTE(TRIM(LEFT(INDEX(貼り付け!$A$1:$BZ$3001,719,$B$1)&amp;"",FIND(" ",TRIM(INDEX(貼り付け!$A$1:$BZ$3001,719,$B$1)&amp;"")&amp;" ")-1)),"/","-"),"年","-"),"月","-"),"日",""))),"")</f>
        <v/>
      </c>
      <c r="J720">
        <f>IFERROR(MID(I720,FIND("-",I720)+1,99),"")</f>
        <v/>
      </c>
    </row>
    <row r="721">
      <c r="B721">
        <f>IFERROR(IF($B$1=0,"",IF(INDEX(貼り付け!$A$1:$BZ$3001,720,$B$1)="","",IF(ISNUMBER(INDEX(貼り付け!$A$1:$BZ$3001,720,$B$1)),INT(INDEX(貼り付け!$A$1:$BZ$3001,720,$B$1)),DATE(VALUE(LEFT(I721,FIND("-",I721)-1)),VALUE(LEFT(J721,FIND("-",J721)-1)),VALUE(MID(J721,FIND("-",J721)+1,99)))))),"")</f>
        <v/>
      </c>
      <c r="C721">
        <f>IF($C$1=0,0,IFERROR(VALUE(SUBSTITUTE(SUBSTITUTE(SUBSTITUTE(INDEX(貼り付け!$A$1:$BZ$3001,720,$C$1)&amp;"",",",""),"¥",""),"￥","")),0))</f>
        <v/>
      </c>
      <c r="D721">
        <f>IF($D$1=0,0,IFERROR(VALUE(SUBSTITUTE(SUBSTITUTE(SUBSTITUTE(INDEX(貼り付け!$A$1:$BZ$3001,720,$D$1)&amp;"",",",""),"¥",""),"￥","")),0))</f>
        <v/>
      </c>
      <c r="E721">
        <f>IF($E$1=0,0,IFERROR(VALUE(SUBSTITUTE(SUBSTITUTE(SUBSTITUTE(INDEX(貼り付け!$A$1:$BZ$3001,720,$E$1)&amp;"",",",""),"¥",""),"￥","")),0))</f>
        <v/>
      </c>
      <c r="F721">
        <f>IF($F$1=0,0,IFERROR(VALUE(SUBSTITUTE(SUBSTITUTE(SUBSTITUTE(INDEX(貼り付け!$A$1:$BZ$3001,720,$F$1)&amp;"",",",""),"¥",""),"￥","")),0))</f>
        <v/>
      </c>
      <c r="G721">
        <f>IF(ISNUMBER(B721),YEAR(B721),"")</f>
        <v/>
      </c>
      <c r="H721">
        <f>IF(ISNUMBER(B721),MONTH(B721),"")</f>
        <v/>
      </c>
      <c r="I721">
        <f>IFERROR(IF($B$1=0,"",IF(ISNUMBER(INDEX(貼り付け!$A$1:$BZ$3001,720,$B$1)),"",SUBSTITUTE(SUBSTITUTE(SUBSTITUTE(SUBSTITUTE(TRIM(LEFT(INDEX(貼り付け!$A$1:$BZ$3001,720,$B$1)&amp;"",FIND(" ",TRIM(INDEX(貼り付け!$A$1:$BZ$3001,720,$B$1)&amp;"")&amp;" ")-1)),"/","-"),"年","-"),"月","-"),"日",""))),"")</f>
        <v/>
      </c>
      <c r="J721">
        <f>IFERROR(MID(I721,FIND("-",I721)+1,99),"")</f>
        <v/>
      </c>
    </row>
    <row r="722">
      <c r="B722">
        <f>IFERROR(IF($B$1=0,"",IF(INDEX(貼り付け!$A$1:$BZ$3001,721,$B$1)="","",IF(ISNUMBER(INDEX(貼り付け!$A$1:$BZ$3001,721,$B$1)),INT(INDEX(貼り付け!$A$1:$BZ$3001,721,$B$1)),DATE(VALUE(LEFT(I722,FIND("-",I722)-1)),VALUE(LEFT(J722,FIND("-",J722)-1)),VALUE(MID(J722,FIND("-",J722)+1,99)))))),"")</f>
        <v/>
      </c>
      <c r="C722">
        <f>IF($C$1=0,0,IFERROR(VALUE(SUBSTITUTE(SUBSTITUTE(SUBSTITUTE(INDEX(貼り付け!$A$1:$BZ$3001,721,$C$1)&amp;"",",",""),"¥",""),"￥","")),0))</f>
        <v/>
      </c>
      <c r="D722">
        <f>IF($D$1=0,0,IFERROR(VALUE(SUBSTITUTE(SUBSTITUTE(SUBSTITUTE(INDEX(貼り付け!$A$1:$BZ$3001,721,$D$1)&amp;"",",",""),"¥",""),"￥","")),0))</f>
        <v/>
      </c>
      <c r="E722">
        <f>IF($E$1=0,0,IFERROR(VALUE(SUBSTITUTE(SUBSTITUTE(SUBSTITUTE(INDEX(貼り付け!$A$1:$BZ$3001,721,$E$1)&amp;"",",",""),"¥",""),"￥","")),0))</f>
        <v/>
      </c>
      <c r="F722">
        <f>IF($F$1=0,0,IFERROR(VALUE(SUBSTITUTE(SUBSTITUTE(SUBSTITUTE(INDEX(貼り付け!$A$1:$BZ$3001,721,$F$1)&amp;"",",",""),"¥",""),"￥","")),0))</f>
        <v/>
      </c>
      <c r="G722">
        <f>IF(ISNUMBER(B722),YEAR(B722),"")</f>
        <v/>
      </c>
      <c r="H722">
        <f>IF(ISNUMBER(B722),MONTH(B722),"")</f>
        <v/>
      </c>
      <c r="I722">
        <f>IFERROR(IF($B$1=0,"",IF(ISNUMBER(INDEX(貼り付け!$A$1:$BZ$3001,721,$B$1)),"",SUBSTITUTE(SUBSTITUTE(SUBSTITUTE(SUBSTITUTE(TRIM(LEFT(INDEX(貼り付け!$A$1:$BZ$3001,721,$B$1)&amp;"",FIND(" ",TRIM(INDEX(貼り付け!$A$1:$BZ$3001,721,$B$1)&amp;"")&amp;" ")-1)),"/","-"),"年","-"),"月","-"),"日",""))),"")</f>
        <v/>
      </c>
      <c r="J722">
        <f>IFERROR(MID(I722,FIND("-",I722)+1,99),"")</f>
        <v/>
      </c>
    </row>
    <row r="723">
      <c r="B723">
        <f>IFERROR(IF($B$1=0,"",IF(INDEX(貼り付け!$A$1:$BZ$3001,722,$B$1)="","",IF(ISNUMBER(INDEX(貼り付け!$A$1:$BZ$3001,722,$B$1)),INT(INDEX(貼り付け!$A$1:$BZ$3001,722,$B$1)),DATE(VALUE(LEFT(I723,FIND("-",I723)-1)),VALUE(LEFT(J723,FIND("-",J723)-1)),VALUE(MID(J723,FIND("-",J723)+1,99)))))),"")</f>
        <v/>
      </c>
      <c r="C723">
        <f>IF($C$1=0,0,IFERROR(VALUE(SUBSTITUTE(SUBSTITUTE(SUBSTITUTE(INDEX(貼り付け!$A$1:$BZ$3001,722,$C$1)&amp;"",",",""),"¥",""),"￥","")),0))</f>
        <v/>
      </c>
      <c r="D723">
        <f>IF($D$1=0,0,IFERROR(VALUE(SUBSTITUTE(SUBSTITUTE(SUBSTITUTE(INDEX(貼り付け!$A$1:$BZ$3001,722,$D$1)&amp;"",",",""),"¥",""),"￥","")),0))</f>
        <v/>
      </c>
      <c r="E723">
        <f>IF($E$1=0,0,IFERROR(VALUE(SUBSTITUTE(SUBSTITUTE(SUBSTITUTE(INDEX(貼り付け!$A$1:$BZ$3001,722,$E$1)&amp;"",",",""),"¥",""),"￥","")),0))</f>
        <v/>
      </c>
      <c r="F723">
        <f>IF($F$1=0,0,IFERROR(VALUE(SUBSTITUTE(SUBSTITUTE(SUBSTITUTE(INDEX(貼り付け!$A$1:$BZ$3001,722,$F$1)&amp;"",",",""),"¥",""),"￥","")),0))</f>
        <v/>
      </c>
      <c r="G723">
        <f>IF(ISNUMBER(B723),YEAR(B723),"")</f>
        <v/>
      </c>
      <c r="H723">
        <f>IF(ISNUMBER(B723),MONTH(B723),"")</f>
        <v/>
      </c>
      <c r="I723">
        <f>IFERROR(IF($B$1=0,"",IF(ISNUMBER(INDEX(貼り付け!$A$1:$BZ$3001,722,$B$1)),"",SUBSTITUTE(SUBSTITUTE(SUBSTITUTE(SUBSTITUTE(TRIM(LEFT(INDEX(貼り付け!$A$1:$BZ$3001,722,$B$1)&amp;"",FIND(" ",TRIM(INDEX(貼り付け!$A$1:$BZ$3001,722,$B$1)&amp;"")&amp;" ")-1)),"/","-"),"年","-"),"月","-"),"日",""))),"")</f>
        <v/>
      </c>
      <c r="J723">
        <f>IFERROR(MID(I723,FIND("-",I723)+1,99),"")</f>
        <v/>
      </c>
    </row>
    <row r="724">
      <c r="B724">
        <f>IFERROR(IF($B$1=0,"",IF(INDEX(貼り付け!$A$1:$BZ$3001,723,$B$1)="","",IF(ISNUMBER(INDEX(貼り付け!$A$1:$BZ$3001,723,$B$1)),INT(INDEX(貼り付け!$A$1:$BZ$3001,723,$B$1)),DATE(VALUE(LEFT(I724,FIND("-",I724)-1)),VALUE(LEFT(J724,FIND("-",J724)-1)),VALUE(MID(J724,FIND("-",J724)+1,99)))))),"")</f>
        <v/>
      </c>
      <c r="C724">
        <f>IF($C$1=0,0,IFERROR(VALUE(SUBSTITUTE(SUBSTITUTE(SUBSTITUTE(INDEX(貼り付け!$A$1:$BZ$3001,723,$C$1)&amp;"",",",""),"¥",""),"￥","")),0))</f>
        <v/>
      </c>
      <c r="D724">
        <f>IF($D$1=0,0,IFERROR(VALUE(SUBSTITUTE(SUBSTITUTE(SUBSTITUTE(INDEX(貼り付け!$A$1:$BZ$3001,723,$D$1)&amp;"",",",""),"¥",""),"￥","")),0))</f>
        <v/>
      </c>
      <c r="E724">
        <f>IF($E$1=0,0,IFERROR(VALUE(SUBSTITUTE(SUBSTITUTE(SUBSTITUTE(INDEX(貼り付け!$A$1:$BZ$3001,723,$E$1)&amp;"",",",""),"¥",""),"￥","")),0))</f>
        <v/>
      </c>
      <c r="F724">
        <f>IF($F$1=0,0,IFERROR(VALUE(SUBSTITUTE(SUBSTITUTE(SUBSTITUTE(INDEX(貼り付け!$A$1:$BZ$3001,723,$F$1)&amp;"",",",""),"¥",""),"￥","")),0))</f>
        <v/>
      </c>
      <c r="G724">
        <f>IF(ISNUMBER(B724),YEAR(B724),"")</f>
        <v/>
      </c>
      <c r="H724">
        <f>IF(ISNUMBER(B724),MONTH(B724),"")</f>
        <v/>
      </c>
      <c r="I724">
        <f>IFERROR(IF($B$1=0,"",IF(ISNUMBER(INDEX(貼り付け!$A$1:$BZ$3001,723,$B$1)),"",SUBSTITUTE(SUBSTITUTE(SUBSTITUTE(SUBSTITUTE(TRIM(LEFT(INDEX(貼り付け!$A$1:$BZ$3001,723,$B$1)&amp;"",FIND(" ",TRIM(INDEX(貼り付け!$A$1:$BZ$3001,723,$B$1)&amp;"")&amp;" ")-1)),"/","-"),"年","-"),"月","-"),"日",""))),"")</f>
        <v/>
      </c>
      <c r="J724">
        <f>IFERROR(MID(I724,FIND("-",I724)+1,99),"")</f>
        <v/>
      </c>
    </row>
    <row r="725">
      <c r="B725">
        <f>IFERROR(IF($B$1=0,"",IF(INDEX(貼り付け!$A$1:$BZ$3001,724,$B$1)="","",IF(ISNUMBER(INDEX(貼り付け!$A$1:$BZ$3001,724,$B$1)),INT(INDEX(貼り付け!$A$1:$BZ$3001,724,$B$1)),DATE(VALUE(LEFT(I725,FIND("-",I725)-1)),VALUE(LEFT(J725,FIND("-",J725)-1)),VALUE(MID(J725,FIND("-",J725)+1,99)))))),"")</f>
        <v/>
      </c>
      <c r="C725">
        <f>IF($C$1=0,0,IFERROR(VALUE(SUBSTITUTE(SUBSTITUTE(SUBSTITUTE(INDEX(貼り付け!$A$1:$BZ$3001,724,$C$1)&amp;"",",",""),"¥",""),"￥","")),0))</f>
        <v/>
      </c>
      <c r="D725">
        <f>IF($D$1=0,0,IFERROR(VALUE(SUBSTITUTE(SUBSTITUTE(SUBSTITUTE(INDEX(貼り付け!$A$1:$BZ$3001,724,$D$1)&amp;"",",",""),"¥",""),"￥","")),0))</f>
        <v/>
      </c>
      <c r="E725">
        <f>IF($E$1=0,0,IFERROR(VALUE(SUBSTITUTE(SUBSTITUTE(SUBSTITUTE(INDEX(貼り付け!$A$1:$BZ$3001,724,$E$1)&amp;"",",",""),"¥",""),"￥","")),0))</f>
        <v/>
      </c>
      <c r="F725">
        <f>IF($F$1=0,0,IFERROR(VALUE(SUBSTITUTE(SUBSTITUTE(SUBSTITUTE(INDEX(貼り付け!$A$1:$BZ$3001,724,$F$1)&amp;"",",",""),"¥",""),"￥","")),0))</f>
        <v/>
      </c>
      <c r="G725">
        <f>IF(ISNUMBER(B725),YEAR(B725),"")</f>
        <v/>
      </c>
      <c r="H725">
        <f>IF(ISNUMBER(B725),MONTH(B725),"")</f>
        <v/>
      </c>
      <c r="I725">
        <f>IFERROR(IF($B$1=0,"",IF(ISNUMBER(INDEX(貼り付け!$A$1:$BZ$3001,724,$B$1)),"",SUBSTITUTE(SUBSTITUTE(SUBSTITUTE(SUBSTITUTE(TRIM(LEFT(INDEX(貼り付け!$A$1:$BZ$3001,724,$B$1)&amp;"",FIND(" ",TRIM(INDEX(貼り付け!$A$1:$BZ$3001,724,$B$1)&amp;"")&amp;" ")-1)),"/","-"),"年","-"),"月","-"),"日",""))),"")</f>
        <v/>
      </c>
      <c r="J725">
        <f>IFERROR(MID(I725,FIND("-",I725)+1,99),"")</f>
        <v/>
      </c>
    </row>
    <row r="726">
      <c r="B726">
        <f>IFERROR(IF($B$1=0,"",IF(INDEX(貼り付け!$A$1:$BZ$3001,725,$B$1)="","",IF(ISNUMBER(INDEX(貼り付け!$A$1:$BZ$3001,725,$B$1)),INT(INDEX(貼り付け!$A$1:$BZ$3001,725,$B$1)),DATE(VALUE(LEFT(I726,FIND("-",I726)-1)),VALUE(LEFT(J726,FIND("-",J726)-1)),VALUE(MID(J726,FIND("-",J726)+1,99)))))),"")</f>
        <v/>
      </c>
      <c r="C726">
        <f>IF($C$1=0,0,IFERROR(VALUE(SUBSTITUTE(SUBSTITUTE(SUBSTITUTE(INDEX(貼り付け!$A$1:$BZ$3001,725,$C$1)&amp;"",",",""),"¥",""),"￥","")),0))</f>
        <v/>
      </c>
      <c r="D726">
        <f>IF($D$1=0,0,IFERROR(VALUE(SUBSTITUTE(SUBSTITUTE(SUBSTITUTE(INDEX(貼り付け!$A$1:$BZ$3001,725,$D$1)&amp;"",",",""),"¥",""),"￥","")),0))</f>
        <v/>
      </c>
      <c r="E726">
        <f>IF($E$1=0,0,IFERROR(VALUE(SUBSTITUTE(SUBSTITUTE(SUBSTITUTE(INDEX(貼り付け!$A$1:$BZ$3001,725,$E$1)&amp;"",",",""),"¥",""),"￥","")),0))</f>
        <v/>
      </c>
      <c r="F726">
        <f>IF($F$1=0,0,IFERROR(VALUE(SUBSTITUTE(SUBSTITUTE(SUBSTITUTE(INDEX(貼り付け!$A$1:$BZ$3001,725,$F$1)&amp;"",",",""),"¥",""),"￥","")),0))</f>
        <v/>
      </c>
      <c r="G726">
        <f>IF(ISNUMBER(B726),YEAR(B726),"")</f>
        <v/>
      </c>
      <c r="H726">
        <f>IF(ISNUMBER(B726),MONTH(B726),"")</f>
        <v/>
      </c>
      <c r="I726">
        <f>IFERROR(IF($B$1=0,"",IF(ISNUMBER(INDEX(貼り付け!$A$1:$BZ$3001,725,$B$1)),"",SUBSTITUTE(SUBSTITUTE(SUBSTITUTE(SUBSTITUTE(TRIM(LEFT(INDEX(貼り付け!$A$1:$BZ$3001,725,$B$1)&amp;"",FIND(" ",TRIM(INDEX(貼り付け!$A$1:$BZ$3001,725,$B$1)&amp;"")&amp;" ")-1)),"/","-"),"年","-"),"月","-"),"日",""))),"")</f>
        <v/>
      </c>
      <c r="J726">
        <f>IFERROR(MID(I726,FIND("-",I726)+1,99),"")</f>
        <v/>
      </c>
    </row>
    <row r="727">
      <c r="B727">
        <f>IFERROR(IF($B$1=0,"",IF(INDEX(貼り付け!$A$1:$BZ$3001,726,$B$1)="","",IF(ISNUMBER(INDEX(貼り付け!$A$1:$BZ$3001,726,$B$1)),INT(INDEX(貼り付け!$A$1:$BZ$3001,726,$B$1)),DATE(VALUE(LEFT(I727,FIND("-",I727)-1)),VALUE(LEFT(J727,FIND("-",J727)-1)),VALUE(MID(J727,FIND("-",J727)+1,99)))))),"")</f>
        <v/>
      </c>
      <c r="C727">
        <f>IF($C$1=0,0,IFERROR(VALUE(SUBSTITUTE(SUBSTITUTE(SUBSTITUTE(INDEX(貼り付け!$A$1:$BZ$3001,726,$C$1)&amp;"",",",""),"¥",""),"￥","")),0))</f>
        <v/>
      </c>
      <c r="D727">
        <f>IF($D$1=0,0,IFERROR(VALUE(SUBSTITUTE(SUBSTITUTE(SUBSTITUTE(INDEX(貼り付け!$A$1:$BZ$3001,726,$D$1)&amp;"",",",""),"¥",""),"￥","")),0))</f>
        <v/>
      </c>
      <c r="E727">
        <f>IF($E$1=0,0,IFERROR(VALUE(SUBSTITUTE(SUBSTITUTE(SUBSTITUTE(INDEX(貼り付け!$A$1:$BZ$3001,726,$E$1)&amp;"",",",""),"¥",""),"￥","")),0))</f>
        <v/>
      </c>
      <c r="F727">
        <f>IF($F$1=0,0,IFERROR(VALUE(SUBSTITUTE(SUBSTITUTE(SUBSTITUTE(INDEX(貼り付け!$A$1:$BZ$3001,726,$F$1)&amp;"",",",""),"¥",""),"￥","")),0))</f>
        <v/>
      </c>
      <c r="G727">
        <f>IF(ISNUMBER(B727),YEAR(B727),"")</f>
        <v/>
      </c>
      <c r="H727">
        <f>IF(ISNUMBER(B727),MONTH(B727),"")</f>
        <v/>
      </c>
      <c r="I727">
        <f>IFERROR(IF($B$1=0,"",IF(ISNUMBER(INDEX(貼り付け!$A$1:$BZ$3001,726,$B$1)),"",SUBSTITUTE(SUBSTITUTE(SUBSTITUTE(SUBSTITUTE(TRIM(LEFT(INDEX(貼り付け!$A$1:$BZ$3001,726,$B$1)&amp;"",FIND(" ",TRIM(INDEX(貼り付け!$A$1:$BZ$3001,726,$B$1)&amp;"")&amp;" ")-1)),"/","-"),"年","-"),"月","-"),"日",""))),"")</f>
        <v/>
      </c>
      <c r="J727">
        <f>IFERROR(MID(I727,FIND("-",I727)+1,99),"")</f>
        <v/>
      </c>
    </row>
    <row r="728">
      <c r="B728">
        <f>IFERROR(IF($B$1=0,"",IF(INDEX(貼り付け!$A$1:$BZ$3001,727,$B$1)="","",IF(ISNUMBER(INDEX(貼り付け!$A$1:$BZ$3001,727,$B$1)),INT(INDEX(貼り付け!$A$1:$BZ$3001,727,$B$1)),DATE(VALUE(LEFT(I728,FIND("-",I728)-1)),VALUE(LEFT(J728,FIND("-",J728)-1)),VALUE(MID(J728,FIND("-",J728)+1,99)))))),"")</f>
        <v/>
      </c>
      <c r="C728">
        <f>IF($C$1=0,0,IFERROR(VALUE(SUBSTITUTE(SUBSTITUTE(SUBSTITUTE(INDEX(貼り付け!$A$1:$BZ$3001,727,$C$1)&amp;"",",",""),"¥",""),"￥","")),0))</f>
        <v/>
      </c>
      <c r="D728">
        <f>IF($D$1=0,0,IFERROR(VALUE(SUBSTITUTE(SUBSTITUTE(SUBSTITUTE(INDEX(貼り付け!$A$1:$BZ$3001,727,$D$1)&amp;"",",",""),"¥",""),"￥","")),0))</f>
        <v/>
      </c>
      <c r="E728">
        <f>IF($E$1=0,0,IFERROR(VALUE(SUBSTITUTE(SUBSTITUTE(SUBSTITUTE(INDEX(貼り付け!$A$1:$BZ$3001,727,$E$1)&amp;"",",",""),"¥",""),"￥","")),0))</f>
        <v/>
      </c>
      <c r="F728">
        <f>IF($F$1=0,0,IFERROR(VALUE(SUBSTITUTE(SUBSTITUTE(SUBSTITUTE(INDEX(貼り付け!$A$1:$BZ$3001,727,$F$1)&amp;"",",",""),"¥",""),"￥","")),0))</f>
        <v/>
      </c>
      <c r="G728">
        <f>IF(ISNUMBER(B728),YEAR(B728),"")</f>
        <v/>
      </c>
      <c r="H728">
        <f>IF(ISNUMBER(B728),MONTH(B728),"")</f>
        <v/>
      </c>
      <c r="I728">
        <f>IFERROR(IF($B$1=0,"",IF(ISNUMBER(INDEX(貼り付け!$A$1:$BZ$3001,727,$B$1)),"",SUBSTITUTE(SUBSTITUTE(SUBSTITUTE(SUBSTITUTE(TRIM(LEFT(INDEX(貼り付け!$A$1:$BZ$3001,727,$B$1)&amp;"",FIND(" ",TRIM(INDEX(貼り付け!$A$1:$BZ$3001,727,$B$1)&amp;"")&amp;" ")-1)),"/","-"),"年","-"),"月","-"),"日",""))),"")</f>
        <v/>
      </c>
      <c r="J728">
        <f>IFERROR(MID(I728,FIND("-",I728)+1,99),"")</f>
        <v/>
      </c>
    </row>
    <row r="729">
      <c r="B729">
        <f>IFERROR(IF($B$1=0,"",IF(INDEX(貼り付け!$A$1:$BZ$3001,728,$B$1)="","",IF(ISNUMBER(INDEX(貼り付け!$A$1:$BZ$3001,728,$B$1)),INT(INDEX(貼り付け!$A$1:$BZ$3001,728,$B$1)),DATE(VALUE(LEFT(I729,FIND("-",I729)-1)),VALUE(LEFT(J729,FIND("-",J729)-1)),VALUE(MID(J729,FIND("-",J729)+1,99)))))),"")</f>
        <v/>
      </c>
      <c r="C729">
        <f>IF($C$1=0,0,IFERROR(VALUE(SUBSTITUTE(SUBSTITUTE(SUBSTITUTE(INDEX(貼り付け!$A$1:$BZ$3001,728,$C$1)&amp;"",",",""),"¥",""),"￥","")),0))</f>
        <v/>
      </c>
      <c r="D729">
        <f>IF($D$1=0,0,IFERROR(VALUE(SUBSTITUTE(SUBSTITUTE(SUBSTITUTE(INDEX(貼り付け!$A$1:$BZ$3001,728,$D$1)&amp;"",",",""),"¥",""),"￥","")),0))</f>
        <v/>
      </c>
      <c r="E729">
        <f>IF($E$1=0,0,IFERROR(VALUE(SUBSTITUTE(SUBSTITUTE(SUBSTITUTE(INDEX(貼り付け!$A$1:$BZ$3001,728,$E$1)&amp;"",",",""),"¥",""),"￥","")),0))</f>
        <v/>
      </c>
      <c r="F729">
        <f>IF($F$1=0,0,IFERROR(VALUE(SUBSTITUTE(SUBSTITUTE(SUBSTITUTE(INDEX(貼り付け!$A$1:$BZ$3001,728,$F$1)&amp;"",",",""),"¥",""),"￥","")),0))</f>
        <v/>
      </c>
      <c r="G729">
        <f>IF(ISNUMBER(B729),YEAR(B729),"")</f>
        <v/>
      </c>
      <c r="H729">
        <f>IF(ISNUMBER(B729),MONTH(B729),"")</f>
        <v/>
      </c>
      <c r="I729">
        <f>IFERROR(IF($B$1=0,"",IF(ISNUMBER(INDEX(貼り付け!$A$1:$BZ$3001,728,$B$1)),"",SUBSTITUTE(SUBSTITUTE(SUBSTITUTE(SUBSTITUTE(TRIM(LEFT(INDEX(貼り付け!$A$1:$BZ$3001,728,$B$1)&amp;"",FIND(" ",TRIM(INDEX(貼り付け!$A$1:$BZ$3001,728,$B$1)&amp;"")&amp;" ")-1)),"/","-"),"年","-"),"月","-"),"日",""))),"")</f>
        <v/>
      </c>
      <c r="J729">
        <f>IFERROR(MID(I729,FIND("-",I729)+1,99),"")</f>
        <v/>
      </c>
    </row>
    <row r="730">
      <c r="B730">
        <f>IFERROR(IF($B$1=0,"",IF(INDEX(貼り付け!$A$1:$BZ$3001,729,$B$1)="","",IF(ISNUMBER(INDEX(貼り付け!$A$1:$BZ$3001,729,$B$1)),INT(INDEX(貼り付け!$A$1:$BZ$3001,729,$B$1)),DATE(VALUE(LEFT(I730,FIND("-",I730)-1)),VALUE(LEFT(J730,FIND("-",J730)-1)),VALUE(MID(J730,FIND("-",J730)+1,99)))))),"")</f>
        <v/>
      </c>
      <c r="C730">
        <f>IF($C$1=0,0,IFERROR(VALUE(SUBSTITUTE(SUBSTITUTE(SUBSTITUTE(INDEX(貼り付け!$A$1:$BZ$3001,729,$C$1)&amp;"",",",""),"¥",""),"￥","")),0))</f>
        <v/>
      </c>
      <c r="D730">
        <f>IF($D$1=0,0,IFERROR(VALUE(SUBSTITUTE(SUBSTITUTE(SUBSTITUTE(INDEX(貼り付け!$A$1:$BZ$3001,729,$D$1)&amp;"",",",""),"¥",""),"￥","")),0))</f>
        <v/>
      </c>
      <c r="E730">
        <f>IF($E$1=0,0,IFERROR(VALUE(SUBSTITUTE(SUBSTITUTE(SUBSTITUTE(INDEX(貼り付け!$A$1:$BZ$3001,729,$E$1)&amp;"",",",""),"¥",""),"￥","")),0))</f>
        <v/>
      </c>
      <c r="F730">
        <f>IF($F$1=0,0,IFERROR(VALUE(SUBSTITUTE(SUBSTITUTE(SUBSTITUTE(INDEX(貼り付け!$A$1:$BZ$3001,729,$F$1)&amp;"",",",""),"¥",""),"￥","")),0))</f>
        <v/>
      </c>
      <c r="G730">
        <f>IF(ISNUMBER(B730),YEAR(B730),"")</f>
        <v/>
      </c>
      <c r="H730">
        <f>IF(ISNUMBER(B730),MONTH(B730),"")</f>
        <v/>
      </c>
      <c r="I730">
        <f>IFERROR(IF($B$1=0,"",IF(ISNUMBER(INDEX(貼り付け!$A$1:$BZ$3001,729,$B$1)),"",SUBSTITUTE(SUBSTITUTE(SUBSTITUTE(SUBSTITUTE(TRIM(LEFT(INDEX(貼り付け!$A$1:$BZ$3001,729,$B$1)&amp;"",FIND(" ",TRIM(INDEX(貼り付け!$A$1:$BZ$3001,729,$B$1)&amp;"")&amp;" ")-1)),"/","-"),"年","-"),"月","-"),"日",""))),"")</f>
        <v/>
      </c>
      <c r="J730">
        <f>IFERROR(MID(I730,FIND("-",I730)+1,99),"")</f>
        <v/>
      </c>
    </row>
    <row r="731">
      <c r="B731">
        <f>IFERROR(IF($B$1=0,"",IF(INDEX(貼り付け!$A$1:$BZ$3001,730,$B$1)="","",IF(ISNUMBER(INDEX(貼り付け!$A$1:$BZ$3001,730,$B$1)),INT(INDEX(貼り付け!$A$1:$BZ$3001,730,$B$1)),DATE(VALUE(LEFT(I731,FIND("-",I731)-1)),VALUE(LEFT(J731,FIND("-",J731)-1)),VALUE(MID(J731,FIND("-",J731)+1,99)))))),"")</f>
        <v/>
      </c>
      <c r="C731">
        <f>IF($C$1=0,0,IFERROR(VALUE(SUBSTITUTE(SUBSTITUTE(SUBSTITUTE(INDEX(貼り付け!$A$1:$BZ$3001,730,$C$1)&amp;"",",",""),"¥",""),"￥","")),0))</f>
        <v/>
      </c>
      <c r="D731">
        <f>IF($D$1=0,0,IFERROR(VALUE(SUBSTITUTE(SUBSTITUTE(SUBSTITUTE(INDEX(貼り付け!$A$1:$BZ$3001,730,$D$1)&amp;"",",",""),"¥",""),"￥","")),0))</f>
        <v/>
      </c>
      <c r="E731">
        <f>IF($E$1=0,0,IFERROR(VALUE(SUBSTITUTE(SUBSTITUTE(SUBSTITUTE(INDEX(貼り付け!$A$1:$BZ$3001,730,$E$1)&amp;"",",",""),"¥",""),"￥","")),0))</f>
        <v/>
      </c>
      <c r="F731">
        <f>IF($F$1=0,0,IFERROR(VALUE(SUBSTITUTE(SUBSTITUTE(SUBSTITUTE(INDEX(貼り付け!$A$1:$BZ$3001,730,$F$1)&amp;"",",",""),"¥",""),"￥","")),0))</f>
        <v/>
      </c>
      <c r="G731">
        <f>IF(ISNUMBER(B731),YEAR(B731),"")</f>
        <v/>
      </c>
      <c r="H731">
        <f>IF(ISNUMBER(B731),MONTH(B731),"")</f>
        <v/>
      </c>
      <c r="I731">
        <f>IFERROR(IF($B$1=0,"",IF(ISNUMBER(INDEX(貼り付け!$A$1:$BZ$3001,730,$B$1)),"",SUBSTITUTE(SUBSTITUTE(SUBSTITUTE(SUBSTITUTE(TRIM(LEFT(INDEX(貼り付け!$A$1:$BZ$3001,730,$B$1)&amp;"",FIND(" ",TRIM(INDEX(貼り付け!$A$1:$BZ$3001,730,$B$1)&amp;"")&amp;" ")-1)),"/","-"),"年","-"),"月","-"),"日",""))),"")</f>
        <v/>
      </c>
      <c r="J731">
        <f>IFERROR(MID(I731,FIND("-",I731)+1,99),"")</f>
        <v/>
      </c>
    </row>
    <row r="732">
      <c r="B732">
        <f>IFERROR(IF($B$1=0,"",IF(INDEX(貼り付け!$A$1:$BZ$3001,731,$B$1)="","",IF(ISNUMBER(INDEX(貼り付け!$A$1:$BZ$3001,731,$B$1)),INT(INDEX(貼り付け!$A$1:$BZ$3001,731,$B$1)),DATE(VALUE(LEFT(I732,FIND("-",I732)-1)),VALUE(LEFT(J732,FIND("-",J732)-1)),VALUE(MID(J732,FIND("-",J732)+1,99)))))),"")</f>
        <v/>
      </c>
      <c r="C732">
        <f>IF($C$1=0,0,IFERROR(VALUE(SUBSTITUTE(SUBSTITUTE(SUBSTITUTE(INDEX(貼り付け!$A$1:$BZ$3001,731,$C$1)&amp;"",",",""),"¥",""),"￥","")),0))</f>
        <v/>
      </c>
      <c r="D732">
        <f>IF($D$1=0,0,IFERROR(VALUE(SUBSTITUTE(SUBSTITUTE(SUBSTITUTE(INDEX(貼り付け!$A$1:$BZ$3001,731,$D$1)&amp;"",",",""),"¥",""),"￥","")),0))</f>
        <v/>
      </c>
      <c r="E732">
        <f>IF($E$1=0,0,IFERROR(VALUE(SUBSTITUTE(SUBSTITUTE(SUBSTITUTE(INDEX(貼り付け!$A$1:$BZ$3001,731,$E$1)&amp;"",",",""),"¥",""),"￥","")),0))</f>
        <v/>
      </c>
      <c r="F732">
        <f>IF($F$1=0,0,IFERROR(VALUE(SUBSTITUTE(SUBSTITUTE(SUBSTITUTE(INDEX(貼り付け!$A$1:$BZ$3001,731,$F$1)&amp;"",",",""),"¥",""),"￥","")),0))</f>
        <v/>
      </c>
      <c r="G732">
        <f>IF(ISNUMBER(B732),YEAR(B732),"")</f>
        <v/>
      </c>
      <c r="H732">
        <f>IF(ISNUMBER(B732),MONTH(B732),"")</f>
        <v/>
      </c>
      <c r="I732">
        <f>IFERROR(IF($B$1=0,"",IF(ISNUMBER(INDEX(貼り付け!$A$1:$BZ$3001,731,$B$1)),"",SUBSTITUTE(SUBSTITUTE(SUBSTITUTE(SUBSTITUTE(TRIM(LEFT(INDEX(貼り付け!$A$1:$BZ$3001,731,$B$1)&amp;"",FIND(" ",TRIM(INDEX(貼り付け!$A$1:$BZ$3001,731,$B$1)&amp;"")&amp;" ")-1)),"/","-"),"年","-"),"月","-"),"日",""))),"")</f>
        <v/>
      </c>
      <c r="J732">
        <f>IFERROR(MID(I732,FIND("-",I732)+1,99),"")</f>
        <v/>
      </c>
    </row>
    <row r="733">
      <c r="B733">
        <f>IFERROR(IF($B$1=0,"",IF(INDEX(貼り付け!$A$1:$BZ$3001,732,$B$1)="","",IF(ISNUMBER(INDEX(貼り付け!$A$1:$BZ$3001,732,$B$1)),INT(INDEX(貼り付け!$A$1:$BZ$3001,732,$B$1)),DATE(VALUE(LEFT(I733,FIND("-",I733)-1)),VALUE(LEFT(J733,FIND("-",J733)-1)),VALUE(MID(J733,FIND("-",J733)+1,99)))))),"")</f>
        <v/>
      </c>
      <c r="C733">
        <f>IF($C$1=0,0,IFERROR(VALUE(SUBSTITUTE(SUBSTITUTE(SUBSTITUTE(INDEX(貼り付け!$A$1:$BZ$3001,732,$C$1)&amp;"",",",""),"¥",""),"￥","")),0))</f>
        <v/>
      </c>
      <c r="D733">
        <f>IF($D$1=0,0,IFERROR(VALUE(SUBSTITUTE(SUBSTITUTE(SUBSTITUTE(INDEX(貼り付け!$A$1:$BZ$3001,732,$D$1)&amp;"",",",""),"¥",""),"￥","")),0))</f>
        <v/>
      </c>
      <c r="E733">
        <f>IF($E$1=0,0,IFERROR(VALUE(SUBSTITUTE(SUBSTITUTE(SUBSTITUTE(INDEX(貼り付け!$A$1:$BZ$3001,732,$E$1)&amp;"",",",""),"¥",""),"￥","")),0))</f>
        <v/>
      </c>
      <c r="F733">
        <f>IF($F$1=0,0,IFERROR(VALUE(SUBSTITUTE(SUBSTITUTE(SUBSTITUTE(INDEX(貼り付け!$A$1:$BZ$3001,732,$F$1)&amp;"",",",""),"¥",""),"￥","")),0))</f>
        <v/>
      </c>
      <c r="G733">
        <f>IF(ISNUMBER(B733),YEAR(B733),"")</f>
        <v/>
      </c>
      <c r="H733">
        <f>IF(ISNUMBER(B733),MONTH(B733),"")</f>
        <v/>
      </c>
      <c r="I733">
        <f>IFERROR(IF($B$1=0,"",IF(ISNUMBER(INDEX(貼り付け!$A$1:$BZ$3001,732,$B$1)),"",SUBSTITUTE(SUBSTITUTE(SUBSTITUTE(SUBSTITUTE(TRIM(LEFT(INDEX(貼り付け!$A$1:$BZ$3001,732,$B$1)&amp;"",FIND(" ",TRIM(INDEX(貼り付け!$A$1:$BZ$3001,732,$B$1)&amp;"")&amp;" ")-1)),"/","-"),"年","-"),"月","-"),"日",""))),"")</f>
        <v/>
      </c>
      <c r="J733">
        <f>IFERROR(MID(I733,FIND("-",I733)+1,99),"")</f>
        <v/>
      </c>
    </row>
    <row r="734">
      <c r="B734">
        <f>IFERROR(IF($B$1=0,"",IF(INDEX(貼り付け!$A$1:$BZ$3001,733,$B$1)="","",IF(ISNUMBER(INDEX(貼り付け!$A$1:$BZ$3001,733,$B$1)),INT(INDEX(貼り付け!$A$1:$BZ$3001,733,$B$1)),DATE(VALUE(LEFT(I734,FIND("-",I734)-1)),VALUE(LEFT(J734,FIND("-",J734)-1)),VALUE(MID(J734,FIND("-",J734)+1,99)))))),"")</f>
        <v/>
      </c>
      <c r="C734">
        <f>IF($C$1=0,0,IFERROR(VALUE(SUBSTITUTE(SUBSTITUTE(SUBSTITUTE(INDEX(貼り付け!$A$1:$BZ$3001,733,$C$1)&amp;"",",",""),"¥",""),"￥","")),0))</f>
        <v/>
      </c>
      <c r="D734">
        <f>IF($D$1=0,0,IFERROR(VALUE(SUBSTITUTE(SUBSTITUTE(SUBSTITUTE(INDEX(貼り付け!$A$1:$BZ$3001,733,$D$1)&amp;"",",",""),"¥",""),"￥","")),0))</f>
        <v/>
      </c>
      <c r="E734">
        <f>IF($E$1=0,0,IFERROR(VALUE(SUBSTITUTE(SUBSTITUTE(SUBSTITUTE(INDEX(貼り付け!$A$1:$BZ$3001,733,$E$1)&amp;"",",",""),"¥",""),"￥","")),0))</f>
        <v/>
      </c>
      <c r="F734">
        <f>IF($F$1=0,0,IFERROR(VALUE(SUBSTITUTE(SUBSTITUTE(SUBSTITUTE(INDEX(貼り付け!$A$1:$BZ$3001,733,$F$1)&amp;"",",",""),"¥",""),"￥","")),0))</f>
        <v/>
      </c>
      <c r="G734">
        <f>IF(ISNUMBER(B734),YEAR(B734),"")</f>
        <v/>
      </c>
      <c r="H734">
        <f>IF(ISNUMBER(B734),MONTH(B734),"")</f>
        <v/>
      </c>
      <c r="I734">
        <f>IFERROR(IF($B$1=0,"",IF(ISNUMBER(INDEX(貼り付け!$A$1:$BZ$3001,733,$B$1)),"",SUBSTITUTE(SUBSTITUTE(SUBSTITUTE(SUBSTITUTE(TRIM(LEFT(INDEX(貼り付け!$A$1:$BZ$3001,733,$B$1)&amp;"",FIND(" ",TRIM(INDEX(貼り付け!$A$1:$BZ$3001,733,$B$1)&amp;"")&amp;" ")-1)),"/","-"),"年","-"),"月","-"),"日",""))),"")</f>
        <v/>
      </c>
      <c r="J734">
        <f>IFERROR(MID(I734,FIND("-",I734)+1,99),"")</f>
        <v/>
      </c>
    </row>
    <row r="735">
      <c r="B735">
        <f>IFERROR(IF($B$1=0,"",IF(INDEX(貼り付け!$A$1:$BZ$3001,734,$B$1)="","",IF(ISNUMBER(INDEX(貼り付け!$A$1:$BZ$3001,734,$B$1)),INT(INDEX(貼り付け!$A$1:$BZ$3001,734,$B$1)),DATE(VALUE(LEFT(I735,FIND("-",I735)-1)),VALUE(LEFT(J735,FIND("-",J735)-1)),VALUE(MID(J735,FIND("-",J735)+1,99)))))),"")</f>
        <v/>
      </c>
      <c r="C735">
        <f>IF($C$1=0,0,IFERROR(VALUE(SUBSTITUTE(SUBSTITUTE(SUBSTITUTE(INDEX(貼り付け!$A$1:$BZ$3001,734,$C$1)&amp;"",",",""),"¥",""),"￥","")),0))</f>
        <v/>
      </c>
      <c r="D735">
        <f>IF($D$1=0,0,IFERROR(VALUE(SUBSTITUTE(SUBSTITUTE(SUBSTITUTE(INDEX(貼り付け!$A$1:$BZ$3001,734,$D$1)&amp;"",",",""),"¥",""),"￥","")),0))</f>
        <v/>
      </c>
      <c r="E735">
        <f>IF($E$1=0,0,IFERROR(VALUE(SUBSTITUTE(SUBSTITUTE(SUBSTITUTE(INDEX(貼り付け!$A$1:$BZ$3001,734,$E$1)&amp;"",",",""),"¥",""),"￥","")),0))</f>
        <v/>
      </c>
      <c r="F735">
        <f>IF($F$1=0,0,IFERROR(VALUE(SUBSTITUTE(SUBSTITUTE(SUBSTITUTE(INDEX(貼り付け!$A$1:$BZ$3001,734,$F$1)&amp;"",",",""),"¥",""),"￥","")),0))</f>
        <v/>
      </c>
      <c r="G735">
        <f>IF(ISNUMBER(B735),YEAR(B735),"")</f>
        <v/>
      </c>
      <c r="H735">
        <f>IF(ISNUMBER(B735),MONTH(B735),"")</f>
        <v/>
      </c>
      <c r="I735">
        <f>IFERROR(IF($B$1=0,"",IF(ISNUMBER(INDEX(貼り付け!$A$1:$BZ$3001,734,$B$1)),"",SUBSTITUTE(SUBSTITUTE(SUBSTITUTE(SUBSTITUTE(TRIM(LEFT(INDEX(貼り付け!$A$1:$BZ$3001,734,$B$1)&amp;"",FIND(" ",TRIM(INDEX(貼り付け!$A$1:$BZ$3001,734,$B$1)&amp;"")&amp;" ")-1)),"/","-"),"年","-"),"月","-"),"日",""))),"")</f>
        <v/>
      </c>
      <c r="J735">
        <f>IFERROR(MID(I735,FIND("-",I735)+1,99),"")</f>
        <v/>
      </c>
    </row>
    <row r="736">
      <c r="B736">
        <f>IFERROR(IF($B$1=0,"",IF(INDEX(貼り付け!$A$1:$BZ$3001,735,$B$1)="","",IF(ISNUMBER(INDEX(貼り付け!$A$1:$BZ$3001,735,$B$1)),INT(INDEX(貼り付け!$A$1:$BZ$3001,735,$B$1)),DATE(VALUE(LEFT(I736,FIND("-",I736)-1)),VALUE(LEFT(J736,FIND("-",J736)-1)),VALUE(MID(J736,FIND("-",J736)+1,99)))))),"")</f>
        <v/>
      </c>
      <c r="C736">
        <f>IF($C$1=0,0,IFERROR(VALUE(SUBSTITUTE(SUBSTITUTE(SUBSTITUTE(INDEX(貼り付け!$A$1:$BZ$3001,735,$C$1)&amp;"",",",""),"¥",""),"￥","")),0))</f>
        <v/>
      </c>
      <c r="D736">
        <f>IF($D$1=0,0,IFERROR(VALUE(SUBSTITUTE(SUBSTITUTE(SUBSTITUTE(INDEX(貼り付け!$A$1:$BZ$3001,735,$D$1)&amp;"",",",""),"¥",""),"￥","")),0))</f>
        <v/>
      </c>
      <c r="E736">
        <f>IF($E$1=0,0,IFERROR(VALUE(SUBSTITUTE(SUBSTITUTE(SUBSTITUTE(INDEX(貼り付け!$A$1:$BZ$3001,735,$E$1)&amp;"",",",""),"¥",""),"￥","")),0))</f>
        <v/>
      </c>
      <c r="F736">
        <f>IF($F$1=0,0,IFERROR(VALUE(SUBSTITUTE(SUBSTITUTE(SUBSTITUTE(INDEX(貼り付け!$A$1:$BZ$3001,735,$F$1)&amp;"",",",""),"¥",""),"￥","")),0))</f>
        <v/>
      </c>
      <c r="G736">
        <f>IF(ISNUMBER(B736),YEAR(B736),"")</f>
        <v/>
      </c>
      <c r="H736">
        <f>IF(ISNUMBER(B736),MONTH(B736),"")</f>
        <v/>
      </c>
      <c r="I736">
        <f>IFERROR(IF($B$1=0,"",IF(ISNUMBER(INDEX(貼り付け!$A$1:$BZ$3001,735,$B$1)),"",SUBSTITUTE(SUBSTITUTE(SUBSTITUTE(SUBSTITUTE(TRIM(LEFT(INDEX(貼り付け!$A$1:$BZ$3001,735,$B$1)&amp;"",FIND(" ",TRIM(INDEX(貼り付け!$A$1:$BZ$3001,735,$B$1)&amp;"")&amp;" ")-1)),"/","-"),"年","-"),"月","-"),"日",""))),"")</f>
        <v/>
      </c>
      <c r="J736">
        <f>IFERROR(MID(I736,FIND("-",I736)+1,99),"")</f>
        <v/>
      </c>
    </row>
    <row r="737">
      <c r="B737">
        <f>IFERROR(IF($B$1=0,"",IF(INDEX(貼り付け!$A$1:$BZ$3001,736,$B$1)="","",IF(ISNUMBER(INDEX(貼り付け!$A$1:$BZ$3001,736,$B$1)),INT(INDEX(貼り付け!$A$1:$BZ$3001,736,$B$1)),DATE(VALUE(LEFT(I737,FIND("-",I737)-1)),VALUE(LEFT(J737,FIND("-",J737)-1)),VALUE(MID(J737,FIND("-",J737)+1,99)))))),"")</f>
        <v/>
      </c>
      <c r="C737">
        <f>IF($C$1=0,0,IFERROR(VALUE(SUBSTITUTE(SUBSTITUTE(SUBSTITUTE(INDEX(貼り付け!$A$1:$BZ$3001,736,$C$1)&amp;"",",",""),"¥",""),"￥","")),0))</f>
        <v/>
      </c>
      <c r="D737">
        <f>IF($D$1=0,0,IFERROR(VALUE(SUBSTITUTE(SUBSTITUTE(SUBSTITUTE(INDEX(貼り付け!$A$1:$BZ$3001,736,$D$1)&amp;"",",",""),"¥",""),"￥","")),0))</f>
        <v/>
      </c>
      <c r="E737">
        <f>IF($E$1=0,0,IFERROR(VALUE(SUBSTITUTE(SUBSTITUTE(SUBSTITUTE(INDEX(貼り付け!$A$1:$BZ$3001,736,$E$1)&amp;"",",",""),"¥",""),"￥","")),0))</f>
        <v/>
      </c>
      <c r="F737">
        <f>IF($F$1=0,0,IFERROR(VALUE(SUBSTITUTE(SUBSTITUTE(SUBSTITUTE(INDEX(貼り付け!$A$1:$BZ$3001,736,$F$1)&amp;"",",",""),"¥",""),"￥","")),0))</f>
        <v/>
      </c>
      <c r="G737">
        <f>IF(ISNUMBER(B737),YEAR(B737),"")</f>
        <v/>
      </c>
      <c r="H737">
        <f>IF(ISNUMBER(B737),MONTH(B737),"")</f>
        <v/>
      </c>
      <c r="I737">
        <f>IFERROR(IF($B$1=0,"",IF(ISNUMBER(INDEX(貼り付け!$A$1:$BZ$3001,736,$B$1)),"",SUBSTITUTE(SUBSTITUTE(SUBSTITUTE(SUBSTITUTE(TRIM(LEFT(INDEX(貼り付け!$A$1:$BZ$3001,736,$B$1)&amp;"",FIND(" ",TRIM(INDEX(貼り付け!$A$1:$BZ$3001,736,$B$1)&amp;"")&amp;" ")-1)),"/","-"),"年","-"),"月","-"),"日",""))),"")</f>
        <v/>
      </c>
      <c r="J737">
        <f>IFERROR(MID(I737,FIND("-",I737)+1,99),"")</f>
        <v/>
      </c>
    </row>
    <row r="738">
      <c r="B738">
        <f>IFERROR(IF($B$1=0,"",IF(INDEX(貼り付け!$A$1:$BZ$3001,737,$B$1)="","",IF(ISNUMBER(INDEX(貼り付け!$A$1:$BZ$3001,737,$B$1)),INT(INDEX(貼り付け!$A$1:$BZ$3001,737,$B$1)),DATE(VALUE(LEFT(I738,FIND("-",I738)-1)),VALUE(LEFT(J738,FIND("-",J738)-1)),VALUE(MID(J738,FIND("-",J738)+1,99)))))),"")</f>
        <v/>
      </c>
      <c r="C738">
        <f>IF($C$1=0,0,IFERROR(VALUE(SUBSTITUTE(SUBSTITUTE(SUBSTITUTE(INDEX(貼り付け!$A$1:$BZ$3001,737,$C$1)&amp;"",",",""),"¥",""),"￥","")),0))</f>
        <v/>
      </c>
      <c r="D738">
        <f>IF($D$1=0,0,IFERROR(VALUE(SUBSTITUTE(SUBSTITUTE(SUBSTITUTE(INDEX(貼り付け!$A$1:$BZ$3001,737,$D$1)&amp;"",",",""),"¥",""),"￥","")),0))</f>
        <v/>
      </c>
      <c r="E738">
        <f>IF($E$1=0,0,IFERROR(VALUE(SUBSTITUTE(SUBSTITUTE(SUBSTITUTE(INDEX(貼り付け!$A$1:$BZ$3001,737,$E$1)&amp;"",",",""),"¥",""),"￥","")),0))</f>
        <v/>
      </c>
      <c r="F738">
        <f>IF($F$1=0,0,IFERROR(VALUE(SUBSTITUTE(SUBSTITUTE(SUBSTITUTE(INDEX(貼り付け!$A$1:$BZ$3001,737,$F$1)&amp;"",",",""),"¥",""),"￥","")),0))</f>
        <v/>
      </c>
      <c r="G738">
        <f>IF(ISNUMBER(B738),YEAR(B738),"")</f>
        <v/>
      </c>
      <c r="H738">
        <f>IF(ISNUMBER(B738),MONTH(B738),"")</f>
        <v/>
      </c>
      <c r="I738">
        <f>IFERROR(IF($B$1=0,"",IF(ISNUMBER(INDEX(貼り付け!$A$1:$BZ$3001,737,$B$1)),"",SUBSTITUTE(SUBSTITUTE(SUBSTITUTE(SUBSTITUTE(TRIM(LEFT(INDEX(貼り付け!$A$1:$BZ$3001,737,$B$1)&amp;"",FIND(" ",TRIM(INDEX(貼り付け!$A$1:$BZ$3001,737,$B$1)&amp;"")&amp;" ")-1)),"/","-"),"年","-"),"月","-"),"日",""))),"")</f>
        <v/>
      </c>
      <c r="J738">
        <f>IFERROR(MID(I738,FIND("-",I738)+1,99),"")</f>
        <v/>
      </c>
    </row>
    <row r="739">
      <c r="B739">
        <f>IFERROR(IF($B$1=0,"",IF(INDEX(貼り付け!$A$1:$BZ$3001,738,$B$1)="","",IF(ISNUMBER(INDEX(貼り付け!$A$1:$BZ$3001,738,$B$1)),INT(INDEX(貼り付け!$A$1:$BZ$3001,738,$B$1)),DATE(VALUE(LEFT(I739,FIND("-",I739)-1)),VALUE(LEFT(J739,FIND("-",J739)-1)),VALUE(MID(J739,FIND("-",J739)+1,99)))))),"")</f>
        <v/>
      </c>
      <c r="C739">
        <f>IF($C$1=0,0,IFERROR(VALUE(SUBSTITUTE(SUBSTITUTE(SUBSTITUTE(INDEX(貼り付け!$A$1:$BZ$3001,738,$C$1)&amp;"",",",""),"¥",""),"￥","")),0))</f>
        <v/>
      </c>
      <c r="D739">
        <f>IF($D$1=0,0,IFERROR(VALUE(SUBSTITUTE(SUBSTITUTE(SUBSTITUTE(INDEX(貼り付け!$A$1:$BZ$3001,738,$D$1)&amp;"",",",""),"¥",""),"￥","")),0))</f>
        <v/>
      </c>
      <c r="E739">
        <f>IF($E$1=0,0,IFERROR(VALUE(SUBSTITUTE(SUBSTITUTE(SUBSTITUTE(INDEX(貼り付け!$A$1:$BZ$3001,738,$E$1)&amp;"",",",""),"¥",""),"￥","")),0))</f>
        <v/>
      </c>
      <c r="F739">
        <f>IF($F$1=0,0,IFERROR(VALUE(SUBSTITUTE(SUBSTITUTE(SUBSTITUTE(INDEX(貼り付け!$A$1:$BZ$3001,738,$F$1)&amp;"",",",""),"¥",""),"￥","")),0))</f>
        <v/>
      </c>
      <c r="G739">
        <f>IF(ISNUMBER(B739),YEAR(B739),"")</f>
        <v/>
      </c>
      <c r="H739">
        <f>IF(ISNUMBER(B739),MONTH(B739),"")</f>
        <v/>
      </c>
      <c r="I739">
        <f>IFERROR(IF($B$1=0,"",IF(ISNUMBER(INDEX(貼り付け!$A$1:$BZ$3001,738,$B$1)),"",SUBSTITUTE(SUBSTITUTE(SUBSTITUTE(SUBSTITUTE(TRIM(LEFT(INDEX(貼り付け!$A$1:$BZ$3001,738,$B$1)&amp;"",FIND(" ",TRIM(INDEX(貼り付け!$A$1:$BZ$3001,738,$B$1)&amp;"")&amp;" ")-1)),"/","-"),"年","-"),"月","-"),"日",""))),"")</f>
        <v/>
      </c>
      <c r="J739">
        <f>IFERROR(MID(I739,FIND("-",I739)+1,99),"")</f>
        <v/>
      </c>
    </row>
    <row r="740">
      <c r="B740">
        <f>IFERROR(IF($B$1=0,"",IF(INDEX(貼り付け!$A$1:$BZ$3001,739,$B$1)="","",IF(ISNUMBER(INDEX(貼り付け!$A$1:$BZ$3001,739,$B$1)),INT(INDEX(貼り付け!$A$1:$BZ$3001,739,$B$1)),DATE(VALUE(LEFT(I740,FIND("-",I740)-1)),VALUE(LEFT(J740,FIND("-",J740)-1)),VALUE(MID(J740,FIND("-",J740)+1,99)))))),"")</f>
        <v/>
      </c>
      <c r="C740">
        <f>IF($C$1=0,0,IFERROR(VALUE(SUBSTITUTE(SUBSTITUTE(SUBSTITUTE(INDEX(貼り付け!$A$1:$BZ$3001,739,$C$1)&amp;"",",",""),"¥",""),"￥","")),0))</f>
        <v/>
      </c>
      <c r="D740">
        <f>IF($D$1=0,0,IFERROR(VALUE(SUBSTITUTE(SUBSTITUTE(SUBSTITUTE(INDEX(貼り付け!$A$1:$BZ$3001,739,$D$1)&amp;"",",",""),"¥",""),"￥","")),0))</f>
        <v/>
      </c>
      <c r="E740">
        <f>IF($E$1=0,0,IFERROR(VALUE(SUBSTITUTE(SUBSTITUTE(SUBSTITUTE(INDEX(貼り付け!$A$1:$BZ$3001,739,$E$1)&amp;"",",",""),"¥",""),"￥","")),0))</f>
        <v/>
      </c>
      <c r="F740">
        <f>IF($F$1=0,0,IFERROR(VALUE(SUBSTITUTE(SUBSTITUTE(SUBSTITUTE(INDEX(貼り付け!$A$1:$BZ$3001,739,$F$1)&amp;"",",",""),"¥",""),"￥","")),0))</f>
        <v/>
      </c>
      <c r="G740">
        <f>IF(ISNUMBER(B740),YEAR(B740),"")</f>
        <v/>
      </c>
      <c r="H740">
        <f>IF(ISNUMBER(B740),MONTH(B740),"")</f>
        <v/>
      </c>
      <c r="I740">
        <f>IFERROR(IF($B$1=0,"",IF(ISNUMBER(INDEX(貼り付け!$A$1:$BZ$3001,739,$B$1)),"",SUBSTITUTE(SUBSTITUTE(SUBSTITUTE(SUBSTITUTE(TRIM(LEFT(INDEX(貼り付け!$A$1:$BZ$3001,739,$B$1)&amp;"",FIND(" ",TRIM(INDEX(貼り付け!$A$1:$BZ$3001,739,$B$1)&amp;"")&amp;" ")-1)),"/","-"),"年","-"),"月","-"),"日",""))),"")</f>
        <v/>
      </c>
      <c r="J740">
        <f>IFERROR(MID(I740,FIND("-",I740)+1,99),"")</f>
        <v/>
      </c>
    </row>
    <row r="741">
      <c r="B741">
        <f>IFERROR(IF($B$1=0,"",IF(INDEX(貼り付け!$A$1:$BZ$3001,740,$B$1)="","",IF(ISNUMBER(INDEX(貼り付け!$A$1:$BZ$3001,740,$B$1)),INT(INDEX(貼り付け!$A$1:$BZ$3001,740,$B$1)),DATE(VALUE(LEFT(I741,FIND("-",I741)-1)),VALUE(LEFT(J741,FIND("-",J741)-1)),VALUE(MID(J741,FIND("-",J741)+1,99)))))),"")</f>
        <v/>
      </c>
      <c r="C741">
        <f>IF($C$1=0,0,IFERROR(VALUE(SUBSTITUTE(SUBSTITUTE(SUBSTITUTE(INDEX(貼り付け!$A$1:$BZ$3001,740,$C$1)&amp;"",",",""),"¥",""),"￥","")),0))</f>
        <v/>
      </c>
      <c r="D741">
        <f>IF($D$1=0,0,IFERROR(VALUE(SUBSTITUTE(SUBSTITUTE(SUBSTITUTE(INDEX(貼り付け!$A$1:$BZ$3001,740,$D$1)&amp;"",",",""),"¥",""),"￥","")),0))</f>
        <v/>
      </c>
      <c r="E741">
        <f>IF($E$1=0,0,IFERROR(VALUE(SUBSTITUTE(SUBSTITUTE(SUBSTITUTE(INDEX(貼り付け!$A$1:$BZ$3001,740,$E$1)&amp;"",",",""),"¥",""),"￥","")),0))</f>
        <v/>
      </c>
      <c r="F741">
        <f>IF($F$1=0,0,IFERROR(VALUE(SUBSTITUTE(SUBSTITUTE(SUBSTITUTE(INDEX(貼り付け!$A$1:$BZ$3001,740,$F$1)&amp;"",",",""),"¥",""),"￥","")),0))</f>
        <v/>
      </c>
      <c r="G741">
        <f>IF(ISNUMBER(B741),YEAR(B741),"")</f>
        <v/>
      </c>
      <c r="H741">
        <f>IF(ISNUMBER(B741),MONTH(B741),"")</f>
        <v/>
      </c>
      <c r="I741">
        <f>IFERROR(IF($B$1=0,"",IF(ISNUMBER(INDEX(貼り付け!$A$1:$BZ$3001,740,$B$1)),"",SUBSTITUTE(SUBSTITUTE(SUBSTITUTE(SUBSTITUTE(TRIM(LEFT(INDEX(貼り付け!$A$1:$BZ$3001,740,$B$1)&amp;"",FIND(" ",TRIM(INDEX(貼り付け!$A$1:$BZ$3001,740,$B$1)&amp;"")&amp;" ")-1)),"/","-"),"年","-"),"月","-"),"日",""))),"")</f>
        <v/>
      </c>
      <c r="J741">
        <f>IFERROR(MID(I741,FIND("-",I741)+1,99),"")</f>
        <v/>
      </c>
    </row>
    <row r="742">
      <c r="B742">
        <f>IFERROR(IF($B$1=0,"",IF(INDEX(貼り付け!$A$1:$BZ$3001,741,$B$1)="","",IF(ISNUMBER(INDEX(貼り付け!$A$1:$BZ$3001,741,$B$1)),INT(INDEX(貼り付け!$A$1:$BZ$3001,741,$B$1)),DATE(VALUE(LEFT(I742,FIND("-",I742)-1)),VALUE(LEFT(J742,FIND("-",J742)-1)),VALUE(MID(J742,FIND("-",J742)+1,99)))))),"")</f>
        <v/>
      </c>
      <c r="C742">
        <f>IF($C$1=0,0,IFERROR(VALUE(SUBSTITUTE(SUBSTITUTE(SUBSTITUTE(INDEX(貼り付け!$A$1:$BZ$3001,741,$C$1)&amp;"",",",""),"¥",""),"￥","")),0))</f>
        <v/>
      </c>
      <c r="D742">
        <f>IF($D$1=0,0,IFERROR(VALUE(SUBSTITUTE(SUBSTITUTE(SUBSTITUTE(INDEX(貼り付け!$A$1:$BZ$3001,741,$D$1)&amp;"",",",""),"¥",""),"￥","")),0))</f>
        <v/>
      </c>
      <c r="E742">
        <f>IF($E$1=0,0,IFERROR(VALUE(SUBSTITUTE(SUBSTITUTE(SUBSTITUTE(INDEX(貼り付け!$A$1:$BZ$3001,741,$E$1)&amp;"",",",""),"¥",""),"￥","")),0))</f>
        <v/>
      </c>
      <c r="F742">
        <f>IF($F$1=0,0,IFERROR(VALUE(SUBSTITUTE(SUBSTITUTE(SUBSTITUTE(INDEX(貼り付け!$A$1:$BZ$3001,741,$F$1)&amp;"",",",""),"¥",""),"￥","")),0))</f>
        <v/>
      </c>
      <c r="G742">
        <f>IF(ISNUMBER(B742),YEAR(B742),"")</f>
        <v/>
      </c>
      <c r="H742">
        <f>IF(ISNUMBER(B742),MONTH(B742),"")</f>
        <v/>
      </c>
      <c r="I742">
        <f>IFERROR(IF($B$1=0,"",IF(ISNUMBER(INDEX(貼り付け!$A$1:$BZ$3001,741,$B$1)),"",SUBSTITUTE(SUBSTITUTE(SUBSTITUTE(SUBSTITUTE(TRIM(LEFT(INDEX(貼り付け!$A$1:$BZ$3001,741,$B$1)&amp;"",FIND(" ",TRIM(INDEX(貼り付け!$A$1:$BZ$3001,741,$B$1)&amp;"")&amp;" ")-1)),"/","-"),"年","-"),"月","-"),"日",""))),"")</f>
        <v/>
      </c>
      <c r="J742">
        <f>IFERROR(MID(I742,FIND("-",I742)+1,99),"")</f>
        <v/>
      </c>
    </row>
    <row r="743">
      <c r="B743">
        <f>IFERROR(IF($B$1=0,"",IF(INDEX(貼り付け!$A$1:$BZ$3001,742,$B$1)="","",IF(ISNUMBER(INDEX(貼り付け!$A$1:$BZ$3001,742,$B$1)),INT(INDEX(貼り付け!$A$1:$BZ$3001,742,$B$1)),DATE(VALUE(LEFT(I743,FIND("-",I743)-1)),VALUE(LEFT(J743,FIND("-",J743)-1)),VALUE(MID(J743,FIND("-",J743)+1,99)))))),"")</f>
        <v/>
      </c>
      <c r="C743">
        <f>IF($C$1=0,0,IFERROR(VALUE(SUBSTITUTE(SUBSTITUTE(SUBSTITUTE(INDEX(貼り付け!$A$1:$BZ$3001,742,$C$1)&amp;"",",",""),"¥",""),"￥","")),0))</f>
        <v/>
      </c>
      <c r="D743">
        <f>IF($D$1=0,0,IFERROR(VALUE(SUBSTITUTE(SUBSTITUTE(SUBSTITUTE(INDEX(貼り付け!$A$1:$BZ$3001,742,$D$1)&amp;"",",",""),"¥",""),"￥","")),0))</f>
        <v/>
      </c>
      <c r="E743">
        <f>IF($E$1=0,0,IFERROR(VALUE(SUBSTITUTE(SUBSTITUTE(SUBSTITUTE(INDEX(貼り付け!$A$1:$BZ$3001,742,$E$1)&amp;"",",",""),"¥",""),"￥","")),0))</f>
        <v/>
      </c>
      <c r="F743">
        <f>IF($F$1=0,0,IFERROR(VALUE(SUBSTITUTE(SUBSTITUTE(SUBSTITUTE(INDEX(貼り付け!$A$1:$BZ$3001,742,$F$1)&amp;"",",",""),"¥",""),"￥","")),0))</f>
        <v/>
      </c>
      <c r="G743">
        <f>IF(ISNUMBER(B743),YEAR(B743),"")</f>
        <v/>
      </c>
      <c r="H743">
        <f>IF(ISNUMBER(B743),MONTH(B743),"")</f>
        <v/>
      </c>
      <c r="I743">
        <f>IFERROR(IF($B$1=0,"",IF(ISNUMBER(INDEX(貼り付け!$A$1:$BZ$3001,742,$B$1)),"",SUBSTITUTE(SUBSTITUTE(SUBSTITUTE(SUBSTITUTE(TRIM(LEFT(INDEX(貼り付け!$A$1:$BZ$3001,742,$B$1)&amp;"",FIND(" ",TRIM(INDEX(貼り付け!$A$1:$BZ$3001,742,$B$1)&amp;"")&amp;" ")-1)),"/","-"),"年","-"),"月","-"),"日",""))),"")</f>
        <v/>
      </c>
      <c r="J743">
        <f>IFERROR(MID(I743,FIND("-",I743)+1,99),"")</f>
        <v/>
      </c>
    </row>
    <row r="744">
      <c r="B744">
        <f>IFERROR(IF($B$1=0,"",IF(INDEX(貼り付け!$A$1:$BZ$3001,743,$B$1)="","",IF(ISNUMBER(INDEX(貼り付け!$A$1:$BZ$3001,743,$B$1)),INT(INDEX(貼り付け!$A$1:$BZ$3001,743,$B$1)),DATE(VALUE(LEFT(I744,FIND("-",I744)-1)),VALUE(LEFT(J744,FIND("-",J744)-1)),VALUE(MID(J744,FIND("-",J744)+1,99)))))),"")</f>
        <v/>
      </c>
      <c r="C744">
        <f>IF($C$1=0,0,IFERROR(VALUE(SUBSTITUTE(SUBSTITUTE(SUBSTITUTE(INDEX(貼り付け!$A$1:$BZ$3001,743,$C$1)&amp;"",",",""),"¥",""),"￥","")),0))</f>
        <v/>
      </c>
      <c r="D744">
        <f>IF($D$1=0,0,IFERROR(VALUE(SUBSTITUTE(SUBSTITUTE(SUBSTITUTE(INDEX(貼り付け!$A$1:$BZ$3001,743,$D$1)&amp;"",",",""),"¥",""),"￥","")),0))</f>
        <v/>
      </c>
      <c r="E744">
        <f>IF($E$1=0,0,IFERROR(VALUE(SUBSTITUTE(SUBSTITUTE(SUBSTITUTE(INDEX(貼り付け!$A$1:$BZ$3001,743,$E$1)&amp;"",",",""),"¥",""),"￥","")),0))</f>
        <v/>
      </c>
      <c r="F744">
        <f>IF($F$1=0,0,IFERROR(VALUE(SUBSTITUTE(SUBSTITUTE(SUBSTITUTE(INDEX(貼り付け!$A$1:$BZ$3001,743,$F$1)&amp;"",",",""),"¥",""),"￥","")),0))</f>
        <v/>
      </c>
      <c r="G744">
        <f>IF(ISNUMBER(B744),YEAR(B744),"")</f>
        <v/>
      </c>
      <c r="H744">
        <f>IF(ISNUMBER(B744),MONTH(B744),"")</f>
        <v/>
      </c>
      <c r="I744">
        <f>IFERROR(IF($B$1=0,"",IF(ISNUMBER(INDEX(貼り付け!$A$1:$BZ$3001,743,$B$1)),"",SUBSTITUTE(SUBSTITUTE(SUBSTITUTE(SUBSTITUTE(TRIM(LEFT(INDEX(貼り付け!$A$1:$BZ$3001,743,$B$1)&amp;"",FIND(" ",TRIM(INDEX(貼り付け!$A$1:$BZ$3001,743,$B$1)&amp;"")&amp;" ")-1)),"/","-"),"年","-"),"月","-"),"日",""))),"")</f>
        <v/>
      </c>
      <c r="J744">
        <f>IFERROR(MID(I744,FIND("-",I744)+1,99),"")</f>
        <v/>
      </c>
    </row>
    <row r="745">
      <c r="B745">
        <f>IFERROR(IF($B$1=0,"",IF(INDEX(貼り付け!$A$1:$BZ$3001,744,$B$1)="","",IF(ISNUMBER(INDEX(貼り付け!$A$1:$BZ$3001,744,$B$1)),INT(INDEX(貼り付け!$A$1:$BZ$3001,744,$B$1)),DATE(VALUE(LEFT(I745,FIND("-",I745)-1)),VALUE(LEFT(J745,FIND("-",J745)-1)),VALUE(MID(J745,FIND("-",J745)+1,99)))))),"")</f>
        <v/>
      </c>
      <c r="C745">
        <f>IF($C$1=0,0,IFERROR(VALUE(SUBSTITUTE(SUBSTITUTE(SUBSTITUTE(INDEX(貼り付け!$A$1:$BZ$3001,744,$C$1)&amp;"",",",""),"¥",""),"￥","")),0))</f>
        <v/>
      </c>
      <c r="D745">
        <f>IF($D$1=0,0,IFERROR(VALUE(SUBSTITUTE(SUBSTITUTE(SUBSTITUTE(INDEX(貼り付け!$A$1:$BZ$3001,744,$D$1)&amp;"",",",""),"¥",""),"￥","")),0))</f>
        <v/>
      </c>
      <c r="E745">
        <f>IF($E$1=0,0,IFERROR(VALUE(SUBSTITUTE(SUBSTITUTE(SUBSTITUTE(INDEX(貼り付け!$A$1:$BZ$3001,744,$E$1)&amp;"",",",""),"¥",""),"￥","")),0))</f>
        <v/>
      </c>
      <c r="F745">
        <f>IF($F$1=0,0,IFERROR(VALUE(SUBSTITUTE(SUBSTITUTE(SUBSTITUTE(INDEX(貼り付け!$A$1:$BZ$3001,744,$F$1)&amp;"",",",""),"¥",""),"￥","")),0))</f>
        <v/>
      </c>
      <c r="G745">
        <f>IF(ISNUMBER(B745),YEAR(B745),"")</f>
        <v/>
      </c>
      <c r="H745">
        <f>IF(ISNUMBER(B745),MONTH(B745),"")</f>
        <v/>
      </c>
      <c r="I745">
        <f>IFERROR(IF($B$1=0,"",IF(ISNUMBER(INDEX(貼り付け!$A$1:$BZ$3001,744,$B$1)),"",SUBSTITUTE(SUBSTITUTE(SUBSTITUTE(SUBSTITUTE(TRIM(LEFT(INDEX(貼り付け!$A$1:$BZ$3001,744,$B$1)&amp;"",FIND(" ",TRIM(INDEX(貼り付け!$A$1:$BZ$3001,744,$B$1)&amp;"")&amp;" ")-1)),"/","-"),"年","-"),"月","-"),"日",""))),"")</f>
        <v/>
      </c>
      <c r="J745">
        <f>IFERROR(MID(I745,FIND("-",I745)+1,99),"")</f>
        <v/>
      </c>
    </row>
    <row r="746">
      <c r="B746">
        <f>IFERROR(IF($B$1=0,"",IF(INDEX(貼り付け!$A$1:$BZ$3001,745,$B$1)="","",IF(ISNUMBER(INDEX(貼り付け!$A$1:$BZ$3001,745,$B$1)),INT(INDEX(貼り付け!$A$1:$BZ$3001,745,$B$1)),DATE(VALUE(LEFT(I746,FIND("-",I746)-1)),VALUE(LEFT(J746,FIND("-",J746)-1)),VALUE(MID(J746,FIND("-",J746)+1,99)))))),"")</f>
        <v/>
      </c>
      <c r="C746">
        <f>IF($C$1=0,0,IFERROR(VALUE(SUBSTITUTE(SUBSTITUTE(SUBSTITUTE(INDEX(貼り付け!$A$1:$BZ$3001,745,$C$1)&amp;"",",",""),"¥",""),"￥","")),0))</f>
        <v/>
      </c>
      <c r="D746">
        <f>IF($D$1=0,0,IFERROR(VALUE(SUBSTITUTE(SUBSTITUTE(SUBSTITUTE(INDEX(貼り付け!$A$1:$BZ$3001,745,$D$1)&amp;"",",",""),"¥",""),"￥","")),0))</f>
        <v/>
      </c>
      <c r="E746">
        <f>IF($E$1=0,0,IFERROR(VALUE(SUBSTITUTE(SUBSTITUTE(SUBSTITUTE(INDEX(貼り付け!$A$1:$BZ$3001,745,$E$1)&amp;"",",",""),"¥",""),"￥","")),0))</f>
        <v/>
      </c>
      <c r="F746">
        <f>IF($F$1=0,0,IFERROR(VALUE(SUBSTITUTE(SUBSTITUTE(SUBSTITUTE(INDEX(貼り付け!$A$1:$BZ$3001,745,$F$1)&amp;"",",",""),"¥",""),"￥","")),0))</f>
        <v/>
      </c>
      <c r="G746">
        <f>IF(ISNUMBER(B746),YEAR(B746),"")</f>
        <v/>
      </c>
      <c r="H746">
        <f>IF(ISNUMBER(B746),MONTH(B746),"")</f>
        <v/>
      </c>
      <c r="I746">
        <f>IFERROR(IF($B$1=0,"",IF(ISNUMBER(INDEX(貼り付け!$A$1:$BZ$3001,745,$B$1)),"",SUBSTITUTE(SUBSTITUTE(SUBSTITUTE(SUBSTITUTE(TRIM(LEFT(INDEX(貼り付け!$A$1:$BZ$3001,745,$B$1)&amp;"",FIND(" ",TRIM(INDEX(貼り付け!$A$1:$BZ$3001,745,$B$1)&amp;"")&amp;" ")-1)),"/","-"),"年","-"),"月","-"),"日",""))),"")</f>
        <v/>
      </c>
      <c r="J746">
        <f>IFERROR(MID(I746,FIND("-",I746)+1,99),"")</f>
        <v/>
      </c>
    </row>
    <row r="747">
      <c r="B747">
        <f>IFERROR(IF($B$1=0,"",IF(INDEX(貼り付け!$A$1:$BZ$3001,746,$B$1)="","",IF(ISNUMBER(INDEX(貼り付け!$A$1:$BZ$3001,746,$B$1)),INT(INDEX(貼り付け!$A$1:$BZ$3001,746,$B$1)),DATE(VALUE(LEFT(I747,FIND("-",I747)-1)),VALUE(LEFT(J747,FIND("-",J747)-1)),VALUE(MID(J747,FIND("-",J747)+1,99)))))),"")</f>
        <v/>
      </c>
      <c r="C747">
        <f>IF($C$1=0,0,IFERROR(VALUE(SUBSTITUTE(SUBSTITUTE(SUBSTITUTE(INDEX(貼り付け!$A$1:$BZ$3001,746,$C$1)&amp;"",",",""),"¥",""),"￥","")),0))</f>
        <v/>
      </c>
      <c r="D747">
        <f>IF($D$1=0,0,IFERROR(VALUE(SUBSTITUTE(SUBSTITUTE(SUBSTITUTE(INDEX(貼り付け!$A$1:$BZ$3001,746,$D$1)&amp;"",",",""),"¥",""),"￥","")),0))</f>
        <v/>
      </c>
      <c r="E747">
        <f>IF($E$1=0,0,IFERROR(VALUE(SUBSTITUTE(SUBSTITUTE(SUBSTITUTE(INDEX(貼り付け!$A$1:$BZ$3001,746,$E$1)&amp;"",",",""),"¥",""),"￥","")),0))</f>
        <v/>
      </c>
      <c r="F747">
        <f>IF($F$1=0,0,IFERROR(VALUE(SUBSTITUTE(SUBSTITUTE(SUBSTITUTE(INDEX(貼り付け!$A$1:$BZ$3001,746,$F$1)&amp;"",",",""),"¥",""),"￥","")),0))</f>
        <v/>
      </c>
      <c r="G747">
        <f>IF(ISNUMBER(B747),YEAR(B747),"")</f>
        <v/>
      </c>
      <c r="H747">
        <f>IF(ISNUMBER(B747),MONTH(B747),"")</f>
        <v/>
      </c>
      <c r="I747">
        <f>IFERROR(IF($B$1=0,"",IF(ISNUMBER(INDEX(貼り付け!$A$1:$BZ$3001,746,$B$1)),"",SUBSTITUTE(SUBSTITUTE(SUBSTITUTE(SUBSTITUTE(TRIM(LEFT(INDEX(貼り付け!$A$1:$BZ$3001,746,$B$1)&amp;"",FIND(" ",TRIM(INDEX(貼り付け!$A$1:$BZ$3001,746,$B$1)&amp;"")&amp;" ")-1)),"/","-"),"年","-"),"月","-"),"日",""))),"")</f>
        <v/>
      </c>
      <c r="J747">
        <f>IFERROR(MID(I747,FIND("-",I747)+1,99),"")</f>
        <v/>
      </c>
    </row>
    <row r="748">
      <c r="B748">
        <f>IFERROR(IF($B$1=0,"",IF(INDEX(貼り付け!$A$1:$BZ$3001,747,$B$1)="","",IF(ISNUMBER(INDEX(貼り付け!$A$1:$BZ$3001,747,$B$1)),INT(INDEX(貼り付け!$A$1:$BZ$3001,747,$B$1)),DATE(VALUE(LEFT(I748,FIND("-",I748)-1)),VALUE(LEFT(J748,FIND("-",J748)-1)),VALUE(MID(J748,FIND("-",J748)+1,99)))))),"")</f>
        <v/>
      </c>
      <c r="C748">
        <f>IF($C$1=0,0,IFERROR(VALUE(SUBSTITUTE(SUBSTITUTE(SUBSTITUTE(INDEX(貼り付け!$A$1:$BZ$3001,747,$C$1)&amp;"",",",""),"¥",""),"￥","")),0))</f>
        <v/>
      </c>
      <c r="D748">
        <f>IF($D$1=0,0,IFERROR(VALUE(SUBSTITUTE(SUBSTITUTE(SUBSTITUTE(INDEX(貼り付け!$A$1:$BZ$3001,747,$D$1)&amp;"",",",""),"¥",""),"￥","")),0))</f>
        <v/>
      </c>
      <c r="E748">
        <f>IF($E$1=0,0,IFERROR(VALUE(SUBSTITUTE(SUBSTITUTE(SUBSTITUTE(INDEX(貼り付け!$A$1:$BZ$3001,747,$E$1)&amp;"",",",""),"¥",""),"￥","")),0))</f>
        <v/>
      </c>
      <c r="F748">
        <f>IF($F$1=0,0,IFERROR(VALUE(SUBSTITUTE(SUBSTITUTE(SUBSTITUTE(INDEX(貼り付け!$A$1:$BZ$3001,747,$F$1)&amp;"",",",""),"¥",""),"￥","")),0))</f>
        <v/>
      </c>
      <c r="G748">
        <f>IF(ISNUMBER(B748),YEAR(B748),"")</f>
        <v/>
      </c>
      <c r="H748">
        <f>IF(ISNUMBER(B748),MONTH(B748),"")</f>
        <v/>
      </c>
      <c r="I748">
        <f>IFERROR(IF($B$1=0,"",IF(ISNUMBER(INDEX(貼り付け!$A$1:$BZ$3001,747,$B$1)),"",SUBSTITUTE(SUBSTITUTE(SUBSTITUTE(SUBSTITUTE(TRIM(LEFT(INDEX(貼り付け!$A$1:$BZ$3001,747,$B$1)&amp;"",FIND(" ",TRIM(INDEX(貼り付け!$A$1:$BZ$3001,747,$B$1)&amp;"")&amp;" ")-1)),"/","-"),"年","-"),"月","-"),"日",""))),"")</f>
        <v/>
      </c>
      <c r="J748">
        <f>IFERROR(MID(I748,FIND("-",I748)+1,99),"")</f>
        <v/>
      </c>
    </row>
    <row r="749">
      <c r="B749">
        <f>IFERROR(IF($B$1=0,"",IF(INDEX(貼り付け!$A$1:$BZ$3001,748,$B$1)="","",IF(ISNUMBER(INDEX(貼り付け!$A$1:$BZ$3001,748,$B$1)),INT(INDEX(貼り付け!$A$1:$BZ$3001,748,$B$1)),DATE(VALUE(LEFT(I749,FIND("-",I749)-1)),VALUE(LEFT(J749,FIND("-",J749)-1)),VALUE(MID(J749,FIND("-",J749)+1,99)))))),"")</f>
        <v/>
      </c>
      <c r="C749">
        <f>IF($C$1=0,0,IFERROR(VALUE(SUBSTITUTE(SUBSTITUTE(SUBSTITUTE(INDEX(貼り付け!$A$1:$BZ$3001,748,$C$1)&amp;"",",",""),"¥",""),"￥","")),0))</f>
        <v/>
      </c>
      <c r="D749">
        <f>IF($D$1=0,0,IFERROR(VALUE(SUBSTITUTE(SUBSTITUTE(SUBSTITUTE(INDEX(貼り付け!$A$1:$BZ$3001,748,$D$1)&amp;"",",",""),"¥",""),"￥","")),0))</f>
        <v/>
      </c>
      <c r="E749">
        <f>IF($E$1=0,0,IFERROR(VALUE(SUBSTITUTE(SUBSTITUTE(SUBSTITUTE(INDEX(貼り付け!$A$1:$BZ$3001,748,$E$1)&amp;"",",",""),"¥",""),"￥","")),0))</f>
        <v/>
      </c>
      <c r="F749">
        <f>IF($F$1=0,0,IFERROR(VALUE(SUBSTITUTE(SUBSTITUTE(SUBSTITUTE(INDEX(貼り付け!$A$1:$BZ$3001,748,$F$1)&amp;"",",",""),"¥",""),"￥","")),0))</f>
        <v/>
      </c>
      <c r="G749">
        <f>IF(ISNUMBER(B749),YEAR(B749),"")</f>
        <v/>
      </c>
      <c r="H749">
        <f>IF(ISNUMBER(B749),MONTH(B749),"")</f>
        <v/>
      </c>
      <c r="I749">
        <f>IFERROR(IF($B$1=0,"",IF(ISNUMBER(INDEX(貼り付け!$A$1:$BZ$3001,748,$B$1)),"",SUBSTITUTE(SUBSTITUTE(SUBSTITUTE(SUBSTITUTE(TRIM(LEFT(INDEX(貼り付け!$A$1:$BZ$3001,748,$B$1)&amp;"",FIND(" ",TRIM(INDEX(貼り付け!$A$1:$BZ$3001,748,$B$1)&amp;"")&amp;" ")-1)),"/","-"),"年","-"),"月","-"),"日",""))),"")</f>
        <v/>
      </c>
      <c r="J749">
        <f>IFERROR(MID(I749,FIND("-",I749)+1,99),"")</f>
        <v/>
      </c>
    </row>
    <row r="750">
      <c r="B750">
        <f>IFERROR(IF($B$1=0,"",IF(INDEX(貼り付け!$A$1:$BZ$3001,749,$B$1)="","",IF(ISNUMBER(INDEX(貼り付け!$A$1:$BZ$3001,749,$B$1)),INT(INDEX(貼り付け!$A$1:$BZ$3001,749,$B$1)),DATE(VALUE(LEFT(I750,FIND("-",I750)-1)),VALUE(LEFT(J750,FIND("-",J750)-1)),VALUE(MID(J750,FIND("-",J750)+1,99)))))),"")</f>
        <v/>
      </c>
      <c r="C750">
        <f>IF($C$1=0,0,IFERROR(VALUE(SUBSTITUTE(SUBSTITUTE(SUBSTITUTE(INDEX(貼り付け!$A$1:$BZ$3001,749,$C$1)&amp;"",",",""),"¥",""),"￥","")),0))</f>
        <v/>
      </c>
      <c r="D750">
        <f>IF($D$1=0,0,IFERROR(VALUE(SUBSTITUTE(SUBSTITUTE(SUBSTITUTE(INDEX(貼り付け!$A$1:$BZ$3001,749,$D$1)&amp;"",",",""),"¥",""),"￥","")),0))</f>
        <v/>
      </c>
      <c r="E750">
        <f>IF($E$1=0,0,IFERROR(VALUE(SUBSTITUTE(SUBSTITUTE(SUBSTITUTE(INDEX(貼り付け!$A$1:$BZ$3001,749,$E$1)&amp;"",",",""),"¥",""),"￥","")),0))</f>
        <v/>
      </c>
      <c r="F750">
        <f>IF($F$1=0,0,IFERROR(VALUE(SUBSTITUTE(SUBSTITUTE(SUBSTITUTE(INDEX(貼り付け!$A$1:$BZ$3001,749,$F$1)&amp;"",",",""),"¥",""),"￥","")),0))</f>
        <v/>
      </c>
      <c r="G750">
        <f>IF(ISNUMBER(B750),YEAR(B750),"")</f>
        <v/>
      </c>
      <c r="H750">
        <f>IF(ISNUMBER(B750),MONTH(B750),"")</f>
        <v/>
      </c>
      <c r="I750">
        <f>IFERROR(IF($B$1=0,"",IF(ISNUMBER(INDEX(貼り付け!$A$1:$BZ$3001,749,$B$1)),"",SUBSTITUTE(SUBSTITUTE(SUBSTITUTE(SUBSTITUTE(TRIM(LEFT(INDEX(貼り付け!$A$1:$BZ$3001,749,$B$1)&amp;"",FIND(" ",TRIM(INDEX(貼り付け!$A$1:$BZ$3001,749,$B$1)&amp;"")&amp;" ")-1)),"/","-"),"年","-"),"月","-"),"日",""))),"")</f>
        <v/>
      </c>
      <c r="J750">
        <f>IFERROR(MID(I750,FIND("-",I750)+1,99),"")</f>
        <v/>
      </c>
    </row>
    <row r="751">
      <c r="B751">
        <f>IFERROR(IF($B$1=0,"",IF(INDEX(貼り付け!$A$1:$BZ$3001,750,$B$1)="","",IF(ISNUMBER(INDEX(貼り付け!$A$1:$BZ$3001,750,$B$1)),INT(INDEX(貼り付け!$A$1:$BZ$3001,750,$B$1)),DATE(VALUE(LEFT(I751,FIND("-",I751)-1)),VALUE(LEFT(J751,FIND("-",J751)-1)),VALUE(MID(J751,FIND("-",J751)+1,99)))))),"")</f>
        <v/>
      </c>
      <c r="C751">
        <f>IF($C$1=0,0,IFERROR(VALUE(SUBSTITUTE(SUBSTITUTE(SUBSTITUTE(INDEX(貼り付け!$A$1:$BZ$3001,750,$C$1)&amp;"",",",""),"¥",""),"￥","")),0))</f>
        <v/>
      </c>
      <c r="D751">
        <f>IF($D$1=0,0,IFERROR(VALUE(SUBSTITUTE(SUBSTITUTE(SUBSTITUTE(INDEX(貼り付け!$A$1:$BZ$3001,750,$D$1)&amp;"",",",""),"¥",""),"￥","")),0))</f>
        <v/>
      </c>
      <c r="E751">
        <f>IF($E$1=0,0,IFERROR(VALUE(SUBSTITUTE(SUBSTITUTE(SUBSTITUTE(INDEX(貼り付け!$A$1:$BZ$3001,750,$E$1)&amp;"",",",""),"¥",""),"￥","")),0))</f>
        <v/>
      </c>
      <c r="F751">
        <f>IF($F$1=0,0,IFERROR(VALUE(SUBSTITUTE(SUBSTITUTE(SUBSTITUTE(INDEX(貼り付け!$A$1:$BZ$3001,750,$F$1)&amp;"",",",""),"¥",""),"￥","")),0))</f>
        <v/>
      </c>
      <c r="G751">
        <f>IF(ISNUMBER(B751),YEAR(B751),"")</f>
        <v/>
      </c>
      <c r="H751">
        <f>IF(ISNUMBER(B751),MONTH(B751),"")</f>
        <v/>
      </c>
      <c r="I751">
        <f>IFERROR(IF($B$1=0,"",IF(ISNUMBER(INDEX(貼り付け!$A$1:$BZ$3001,750,$B$1)),"",SUBSTITUTE(SUBSTITUTE(SUBSTITUTE(SUBSTITUTE(TRIM(LEFT(INDEX(貼り付け!$A$1:$BZ$3001,750,$B$1)&amp;"",FIND(" ",TRIM(INDEX(貼り付け!$A$1:$BZ$3001,750,$B$1)&amp;"")&amp;" ")-1)),"/","-"),"年","-"),"月","-"),"日",""))),"")</f>
        <v/>
      </c>
      <c r="J751">
        <f>IFERROR(MID(I751,FIND("-",I751)+1,99),"")</f>
        <v/>
      </c>
    </row>
    <row r="752">
      <c r="B752">
        <f>IFERROR(IF($B$1=0,"",IF(INDEX(貼り付け!$A$1:$BZ$3001,751,$B$1)="","",IF(ISNUMBER(INDEX(貼り付け!$A$1:$BZ$3001,751,$B$1)),INT(INDEX(貼り付け!$A$1:$BZ$3001,751,$B$1)),DATE(VALUE(LEFT(I752,FIND("-",I752)-1)),VALUE(LEFT(J752,FIND("-",J752)-1)),VALUE(MID(J752,FIND("-",J752)+1,99)))))),"")</f>
        <v/>
      </c>
      <c r="C752">
        <f>IF($C$1=0,0,IFERROR(VALUE(SUBSTITUTE(SUBSTITUTE(SUBSTITUTE(INDEX(貼り付け!$A$1:$BZ$3001,751,$C$1)&amp;"",",",""),"¥",""),"￥","")),0))</f>
        <v/>
      </c>
      <c r="D752">
        <f>IF($D$1=0,0,IFERROR(VALUE(SUBSTITUTE(SUBSTITUTE(SUBSTITUTE(INDEX(貼り付け!$A$1:$BZ$3001,751,$D$1)&amp;"",",",""),"¥",""),"￥","")),0))</f>
        <v/>
      </c>
      <c r="E752">
        <f>IF($E$1=0,0,IFERROR(VALUE(SUBSTITUTE(SUBSTITUTE(SUBSTITUTE(INDEX(貼り付け!$A$1:$BZ$3001,751,$E$1)&amp;"",",",""),"¥",""),"￥","")),0))</f>
        <v/>
      </c>
      <c r="F752">
        <f>IF($F$1=0,0,IFERROR(VALUE(SUBSTITUTE(SUBSTITUTE(SUBSTITUTE(INDEX(貼り付け!$A$1:$BZ$3001,751,$F$1)&amp;"",",",""),"¥",""),"￥","")),0))</f>
        <v/>
      </c>
      <c r="G752">
        <f>IF(ISNUMBER(B752),YEAR(B752),"")</f>
        <v/>
      </c>
      <c r="H752">
        <f>IF(ISNUMBER(B752),MONTH(B752),"")</f>
        <v/>
      </c>
      <c r="I752">
        <f>IFERROR(IF($B$1=0,"",IF(ISNUMBER(INDEX(貼り付け!$A$1:$BZ$3001,751,$B$1)),"",SUBSTITUTE(SUBSTITUTE(SUBSTITUTE(SUBSTITUTE(TRIM(LEFT(INDEX(貼り付け!$A$1:$BZ$3001,751,$B$1)&amp;"",FIND(" ",TRIM(INDEX(貼り付け!$A$1:$BZ$3001,751,$B$1)&amp;"")&amp;" ")-1)),"/","-"),"年","-"),"月","-"),"日",""))),"")</f>
        <v/>
      </c>
      <c r="J752">
        <f>IFERROR(MID(I752,FIND("-",I752)+1,99),"")</f>
        <v/>
      </c>
    </row>
    <row r="753">
      <c r="B753">
        <f>IFERROR(IF($B$1=0,"",IF(INDEX(貼り付け!$A$1:$BZ$3001,752,$B$1)="","",IF(ISNUMBER(INDEX(貼り付け!$A$1:$BZ$3001,752,$B$1)),INT(INDEX(貼り付け!$A$1:$BZ$3001,752,$B$1)),DATE(VALUE(LEFT(I753,FIND("-",I753)-1)),VALUE(LEFT(J753,FIND("-",J753)-1)),VALUE(MID(J753,FIND("-",J753)+1,99)))))),"")</f>
        <v/>
      </c>
      <c r="C753">
        <f>IF($C$1=0,0,IFERROR(VALUE(SUBSTITUTE(SUBSTITUTE(SUBSTITUTE(INDEX(貼り付け!$A$1:$BZ$3001,752,$C$1)&amp;"",",",""),"¥",""),"￥","")),0))</f>
        <v/>
      </c>
      <c r="D753">
        <f>IF($D$1=0,0,IFERROR(VALUE(SUBSTITUTE(SUBSTITUTE(SUBSTITUTE(INDEX(貼り付け!$A$1:$BZ$3001,752,$D$1)&amp;"",",",""),"¥",""),"￥","")),0))</f>
        <v/>
      </c>
      <c r="E753">
        <f>IF($E$1=0,0,IFERROR(VALUE(SUBSTITUTE(SUBSTITUTE(SUBSTITUTE(INDEX(貼り付け!$A$1:$BZ$3001,752,$E$1)&amp;"",",",""),"¥",""),"￥","")),0))</f>
        <v/>
      </c>
      <c r="F753">
        <f>IF($F$1=0,0,IFERROR(VALUE(SUBSTITUTE(SUBSTITUTE(SUBSTITUTE(INDEX(貼り付け!$A$1:$BZ$3001,752,$F$1)&amp;"",",",""),"¥",""),"￥","")),0))</f>
        <v/>
      </c>
      <c r="G753">
        <f>IF(ISNUMBER(B753),YEAR(B753),"")</f>
        <v/>
      </c>
      <c r="H753">
        <f>IF(ISNUMBER(B753),MONTH(B753),"")</f>
        <v/>
      </c>
      <c r="I753">
        <f>IFERROR(IF($B$1=0,"",IF(ISNUMBER(INDEX(貼り付け!$A$1:$BZ$3001,752,$B$1)),"",SUBSTITUTE(SUBSTITUTE(SUBSTITUTE(SUBSTITUTE(TRIM(LEFT(INDEX(貼り付け!$A$1:$BZ$3001,752,$B$1)&amp;"",FIND(" ",TRIM(INDEX(貼り付け!$A$1:$BZ$3001,752,$B$1)&amp;"")&amp;" ")-1)),"/","-"),"年","-"),"月","-"),"日",""))),"")</f>
        <v/>
      </c>
      <c r="J753">
        <f>IFERROR(MID(I753,FIND("-",I753)+1,99),"")</f>
        <v/>
      </c>
    </row>
    <row r="754">
      <c r="B754">
        <f>IFERROR(IF($B$1=0,"",IF(INDEX(貼り付け!$A$1:$BZ$3001,753,$B$1)="","",IF(ISNUMBER(INDEX(貼り付け!$A$1:$BZ$3001,753,$B$1)),INT(INDEX(貼り付け!$A$1:$BZ$3001,753,$B$1)),DATE(VALUE(LEFT(I754,FIND("-",I754)-1)),VALUE(LEFT(J754,FIND("-",J754)-1)),VALUE(MID(J754,FIND("-",J754)+1,99)))))),"")</f>
        <v/>
      </c>
      <c r="C754">
        <f>IF($C$1=0,0,IFERROR(VALUE(SUBSTITUTE(SUBSTITUTE(SUBSTITUTE(INDEX(貼り付け!$A$1:$BZ$3001,753,$C$1)&amp;"",",",""),"¥",""),"￥","")),0))</f>
        <v/>
      </c>
      <c r="D754">
        <f>IF($D$1=0,0,IFERROR(VALUE(SUBSTITUTE(SUBSTITUTE(SUBSTITUTE(INDEX(貼り付け!$A$1:$BZ$3001,753,$D$1)&amp;"",",",""),"¥",""),"￥","")),0))</f>
        <v/>
      </c>
      <c r="E754">
        <f>IF($E$1=0,0,IFERROR(VALUE(SUBSTITUTE(SUBSTITUTE(SUBSTITUTE(INDEX(貼り付け!$A$1:$BZ$3001,753,$E$1)&amp;"",",",""),"¥",""),"￥","")),0))</f>
        <v/>
      </c>
      <c r="F754">
        <f>IF($F$1=0,0,IFERROR(VALUE(SUBSTITUTE(SUBSTITUTE(SUBSTITUTE(INDEX(貼り付け!$A$1:$BZ$3001,753,$F$1)&amp;"",",",""),"¥",""),"￥","")),0))</f>
        <v/>
      </c>
      <c r="G754">
        <f>IF(ISNUMBER(B754),YEAR(B754),"")</f>
        <v/>
      </c>
      <c r="H754">
        <f>IF(ISNUMBER(B754),MONTH(B754),"")</f>
        <v/>
      </c>
      <c r="I754">
        <f>IFERROR(IF($B$1=0,"",IF(ISNUMBER(INDEX(貼り付け!$A$1:$BZ$3001,753,$B$1)),"",SUBSTITUTE(SUBSTITUTE(SUBSTITUTE(SUBSTITUTE(TRIM(LEFT(INDEX(貼り付け!$A$1:$BZ$3001,753,$B$1)&amp;"",FIND(" ",TRIM(INDEX(貼り付け!$A$1:$BZ$3001,753,$B$1)&amp;"")&amp;" ")-1)),"/","-"),"年","-"),"月","-"),"日",""))),"")</f>
        <v/>
      </c>
      <c r="J754">
        <f>IFERROR(MID(I754,FIND("-",I754)+1,99),"")</f>
        <v/>
      </c>
    </row>
    <row r="755">
      <c r="B755">
        <f>IFERROR(IF($B$1=0,"",IF(INDEX(貼り付け!$A$1:$BZ$3001,754,$B$1)="","",IF(ISNUMBER(INDEX(貼り付け!$A$1:$BZ$3001,754,$B$1)),INT(INDEX(貼り付け!$A$1:$BZ$3001,754,$B$1)),DATE(VALUE(LEFT(I755,FIND("-",I755)-1)),VALUE(LEFT(J755,FIND("-",J755)-1)),VALUE(MID(J755,FIND("-",J755)+1,99)))))),"")</f>
        <v/>
      </c>
      <c r="C755">
        <f>IF($C$1=0,0,IFERROR(VALUE(SUBSTITUTE(SUBSTITUTE(SUBSTITUTE(INDEX(貼り付け!$A$1:$BZ$3001,754,$C$1)&amp;"",",",""),"¥",""),"￥","")),0))</f>
        <v/>
      </c>
      <c r="D755">
        <f>IF($D$1=0,0,IFERROR(VALUE(SUBSTITUTE(SUBSTITUTE(SUBSTITUTE(INDEX(貼り付け!$A$1:$BZ$3001,754,$D$1)&amp;"",",",""),"¥",""),"￥","")),0))</f>
        <v/>
      </c>
      <c r="E755">
        <f>IF($E$1=0,0,IFERROR(VALUE(SUBSTITUTE(SUBSTITUTE(SUBSTITUTE(INDEX(貼り付け!$A$1:$BZ$3001,754,$E$1)&amp;"",",",""),"¥",""),"￥","")),0))</f>
        <v/>
      </c>
      <c r="F755">
        <f>IF($F$1=0,0,IFERROR(VALUE(SUBSTITUTE(SUBSTITUTE(SUBSTITUTE(INDEX(貼り付け!$A$1:$BZ$3001,754,$F$1)&amp;"",",",""),"¥",""),"￥","")),0))</f>
        <v/>
      </c>
      <c r="G755">
        <f>IF(ISNUMBER(B755),YEAR(B755),"")</f>
        <v/>
      </c>
      <c r="H755">
        <f>IF(ISNUMBER(B755),MONTH(B755),"")</f>
        <v/>
      </c>
      <c r="I755">
        <f>IFERROR(IF($B$1=0,"",IF(ISNUMBER(INDEX(貼り付け!$A$1:$BZ$3001,754,$B$1)),"",SUBSTITUTE(SUBSTITUTE(SUBSTITUTE(SUBSTITUTE(TRIM(LEFT(INDEX(貼り付け!$A$1:$BZ$3001,754,$B$1)&amp;"",FIND(" ",TRIM(INDEX(貼り付け!$A$1:$BZ$3001,754,$B$1)&amp;"")&amp;" ")-1)),"/","-"),"年","-"),"月","-"),"日",""))),"")</f>
        <v/>
      </c>
      <c r="J755">
        <f>IFERROR(MID(I755,FIND("-",I755)+1,99),"")</f>
        <v/>
      </c>
    </row>
    <row r="756">
      <c r="B756">
        <f>IFERROR(IF($B$1=0,"",IF(INDEX(貼り付け!$A$1:$BZ$3001,755,$B$1)="","",IF(ISNUMBER(INDEX(貼り付け!$A$1:$BZ$3001,755,$B$1)),INT(INDEX(貼り付け!$A$1:$BZ$3001,755,$B$1)),DATE(VALUE(LEFT(I756,FIND("-",I756)-1)),VALUE(LEFT(J756,FIND("-",J756)-1)),VALUE(MID(J756,FIND("-",J756)+1,99)))))),"")</f>
        <v/>
      </c>
      <c r="C756">
        <f>IF($C$1=0,0,IFERROR(VALUE(SUBSTITUTE(SUBSTITUTE(SUBSTITUTE(INDEX(貼り付け!$A$1:$BZ$3001,755,$C$1)&amp;"",",",""),"¥",""),"￥","")),0))</f>
        <v/>
      </c>
      <c r="D756">
        <f>IF($D$1=0,0,IFERROR(VALUE(SUBSTITUTE(SUBSTITUTE(SUBSTITUTE(INDEX(貼り付け!$A$1:$BZ$3001,755,$D$1)&amp;"",",",""),"¥",""),"￥","")),0))</f>
        <v/>
      </c>
      <c r="E756">
        <f>IF($E$1=0,0,IFERROR(VALUE(SUBSTITUTE(SUBSTITUTE(SUBSTITUTE(INDEX(貼り付け!$A$1:$BZ$3001,755,$E$1)&amp;"",",",""),"¥",""),"￥","")),0))</f>
        <v/>
      </c>
      <c r="F756">
        <f>IF($F$1=0,0,IFERROR(VALUE(SUBSTITUTE(SUBSTITUTE(SUBSTITUTE(INDEX(貼り付け!$A$1:$BZ$3001,755,$F$1)&amp;"",",",""),"¥",""),"￥","")),0))</f>
        <v/>
      </c>
      <c r="G756">
        <f>IF(ISNUMBER(B756),YEAR(B756),"")</f>
        <v/>
      </c>
      <c r="H756">
        <f>IF(ISNUMBER(B756),MONTH(B756),"")</f>
        <v/>
      </c>
      <c r="I756">
        <f>IFERROR(IF($B$1=0,"",IF(ISNUMBER(INDEX(貼り付け!$A$1:$BZ$3001,755,$B$1)),"",SUBSTITUTE(SUBSTITUTE(SUBSTITUTE(SUBSTITUTE(TRIM(LEFT(INDEX(貼り付け!$A$1:$BZ$3001,755,$B$1)&amp;"",FIND(" ",TRIM(INDEX(貼り付け!$A$1:$BZ$3001,755,$B$1)&amp;"")&amp;" ")-1)),"/","-"),"年","-"),"月","-"),"日",""))),"")</f>
        <v/>
      </c>
      <c r="J756">
        <f>IFERROR(MID(I756,FIND("-",I756)+1,99),"")</f>
        <v/>
      </c>
    </row>
    <row r="757">
      <c r="B757">
        <f>IFERROR(IF($B$1=0,"",IF(INDEX(貼り付け!$A$1:$BZ$3001,756,$B$1)="","",IF(ISNUMBER(INDEX(貼り付け!$A$1:$BZ$3001,756,$B$1)),INT(INDEX(貼り付け!$A$1:$BZ$3001,756,$B$1)),DATE(VALUE(LEFT(I757,FIND("-",I757)-1)),VALUE(LEFT(J757,FIND("-",J757)-1)),VALUE(MID(J757,FIND("-",J757)+1,99)))))),"")</f>
        <v/>
      </c>
      <c r="C757">
        <f>IF($C$1=0,0,IFERROR(VALUE(SUBSTITUTE(SUBSTITUTE(SUBSTITUTE(INDEX(貼り付け!$A$1:$BZ$3001,756,$C$1)&amp;"",",",""),"¥",""),"￥","")),0))</f>
        <v/>
      </c>
      <c r="D757">
        <f>IF($D$1=0,0,IFERROR(VALUE(SUBSTITUTE(SUBSTITUTE(SUBSTITUTE(INDEX(貼り付け!$A$1:$BZ$3001,756,$D$1)&amp;"",",",""),"¥",""),"￥","")),0))</f>
        <v/>
      </c>
      <c r="E757">
        <f>IF($E$1=0,0,IFERROR(VALUE(SUBSTITUTE(SUBSTITUTE(SUBSTITUTE(INDEX(貼り付け!$A$1:$BZ$3001,756,$E$1)&amp;"",",",""),"¥",""),"￥","")),0))</f>
        <v/>
      </c>
      <c r="F757">
        <f>IF($F$1=0,0,IFERROR(VALUE(SUBSTITUTE(SUBSTITUTE(SUBSTITUTE(INDEX(貼り付け!$A$1:$BZ$3001,756,$F$1)&amp;"",",",""),"¥",""),"￥","")),0))</f>
        <v/>
      </c>
      <c r="G757">
        <f>IF(ISNUMBER(B757),YEAR(B757),"")</f>
        <v/>
      </c>
      <c r="H757">
        <f>IF(ISNUMBER(B757),MONTH(B757),"")</f>
        <v/>
      </c>
      <c r="I757">
        <f>IFERROR(IF($B$1=0,"",IF(ISNUMBER(INDEX(貼り付け!$A$1:$BZ$3001,756,$B$1)),"",SUBSTITUTE(SUBSTITUTE(SUBSTITUTE(SUBSTITUTE(TRIM(LEFT(INDEX(貼り付け!$A$1:$BZ$3001,756,$B$1)&amp;"",FIND(" ",TRIM(INDEX(貼り付け!$A$1:$BZ$3001,756,$B$1)&amp;"")&amp;" ")-1)),"/","-"),"年","-"),"月","-"),"日",""))),"")</f>
        <v/>
      </c>
      <c r="J757">
        <f>IFERROR(MID(I757,FIND("-",I757)+1,99),"")</f>
        <v/>
      </c>
    </row>
    <row r="758">
      <c r="B758">
        <f>IFERROR(IF($B$1=0,"",IF(INDEX(貼り付け!$A$1:$BZ$3001,757,$B$1)="","",IF(ISNUMBER(INDEX(貼り付け!$A$1:$BZ$3001,757,$B$1)),INT(INDEX(貼り付け!$A$1:$BZ$3001,757,$B$1)),DATE(VALUE(LEFT(I758,FIND("-",I758)-1)),VALUE(LEFT(J758,FIND("-",J758)-1)),VALUE(MID(J758,FIND("-",J758)+1,99)))))),"")</f>
        <v/>
      </c>
      <c r="C758">
        <f>IF($C$1=0,0,IFERROR(VALUE(SUBSTITUTE(SUBSTITUTE(SUBSTITUTE(INDEX(貼り付け!$A$1:$BZ$3001,757,$C$1)&amp;"",",",""),"¥",""),"￥","")),0))</f>
        <v/>
      </c>
      <c r="D758">
        <f>IF($D$1=0,0,IFERROR(VALUE(SUBSTITUTE(SUBSTITUTE(SUBSTITUTE(INDEX(貼り付け!$A$1:$BZ$3001,757,$D$1)&amp;"",",",""),"¥",""),"￥","")),0))</f>
        <v/>
      </c>
      <c r="E758">
        <f>IF($E$1=0,0,IFERROR(VALUE(SUBSTITUTE(SUBSTITUTE(SUBSTITUTE(INDEX(貼り付け!$A$1:$BZ$3001,757,$E$1)&amp;"",",",""),"¥",""),"￥","")),0))</f>
        <v/>
      </c>
      <c r="F758">
        <f>IF($F$1=0,0,IFERROR(VALUE(SUBSTITUTE(SUBSTITUTE(SUBSTITUTE(INDEX(貼り付け!$A$1:$BZ$3001,757,$F$1)&amp;"",",",""),"¥",""),"￥","")),0))</f>
        <v/>
      </c>
      <c r="G758">
        <f>IF(ISNUMBER(B758),YEAR(B758),"")</f>
        <v/>
      </c>
      <c r="H758">
        <f>IF(ISNUMBER(B758),MONTH(B758),"")</f>
        <v/>
      </c>
      <c r="I758">
        <f>IFERROR(IF($B$1=0,"",IF(ISNUMBER(INDEX(貼り付け!$A$1:$BZ$3001,757,$B$1)),"",SUBSTITUTE(SUBSTITUTE(SUBSTITUTE(SUBSTITUTE(TRIM(LEFT(INDEX(貼り付け!$A$1:$BZ$3001,757,$B$1)&amp;"",FIND(" ",TRIM(INDEX(貼り付け!$A$1:$BZ$3001,757,$B$1)&amp;"")&amp;" ")-1)),"/","-"),"年","-"),"月","-"),"日",""))),"")</f>
        <v/>
      </c>
      <c r="J758">
        <f>IFERROR(MID(I758,FIND("-",I758)+1,99),"")</f>
        <v/>
      </c>
    </row>
    <row r="759">
      <c r="B759">
        <f>IFERROR(IF($B$1=0,"",IF(INDEX(貼り付け!$A$1:$BZ$3001,758,$B$1)="","",IF(ISNUMBER(INDEX(貼り付け!$A$1:$BZ$3001,758,$B$1)),INT(INDEX(貼り付け!$A$1:$BZ$3001,758,$B$1)),DATE(VALUE(LEFT(I759,FIND("-",I759)-1)),VALUE(LEFT(J759,FIND("-",J759)-1)),VALUE(MID(J759,FIND("-",J759)+1,99)))))),"")</f>
        <v/>
      </c>
      <c r="C759">
        <f>IF($C$1=0,0,IFERROR(VALUE(SUBSTITUTE(SUBSTITUTE(SUBSTITUTE(INDEX(貼り付け!$A$1:$BZ$3001,758,$C$1)&amp;"",",",""),"¥",""),"￥","")),0))</f>
        <v/>
      </c>
      <c r="D759">
        <f>IF($D$1=0,0,IFERROR(VALUE(SUBSTITUTE(SUBSTITUTE(SUBSTITUTE(INDEX(貼り付け!$A$1:$BZ$3001,758,$D$1)&amp;"",",",""),"¥",""),"￥","")),0))</f>
        <v/>
      </c>
      <c r="E759">
        <f>IF($E$1=0,0,IFERROR(VALUE(SUBSTITUTE(SUBSTITUTE(SUBSTITUTE(INDEX(貼り付け!$A$1:$BZ$3001,758,$E$1)&amp;"",",",""),"¥",""),"￥","")),0))</f>
        <v/>
      </c>
      <c r="F759">
        <f>IF($F$1=0,0,IFERROR(VALUE(SUBSTITUTE(SUBSTITUTE(SUBSTITUTE(INDEX(貼り付け!$A$1:$BZ$3001,758,$F$1)&amp;"",",",""),"¥",""),"￥","")),0))</f>
        <v/>
      </c>
      <c r="G759">
        <f>IF(ISNUMBER(B759),YEAR(B759),"")</f>
        <v/>
      </c>
      <c r="H759">
        <f>IF(ISNUMBER(B759),MONTH(B759),"")</f>
        <v/>
      </c>
      <c r="I759">
        <f>IFERROR(IF($B$1=0,"",IF(ISNUMBER(INDEX(貼り付け!$A$1:$BZ$3001,758,$B$1)),"",SUBSTITUTE(SUBSTITUTE(SUBSTITUTE(SUBSTITUTE(TRIM(LEFT(INDEX(貼り付け!$A$1:$BZ$3001,758,$B$1)&amp;"",FIND(" ",TRIM(INDEX(貼り付け!$A$1:$BZ$3001,758,$B$1)&amp;"")&amp;" ")-1)),"/","-"),"年","-"),"月","-"),"日",""))),"")</f>
        <v/>
      </c>
      <c r="J759">
        <f>IFERROR(MID(I759,FIND("-",I759)+1,99),"")</f>
        <v/>
      </c>
    </row>
    <row r="760">
      <c r="B760">
        <f>IFERROR(IF($B$1=0,"",IF(INDEX(貼り付け!$A$1:$BZ$3001,759,$B$1)="","",IF(ISNUMBER(INDEX(貼り付け!$A$1:$BZ$3001,759,$B$1)),INT(INDEX(貼り付け!$A$1:$BZ$3001,759,$B$1)),DATE(VALUE(LEFT(I760,FIND("-",I760)-1)),VALUE(LEFT(J760,FIND("-",J760)-1)),VALUE(MID(J760,FIND("-",J760)+1,99)))))),"")</f>
        <v/>
      </c>
      <c r="C760">
        <f>IF($C$1=0,0,IFERROR(VALUE(SUBSTITUTE(SUBSTITUTE(SUBSTITUTE(INDEX(貼り付け!$A$1:$BZ$3001,759,$C$1)&amp;"",",",""),"¥",""),"￥","")),0))</f>
        <v/>
      </c>
      <c r="D760">
        <f>IF($D$1=0,0,IFERROR(VALUE(SUBSTITUTE(SUBSTITUTE(SUBSTITUTE(INDEX(貼り付け!$A$1:$BZ$3001,759,$D$1)&amp;"",",",""),"¥",""),"￥","")),0))</f>
        <v/>
      </c>
      <c r="E760">
        <f>IF($E$1=0,0,IFERROR(VALUE(SUBSTITUTE(SUBSTITUTE(SUBSTITUTE(INDEX(貼り付け!$A$1:$BZ$3001,759,$E$1)&amp;"",",",""),"¥",""),"￥","")),0))</f>
        <v/>
      </c>
      <c r="F760">
        <f>IF($F$1=0,0,IFERROR(VALUE(SUBSTITUTE(SUBSTITUTE(SUBSTITUTE(INDEX(貼り付け!$A$1:$BZ$3001,759,$F$1)&amp;"",",",""),"¥",""),"￥","")),0))</f>
        <v/>
      </c>
      <c r="G760">
        <f>IF(ISNUMBER(B760),YEAR(B760),"")</f>
        <v/>
      </c>
      <c r="H760">
        <f>IF(ISNUMBER(B760),MONTH(B760),"")</f>
        <v/>
      </c>
      <c r="I760">
        <f>IFERROR(IF($B$1=0,"",IF(ISNUMBER(INDEX(貼り付け!$A$1:$BZ$3001,759,$B$1)),"",SUBSTITUTE(SUBSTITUTE(SUBSTITUTE(SUBSTITUTE(TRIM(LEFT(INDEX(貼り付け!$A$1:$BZ$3001,759,$B$1)&amp;"",FIND(" ",TRIM(INDEX(貼り付け!$A$1:$BZ$3001,759,$B$1)&amp;"")&amp;" ")-1)),"/","-"),"年","-"),"月","-"),"日",""))),"")</f>
        <v/>
      </c>
      <c r="J760">
        <f>IFERROR(MID(I760,FIND("-",I760)+1,99),"")</f>
        <v/>
      </c>
    </row>
    <row r="761">
      <c r="B761">
        <f>IFERROR(IF($B$1=0,"",IF(INDEX(貼り付け!$A$1:$BZ$3001,760,$B$1)="","",IF(ISNUMBER(INDEX(貼り付け!$A$1:$BZ$3001,760,$B$1)),INT(INDEX(貼り付け!$A$1:$BZ$3001,760,$B$1)),DATE(VALUE(LEFT(I761,FIND("-",I761)-1)),VALUE(LEFT(J761,FIND("-",J761)-1)),VALUE(MID(J761,FIND("-",J761)+1,99)))))),"")</f>
        <v/>
      </c>
      <c r="C761">
        <f>IF($C$1=0,0,IFERROR(VALUE(SUBSTITUTE(SUBSTITUTE(SUBSTITUTE(INDEX(貼り付け!$A$1:$BZ$3001,760,$C$1)&amp;"",",",""),"¥",""),"￥","")),0))</f>
        <v/>
      </c>
      <c r="D761">
        <f>IF($D$1=0,0,IFERROR(VALUE(SUBSTITUTE(SUBSTITUTE(SUBSTITUTE(INDEX(貼り付け!$A$1:$BZ$3001,760,$D$1)&amp;"",",",""),"¥",""),"￥","")),0))</f>
        <v/>
      </c>
      <c r="E761">
        <f>IF($E$1=0,0,IFERROR(VALUE(SUBSTITUTE(SUBSTITUTE(SUBSTITUTE(INDEX(貼り付け!$A$1:$BZ$3001,760,$E$1)&amp;"",",",""),"¥",""),"￥","")),0))</f>
        <v/>
      </c>
      <c r="F761">
        <f>IF($F$1=0,0,IFERROR(VALUE(SUBSTITUTE(SUBSTITUTE(SUBSTITUTE(INDEX(貼り付け!$A$1:$BZ$3001,760,$F$1)&amp;"",",",""),"¥",""),"￥","")),0))</f>
        <v/>
      </c>
      <c r="G761">
        <f>IF(ISNUMBER(B761),YEAR(B761),"")</f>
        <v/>
      </c>
      <c r="H761">
        <f>IF(ISNUMBER(B761),MONTH(B761),"")</f>
        <v/>
      </c>
      <c r="I761">
        <f>IFERROR(IF($B$1=0,"",IF(ISNUMBER(INDEX(貼り付け!$A$1:$BZ$3001,760,$B$1)),"",SUBSTITUTE(SUBSTITUTE(SUBSTITUTE(SUBSTITUTE(TRIM(LEFT(INDEX(貼り付け!$A$1:$BZ$3001,760,$B$1)&amp;"",FIND(" ",TRIM(INDEX(貼り付け!$A$1:$BZ$3001,760,$B$1)&amp;"")&amp;" ")-1)),"/","-"),"年","-"),"月","-"),"日",""))),"")</f>
        <v/>
      </c>
      <c r="J761">
        <f>IFERROR(MID(I761,FIND("-",I761)+1,99),"")</f>
        <v/>
      </c>
    </row>
    <row r="762">
      <c r="B762">
        <f>IFERROR(IF($B$1=0,"",IF(INDEX(貼り付け!$A$1:$BZ$3001,761,$B$1)="","",IF(ISNUMBER(INDEX(貼り付け!$A$1:$BZ$3001,761,$B$1)),INT(INDEX(貼り付け!$A$1:$BZ$3001,761,$B$1)),DATE(VALUE(LEFT(I762,FIND("-",I762)-1)),VALUE(LEFT(J762,FIND("-",J762)-1)),VALUE(MID(J762,FIND("-",J762)+1,99)))))),"")</f>
        <v/>
      </c>
      <c r="C762">
        <f>IF($C$1=0,0,IFERROR(VALUE(SUBSTITUTE(SUBSTITUTE(SUBSTITUTE(INDEX(貼り付け!$A$1:$BZ$3001,761,$C$1)&amp;"",",",""),"¥",""),"￥","")),0))</f>
        <v/>
      </c>
      <c r="D762">
        <f>IF($D$1=0,0,IFERROR(VALUE(SUBSTITUTE(SUBSTITUTE(SUBSTITUTE(INDEX(貼り付け!$A$1:$BZ$3001,761,$D$1)&amp;"",",",""),"¥",""),"￥","")),0))</f>
        <v/>
      </c>
      <c r="E762">
        <f>IF($E$1=0,0,IFERROR(VALUE(SUBSTITUTE(SUBSTITUTE(SUBSTITUTE(INDEX(貼り付け!$A$1:$BZ$3001,761,$E$1)&amp;"",",",""),"¥",""),"￥","")),0))</f>
        <v/>
      </c>
      <c r="F762">
        <f>IF($F$1=0,0,IFERROR(VALUE(SUBSTITUTE(SUBSTITUTE(SUBSTITUTE(INDEX(貼り付け!$A$1:$BZ$3001,761,$F$1)&amp;"",",",""),"¥",""),"￥","")),0))</f>
        <v/>
      </c>
      <c r="G762">
        <f>IF(ISNUMBER(B762),YEAR(B762),"")</f>
        <v/>
      </c>
      <c r="H762">
        <f>IF(ISNUMBER(B762),MONTH(B762),"")</f>
        <v/>
      </c>
      <c r="I762">
        <f>IFERROR(IF($B$1=0,"",IF(ISNUMBER(INDEX(貼り付け!$A$1:$BZ$3001,761,$B$1)),"",SUBSTITUTE(SUBSTITUTE(SUBSTITUTE(SUBSTITUTE(TRIM(LEFT(INDEX(貼り付け!$A$1:$BZ$3001,761,$B$1)&amp;"",FIND(" ",TRIM(INDEX(貼り付け!$A$1:$BZ$3001,761,$B$1)&amp;"")&amp;" ")-1)),"/","-"),"年","-"),"月","-"),"日",""))),"")</f>
        <v/>
      </c>
      <c r="J762">
        <f>IFERROR(MID(I762,FIND("-",I762)+1,99),"")</f>
        <v/>
      </c>
    </row>
    <row r="763">
      <c r="B763">
        <f>IFERROR(IF($B$1=0,"",IF(INDEX(貼り付け!$A$1:$BZ$3001,762,$B$1)="","",IF(ISNUMBER(INDEX(貼り付け!$A$1:$BZ$3001,762,$B$1)),INT(INDEX(貼り付け!$A$1:$BZ$3001,762,$B$1)),DATE(VALUE(LEFT(I763,FIND("-",I763)-1)),VALUE(LEFT(J763,FIND("-",J763)-1)),VALUE(MID(J763,FIND("-",J763)+1,99)))))),"")</f>
        <v/>
      </c>
      <c r="C763">
        <f>IF($C$1=0,0,IFERROR(VALUE(SUBSTITUTE(SUBSTITUTE(SUBSTITUTE(INDEX(貼り付け!$A$1:$BZ$3001,762,$C$1)&amp;"",",",""),"¥",""),"￥","")),0))</f>
        <v/>
      </c>
      <c r="D763">
        <f>IF($D$1=0,0,IFERROR(VALUE(SUBSTITUTE(SUBSTITUTE(SUBSTITUTE(INDEX(貼り付け!$A$1:$BZ$3001,762,$D$1)&amp;"",",",""),"¥",""),"￥","")),0))</f>
        <v/>
      </c>
      <c r="E763">
        <f>IF($E$1=0,0,IFERROR(VALUE(SUBSTITUTE(SUBSTITUTE(SUBSTITUTE(INDEX(貼り付け!$A$1:$BZ$3001,762,$E$1)&amp;"",",",""),"¥",""),"￥","")),0))</f>
        <v/>
      </c>
      <c r="F763">
        <f>IF($F$1=0,0,IFERROR(VALUE(SUBSTITUTE(SUBSTITUTE(SUBSTITUTE(INDEX(貼り付け!$A$1:$BZ$3001,762,$F$1)&amp;"",",",""),"¥",""),"￥","")),0))</f>
        <v/>
      </c>
      <c r="G763">
        <f>IF(ISNUMBER(B763),YEAR(B763),"")</f>
        <v/>
      </c>
      <c r="H763">
        <f>IF(ISNUMBER(B763),MONTH(B763),"")</f>
        <v/>
      </c>
      <c r="I763">
        <f>IFERROR(IF($B$1=0,"",IF(ISNUMBER(INDEX(貼り付け!$A$1:$BZ$3001,762,$B$1)),"",SUBSTITUTE(SUBSTITUTE(SUBSTITUTE(SUBSTITUTE(TRIM(LEFT(INDEX(貼り付け!$A$1:$BZ$3001,762,$B$1)&amp;"",FIND(" ",TRIM(INDEX(貼り付け!$A$1:$BZ$3001,762,$B$1)&amp;"")&amp;" ")-1)),"/","-"),"年","-"),"月","-"),"日",""))),"")</f>
        <v/>
      </c>
      <c r="J763">
        <f>IFERROR(MID(I763,FIND("-",I763)+1,99),"")</f>
        <v/>
      </c>
    </row>
    <row r="764">
      <c r="B764">
        <f>IFERROR(IF($B$1=0,"",IF(INDEX(貼り付け!$A$1:$BZ$3001,763,$B$1)="","",IF(ISNUMBER(INDEX(貼り付け!$A$1:$BZ$3001,763,$B$1)),INT(INDEX(貼り付け!$A$1:$BZ$3001,763,$B$1)),DATE(VALUE(LEFT(I764,FIND("-",I764)-1)),VALUE(LEFT(J764,FIND("-",J764)-1)),VALUE(MID(J764,FIND("-",J764)+1,99)))))),"")</f>
        <v/>
      </c>
      <c r="C764">
        <f>IF($C$1=0,0,IFERROR(VALUE(SUBSTITUTE(SUBSTITUTE(SUBSTITUTE(INDEX(貼り付け!$A$1:$BZ$3001,763,$C$1)&amp;"",",",""),"¥",""),"￥","")),0))</f>
        <v/>
      </c>
      <c r="D764">
        <f>IF($D$1=0,0,IFERROR(VALUE(SUBSTITUTE(SUBSTITUTE(SUBSTITUTE(INDEX(貼り付け!$A$1:$BZ$3001,763,$D$1)&amp;"",",",""),"¥",""),"￥","")),0))</f>
        <v/>
      </c>
      <c r="E764">
        <f>IF($E$1=0,0,IFERROR(VALUE(SUBSTITUTE(SUBSTITUTE(SUBSTITUTE(INDEX(貼り付け!$A$1:$BZ$3001,763,$E$1)&amp;"",",",""),"¥",""),"￥","")),0))</f>
        <v/>
      </c>
      <c r="F764">
        <f>IF($F$1=0,0,IFERROR(VALUE(SUBSTITUTE(SUBSTITUTE(SUBSTITUTE(INDEX(貼り付け!$A$1:$BZ$3001,763,$F$1)&amp;"",",",""),"¥",""),"￥","")),0))</f>
        <v/>
      </c>
      <c r="G764">
        <f>IF(ISNUMBER(B764),YEAR(B764),"")</f>
        <v/>
      </c>
      <c r="H764">
        <f>IF(ISNUMBER(B764),MONTH(B764),"")</f>
        <v/>
      </c>
      <c r="I764">
        <f>IFERROR(IF($B$1=0,"",IF(ISNUMBER(INDEX(貼り付け!$A$1:$BZ$3001,763,$B$1)),"",SUBSTITUTE(SUBSTITUTE(SUBSTITUTE(SUBSTITUTE(TRIM(LEFT(INDEX(貼り付け!$A$1:$BZ$3001,763,$B$1)&amp;"",FIND(" ",TRIM(INDEX(貼り付け!$A$1:$BZ$3001,763,$B$1)&amp;"")&amp;" ")-1)),"/","-"),"年","-"),"月","-"),"日",""))),"")</f>
        <v/>
      </c>
      <c r="J764">
        <f>IFERROR(MID(I764,FIND("-",I764)+1,99),"")</f>
        <v/>
      </c>
    </row>
    <row r="765">
      <c r="B765">
        <f>IFERROR(IF($B$1=0,"",IF(INDEX(貼り付け!$A$1:$BZ$3001,764,$B$1)="","",IF(ISNUMBER(INDEX(貼り付け!$A$1:$BZ$3001,764,$B$1)),INT(INDEX(貼り付け!$A$1:$BZ$3001,764,$B$1)),DATE(VALUE(LEFT(I765,FIND("-",I765)-1)),VALUE(LEFT(J765,FIND("-",J765)-1)),VALUE(MID(J765,FIND("-",J765)+1,99)))))),"")</f>
        <v/>
      </c>
      <c r="C765">
        <f>IF($C$1=0,0,IFERROR(VALUE(SUBSTITUTE(SUBSTITUTE(SUBSTITUTE(INDEX(貼り付け!$A$1:$BZ$3001,764,$C$1)&amp;"",",",""),"¥",""),"￥","")),0))</f>
        <v/>
      </c>
      <c r="D765">
        <f>IF($D$1=0,0,IFERROR(VALUE(SUBSTITUTE(SUBSTITUTE(SUBSTITUTE(INDEX(貼り付け!$A$1:$BZ$3001,764,$D$1)&amp;"",",",""),"¥",""),"￥","")),0))</f>
        <v/>
      </c>
      <c r="E765">
        <f>IF($E$1=0,0,IFERROR(VALUE(SUBSTITUTE(SUBSTITUTE(SUBSTITUTE(INDEX(貼り付け!$A$1:$BZ$3001,764,$E$1)&amp;"",",",""),"¥",""),"￥","")),0))</f>
        <v/>
      </c>
      <c r="F765">
        <f>IF($F$1=0,0,IFERROR(VALUE(SUBSTITUTE(SUBSTITUTE(SUBSTITUTE(INDEX(貼り付け!$A$1:$BZ$3001,764,$F$1)&amp;"",",",""),"¥",""),"￥","")),0))</f>
        <v/>
      </c>
      <c r="G765">
        <f>IF(ISNUMBER(B765),YEAR(B765),"")</f>
        <v/>
      </c>
      <c r="H765">
        <f>IF(ISNUMBER(B765),MONTH(B765),"")</f>
        <v/>
      </c>
      <c r="I765">
        <f>IFERROR(IF($B$1=0,"",IF(ISNUMBER(INDEX(貼り付け!$A$1:$BZ$3001,764,$B$1)),"",SUBSTITUTE(SUBSTITUTE(SUBSTITUTE(SUBSTITUTE(TRIM(LEFT(INDEX(貼り付け!$A$1:$BZ$3001,764,$B$1)&amp;"",FIND(" ",TRIM(INDEX(貼り付け!$A$1:$BZ$3001,764,$B$1)&amp;"")&amp;" ")-1)),"/","-"),"年","-"),"月","-"),"日",""))),"")</f>
        <v/>
      </c>
      <c r="J765">
        <f>IFERROR(MID(I765,FIND("-",I765)+1,99),"")</f>
        <v/>
      </c>
    </row>
    <row r="766">
      <c r="B766">
        <f>IFERROR(IF($B$1=0,"",IF(INDEX(貼り付け!$A$1:$BZ$3001,765,$B$1)="","",IF(ISNUMBER(INDEX(貼り付け!$A$1:$BZ$3001,765,$B$1)),INT(INDEX(貼り付け!$A$1:$BZ$3001,765,$B$1)),DATE(VALUE(LEFT(I766,FIND("-",I766)-1)),VALUE(LEFT(J766,FIND("-",J766)-1)),VALUE(MID(J766,FIND("-",J766)+1,99)))))),"")</f>
        <v/>
      </c>
      <c r="C766">
        <f>IF($C$1=0,0,IFERROR(VALUE(SUBSTITUTE(SUBSTITUTE(SUBSTITUTE(INDEX(貼り付け!$A$1:$BZ$3001,765,$C$1)&amp;"",",",""),"¥",""),"￥","")),0))</f>
        <v/>
      </c>
      <c r="D766">
        <f>IF($D$1=0,0,IFERROR(VALUE(SUBSTITUTE(SUBSTITUTE(SUBSTITUTE(INDEX(貼り付け!$A$1:$BZ$3001,765,$D$1)&amp;"",",",""),"¥",""),"￥","")),0))</f>
        <v/>
      </c>
      <c r="E766">
        <f>IF($E$1=0,0,IFERROR(VALUE(SUBSTITUTE(SUBSTITUTE(SUBSTITUTE(INDEX(貼り付け!$A$1:$BZ$3001,765,$E$1)&amp;"",",",""),"¥",""),"￥","")),0))</f>
        <v/>
      </c>
      <c r="F766">
        <f>IF($F$1=0,0,IFERROR(VALUE(SUBSTITUTE(SUBSTITUTE(SUBSTITUTE(INDEX(貼り付け!$A$1:$BZ$3001,765,$F$1)&amp;"",",",""),"¥",""),"￥","")),0))</f>
        <v/>
      </c>
      <c r="G766">
        <f>IF(ISNUMBER(B766),YEAR(B766),"")</f>
        <v/>
      </c>
      <c r="H766">
        <f>IF(ISNUMBER(B766),MONTH(B766),"")</f>
        <v/>
      </c>
      <c r="I766">
        <f>IFERROR(IF($B$1=0,"",IF(ISNUMBER(INDEX(貼り付け!$A$1:$BZ$3001,765,$B$1)),"",SUBSTITUTE(SUBSTITUTE(SUBSTITUTE(SUBSTITUTE(TRIM(LEFT(INDEX(貼り付け!$A$1:$BZ$3001,765,$B$1)&amp;"",FIND(" ",TRIM(INDEX(貼り付け!$A$1:$BZ$3001,765,$B$1)&amp;"")&amp;" ")-1)),"/","-"),"年","-"),"月","-"),"日",""))),"")</f>
        <v/>
      </c>
      <c r="J766">
        <f>IFERROR(MID(I766,FIND("-",I766)+1,99),"")</f>
        <v/>
      </c>
    </row>
    <row r="767">
      <c r="B767">
        <f>IFERROR(IF($B$1=0,"",IF(INDEX(貼り付け!$A$1:$BZ$3001,766,$B$1)="","",IF(ISNUMBER(INDEX(貼り付け!$A$1:$BZ$3001,766,$B$1)),INT(INDEX(貼り付け!$A$1:$BZ$3001,766,$B$1)),DATE(VALUE(LEFT(I767,FIND("-",I767)-1)),VALUE(LEFT(J767,FIND("-",J767)-1)),VALUE(MID(J767,FIND("-",J767)+1,99)))))),"")</f>
        <v/>
      </c>
      <c r="C767">
        <f>IF($C$1=0,0,IFERROR(VALUE(SUBSTITUTE(SUBSTITUTE(SUBSTITUTE(INDEX(貼り付け!$A$1:$BZ$3001,766,$C$1)&amp;"",",",""),"¥",""),"￥","")),0))</f>
        <v/>
      </c>
      <c r="D767">
        <f>IF($D$1=0,0,IFERROR(VALUE(SUBSTITUTE(SUBSTITUTE(SUBSTITUTE(INDEX(貼り付け!$A$1:$BZ$3001,766,$D$1)&amp;"",",",""),"¥",""),"￥","")),0))</f>
        <v/>
      </c>
      <c r="E767">
        <f>IF($E$1=0,0,IFERROR(VALUE(SUBSTITUTE(SUBSTITUTE(SUBSTITUTE(INDEX(貼り付け!$A$1:$BZ$3001,766,$E$1)&amp;"",",",""),"¥",""),"￥","")),0))</f>
        <v/>
      </c>
      <c r="F767">
        <f>IF($F$1=0,0,IFERROR(VALUE(SUBSTITUTE(SUBSTITUTE(SUBSTITUTE(INDEX(貼り付け!$A$1:$BZ$3001,766,$F$1)&amp;"",",",""),"¥",""),"￥","")),0))</f>
        <v/>
      </c>
      <c r="G767">
        <f>IF(ISNUMBER(B767),YEAR(B767),"")</f>
        <v/>
      </c>
      <c r="H767">
        <f>IF(ISNUMBER(B767),MONTH(B767),"")</f>
        <v/>
      </c>
      <c r="I767">
        <f>IFERROR(IF($B$1=0,"",IF(ISNUMBER(INDEX(貼り付け!$A$1:$BZ$3001,766,$B$1)),"",SUBSTITUTE(SUBSTITUTE(SUBSTITUTE(SUBSTITUTE(TRIM(LEFT(INDEX(貼り付け!$A$1:$BZ$3001,766,$B$1)&amp;"",FIND(" ",TRIM(INDEX(貼り付け!$A$1:$BZ$3001,766,$B$1)&amp;"")&amp;" ")-1)),"/","-"),"年","-"),"月","-"),"日",""))),"")</f>
        <v/>
      </c>
      <c r="J767">
        <f>IFERROR(MID(I767,FIND("-",I767)+1,99),"")</f>
        <v/>
      </c>
    </row>
    <row r="768">
      <c r="B768">
        <f>IFERROR(IF($B$1=0,"",IF(INDEX(貼り付け!$A$1:$BZ$3001,767,$B$1)="","",IF(ISNUMBER(INDEX(貼り付け!$A$1:$BZ$3001,767,$B$1)),INT(INDEX(貼り付け!$A$1:$BZ$3001,767,$B$1)),DATE(VALUE(LEFT(I768,FIND("-",I768)-1)),VALUE(LEFT(J768,FIND("-",J768)-1)),VALUE(MID(J768,FIND("-",J768)+1,99)))))),"")</f>
        <v/>
      </c>
      <c r="C768">
        <f>IF($C$1=0,0,IFERROR(VALUE(SUBSTITUTE(SUBSTITUTE(SUBSTITUTE(INDEX(貼り付け!$A$1:$BZ$3001,767,$C$1)&amp;"",",",""),"¥",""),"￥","")),0))</f>
        <v/>
      </c>
      <c r="D768">
        <f>IF($D$1=0,0,IFERROR(VALUE(SUBSTITUTE(SUBSTITUTE(SUBSTITUTE(INDEX(貼り付け!$A$1:$BZ$3001,767,$D$1)&amp;"",",",""),"¥",""),"￥","")),0))</f>
        <v/>
      </c>
      <c r="E768">
        <f>IF($E$1=0,0,IFERROR(VALUE(SUBSTITUTE(SUBSTITUTE(SUBSTITUTE(INDEX(貼り付け!$A$1:$BZ$3001,767,$E$1)&amp;"",",",""),"¥",""),"￥","")),0))</f>
        <v/>
      </c>
      <c r="F768">
        <f>IF($F$1=0,0,IFERROR(VALUE(SUBSTITUTE(SUBSTITUTE(SUBSTITUTE(INDEX(貼り付け!$A$1:$BZ$3001,767,$F$1)&amp;"",",",""),"¥",""),"￥","")),0))</f>
        <v/>
      </c>
      <c r="G768">
        <f>IF(ISNUMBER(B768),YEAR(B768),"")</f>
        <v/>
      </c>
      <c r="H768">
        <f>IF(ISNUMBER(B768),MONTH(B768),"")</f>
        <v/>
      </c>
      <c r="I768">
        <f>IFERROR(IF($B$1=0,"",IF(ISNUMBER(INDEX(貼り付け!$A$1:$BZ$3001,767,$B$1)),"",SUBSTITUTE(SUBSTITUTE(SUBSTITUTE(SUBSTITUTE(TRIM(LEFT(INDEX(貼り付け!$A$1:$BZ$3001,767,$B$1)&amp;"",FIND(" ",TRIM(INDEX(貼り付け!$A$1:$BZ$3001,767,$B$1)&amp;"")&amp;" ")-1)),"/","-"),"年","-"),"月","-"),"日",""))),"")</f>
        <v/>
      </c>
      <c r="J768">
        <f>IFERROR(MID(I768,FIND("-",I768)+1,99),"")</f>
        <v/>
      </c>
    </row>
    <row r="769">
      <c r="B769">
        <f>IFERROR(IF($B$1=0,"",IF(INDEX(貼り付け!$A$1:$BZ$3001,768,$B$1)="","",IF(ISNUMBER(INDEX(貼り付け!$A$1:$BZ$3001,768,$B$1)),INT(INDEX(貼り付け!$A$1:$BZ$3001,768,$B$1)),DATE(VALUE(LEFT(I769,FIND("-",I769)-1)),VALUE(LEFT(J769,FIND("-",J769)-1)),VALUE(MID(J769,FIND("-",J769)+1,99)))))),"")</f>
        <v/>
      </c>
      <c r="C769">
        <f>IF($C$1=0,0,IFERROR(VALUE(SUBSTITUTE(SUBSTITUTE(SUBSTITUTE(INDEX(貼り付け!$A$1:$BZ$3001,768,$C$1)&amp;"",",",""),"¥",""),"￥","")),0))</f>
        <v/>
      </c>
      <c r="D769">
        <f>IF($D$1=0,0,IFERROR(VALUE(SUBSTITUTE(SUBSTITUTE(SUBSTITUTE(INDEX(貼り付け!$A$1:$BZ$3001,768,$D$1)&amp;"",",",""),"¥",""),"￥","")),0))</f>
        <v/>
      </c>
      <c r="E769">
        <f>IF($E$1=0,0,IFERROR(VALUE(SUBSTITUTE(SUBSTITUTE(SUBSTITUTE(INDEX(貼り付け!$A$1:$BZ$3001,768,$E$1)&amp;"",",",""),"¥",""),"￥","")),0))</f>
        <v/>
      </c>
      <c r="F769">
        <f>IF($F$1=0,0,IFERROR(VALUE(SUBSTITUTE(SUBSTITUTE(SUBSTITUTE(INDEX(貼り付け!$A$1:$BZ$3001,768,$F$1)&amp;"",",",""),"¥",""),"￥","")),0))</f>
        <v/>
      </c>
      <c r="G769">
        <f>IF(ISNUMBER(B769),YEAR(B769),"")</f>
        <v/>
      </c>
      <c r="H769">
        <f>IF(ISNUMBER(B769),MONTH(B769),"")</f>
        <v/>
      </c>
      <c r="I769">
        <f>IFERROR(IF($B$1=0,"",IF(ISNUMBER(INDEX(貼り付け!$A$1:$BZ$3001,768,$B$1)),"",SUBSTITUTE(SUBSTITUTE(SUBSTITUTE(SUBSTITUTE(TRIM(LEFT(INDEX(貼り付け!$A$1:$BZ$3001,768,$B$1)&amp;"",FIND(" ",TRIM(INDEX(貼り付け!$A$1:$BZ$3001,768,$B$1)&amp;"")&amp;" ")-1)),"/","-"),"年","-"),"月","-"),"日",""))),"")</f>
        <v/>
      </c>
      <c r="J769">
        <f>IFERROR(MID(I769,FIND("-",I769)+1,99),"")</f>
        <v/>
      </c>
    </row>
    <row r="770">
      <c r="B770">
        <f>IFERROR(IF($B$1=0,"",IF(INDEX(貼り付け!$A$1:$BZ$3001,769,$B$1)="","",IF(ISNUMBER(INDEX(貼り付け!$A$1:$BZ$3001,769,$B$1)),INT(INDEX(貼り付け!$A$1:$BZ$3001,769,$B$1)),DATE(VALUE(LEFT(I770,FIND("-",I770)-1)),VALUE(LEFT(J770,FIND("-",J770)-1)),VALUE(MID(J770,FIND("-",J770)+1,99)))))),"")</f>
        <v/>
      </c>
      <c r="C770">
        <f>IF($C$1=0,0,IFERROR(VALUE(SUBSTITUTE(SUBSTITUTE(SUBSTITUTE(INDEX(貼り付け!$A$1:$BZ$3001,769,$C$1)&amp;"",",",""),"¥",""),"￥","")),0))</f>
        <v/>
      </c>
      <c r="D770">
        <f>IF($D$1=0,0,IFERROR(VALUE(SUBSTITUTE(SUBSTITUTE(SUBSTITUTE(INDEX(貼り付け!$A$1:$BZ$3001,769,$D$1)&amp;"",",",""),"¥",""),"￥","")),0))</f>
        <v/>
      </c>
      <c r="E770">
        <f>IF($E$1=0,0,IFERROR(VALUE(SUBSTITUTE(SUBSTITUTE(SUBSTITUTE(INDEX(貼り付け!$A$1:$BZ$3001,769,$E$1)&amp;"",",",""),"¥",""),"￥","")),0))</f>
        <v/>
      </c>
      <c r="F770">
        <f>IF($F$1=0,0,IFERROR(VALUE(SUBSTITUTE(SUBSTITUTE(SUBSTITUTE(INDEX(貼り付け!$A$1:$BZ$3001,769,$F$1)&amp;"",",",""),"¥",""),"￥","")),0))</f>
        <v/>
      </c>
      <c r="G770">
        <f>IF(ISNUMBER(B770),YEAR(B770),"")</f>
        <v/>
      </c>
      <c r="H770">
        <f>IF(ISNUMBER(B770),MONTH(B770),"")</f>
        <v/>
      </c>
      <c r="I770">
        <f>IFERROR(IF($B$1=0,"",IF(ISNUMBER(INDEX(貼り付け!$A$1:$BZ$3001,769,$B$1)),"",SUBSTITUTE(SUBSTITUTE(SUBSTITUTE(SUBSTITUTE(TRIM(LEFT(INDEX(貼り付け!$A$1:$BZ$3001,769,$B$1)&amp;"",FIND(" ",TRIM(INDEX(貼り付け!$A$1:$BZ$3001,769,$B$1)&amp;"")&amp;" ")-1)),"/","-"),"年","-"),"月","-"),"日",""))),"")</f>
        <v/>
      </c>
      <c r="J770">
        <f>IFERROR(MID(I770,FIND("-",I770)+1,99),"")</f>
        <v/>
      </c>
    </row>
    <row r="771">
      <c r="B771">
        <f>IFERROR(IF($B$1=0,"",IF(INDEX(貼り付け!$A$1:$BZ$3001,770,$B$1)="","",IF(ISNUMBER(INDEX(貼り付け!$A$1:$BZ$3001,770,$B$1)),INT(INDEX(貼り付け!$A$1:$BZ$3001,770,$B$1)),DATE(VALUE(LEFT(I771,FIND("-",I771)-1)),VALUE(LEFT(J771,FIND("-",J771)-1)),VALUE(MID(J771,FIND("-",J771)+1,99)))))),"")</f>
        <v/>
      </c>
      <c r="C771">
        <f>IF($C$1=0,0,IFERROR(VALUE(SUBSTITUTE(SUBSTITUTE(SUBSTITUTE(INDEX(貼り付け!$A$1:$BZ$3001,770,$C$1)&amp;"",",",""),"¥",""),"￥","")),0))</f>
        <v/>
      </c>
      <c r="D771">
        <f>IF($D$1=0,0,IFERROR(VALUE(SUBSTITUTE(SUBSTITUTE(SUBSTITUTE(INDEX(貼り付け!$A$1:$BZ$3001,770,$D$1)&amp;"",",",""),"¥",""),"￥","")),0))</f>
        <v/>
      </c>
      <c r="E771">
        <f>IF($E$1=0,0,IFERROR(VALUE(SUBSTITUTE(SUBSTITUTE(SUBSTITUTE(INDEX(貼り付け!$A$1:$BZ$3001,770,$E$1)&amp;"",",",""),"¥",""),"￥","")),0))</f>
        <v/>
      </c>
      <c r="F771">
        <f>IF($F$1=0,0,IFERROR(VALUE(SUBSTITUTE(SUBSTITUTE(SUBSTITUTE(INDEX(貼り付け!$A$1:$BZ$3001,770,$F$1)&amp;"",",",""),"¥",""),"￥","")),0))</f>
        <v/>
      </c>
      <c r="G771">
        <f>IF(ISNUMBER(B771),YEAR(B771),"")</f>
        <v/>
      </c>
      <c r="H771">
        <f>IF(ISNUMBER(B771),MONTH(B771),"")</f>
        <v/>
      </c>
      <c r="I771">
        <f>IFERROR(IF($B$1=0,"",IF(ISNUMBER(INDEX(貼り付け!$A$1:$BZ$3001,770,$B$1)),"",SUBSTITUTE(SUBSTITUTE(SUBSTITUTE(SUBSTITUTE(TRIM(LEFT(INDEX(貼り付け!$A$1:$BZ$3001,770,$B$1)&amp;"",FIND(" ",TRIM(INDEX(貼り付け!$A$1:$BZ$3001,770,$B$1)&amp;"")&amp;" ")-1)),"/","-"),"年","-"),"月","-"),"日",""))),"")</f>
        <v/>
      </c>
      <c r="J771">
        <f>IFERROR(MID(I771,FIND("-",I771)+1,99),"")</f>
        <v/>
      </c>
    </row>
    <row r="772">
      <c r="B772">
        <f>IFERROR(IF($B$1=0,"",IF(INDEX(貼り付け!$A$1:$BZ$3001,771,$B$1)="","",IF(ISNUMBER(INDEX(貼り付け!$A$1:$BZ$3001,771,$B$1)),INT(INDEX(貼り付け!$A$1:$BZ$3001,771,$B$1)),DATE(VALUE(LEFT(I772,FIND("-",I772)-1)),VALUE(LEFT(J772,FIND("-",J772)-1)),VALUE(MID(J772,FIND("-",J772)+1,99)))))),"")</f>
        <v/>
      </c>
      <c r="C772">
        <f>IF($C$1=0,0,IFERROR(VALUE(SUBSTITUTE(SUBSTITUTE(SUBSTITUTE(INDEX(貼り付け!$A$1:$BZ$3001,771,$C$1)&amp;"",",",""),"¥",""),"￥","")),0))</f>
        <v/>
      </c>
      <c r="D772">
        <f>IF($D$1=0,0,IFERROR(VALUE(SUBSTITUTE(SUBSTITUTE(SUBSTITUTE(INDEX(貼り付け!$A$1:$BZ$3001,771,$D$1)&amp;"",",",""),"¥",""),"￥","")),0))</f>
        <v/>
      </c>
      <c r="E772">
        <f>IF($E$1=0,0,IFERROR(VALUE(SUBSTITUTE(SUBSTITUTE(SUBSTITUTE(INDEX(貼り付け!$A$1:$BZ$3001,771,$E$1)&amp;"",",",""),"¥",""),"￥","")),0))</f>
        <v/>
      </c>
      <c r="F772">
        <f>IF($F$1=0,0,IFERROR(VALUE(SUBSTITUTE(SUBSTITUTE(SUBSTITUTE(INDEX(貼り付け!$A$1:$BZ$3001,771,$F$1)&amp;"",",",""),"¥",""),"￥","")),0))</f>
        <v/>
      </c>
      <c r="G772">
        <f>IF(ISNUMBER(B772),YEAR(B772),"")</f>
        <v/>
      </c>
      <c r="H772">
        <f>IF(ISNUMBER(B772),MONTH(B772),"")</f>
        <v/>
      </c>
      <c r="I772">
        <f>IFERROR(IF($B$1=0,"",IF(ISNUMBER(INDEX(貼り付け!$A$1:$BZ$3001,771,$B$1)),"",SUBSTITUTE(SUBSTITUTE(SUBSTITUTE(SUBSTITUTE(TRIM(LEFT(INDEX(貼り付け!$A$1:$BZ$3001,771,$B$1)&amp;"",FIND(" ",TRIM(INDEX(貼り付け!$A$1:$BZ$3001,771,$B$1)&amp;"")&amp;" ")-1)),"/","-"),"年","-"),"月","-"),"日",""))),"")</f>
        <v/>
      </c>
      <c r="J772">
        <f>IFERROR(MID(I772,FIND("-",I772)+1,99),"")</f>
        <v/>
      </c>
    </row>
    <row r="773">
      <c r="B773">
        <f>IFERROR(IF($B$1=0,"",IF(INDEX(貼り付け!$A$1:$BZ$3001,772,$B$1)="","",IF(ISNUMBER(INDEX(貼り付け!$A$1:$BZ$3001,772,$B$1)),INT(INDEX(貼り付け!$A$1:$BZ$3001,772,$B$1)),DATE(VALUE(LEFT(I773,FIND("-",I773)-1)),VALUE(LEFT(J773,FIND("-",J773)-1)),VALUE(MID(J773,FIND("-",J773)+1,99)))))),"")</f>
        <v/>
      </c>
      <c r="C773">
        <f>IF($C$1=0,0,IFERROR(VALUE(SUBSTITUTE(SUBSTITUTE(SUBSTITUTE(INDEX(貼り付け!$A$1:$BZ$3001,772,$C$1)&amp;"",",",""),"¥",""),"￥","")),0))</f>
        <v/>
      </c>
      <c r="D773">
        <f>IF($D$1=0,0,IFERROR(VALUE(SUBSTITUTE(SUBSTITUTE(SUBSTITUTE(INDEX(貼り付け!$A$1:$BZ$3001,772,$D$1)&amp;"",",",""),"¥",""),"￥","")),0))</f>
        <v/>
      </c>
      <c r="E773">
        <f>IF($E$1=0,0,IFERROR(VALUE(SUBSTITUTE(SUBSTITUTE(SUBSTITUTE(INDEX(貼り付け!$A$1:$BZ$3001,772,$E$1)&amp;"",",",""),"¥",""),"￥","")),0))</f>
        <v/>
      </c>
      <c r="F773">
        <f>IF($F$1=0,0,IFERROR(VALUE(SUBSTITUTE(SUBSTITUTE(SUBSTITUTE(INDEX(貼り付け!$A$1:$BZ$3001,772,$F$1)&amp;"",",",""),"¥",""),"￥","")),0))</f>
        <v/>
      </c>
      <c r="G773">
        <f>IF(ISNUMBER(B773),YEAR(B773),"")</f>
        <v/>
      </c>
      <c r="H773">
        <f>IF(ISNUMBER(B773),MONTH(B773),"")</f>
        <v/>
      </c>
      <c r="I773">
        <f>IFERROR(IF($B$1=0,"",IF(ISNUMBER(INDEX(貼り付け!$A$1:$BZ$3001,772,$B$1)),"",SUBSTITUTE(SUBSTITUTE(SUBSTITUTE(SUBSTITUTE(TRIM(LEFT(INDEX(貼り付け!$A$1:$BZ$3001,772,$B$1)&amp;"",FIND(" ",TRIM(INDEX(貼り付け!$A$1:$BZ$3001,772,$B$1)&amp;"")&amp;" ")-1)),"/","-"),"年","-"),"月","-"),"日",""))),"")</f>
        <v/>
      </c>
      <c r="J773">
        <f>IFERROR(MID(I773,FIND("-",I773)+1,99),"")</f>
        <v/>
      </c>
    </row>
    <row r="774">
      <c r="B774">
        <f>IFERROR(IF($B$1=0,"",IF(INDEX(貼り付け!$A$1:$BZ$3001,773,$B$1)="","",IF(ISNUMBER(INDEX(貼り付け!$A$1:$BZ$3001,773,$B$1)),INT(INDEX(貼り付け!$A$1:$BZ$3001,773,$B$1)),DATE(VALUE(LEFT(I774,FIND("-",I774)-1)),VALUE(LEFT(J774,FIND("-",J774)-1)),VALUE(MID(J774,FIND("-",J774)+1,99)))))),"")</f>
        <v/>
      </c>
      <c r="C774">
        <f>IF($C$1=0,0,IFERROR(VALUE(SUBSTITUTE(SUBSTITUTE(SUBSTITUTE(INDEX(貼り付け!$A$1:$BZ$3001,773,$C$1)&amp;"",",",""),"¥",""),"￥","")),0))</f>
        <v/>
      </c>
      <c r="D774">
        <f>IF($D$1=0,0,IFERROR(VALUE(SUBSTITUTE(SUBSTITUTE(SUBSTITUTE(INDEX(貼り付け!$A$1:$BZ$3001,773,$D$1)&amp;"",",",""),"¥",""),"￥","")),0))</f>
        <v/>
      </c>
      <c r="E774">
        <f>IF($E$1=0,0,IFERROR(VALUE(SUBSTITUTE(SUBSTITUTE(SUBSTITUTE(INDEX(貼り付け!$A$1:$BZ$3001,773,$E$1)&amp;"",",",""),"¥",""),"￥","")),0))</f>
        <v/>
      </c>
      <c r="F774">
        <f>IF($F$1=0,0,IFERROR(VALUE(SUBSTITUTE(SUBSTITUTE(SUBSTITUTE(INDEX(貼り付け!$A$1:$BZ$3001,773,$F$1)&amp;"",",",""),"¥",""),"￥","")),0))</f>
        <v/>
      </c>
      <c r="G774">
        <f>IF(ISNUMBER(B774),YEAR(B774),"")</f>
        <v/>
      </c>
      <c r="H774">
        <f>IF(ISNUMBER(B774),MONTH(B774),"")</f>
        <v/>
      </c>
      <c r="I774">
        <f>IFERROR(IF($B$1=0,"",IF(ISNUMBER(INDEX(貼り付け!$A$1:$BZ$3001,773,$B$1)),"",SUBSTITUTE(SUBSTITUTE(SUBSTITUTE(SUBSTITUTE(TRIM(LEFT(INDEX(貼り付け!$A$1:$BZ$3001,773,$B$1)&amp;"",FIND(" ",TRIM(INDEX(貼り付け!$A$1:$BZ$3001,773,$B$1)&amp;"")&amp;" ")-1)),"/","-"),"年","-"),"月","-"),"日",""))),"")</f>
        <v/>
      </c>
      <c r="J774">
        <f>IFERROR(MID(I774,FIND("-",I774)+1,99),"")</f>
        <v/>
      </c>
    </row>
    <row r="775">
      <c r="B775">
        <f>IFERROR(IF($B$1=0,"",IF(INDEX(貼り付け!$A$1:$BZ$3001,774,$B$1)="","",IF(ISNUMBER(INDEX(貼り付け!$A$1:$BZ$3001,774,$B$1)),INT(INDEX(貼り付け!$A$1:$BZ$3001,774,$B$1)),DATE(VALUE(LEFT(I775,FIND("-",I775)-1)),VALUE(LEFT(J775,FIND("-",J775)-1)),VALUE(MID(J775,FIND("-",J775)+1,99)))))),"")</f>
        <v/>
      </c>
      <c r="C775">
        <f>IF($C$1=0,0,IFERROR(VALUE(SUBSTITUTE(SUBSTITUTE(SUBSTITUTE(INDEX(貼り付け!$A$1:$BZ$3001,774,$C$1)&amp;"",",",""),"¥",""),"￥","")),0))</f>
        <v/>
      </c>
      <c r="D775">
        <f>IF($D$1=0,0,IFERROR(VALUE(SUBSTITUTE(SUBSTITUTE(SUBSTITUTE(INDEX(貼り付け!$A$1:$BZ$3001,774,$D$1)&amp;"",",",""),"¥",""),"￥","")),0))</f>
        <v/>
      </c>
      <c r="E775">
        <f>IF($E$1=0,0,IFERROR(VALUE(SUBSTITUTE(SUBSTITUTE(SUBSTITUTE(INDEX(貼り付け!$A$1:$BZ$3001,774,$E$1)&amp;"",",",""),"¥",""),"￥","")),0))</f>
        <v/>
      </c>
      <c r="F775">
        <f>IF($F$1=0,0,IFERROR(VALUE(SUBSTITUTE(SUBSTITUTE(SUBSTITUTE(INDEX(貼り付け!$A$1:$BZ$3001,774,$F$1)&amp;"",",",""),"¥",""),"￥","")),0))</f>
        <v/>
      </c>
      <c r="G775">
        <f>IF(ISNUMBER(B775),YEAR(B775),"")</f>
        <v/>
      </c>
      <c r="H775">
        <f>IF(ISNUMBER(B775),MONTH(B775),"")</f>
        <v/>
      </c>
      <c r="I775">
        <f>IFERROR(IF($B$1=0,"",IF(ISNUMBER(INDEX(貼り付け!$A$1:$BZ$3001,774,$B$1)),"",SUBSTITUTE(SUBSTITUTE(SUBSTITUTE(SUBSTITUTE(TRIM(LEFT(INDEX(貼り付け!$A$1:$BZ$3001,774,$B$1)&amp;"",FIND(" ",TRIM(INDEX(貼り付け!$A$1:$BZ$3001,774,$B$1)&amp;"")&amp;" ")-1)),"/","-"),"年","-"),"月","-"),"日",""))),"")</f>
        <v/>
      </c>
      <c r="J775">
        <f>IFERROR(MID(I775,FIND("-",I775)+1,99),"")</f>
        <v/>
      </c>
    </row>
    <row r="776">
      <c r="B776">
        <f>IFERROR(IF($B$1=0,"",IF(INDEX(貼り付け!$A$1:$BZ$3001,775,$B$1)="","",IF(ISNUMBER(INDEX(貼り付け!$A$1:$BZ$3001,775,$B$1)),INT(INDEX(貼り付け!$A$1:$BZ$3001,775,$B$1)),DATE(VALUE(LEFT(I776,FIND("-",I776)-1)),VALUE(LEFT(J776,FIND("-",J776)-1)),VALUE(MID(J776,FIND("-",J776)+1,99)))))),"")</f>
        <v/>
      </c>
      <c r="C776">
        <f>IF($C$1=0,0,IFERROR(VALUE(SUBSTITUTE(SUBSTITUTE(SUBSTITUTE(INDEX(貼り付け!$A$1:$BZ$3001,775,$C$1)&amp;"",",",""),"¥",""),"￥","")),0))</f>
        <v/>
      </c>
      <c r="D776">
        <f>IF($D$1=0,0,IFERROR(VALUE(SUBSTITUTE(SUBSTITUTE(SUBSTITUTE(INDEX(貼り付け!$A$1:$BZ$3001,775,$D$1)&amp;"",",",""),"¥",""),"￥","")),0))</f>
        <v/>
      </c>
      <c r="E776">
        <f>IF($E$1=0,0,IFERROR(VALUE(SUBSTITUTE(SUBSTITUTE(SUBSTITUTE(INDEX(貼り付け!$A$1:$BZ$3001,775,$E$1)&amp;"",",",""),"¥",""),"￥","")),0))</f>
        <v/>
      </c>
      <c r="F776">
        <f>IF($F$1=0,0,IFERROR(VALUE(SUBSTITUTE(SUBSTITUTE(SUBSTITUTE(INDEX(貼り付け!$A$1:$BZ$3001,775,$F$1)&amp;"",",",""),"¥",""),"￥","")),0))</f>
        <v/>
      </c>
      <c r="G776">
        <f>IF(ISNUMBER(B776),YEAR(B776),"")</f>
        <v/>
      </c>
      <c r="H776">
        <f>IF(ISNUMBER(B776),MONTH(B776),"")</f>
        <v/>
      </c>
      <c r="I776">
        <f>IFERROR(IF($B$1=0,"",IF(ISNUMBER(INDEX(貼り付け!$A$1:$BZ$3001,775,$B$1)),"",SUBSTITUTE(SUBSTITUTE(SUBSTITUTE(SUBSTITUTE(TRIM(LEFT(INDEX(貼り付け!$A$1:$BZ$3001,775,$B$1)&amp;"",FIND(" ",TRIM(INDEX(貼り付け!$A$1:$BZ$3001,775,$B$1)&amp;"")&amp;" ")-1)),"/","-"),"年","-"),"月","-"),"日",""))),"")</f>
        <v/>
      </c>
      <c r="J776">
        <f>IFERROR(MID(I776,FIND("-",I776)+1,99),"")</f>
        <v/>
      </c>
    </row>
    <row r="777">
      <c r="B777">
        <f>IFERROR(IF($B$1=0,"",IF(INDEX(貼り付け!$A$1:$BZ$3001,776,$B$1)="","",IF(ISNUMBER(INDEX(貼り付け!$A$1:$BZ$3001,776,$B$1)),INT(INDEX(貼り付け!$A$1:$BZ$3001,776,$B$1)),DATE(VALUE(LEFT(I777,FIND("-",I777)-1)),VALUE(LEFT(J777,FIND("-",J777)-1)),VALUE(MID(J777,FIND("-",J777)+1,99)))))),"")</f>
        <v/>
      </c>
      <c r="C777">
        <f>IF($C$1=0,0,IFERROR(VALUE(SUBSTITUTE(SUBSTITUTE(SUBSTITUTE(INDEX(貼り付け!$A$1:$BZ$3001,776,$C$1)&amp;"",",",""),"¥",""),"￥","")),0))</f>
        <v/>
      </c>
      <c r="D777">
        <f>IF($D$1=0,0,IFERROR(VALUE(SUBSTITUTE(SUBSTITUTE(SUBSTITUTE(INDEX(貼り付け!$A$1:$BZ$3001,776,$D$1)&amp;"",",",""),"¥",""),"￥","")),0))</f>
        <v/>
      </c>
      <c r="E777">
        <f>IF($E$1=0,0,IFERROR(VALUE(SUBSTITUTE(SUBSTITUTE(SUBSTITUTE(INDEX(貼り付け!$A$1:$BZ$3001,776,$E$1)&amp;"",",",""),"¥",""),"￥","")),0))</f>
        <v/>
      </c>
      <c r="F777">
        <f>IF($F$1=0,0,IFERROR(VALUE(SUBSTITUTE(SUBSTITUTE(SUBSTITUTE(INDEX(貼り付け!$A$1:$BZ$3001,776,$F$1)&amp;"",",",""),"¥",""),"￥","")),0))</f>
        <v/>
      </c>
      <c r="G777">
        <f>IF(ISNUMBER(B777),YEAR(B777),"")</f>
        <v/>
      </c>
      <c r="H777">
        <f>IF(ISNUMBER(B777),MONTH(B777),"")</f>
        <v/>
      </c>
      <c r="I777">
        <f>IFERROR(IF($B$1=0,"",IF(ISNUMBER(INDEX(貼り付け!$A$1:$BZ$3001,776,$B$1)),"",SUBSTITUTE(SUBSTITUTE(SUBSTITUTE(SUBSTITUTE(TRIM(LEFT(INDEX(貼り付け!$A$1:$BZ$3001,776,$B$1)&amp;"",FIND(" ",TRIM(INDEX(貼り付け!$A$1:$BZ$3001,776,$B$1)&amp;"")&amp;" ")-1)),"/","-"),"年","-"),"月","-"),"日",""))),"")</f>
        <v/>
      </c>
      <c r="J777">
        <f>IFERROR(MID(I777,FIND("-",I777)+1,99),"")</f>
        <v/>
      </c>
    </row>
    <row r="778">
      <c r="B778">
        <f>IFERROR(IF($B$1=0,"",IF(INDEX(貼り付け!$A$1:$BZ$3001,777,$B$1)="","",IF(ISNUMBER(INDEX(貼り付け!$A$1:$BZ$3001,777,$B$1)),INT(INDEX(貼り付け!$A$1:$BZ$3001,777,$B$1)),DATE(VALUE(LEFT(I778,FIND("-",I778)-1)),VALUE(LEFT(J778,FIND("-",J778)-1)),VALUE(MID(J778,FIND("-",J778)+1,99)))))),"")</f>
        <v/>
      </c>
      <c r="C778">
        <f>IF($C$1=0,0,IFERROR(VALUE(SUBSTITUTE(SUBSTITUTE(SUBSTITUTE(INDEX(貼り付け!$A$1:$BZ$3001,777,$C$1)&amp;"",",",""),"¥",""),"￥","")),0))</f>
        <v/>
      </c>
      <c r="D778">
        <f>IF($D$1=0,0,IFERROR(VALUE(SUBSTITUTE(SUBSTITUTE(SUBSTITUTE(INDEX(貼り付け!$A$1:$BZ$3001,777,$D$1)&amp;"",",",""),"¥",""),"￥","")),0))</f>
        <v/>
      </c>
      <c r="E778">
        <f>IF($E$1=0,0,IFERROR(VALUE(SUBSTITUTE(SUBSTITUTE(SUBSTITUTE(INDEX(貼り付け!$A$1:$BZ$3001,777,$E$1)&amp;"",",",""),"¥",""),"￥","")),0))</f>
        <v/>
      </c>
      <c r="F778">
        <f>IF($F$1=0,0,IFERROR(VALUE(SUBSTITUTE(SUBSTITUTE(SUBSTITUTE(INDEX(貼り付け!$A$1:$BZ$3001,777,$F$1)&amp;"",",",""),"¥",""),"￥","")),0))</f>
        <v/>
      </c>
      <c r="G778">
        <f>IF(ISNUMBER(B778),YEAR(B778),"")</f>
        <v/>
      </c>
      <c r="H778">
        <f>IF(ISNUMBER(B778),MONTH(B778),"")</f>
        <v/>
      </c>
      <c r="I778">
        <f>IFERROR(IF($B$1=0,"",IF(ISNUMBER(INDEX(貼り付け!$A$1:$BZ$3001,777,$B$1)),"",SUBSTITUTE(SUBSTITUTE(SUBSTITUTE(SUBSTITUTE(TRIM(LEFT(INDEX(貼り付け!$A$1:$BZ$3001,777,$B$1)&amp;"",FIND(" ",TRIM(INDEX(貼り付け!$A$1:$BZ$3001,777,$B$1)&amp;"")&amp;" ")-1)),"/","-"),"年","-"),"月","-"),"日",""))),"")</f>
        <v/>
      </c>
      <c r="J778">
        <f>IFERROR(MID(I778,FIND("-",I778)+1,99),"")</f>
        <v/>
      </c>
    </row>
    <row r="779">
      <c r="B779">
        <f>IFERROR(IF($B$1=0,"",IF(INDEX(貼り付け!$A$1:$BZ$3001,778,$B$1)="","",IF(ISNUMBER(INDEX(貼り付け!$A$1:$BZ$3001,778,$B$1)),INT(INDEX(貼り付け!$A$1:$BZ$3001,778,$B$1)),DATE(VALUE(LEFT(I779,FIND("-",I779)-1)),VALUE(LEFT(J779,FIND("-",J779)-1)),VALUE(MID(J779,FIND("-",J779)+1,99)))))),"")</f>
        <v/>
      </c>
      <c r="C779">
        <f>IF($C$1=0,0,IFERROR(VALUE(SUBSTITUTE(SUBSTITUTE(SUBSTITUTE(INDEX(貼り付け!$A$1:$BZ$3001,778,$C$1)&amp;"",",",""),"¥",""),"￥","")),0))</f>
        <v/>
      </c>
      <c r="D779">
        <f>IF($D$1=0,0,IFERROR(VALUE(SUBSTITUTE(SUBSTITUTE(SUBSTITUTE(INDEX(貼り付け!$A$1:$BZ$3001,778,$D$1)&amp;"",",",""),"¥",""),"￥","")),0))</f>
        <v/>
      </c>
      <c r="E779">
        <f>IF($E$1=0,0,IFERROR(VALUE(SUBSTITUTE(SUBSTITUTE(SUBSTITUTE(INDEX(貼り付け!$A$1:$BZ$3001,778,$E$1)&amp;"",",",""),"¥",""),"￥","")),0))</f>
        <v/>
      </c>
      <c r="F779">
        <f>IF($F$1=0,0,IFERROR(VALUE(SUBSTITUTE(SUBSTITUTE(SUBSTITUTE(INDEX(貼り付け!$A$1:$BZ$3001,778,$F$1)&amp;"",",",""),"¥",""),"￥","")),0))</f>
        <v/>
      </c>
      <c r="G779">
        <f>IF(ISNUMBER(B779),YEAR(B779),"")</f>
        <v/>
      </c>
      <c r="H779">
        <f>IF(ISNUMBER(B779),MONTH(B779),"")</f>
        <v/>
      </c>
      <c r="I779">
        <f>IFERROR(IF($B$1=0,"",IF(ISNUMBER(INDEX(貼り付け!$A$1:$BZ$3001,778,$B$1)),"",SUBSTITUTE(SUBSTITUTE(SUBSTITUTE(SUBSTITUTE(TRIM(LEFT(INDEX(貼り付け!$A$1:$BZ$3001,778,$B$1)&amp;"",FIND(" ",TRIM(INDEX(貼り付け!$A$1:$BZ$3001,778,$B$1)&amp;"")&amp;" ")-1)),"/","-"),"年","-"),"月","-"),"日",""))),"")</f>
        <v/>
      </c>
      <c r="J779">
        <f>IFERROR(MID(I779,FIND("-",I779)+1,99),"")</f>
        <v/>
      </c>
    </row>
    <row r="780">
      <c r="B780">
        <f>IFERROR(IF($B$1=0,"",IF(INDEX(貼り付け!$A$1:$BZ$3001,779,$B$1)="","",IF(ISNUMBER(INDEX(貼り付け!$A$1:$BZ$3001,779,$B$1)),INT(INDEX(貼り付け!$A$1:$BZ$3001,779,$B$1)),DATE(VALUE(LEFT(I780,FIND("-",I780)-1)),VALUE(LEFT(J780,FIND("-",J780)-1)),VALUE(MID(J780,FIND("-",J780)+1,99)))))),"")</f>
        <v/>
      </c>
      <c r="C780">
        <f>IF($C$1=0,0,IFERROR(VALUE(SUBSTITUTE(SUBSTITUTE(SUBSTITUTE(INDEX(貼り付け!$A$1:$BZ$3001,779,$C$1)&amp;"",",",""),"¥",""),"￥","")),0))</f>
        <v/>
      </c>
      <c r="D780">
        <f>IF($D$1=0,0,IFERROR(VALUE(SUBSTITUTE(SUBSTITUTE(SUBSTITUTE(INDEX(貼り付け!$A$1:$BZ$3001,779,$D$1)&amp;"",",",""),"¥",""),"￥","")),0))</f>
        <v/>
      </c>
      <c r="E780">
        <f>IF($E$1=0,0,IFERROR(VALUE(SUBSTITUTE(SUBSTITUTE(SUBSTITUTE(INDEX(貼り付け!$A$1:$BZ$3001,779,$E$1)&amp;"",",",""),"¥",""),"￥","")),0))</f>
        <v/>
      </c>
      <c r="F780">
        <f>IF($F$1=0,0,IFERROR(VALUE(SUBSTITUTE(SUBSTITUTE(SUBSTITUTE(INDEX(貼り付け!$A$1:$BZ$3001,779,$F$1)&amp;"",",",""),"¥",""),"￥","")),0))</f>
        <v/>
      </c>
      <c r="G780">
        <f>IF(ISNUMBER(B780),YEAR(B780),"")</f>
        <v/>
      </c>
      <c r="H780">
        <f>IF(ISNUMBER(B780),MONTH(B780),"")</f>
        <v/>
      </c>
      <c r="I780">
        <f>IFERROR(IF($B$1=0,"",IF(ISNUMBER(INDEX(貼り付け!$A$1:$BZ$3001,779,$B$1)),"",SUBSTITUTE(SUBSTITUTE(SUBSTITUTE(SUBSTITUTE(TRIM(LEFT(INDEX(貼り付け!$A$1:$BZ$3001,779,$B$1)&amp;"",FIND(" ",TRIM(INDEX(貼り付け!$A$1:$BZ$3001,779,$B$1)&amp;"")&amp;" ")-1)),"/","-"),"年","-"),"月","-"),"日",""))),"")</f>
        <v/>
      </c>
      <c r="J780">
        <f>IFERROR(MID(I780,FIND("-",I780)+1,99),"")</f>
        <v/>
      </c>
    </row>
    <row r="781">
      <c r="B781">
        <f>IFERROR(IF($B$1=0,"",IF(INDEX(貼り付け!$A$1:$BZ$3001,780,$B$1)="","",IF(ISNUMBER(INDEX(貼り付け!$A$1:$BZ$3001,780,$B$1)),INT(INDEX(貼り付け!$A$1:$BZ$3001,780,$B$1)),DATE(VALUE(LEFT(I781,FIND("-",I781)-1)),VALUE(LEFT(J781,FIND("-",J781)-1)),VALUE(MID(J781,FIND("-",J781)+1,99)))))),"")</f>
        <v/>
      </c>
      <c r="C781">
        <f>IF($C$1=0,0,IFERROR(VALUE(SUBSTITUTE(SUBSTITUTE(SUBSTITUTE(INDEX(貼り付け!$A$1:$BZ$3001,780,$C$1)&amp;"",",",""),"¥",""),"￥","")),0))</f>
        <v/>
      </c>
      <c r="D781">
        <f>IF($D$1=0,0,IFERROR(VALUE(SUBSTITUTE(SUBSTITUTE(SUBSTITUTE(INDEX(貼り付け!$A$1:$BZ$3001,780,$D$1)&amp;"",",",""),"¥",""),"￥","")),0))</f>
        <v/>
      </c>
      <c r="E781">
        <f>IF($E$1=0,0,IFERROR(VALUE(SUBSTITUTE(SUBSTITUTE(SUBSTITUTE(INDEX(貼り付け!$A$1:$BZ$3001,780,$E$1)&amp;"",",",""),"¥",""),"￥","")),0))</f>
        <v/>
      </c>
      <c r="F781">
        <f>IF($F$1=0,0,IFERROR(VALUE(SUBSTITUTE(SUBSTITUTE(SUBSTITUTE(INDEX(貼り付け!$A$1:$BZ$3001,780,$F$1)&amp;"",",",""),"¥",""),"￥","")),0))</f>
        <v/>
      </c>
      <c r="G781">
        <f>IF(ISNUMBER(B781),YEAR(B781),"")</f>
        <v/>
      </c>
      <c r="H781">
        <f>IF(ISNUMBER(B781),MONTH(B781),"")</f>
        <v/>
      </c>
      <c r="I781">
        <f>IFERROR(IF($B$1=0,"",IF(ISNUMBER(INDEX(貼り付け!$A$1:$BZ$3001,780,$B$1)),"",SUBSTITUTE(SUBSTITUTE(SUBSTITUTE(SUBSTITUTE(TRIM(LEFT(INDEX(貼り付け!$A$1:$BZ$3001,780,$B$1)&amp;"",FIND(" ",TRIM(INDEX(貼り付け!$A$1:$BZ$3001,780,$B$1)&amp;"")&amp;" ")-1)),"/","-"),"年","-"),"月","-"),"日",""))),"")</f>
        <v/>
      </c>
      <c r="J781">
        <f>IFERROR(MID(I781,FIND("-",I781)+1,99),"")</f>
        <v/>
      </c>
    </row>
    <row r="782">
      <c r="B782">
        <f>IFERROR(IF($B$1=0,"",IF(INDEX(貼り付け!$A$1:$BZ$3001,781,$B$1)="","",IF(ISNUMBER(INDEX(貼り付け!$A$1:$BZ$3001,781,$B$1)),INT(INDEX(貼り付け!$A$1:$BZ$3001,781,$B$1)),DATE(VALUE(LEFT(I782,FIND("-",I782)-1)),VALUE(LEFT(J782,FIND("-",J782)-1)),VALUE(MID(J782,FIND("-",J782)+1,99)))))),"")</f>
        <v/>
      </c>
      <c r="C782">
        <f>IF($C$1=0,0,IFERROR(VALUE(SUBSTITUTE(SUBSTITUTE(SUBSTITUTE(INDEX(貼り付け!$A$1:$BZ$3001,781,$C$1)&amp;"",",",""),"¥",""),"￥","")),0))</f>
        <v/>
      </c>
      <c r="D782">
        <f>IF($D$1=0,0,IFERROR(VALUE(SUBSTITUTE(SUBSTITUTE(SUBSTITUTE(INDEX(貼り付け!$A$1:$BZ$3001,781,$D$1)&amp;"",",",""),"¥",""),"￥","")),0))</f>
        <v/>
      </c>
      <c r="E782">
        <f>IF($E$1=0,0,IFERROR(VALUE(SUBSTITUTE(SUBSTITUTE(SUBSTITUTE(INDEX(貼り付け!$A$1:$BZ$3001,781,$E$1)&amp;"",",",""),"¥",""),"￥","")),0))</f>
        <v/>
      </c>
      <c r="F782">
        <f>IF($F$1=0,0,IFERROR(VALUE(SUBSTITUTE(SUBSTITUTE(SUBSTITUTE(INDEX(貼り付け!$A$1:$BZ$3001,781,$F$1)&amp;"",",",""),"¥",""),"￥","")),0))</f>
        <v/>
      </c>
      <c r="G782">
        <f>IF(ISNUMBER(B782),YEAR(B782),"")</f>
        <v/>
      </c>
      <c r="H782">
        <f>IF(ISNUMBER(B782),MONTH(B782),"")</f>
        <v/>
      </c>
      <c r="I782">
        <f>IFERROR(IF($B$1=0,"",IF(ISNUMBER(INDEX(貼り付け!$A$1:$BZ$3001,781,$B$1)),"",SUBSTITUTE(SUBSTITUTE(SUBSTITUTE(SUBSTITUTE(TRIM(LEFT(INDEX(貼り付け!$A$1:$BZ$3001,781,$B$1)&amp;"",FIND(" ",TRIM(INDEX(貼り付け!$A$1:$BZ$3001,781,$B$1)&amp;"")&amp;" ")-1)),"/","-"),"年","-"),"月","-"),"日",""))),"")</f>
        <v/>
      </c>
      <c r="J782">
        <f>IFERROR(MID(I782,FIND("-",I782)+1,99),"")</f>
        <v/>
      </c>
    </row>
    <row r="783">
      <c r="B783">
        <f>IFERROR(IF($B$1=0,"",IF(INDEX(貼り付け!$A$1:$BZ$3001,782,$B$1)="","",IF(ISNUMBER(INDEX(貼り付け!$A$1:$BZ$3001,782,$B$1)),INT(INDEX(貼り付け!$A$1:$BZ$3001,782,$B$1)),DATE(VALUE(LEFT(I783,FIND("-",I783)-1)),VALUE(LEFT(J783,FIND("-",J783)-1)),VALUE(MID(J783,FIND("-",J783)+1,99)))))),"")</f>
        <v/>
      </c>
      <c r="C783">
        <f>IF($C$1=0,0,IFERROR(VALUE(SUBSTITUTE(SUBSTITUTE(SUBSTITUTE(INDEX(貼り付け!$A$1:$BZ$3001,782,$C$1)&amp;"",",",""),"¥",""),"￥","")),0))</f>
        <v/>
      </c>
      <c r="D783">
        <f>IF($D$1=0,0,IFERROR(VALUE(SUBSTITUTE(SUBSTITUTE(SUBSTITUTE(INDEX(貼り付け!$A$1:$BZ$3001,782,$D$1)&amp;"",",",""),"¥",""),"￥","")),0))</f>
        <v/>
      </c>
      <c r="E783">
        <f>IF($E$1=0,0,IFERROR(VALUE(SUBSTITUTE(SUBSTITUTE(SUBSTITUTE(INDEX(貼り付け!$A$1:$BZ$3001,782,$E$1)&amp;"",",",""),"¥",""),"￥","")),0))</f>
        <v/>
      </c>
      <c r="F783">
        <f>IF($F$1=0,0,IFERROR(VALUE(SUBSTITUTE(SUBSTITUTE(SUBSTITUTE(INDEX(貼り付け!$A$1:$BZ$3001,782,$F$1)&amp;"",",",""),"¥",""),"￥","")),0))</f>
        <v/>
      </c>
      <c r="G783">
        <f>IF(ISNUMBER(B783),YEAR(B783),"")</f>
        <v/>
      </c>
      <c r="H783">
        <f>IF(ISNUMBER(B783),MONTH(B783),"")</f>
        <v/>
      </c>
      <c r="I783">
        <f>IFERROR(IF($B$1=0,"",IF(ISNUMBER(INDEX(貼り付け!$A$1:$BZ$3001,782,$B$1)),"",SUBSTITUTE(SUBSTITUTE(SUBSTITUTE(SUBSTITUTE(TRIM(LEFT(INDEX(貼り付け!$A$1:$BZ$3001,782,$B$1)&amp;"",FIND(" ",TRIM(INDEX(貼り付け!$A$1:$BZ$3001,782,$B$1)&amp;"")&amp;" ")-1)),"/","-"),"年","-"),"月","-"),"日",""))),"")</f>
        <v/>
      </c>
      <c r="J783">
        <f>IFERROR(MID(I783,FIND("-",I783)+1,99),"")</f>
        <v/>
      </c>
    </row>
    <row r="784">
      <c r="B784">
        <f>IFERROR(IF($B$1=0,"",IF(INDEX(貼り付け!$A$1:$BZ$3001,783,$B$1)="","",IF(ISNUMBER(INDEX(貼り付け!$A$1:$BZ$3001,783,$B$1)),INT(INDEX(貼り付け!$A$1:$BZ$3001,783,$B$1)),DATE(VALUE(LEFT(I784,FIND("-",I784)-1)),VALUE(LEFT(J784,FIND("-",J784)-1)),VALUE(MID(J784,FIND("-",J784)+1,99)))))),"")</f>
        <v/>
      </c>
      <c r="C784">
        <f>IF($C$1=0,0,IFERROR(VALUE(SUBSTITUTE(SUBSTITUTE(SUBSTITUTE(INDEX(貼り付け!$A$1:$BZ$3001,783,$C$1)&amp;"",",",""),"¥",""),"￥","")),0))</f>
        <v/>
      </c>
      <c r="D784">
        <f>IF($D$1=0,0,IFERROR(VALUE(SUBSTITUTE(SUBSTITUTE(SUBSTITUTE(INDEX(貼り付け!$A$1:$BZ$3001,783,$D$1)&amp;"",",",""),"¥",""),"￥","")),0))</f>
        <v/>
      </c>
      <c r="E784">
        <f>IF($E$1=0,0,IFERROR(VALUE(SUBSTITUTE(SUBSTITUTE(SUBSTITUTE(INDEX(貼り付け!$A$1:$BZ$3001,783,$E$1)&amp;"",",",""),"¥",""),"￥","")),0))</f>
        <v/>
      </c>
      <c r="F784">
        <f>IF($F$1=0,0,IFERROR(VALUE(SUBSTITUTE(SUBSTITUTE(SUBSTITUTE(INDEX(貼り付け!$A$1:$BZ$3001,783,$F$1)&amp;"",",",""),"¥",""),"￥","")),0))</f>
        <v/>
      </c>
      <c r="G784">
        <f>IF(ISNUMBER(B784),YEAR(B784),"")</f>
        <v/>
      </c>
      <c r="H784">
        <f>IF(ISNUMBER(B784),MONTH(B784),"")</f>
        <v/>
      </c>
      <c r="I784">
        <f>IFERROR(IF($B$1=0,"",IF(ISNUMBER(INDEX(貼り付け!$A$1:$BZ$3001,783,$B$1)),"",SUBSTITUTE(SUBSTITUTE(SUBSTITUTE(SUBSTITUTE(TRIM(LEFT(INDEX(貼り付け!$A$1:$BZ$3001,783,$B$1)&amp;"",FIND(" ",TRIM(INDEX(貼り付け!$A$1:$BZ$3001,783,$B$1)&amp;"")&amp;" ")-1)),"/","-"),"年","-"),"月","-"),"日",""))),"")</f>
        <v/>
      </c>
      <c r="J784">
        <f>IFERROR(MID(I784,FIND("-",I784)+1,99),"")</f>
        <v/>
      </c>
    </row>
    <row r="785">
      <c r="B785">
        <f>IFERROR(IF($B$1=0,"",IF(INDEX(貼り付け!$A$1:$BZ$3001,784,$B$1)="","",IF(ISNUMBER(INDEX(貼り付け!$A$1:$BZ$3001,784,$B$1)),INT(INDEX(貼り付け!$A$1:$BZ$3001,784,$B$1)),DATE(VALUE(LEFT(I785,FIND("-",I785)-1)),VALUE(LEFT(J785,FIND("-",J785)-1)),VALUE(MID(J785,FIND("-",J785)+1,99)))))),"")</f>
        <v/>
      </c>
      <c r="C785">
        <f>IF($C$1=0,0,IFERROR(VALUE(SUBSTITUTE(SUBSTITUTE(SUBSTITUTE(INDEX(貼り付け!$A$1:$BZ$3001,784,$C$1)&amp;"",",",""),"¥",""),"￥","")),0))</f>
        <v/>
      </c>
      <c r="D785">
        <f>IF($D$1=0,0,IFERROR(VALUE(SUBSTITUTE(SUBSTITUTE(SUBSTITUTE(INDEX(貼り付け!$A$1:$BZ$3001,784,$D$1)&amp;"",",",""),"¥",""),"￥","")),0))</f>
        <v/>
      </c>
      <c r="E785">
        <f>IF($E$1=0,0,IFERROR(VALUE(SUBSTITUTE(SUBSTITUTE(SUBSTITUTE(INDEX(貼り付け!$A$1:$BZ$3001,784,$E$1)&amp;"",",",""),"¥",""),"￥","")),0))</f>
        <v/>
      </c>
      <c r="F785">
        <f>IF($F$1=0,0,IFERROR(VALUE(SUBSTITUTE(SUBSTITUTE(SUBSTITUTE(INDEX(貼り付け!$A$1:$BZ$3001,784,$F$1)&amp;"",",",""),"¥",""),"￥","")),0))</f>
        <v/>
      </c>
      <c r="G785">
        <f>IF(ISNUMBER(B785),YEAR(B785),"")</f>
        <v/>
      </c>
      <c r="H785">
        <f>IF(ISNUMBER(B785),MONTH(B785),"")</f>
        <v/>
      </c>
      <c r="I785">
        <f>IFERROR(IF($B$1=0,"",IF(ISNUMBER(INDEX(貼り付け!$A$1:$BZ$3001,784,$B$1)),"",SUBSTITUTE(SUBSTITUTE(SUBSTITUTE(SUBSTITUTE(TRIM(LEFT(INDEX(貼り付け!$A$1:$BZ$3001,784,$B$1)&amp;"",FIND(" ",TRIM(INDEX(貼り付け!$A$1:$BZ$3001,784,$B$1)&amp;"")&amp;" ")-1)),"/","-"),"年","-"),"月","-"),"日",""))),"")</f>
        <v/>
      </c>
      <c r="J785">
        <f>IFERROR(MID(I785,FIND("-",I785)+1,99),"")</f>
        <v/>
      </c>
    </row>
    <row r="786">
      <c r="B786">
        <f>IFERROR(IF($B$1=0,"",IF(INDEX(貼り付け!$A$1:$BZ$3001,785,$B$1)="","",IF(ISNUMBER(INDEX(貼り付け!$A$1:$BZ$3001,785,$B$1)),INT(INDEX(貼り付け!$A$1:$BZ$3001,785,$B$1)),DATE(VALUE(LEFT(I786,FIND("-",I786)-1)),VALUE(LEFT(J786,FIND("-",J786)-1)),VALUE(MID(J786,FIND("-",J786)+1,99)))))),"")</f>
        <v/>
      </c>
      <c r="C786">
        <f>IF($C$1=0,0,IFERROR(VALUE(SUBSTITUTE(SUBSTITUTE(SUBSTITUTE(INDEX(貼り付け!$A$1:$BZ$3001,785,$C$1)&amp;"",",",""),"¥",""),"￥","")),0))</f>
        <v/>
      </c>
      <c r="D786">
        <f>IF($D$1=0,0,IFERROR(VALUE(SUBSTITUTE(SUBSTITUTE(SUBSTITUTE(INDEX(貼り付け!$A$1:$BZ$3001,785,$D$1)&amp;"",",",""),"¥",""),"￥","")),0))</f>
        <v/>
      </c>
      <c r="E786">
        <f>IF($E$1=0,0,IFERROR(VALUE(SUBSTITUTE(SUBSTITUTE(SUBSTITUTE(INDEX(貼り付け!$A$1:$BZ$3001,785,$E$1)&amp;"",",",""),"¥",""),"￥","")),0))</f>
        <v/>
      </c>
      <c r="F786">
        <f>IF($F$1=0,0,IFERROR(VALUE(SUBSTITUTE(SUBSTITUTE(SUBSTITUTE(INDEX(貼り付け!$A$1:$BZ$3001,785,$F$1)&amp;"",",",""),"¥",""),"￥","")),0))</f>
        <v/>
      </c>
      <c r="G786">
        <f>IF(ISNUMBER(B786),YEAR(B786),"")</f>
        <v/>
      </c>
      <c r="H786">
        <f>IF(ISNUMBER(B786),MONTH(B786),"")</f>
        <v/>
      </c>
      <c r="I786">
        <f>IFERROR(IF($B$1=0,"",IF(ISNUMBER(INDEX(貼り付け!$A$1:$BZ$3001,785,$B$1)),"",SUBSTITUTE(SUBSTITUTE(SUBSTITUTE(SUBSTITUTE(TRIM(LEFT(INDEX(貼り付け!$A$1:$BZ$3001,785,$B$1)&amp;"",FIND(" ",TRIM(INDEX(貼り付け!$A$1:$BZ$3001,785,$B$1)&amp;"")&amp;" ")-1)),"/","-"),"年","-"),"月","-"),"日",""))),"")</f>
        <v/>
      </c>
      <c r="J786">
        <f>IFERROR(MID(I786,FIND("-",I786)+1,99),"")</f>
        <v/>
      </c>
    </row>
    <row r="787">
      <c r="B787">
        <f>IFERROR(IF($B$1=0,"",IF(INDEX(貼り付け!$A$1:$BZ$3001,786,$B$1)="","",IF(ISNUMBER(INDEX(貼り付け!$A$1:$BZ$3001,786,$B$1)),INT(INDEX(貼り付け!$A$1:$BZ$3001,786,$B$1)),DATE(VALUE(LEFT(I787,FIND("-",I787)-1)),VALUE(LEFT(J787,FIND("-",J787)-1)),VALUE(MID(J787,FIND("-",J787)+1,99)))))),"")</f>
        <v/>
      </c>
      <c r="C787">
        <f>IF($C$1=0,0,IFERROR(VALUE(SUBSTITUTE(SUBSTITUTE(SUBSTITUTE(INDEX(貼り付け!$A$1:$BZ$3001,786,$C$1)&amp;"",",",""),"¥",""),"￥","")),0))</f>
        <v/>
      </c>
      <c r="D787">
        <f>IF($D$1=0,0,IFERROR(VALUE(SUBSTITUTE(SUBSTITUTE(SUBSTITUTE(INDEX(貼り付け!$A$1:$BZ$3001,786,$D$1)&amp;"",",",""),"¥",""),"￥","")),0))</f>
        <v/>
      </c>
      <c r="E787">
        <f>IF($E$1=0,0,IFERROR(VALUE(SUBSTITUTE(SUBSTITUTE(SUBSTITUTE(INDEX(貼り付け!$A$1:$BZ$3001,786,$E$1)&amp;"",",",""),"¥",""),"￥","")),0))</f>
        <v/>
      </c>
      <c r="F787">
        <f>IF($F$1=0,0,IFERROR(VALUE(SUBSTITUTE(SUBSTITUTE(SUBSTITUTE(INDEX(貼り付け!$A$1:$BZ$3001,786,$F$1)&amp;"",",",""),"¥",""),"￥","")),0))</f>
        <v/>
      </c>
      <c r="G787">
        <f>IF(ISNUMBER(B787),YEAR(B787),"")</f>
        <v/>
      </c>
      <c r="H787">
        <f>IF(ISNUMBER(B787),MONTH(B787),"")</f>
        <v/>
      </c>
      <c r="I787">
        <f>IFERROR(IF($B$1=0,"",IF(ISNUMBER(INDEX(貼り付け!$A$1:$BZ$3001,786,$B$1)),"",SUBSTITUTE(SUBSTITUTE(SUBSTITUTE(SUBSTITUTE(TRIM(LEFT(INDEX(貼り付け!$A$1:$BZ$3001,786,$B$1)&amp;"",FIND(" ",TRIM(INDEX(貼り付け!$A$1:$BZ$3001,786,$B$1)&amp;"")&amp;" ")-1)),"/","-"),"年","-"),"月","-"),"日",""))),"")</f>
        <v/>
      </c>
      <c r="J787">
        <f>IFERROR(MID(I787,FIND("-",I787)+1,99),"")</f>
        <v/>
      </c>
    </row>
    <row r="788">
      <c r="B788">
        <f>IFERROR(IF($B$1=0,"",IF(INDEX(貼り付け!$A$1:$BZ$3001,787,$B$1)="","",IF(ISNUMBER(INDEX(貼り付け!$A$1:$BZ$3001,787,$B$1)),INT(INDEX(貼り付け!$A$1:$BZ$3001,787,$B$1)),DATE(VALUE(LEFT(I788,FIND("-",I788)-1)),VALUE(LEFT(J788,FIND("-",J788)-1)),VALUE(MID(J788,FIND("-",J788)+1,99)))))),"")</f>
        <v/>
      </c>
      <c r="C788">
        <f>IF($C$1=0,0,IFERROR(VALUE(SUBSTITUTE(SUBSTITUTE(SUBSTITUTE(INDEX(貼り付け!$A$1:$BZ$3001,787,$C$1)&amp;"",",",""),"¥",""),"￥","")),0))</f>
        <v/>
      </c>
      <c r="D788">
        <f>IF($D$1=0,0,IFERROR(VALUE(SUBSTITUTE(SUBSTITUTE(SUBSTITUTE(INDEX(貼り付け!$A$1:$BZ$3001,787,$D$1)&amp;"",",",""),"¥",""),"￥","")),0))</f>
        <v/>
      </c>
      <c r="E788">
        <f>IF($E$1=0,0,IFERROR(VALUE(SUBSTITUTE(SUBSTITUTE(SUBSTITUTE(INDEX(貼り付け!$A$1:$BZ$3001,787,$E$1)&amp;"",",",""),"¥",""),"￥","")),0))</f>
        <v/>
      </c>
      <c r="F788">
        <f>IF($F$1=0,0,IFERROR(VALUE(SUBSTITUTE(SUBSTITUTE(SUBSTITUTE(INDEX(貼り付け!$A$1:$BZ$3001,787,$F$1)&amp;"",",",""),"¥",""),"￥","")),0))</f>
        <v/>
      </c>
      <c r="G788">
        <f>IF(ISNUMBER(B788),YEAR(B788),"")</f>
        <v/>
      </c>
      <c r="H788">
        <f>IF(ISNUMBER(B788),MONTH(B788),"")</f>
        <v/>
      </c>
      <c r="I788">
        <f>IFERROR(IF($B$1=0,"",IF(ISNUMBER(INDEX(貼り付け!$A$1:$BZ$3001,787,$B$1)),"",SUBSTITUTE(SUBSTITUTE(SUBSTITUTE(SUBSTITUTE(TRIM(LEFT(INDEX(貼り付け!$A$1:$BZ$3001,787,$B$1)&amp;"",FIND(" ",TRIM(INDEX(貼り付け!$A$1:$BZ$3001,787,$B$1)&amp;"")&amp;" ")-1)),"/","-"),"年","-"),"月","-"),"日",""))),"")</f>
        <v/>
      </c>
      <c r="J788">
        <f>IFERROR(MID(I788,FIND("-",I788)+1,99),"")</f>
        <v/>
      </c>
    </row>
    <row r="789">
      <c r="B789">
        <f>IFERROR(IF($B$1=0,"",IF(INDEX(貼り付け!$A$1:$BZ$3001,788,$B$1)="","",IF(ISNUMBER(INDEX(貼り付け!$A$1:$BZ$3001,788,$B$1)),INT(INDEX(貼り付け!$A$1:$BZ$3001,788,$B$1)),DATE(VALUE(LEFT(I789,FIND("-",I789)-1)),VALUE(LEFT(J789,FIND("-",J789)-1)),VALUE(MID(J789,FIND("-",J789)+1,99)))))),"")</f>
        <v/>
      </c>
      <c r="C789">
        <f>IF($C$1=0,0,IFERROR(VALUE(SUBSTITUTE(SUBSTITUTE(SUBSTITUTE(INDEX(貼り付け!$A$1:$BZ$3001,788,$C$1)&amp;"",",",""),"¥",""),"￥","")),0))</f>
        <v/>
      </c>
      <c r="D789">
        <f>IF($D$1=0,0,IFERROR(VALUE(SUBSTITUTE(SUBSTITUTE(SUBSTITUTE(INDEX(貼り付け!$A$1:$BZ$3001,788,$D$1)&amp;"",",",""),"¥",""),"￥","")),0))</f>
        <v/>
      </c>
      <c r="E789">
        <f>IF($E$1=0,0,IFERROR(VALUE(SUBSTITUTE(SUBSTITUTE(SUBSTITUTE(INDEX(貼り付け!$A$1:$BZ$3001,788,$E$1)&amp;"",",",""),"¥",""),"￥","")),0))</f>
        <v/>
      </c>
      <c r="F789">
        <f>IF($F$1=0,0,IFERROR(VALUE(SUBSTITUTE(SUBSTITUTE(SUBSTITUTE(INDEX(貼り付け!$A$1:$BZ$3001,788,$F$1)&amp;"",",",""),"¥",""),"￥","")),0))</f>
        <v/>
      </c>
      <c r="G789">
        <f>IF(ISNUMBER(B789),YEAR(B789),"")</f>
        <v/>
      </c>
      <c r="H789">
        <f>IF(ISNUMBER(B789),MONTH(B789),"")</f>
        <v/>
      </c>
      <c r="I789">
        <f>IFERROR(IF($B$1=0,"",IF(ISNUMBER(INDEX(貼り付け!$A$1:$BZ$3001,788,$B$1)),"",SUBSTITUTE(SUBSTITUTE(SUBSTITUTE(SUBSTITUTE(TRIM(LEFT(INDEX(貼り付け!$A$1:$BZ$3001,788,$B$1)&amp;"",FIND(" ",TRIM(INDEX(貼り付け!$A$1:$BZ$3001,788,$B$1)&amp;"")&amp;" ")-1)),"/","-"),"年","-"),"月","-"),"日",""))),"")</f>
        <v/>
      </c>
      <c r="J789">
        <f>IFERROR(MID(I789,FIND("-",I789)+1,99),"")</f>
        <v/>
      </c>
    </row>
    <row r="790">
      <c r="B790">
        <f>IFERROR(IF($B$1=0,"",IF(INDEX(貼り付け!$A$1:$BZ$3001,789,$B$1)="","",IF(ISNUMBER(INDEX(貼り付け!$A$1:$BZ$3001,789,$B$1)),INT(INDEX(貼り付け!$A$1:$BZ$3001,789,$B$1)),DATE(VALUE(LEFT(I790,FIND("-",I790)-1)),VALUE(LEFT(J790,FIND("-",J790)-1)),VALUE(MID(J790,FIND("-",J790)+1,99)))))),"")</f>
        <v/>
      </c>
      <c r="C790">
        <f>IF($C$1=0,0,IFERROR(VALUE(SUBSTITUTE(SUBSTITUTE(SUBSTITUTE(INDEX(貼り付け!$A$1:$BZ$3001,789,$C$1)&amp;"",",",""),"¥",""),"￥","")),0))</f>
        <v/>
      </c>
      <c r="D790">
        <f>IF($D$1=0,0,IFERROR(VALUE(SUBSTITUTE(SUBSTITUTE(SUBSTITUTE(INDEX(貼り付け!$A$1:$BZ$3001,789,$D$1)&amp;"",",",""),"¥",""),"￥","")),0))</f>
        <v/>
      </c>
      <c r="E790">
        <f>IF($E$1=0,0,IFERROR(VALUE(SUBSTITUTE(SUBSTITUTE(SUBSTITUTE(INDEX(貼り付け!$A$1:$BZ$3001,789,$E$1)&amp;"",",",""),"¥",""),"￥","")),0))</f>
        <v/>
      </c>
      <c r="F790">
        <f>IF($F$1=0,0,IFERROR(VALUE(SUBSTITUTE(SUBSTITUTE(SUBSTITUTE(INDEX(貼り付け!$A$1:$BZ$3001,789,$F$1)&amp;"",",",""),"¥",""),"￥","")),0))</f>
        <v/>
      </c>
      <c r="G790">
        <f>IF(ISNUMBER(B790),YEAR(B790),"")</f>
        <v/>
      </c>
      <c r="H790">
        <f>IF(ISNUMBER(B790),MONTH(B790),"")</f>
        <v/>
      </c>
      <c r="I790">
        <f>IFERROR(IF($B$1=0,"",IF(ISNUMBER(INDEX(貼り付け!$A$1:$BZ$3001,789,$B$1)),"",SUBSTITUTE(SUBSTITUTE(SUBSTITUTE(SUBSTITUTE(TRIM(LEFT(INDEX(貼り付け!$A$1:$BZ$3001,789,$B$1)&amp;"",FIND(" ",TRIM(INDEX(貼り付け!$A$1:$BZ$3001,789,$B$1)&amp;"")&amp;" ")-1)),"/","-"),"年","-"),"月","-"),"日",""))),"")</f>
        <v/>
      </c>
      <c r="J790">
        <f>IFERROR(MID(I790,FIND("-",I790)+1,99),"")</f>
        <v/>
      </c>
    </row>
    <row r="791">
      <c r="B791">
        <f>IFERROR(IF($B$1=0,"",IF(INDEX(貼り付け!$A$1:$BZ$3001,790,$B$1)="","",IF(ISNUMBER(INDEX(貼り付け!$A$1:$BZ$3001,790,$B$1)),INT(INDEX(貼り付け!$A$1:$BZ$3001,790,$B$1)),DATE(VALUE(LEFT(I791,FIND("-",I791)-1)),VALUE(LEFT(J791,FIND("-",J791)-1)),VALUE(MID(J791,FIND("-",J791)+1,99)))))),"")</f>
        <v/>
      </c>
      <c r="C791">
        <f>IF($C$1=0,0,IFERROR(VALUE(SUBSTITUTE(SUBSTITUTE(SUBSTITUTE(INDEX(貼り付け!$A$1:$BZ$3001,790,$C$1)&amp;"",",",""),"¥",""),"￥","")),0))</f>
        <v/>
      </c>
      <c r="D791">
        <f>IF($D$1=0,0,IFERROR(VALUE(SUBSTITUTE(SUBSTITUTE(SUBSTITUTE(INDEX(貼り付け!$A$1:$BZ$3001,790,$D$1)&amp;"",",",""),"¥",""),"￥","")),0))</f>
        <v/>
      </c>
      <c r="E791">
        <f>IF($E$1=0,0,IFERROR(VALUE(SUBSTITUTE(SUBSTITUTE(SUBSTITUTE(INDEX(貼り付け!$A$1:$BZ$3001,790,$E$1)&amp;"",",",""),"¥",""),"￥","")),0))</f>
        <v/>
      </c>
      <c r="F791">
        <f>IF($F$1=0,0,IFERROR(VALUE(SUBSTITUTE(SUBSTITUTE(SUBSTITUTE(INDEX(貼り付け!$A$1:$BZ$3001,790,$F$1)&amp;"",",",""),"¥",""),"￥","")),0))</f>
        <v/>
      </c>
      <c r="G791">
        <f>IF(ISNUMBER(B791),YEAR(B791),"")</f>
        <v/>
      </c>
      <c r="H791">
        <f>IF(ISNUMBER(B791),MONTH(B791),"")</f>
        <v/>
      </c>
      <c r="I791">
        <f>IFERROR(IF($B$1=0,"",IF(ISNUMBER(INDEX(貼り付け!$A$1:$BZ$3001,790,$B$1)),"",SUBSTITUTE(SUBSTITUTE(SUBSTITUTE(SUBSTITUTE(TRIM(LEFT(INDEX(貼り付け!$A$1:$BZ$3001,790,$B$1)&amp;"",FIND(" ",TRIM(INDEX(貼り付け!$A$1:$BZ$3001,790,$B$1)&amp;"")&amp;" ")-1)),"/","-"),"年","-"),"月","-"),"日",""))),"")</f>
        <v/>
      </c>
      <c r="J791">
        <f>IFERROR(MID(I791,FIND("-",I791)+1,99),"")</f>
        <v/>
      </c>
    </row>
    <row r="792">
      <c r="B792">
        <f>IFERROR(IF($B$1=0,"",IF(INDEX(貼り付け!$A$1:$BZ$3001,791,$B$1)="","",IF(ISNUMBER(INDEX(貼り付け!$A$1:$BZ$3001,791,$B$1)),INT(INDEX(貼り付け!$A$1:$BZ$3001,791,$B$1)),DATE(VALUE(LEFT(I792,FIND("-",I792)-1)),VALUE(LEFT(J792,FIND("-",J792)-1)),VALUE(MID(J792,FIND("-",J792)+1,99)))))),"")</f>
        <v/>
      </c>
      <c r="C792">
        <f>IF($C$1=0,0,IFERROR(VALUE(SUBSTITUTE(SUBSTITUTE(SUBSTITUTE(INDEX(貼り付け!$A$1:$BZ$3001,791,$C$1)&amp;"",",",""),"¥",""),"￥","")),0))</f>
        <v/>
      </c>
      <c r="D792">
        <f>IF($D$1=0,0,IFERROR(VALUE(SUBSTITUTE(SUBSTITUTE(SUBSTITUTE(INDEX(貼り付け!$A$1:$BZ$3001,791,$D$1)&amp;"",",",""),"¥",""),"￥","")),0))</f>
        <v/>
      </c>
      <c r="E792">
        <f>IF($E$1=0,0,IFERROR(VALUE(SUBSTITUTE(SUBSTITUTE(SUBSTITUTE(INDEX(貼り付け!$A$1:$BZ$3001,791,$E$1)&amp;"",",",""),"¥",""),"￥","")),0))</f>
        <v/>
      </c>
      <c r="F792">
        <f>IF($F$1=0,0,IFERROR(VALUE(SUBSTITUTE(SUBSTITUTE(SUBSTITUTE(INDEX(貼り付け!$A$1:$BZ$3001,791,$F$1)&amp;"",",",""),"¥",""),"￥","")),0))</f>
        <v/>
      </c>
      <c r="G792">
        <f>IF(ISNUMBER(B792),YEAR(B792),"")</f>
        <v/>
      </c>
      <c r="H792">
        <f>IF(ISNUMBER(B792),MONTH(B792),"")</f>
        <v/>
      </c>
      <c r="I792">
        <f>IFERROR(IF($B$1=0,"",IF(ISNUMBER(INDEX(貼り付け!$A$1:$BZ$3001,791,$B$1)),"",SUBSTITUTE(SUBSTITUTE(SUBSTITUTE(SUBSTITUTE(TRIM(LEFT(INDEX(貼り付け!$A$1:$BZ$3001,791,$B$1)&amp;"",FIND(" ",TRIM(INDEX(貼り付け!$A$1:$BZ$3001,791,$B$1)&amp;"")&amp;" ")-1)),"/","-"),"年","-"),"月","-"),"日",""))),"")</f>
        <v/>
      </c>
      <c r="J792">
        <f>IFERROR(MID(I792,FIND("-",I792)+1,99),"")</f>
        <v/>
      </c>
    </row>
    <row r="793">
      <c r="B793">
        <f>IFERROR(IF($B$1=0,"",IF(INDEX(貼り付け!$A$1:$BZ$3001,792,$B$1)="","",IF(ISNUMBER(INDEX(貼り付け!$A$1:$BZ$3001,792,$B$1)),INT(INDEX(貼り付け!$A$1:$BZ$3001,792,$B$1)),DATE(VALUE(LEFT(I793,FIND("-",I793)-1)),VALUE(LEFT(J793,FIND("-",J793)-1)),VALUE(MID(J793,FIND("-",J793)+1,99)))))),"")</f>
        <v/>
      </c>
      <c r="C793">
        <f>IF($C$1=0,0,IFERROR(VALUE(SUBSTITUTE(SUBSTITUTE(SUBSTITUTE(INDEX(貼り付け!$A$1:$BZ$3001,792,$C$1)&amp;"",",",""),"¥",""),"￥","")),0))</f>
        <v/>
      </c>
      <c r="D793">
        <f>IF($D$1=0,0,IFERROR(VALUE(SUBSTITUTE(SUBSTITUTE(SUBSTITUTE(INDEX(貼り付け!$A$1:$BZ$3001,792,$D$1)&amp;"",",",""),"¥",""),"￥","")),0))</f>
        <v/>
      </c>
      <c r="E793">
        <f>IF($E$1=0,0,IFERROR(VALUE(SUBSTITUTE(SUBSTITUTE(SUBSTITUTE(INDEX(貼り付け!$A$1:$BZ$3001,792,$E$1)&amp;"",",",""),"¥",""),"￥","")),0))</f>
        <v/>
      </c>
      <c r="F793">
        <f>IF($F$1=0,0,IFERROR(VALUE(SUBSTITUTE(SUBSTITUTE(SUBSTITUTE(INDEX(貼り付け!$A$1:$BZ$3001,792,$F$1)&amp;"",",",""),"¥",""),"￥","")),0))</f>
        <v/>
      </c>
      <c r="G793">
        <f>IF(ISNUMBER(B793),YEAR(B793),"")</f>
        <v/>
      </c>
      <c r="H793">
        <f>IF(ISNUMBER(B793),MONTH(B793),"")</f>
        <v/>
      </c>
      <c r="I793">
        <f>IFERROR(IF($B$1=0,"",IF(ISNUMBER(INDEX(貼り付け!$A$1:$BZ$3001,792,$B$1)),"",SUBSTITUTE(SUBSTITUTE(SUBSTITUTE(SUBSTITUTE(TRIM(LEFT(INDEX(貼り付け!$A$1:$BZ$3001,792,$B$1)&amp;"",FIND(" ",TRIM(INDEX(貼り付け!$A$1:$BZ$3001,792,$B$1)&amp;"")&amp;" ")-1)),"/","-"),"年","-"),"月","-"),"日",""))),"")</f>
        <v/>
      </c>
      <c r="J793">
        <f>IFERROR(MID(I793,FIND("-",I793)+1,99),"")</f>
        <v/>
      </c>
    </row>
    <row r="794">
      <c r="B794">
        <f>IFERROR(IF($B$1=0,"",IF(INDEX(貼り付け!$A$1:$BZ$3001,793,$B$1)="","",IF(ISNUMBER(INDEX(貼り付け!$A$1:$BZ$3001,793,$B$1)),INT(INDEX(貼り付け!$A$1:$BZ$3001,793,$B$1)),DATE(VALUE(LEFT(I794,FIND("-",I794)-1)),VALUE(LEFT(J794,FIND("-",J794)-1)),VALUE(MID(J794,FIND("-",J794)+1,99)))))),"")</f>
        <v/>
      </c>
      <c r="C794">
        <f>IF($C$1=0,0,IFERROR(VALUE(SUBSTITUTE(SUBSTITUTE(SUBSTITUTE(INDEX(貼り付け!$A$1:$BZ$3001,793,$C$1)&amp;"",",",""),"¥",""),"￥","")),0))</f>
        <v/>
      </c>
      <c r="D794">
        <f>IF($D$1=0,0,IFERROR(VALUE(SUBSTITUTE(SUBSTITUTE(SUBSTITUTE(INDEX(貼り付け!$A$1:$BZ$3001,793,$D$1)&amp;"",",",""),"¥",""),"￥","")),0))</f>
        <v/>
      </c>
      <c r="E794">
        <f>IF($E$1=0,0,IFERROR(VALUE(SUBSTITUTE(SUBSTITUTE(SUBSTITUTE(INDEX(貼り付け!$A$1:$BZ$3001,793,$E$1)&amp;"",",",""),"¥",""),"￥","")),0))</f>
        <v/>
      </c>
      <c r="F794">
        <f>IF($F$1=0,0,IFERROR(VALUE(SUBSTITUTE(SUBSTITUTE(SUBSTITUTE(INDEX(貼り付け!$A$1:$BZ$3001,793,$F$1)&amp;"",",",""),"¥",""),"￥","")),0))</f>
        <v/>
      </c>
      <c r="G794">
        <f>IF(ISNUMBER(B794),YEAR(B794),"")</f>
        <v/>
      </c>
      <c r="H794">
        <f>IF(ISNUMBER(B794),MONTH(B794),"")</f>
        <v/>
      </c>
      <c r="I794">
        <f>IFERROR(IF($B$1=0,"",IF(ISNUMBER(INDEX(貼り付け!$A$1:$BZ$3001,793,$B$1)),"",SUBSTITUTE(SUBSTITUTE(SUBSTITUTE(SUBSTITUTE(TRIM(LEFT(INDEX(貼り付け!$A$1:$BZ$3001,793,$B$1)&amp;"",FIND(" ",TRIM(INDEX(貼り付け!$A$1:$BZ$3001,793,$B$1)&amp;"")&amp;" ")-1)),"/","-"),"年","-"),"月","-"),"日",""))),"")</f>
        <v/>
      </c>
      <c r="J794">
        <f>IFERROR(MID(I794,FIND("-",I794)+1,99),"")</f>
        <v/>
      </c>
    </row>
    <row r="795">
      <c r="B795">
        <f>IFERROR(IF($B$1=0,"",IF(INDEX(貼り付け!$A$1:$BZ$3001,794,$B$1)="","",IF(ISNUMBER(INDEX(貼り付け!$A$1:$BZ$3001,794,$B$1)),INT(INDEX(貼り付け!$A$1:$BZ$3001,794,$B$1)),DATE(VALUE(LEFT(I795,FIND("-",I795)-1)),VALUE(LEFT(J795,FIND("-",J795)-1)),VALUE(MID(J795,FIND("-",J795)+1,99)))))),"")</f>
        <v/>
      </c>
      <c r="C795">
        <f>IF($C$1=0,0,IFERROR(VALUE(SUBSTITUTE(SUBSTITUTE(SUBSTITUTE(INDEX(貼り付け!$A$1:$BZ$3001,794,$C$1)&amp;"",",",""),"¥",""),"￥","")),0))</f>
        <v/>
      </c>
      <c r="D795">
        <f>IF($D$1=0,0,IFERROR(VALUE(SUBSTITUTE(SUBSTITUTE(SUBSTITUTE(INDEX(貼り付け!$A$1:$BZ$3001,794,$D$1)&amp;"",",",""),"¥",""),"￥","")),0))</f>
        <v/>
      </c>
      <c r="E795">
        <f>IF($E$1=0,0,IFERROR(VALUE(SUBSTITUTE(SUBSTITUTE(SUBSTITUTE(INDEX(貼り付け!$A$1:$BZ$3001,794,$E$1)&amp;"",",",""),"¥",""),"￥","")),0))</f>
        <v/>
      </c>
      <c r="F795">
        <f>IF($F$1=0,0,IFERROR(VALUE(SUBSTITUTE(SUBSTITUTE(SUBSTITUTE(INDEX(貼り付け!$A$1:$BZ$3001,794,$F$1)&amp;"",",",""),"¥",""),"￥","")),0))</f>
        <v/>
      </c>
      <c r="G795">
        <f>IF(ISNUMBER(B795),YEAR(B795),"")</f>
        <v/>
      </c>
      <c r="H795">
        <f>IF(ISNUMBER(B795),MONTH(B795),"")</f>
        <v/>
      </c>
      <c r="I795">
        <f>IFERROR(IF($B$1=0,"",IF(ISNUMBER(INDEX(貼り付け!$A$1:$BZ$3001,794,$B$1)),"",SUBSTITUTE(SUBSTITUTE(SUBSTITUTE(SUBSTITUTE(TRIM(LEFT(INDEX(貼り付け!$A$1:$BZ$3001,794,$B$1)&amp;"",FIND(" ",TRIM(INDEX(貼り付け!$A$1:$BZ$3001,794,$B$1)&amp;"")&amp;" ")-1)),"/","-"),"年","-"),"月","-"),"日",""))),"")</f>
        <v/>
      </c>
      <c r="J795">
        <f>IFERROR(MID(I795,FIND("-",I795)+1,99),"")</f>
        <v/>
      </c>
    </row>
    <row r="796">
      <c r="B796">
        <f>IFERROR(IF($B$1=0,"",IF(INDEX(貼り付け!$A$1:$BZ$3001,795,$B$1)="","",IF(ISNUMBER(INDEX(貼り付け!$A$1:$BZ$3001,795,$B$1)),INT(INDEX(貼り付け!$A$1:$BZ$3001,795,$B$1)),DATE(VALUE(LEFT(I796,FIND("-",I796)-1)),VALUE(LEFT(J796,FIND("-",J796)-1)),VALUE(MID(J796,FIND("-",J796)+1,99)))))),"")</f>
        <v/>
      </c>
      <c r="C796">
        <f>IF($C$1=0,0,IFERROR(VALUE(SUBSTITUTE(SUBSTITUTE(SUBSTITUTE(INDEX(貼り付け!$A$1:$BZ$3001,795,$C$1)&amp;"",",",""),"¥",""),"￥","")),0))</f>
        <v/>
      </c>
      <c r="D796">
        <f>IF($D$1=0,0,IFERROR(VALUE(SUBSTITUTE(SUBSTITUTE(SUBSTITUTE(INDEX(貼り付け!$A$1:$BZ$3001,795,$D$1)&amp;"",",",""),"¥",""),"￥","")),0))</f>
        <v/>
      </c>
      <c r="E796">
        <f>IF($E$1=0,0,IFERROR(VALUE(SUBSTITUTE(SUBSTITUTE(SUBSTITUTE(INDEX(貼り付け!$A$1:$BZ$3001,795,$E$1)&amp;"",",",""),"¥",""),"￥","")),0))</f>
        <v/>
      </c>
      <c r="F796">
        <f>IF($F$1=0,0,IFERROR(VALUE(SUBSTITUTE(SUBSTITUTE(SUBSTITUTE(INDEX(貼り付け!$A$1:$BZ$3001,795,$F$1)&amp;"",",",""),"¥",""),"￥","")),0))</f>
        <v/>
      </c>
      <c r="G796">
        <f>IF(ISNUMBER(B796),YEAR(B796),"")</f>
        <v/>
      </c>
      <c r="H796">
        <f>IF(ISNUMBER(B796),MONTH(B796),"")</f>
        <v/>
      </c>
      <c r="I796">
        <f>IFERROR(IF($B$1=0,"",IF(ISNUMBER(INDEX(貼り付け!$A$1:$BZ$3001,795,$B$1)),"",SUBSTITUTE(SUBSTITUTE(SUBSTITUTE(SUBSTITUTE(TRIM(LEFT(INDEX(貼り付け!$A$1:$BZ$3001,795,$B$1)&amp;"",FIND(" ",TRIM(INDEX(貼り付け!$A$1:$BZ$3001,795,$B$1)&amp;"")&amp;" ")-1)),"/","-"),"年","-"),"月","-"),"日",""))),"")</f>
        <v/>
      </c>
      <c r="J796">
        <f>IFERROR(MID(I796,FIND("-",I796)+1,99),"")</f>
        <v/>
      </c>
    </row>
    <row r="797">
      <c r="B797">
        <f>IFERROR(IF($B$1=0,"",IF(INDEX(貼り付け!$A$1:$BZ$3001,796,$B$1)="","",IF(ISNUMBER(INDEX(貼り付け!$A$1:$BZ$3001,796,$B$1)),INT(INDEX(貼り付け!$A$1:$BZ$3001,796,$B$1)),DATE(VALUE(LEFT(I797,FIND("-",I797)-1)),VALUE(LEFT(J797,FIND("-",J797)-1)),VALUE(MID(J797,FIND("-",J797)+1,99)))))),"")</f>
        <v/>
      </c>
      <c r="C797">
        <f>IF($C$1=0,0,IFERROR(VALUE(SUBSTITUTE(SUBSTITUTE(SUBSTITUTE(INDEX(貼り付け!$A$1:$BZ$3001,796,$C$1)&amp;"",",",""),"¥",""),"￥","")),0))</f>
        <v/>
      </c>
      <c r="D797">
        <f>IF($D$1=0,0,IFERROR(VALUE(SUBSTITUTE(SUBSTITUTE(SUBSTITUTE(INDEX(貼り付け!$A$1:$BZ$3001,796,$D$1)&amp;"",",",""),"¥",""),"￥","")),0))</f>
        <v/>
      </c>
      <c r="E797">
        <f>IF($E$1=0,0,IFERROR(VALUE(SUBSTITUTE(SUBSTITUTE(SUBSTITUTE(INDEX(貼り付け!$A$1:$BZ$3001,796,$E$1)&amp;"",",",""),"¥",""),"￥","")),0))</f>
        <v/>
      </c>
      <c r="F797">
        <f>IF($F$1=0,0,IFERROR(VALUE(SUBSTITUTE(SUBSTITUTE(SUBSTITUTE(INDEX(貼り付け!$A$1:$BZ$3001,796,$F$1)&amp;"",",",""),"¥",""),"￥","")),0))</f>
        <v/>
      </c>
      <c r="G797">
        <f>IF(ISNUMBER(B797),YEAR(B797),"")</f>
        <v/>
      </c>
      <c r="H797">
        <f>IF(ISNUMBER(B797),MONTH(B797),"")</f>
        <v/>
      </c>
      <c r="I797">
        <f>IFERROR(IF($B$1=0,"",IF(ISNUMBER(INDEX(貼り付け!$A$1:$BZ$3001,796,$B$1)),"",SUBSTITUTE(SUBSTITUTE(SUBSTITUTE(SUBSTITUTE(TRIM(LEFT(INDEX(貼り付け!$A$1:$BZ$3001,796,$B$1)&amp;"",FIND(" ",TRIM(INDEX(貼り付け!$A$1:$BZ$3001,796,$B$1)&amp;"")&amp;" ")-1)),"/","-"),"年","-"),"月","-"),"日",""))),"")</f>
        <v/>
      </c>
      <c r="J797">
        <f>IFERROR(MID(I797,FIND("-",I797)+1,99),"")</f>
        <v/>
      </c>
    </row>
    <row r="798">
      <c r="B798">
        <f>IFERROR(IF($B$1=0,"",IF(INDEX(貼り付け!$A$1:$BZ$3001,797,$B$1)="","",IF(ISNUMBER(INDEX(貼り付け!$A$1:$BZ$3001,797,$B$1)),INT(INDEX(貼り付け!$A$1:$BZ$3001,797,$B$1)),DATE(VALUE(LEFT(I798,FIND("-",I798)-1)),VALUE(LEFT(J798,FIND("-",J798)-1)),VALUE(MID(J798,FIND("-",J798)+1,99)))))),"")</f>
        <v/>
      </c>
      <c r="C798">
        <f>IF($C$1=0,0,IFERROR(VALUE(SUBSTITUTE(SUBSTITUTE(SUBSTITUTE(INDEX(貼り付け!$A$1:$BZ$3001,797,$C$1)&amp;"",",",""),"¥",""),"￥","")),0))</f>
        <v/>
      </c>
      <c r="D798">
        <f>IF($D$1=0,0,IFERROR(VALUE(SUBSTITUTE(SUBSTITUTE(SUBSTITUTE(INDEX(貼り付け!$A$1:$BZ$3001,797,$D$1)&amp;"",",",""),"¥",""),"￥","")),0))</f>
        <v/>
      </c>
      <c r="E798">
        <f>IF($E$1=0,0,IFERROR(VALUE(SUBSTITUTE(SUBSTITUTE(SUBSTITUTE(INDEX(貼り付け!$A$1:$BZ$3001,797,$E$1)&amp;"",",",""),"¥",""),"￥","")),0))</f>
        <v/>
      </c>
      <c r="F798">
        <f>IF($F$1=0,0,IFERROR(VALUE(SUBSTITUTE(SUBSTITUTE(SUBSTITUTE(INDEX(貼り付け!$A$1:$BZ$3001,797,$F$1)&amp;"",",",""),"¥",""),"￥","")),0))</f>
        <v/>
      </c>
      <c r="G798">
        <f>IF(ISNUMBER(B798),YEAR(B798),"")</f>
        <v/>
      </c>
      <c r="H798">
        <f>IF(ISNUMBER(B798),MONTH(B798),"")</f>
        <v/>
      </c>
      <c r="I798">
        <f>IFERROR(IF($B$1=0,"",IF(ISNUMBER(INDEX(貼り付け!$A$1:$BZ$3001,797,$B$1)),"",SUBSTITUTE(SUBSTITUTE(SUBSTITUTE(SUBSTITUTE(TRIM(LEFT(INDEX(貼り付け!$A$1:$BZ$3001,797,$B$1)&amp;"",FIND(" ",TRIM(INDEX(貼り付け!$A$1:$BZ$3001,797,$B$1)&amp;"")&amp;" ")-1)),"/","-"),"年","-"),"月","-"),"日",""))),"")</f>
        <v/>
      </c>
      <c r="J798">
        <f>IFERROR(MID(I798,FIND("-",I798)+1,99),"")</f>
        <v/>
      </c>
    </row>
    <row r="799">
      <c r="B799">
        <f>IFERROR(IF($B$1=0,"",IF(INDEX(貼り付け!$A$1:$BZ$3001,798,$B$1)="","",IF(ISNUMBER(INDEX(貼り付け!$A$1:$BZ$3001,798,$B$1)),INT(INDEX(貼り付け!$A$1:$BZ$3001,798,$B$1)),DATE(VALUE(LEFT(I799,FIND("-",I799)-1)),VALUE(LEFT(J799,FIND("-",J799)-1)),VALUE(MID(J799,FIND("-",J799)+1,99)))))),"")</f>
        <v/>
      </c>
      <c r="C799">
        <f>IF($C$1=0,0,IFERROR(VALUE(SUBSTITUTE(SUBSTITUTE(SUBSTITUTE(INDEX(貼り付け!$A$1:$BZ$3001,798,$C$1)&amp;"",",",""),"¥",""),"￥","")),0))</f>
        <v/>
      </c>
      <c r="D799">
        <f>IF($D$1=0,0,IFERROR(VALUE(SUBSTITUTE(SUBSTITUTE(SUBSTITUTE(INDEX(貼り付け!$A$1:$BZ$3001,798,$D$1)&amp;"",",",""),"¥",""),"￥","")),0))</f>
        <v/>
      </c>
      <c r="E799">
        <f>IF($E$1=0,0,IFERROR(VALUE(SUBSTITUTE(SUBSTITUTE(SUBSTITUTE(INDEX(貼り付け!$A$1:$BZ$3001,798,$E$1)&amp;"",",",""),"¥",""),"￥","")),0))</f>
        <v/>
      </c>
      <c r="F799">
        <f>IF($F$1=0,0,IFERROR(VALUE(SUBSTITUTE(SUBSTITUTE(SUBSTITUTE(INDEX(貼り付け!$A$1:$BZ$3001,798,$F$1)&amp;"",",",""),"¥",""),"￥","")),0))</f>
        <v/>
      </c>
      <c r="G799">
        <f>IF(ISNUMBER(B799),YEAR(B799),"")</f>
        <v/>
      </c>
      <c r="H799">
        <f>IF(ISNUMBER(B799),MONTH(B799),"")</f>
        <v/>
      </c>
      <c r="I799">
        <f>IFERROR(IF($B$1=0,"",IF(ISNUMBER(INDEX(貼り付け!$A$1:$BZ$3001,798,$B$1)),"",SUBSTITUTE(SUBSTITUTE(SUBSTITUTE(SUBSTITUTE(TRIM(LEFT(INDEX(貼り付け!$A$1:$BZ$3001,798,$B$1)&amp;"",FIND(" ",TRIM(INDEX(貼り付け!$A$1:$BZ$3001,798,$B$1)&amp;"")&amp;" ")-1)),"/","-"),"年","-"),"月","-"),"日",""))),"")</f>
        <v/>
      </c>
      <c r="J799">
        <f>IFERROR(MID(I799,FIND("-",I799)+1,99),"")</f>
        <v/>
      </c>
    </row>
    <row r="800">
      <c r="B800">
        <f>IFERROR(IF($B$1=0,"",IF(INDEX(貼り付け!$A$1:$BZ$3001,799,$B$1)="","",IF(ISNUMBER(INDEX(貼り付け!$A$1:$BZ$3001,799,$B$1)),INT(INDEX(貼り付け!$A$1:$BZ$3001,799,$B$1)),DATE(VALUE(LEFT(I800,FIND("-",I800)-1)),VALUE(LEFT(J800,FIND("-",J800)-1)),VALUE(MID(J800,FIND("-",J800)+1,99)))))),"")</f>
        <v/>
      </c>
      <c r="C800">
        <f>IF($C$1=0,0,IFERROR(VALUE(SUBSTITUTE(SUBSTITUTE(SUBSTITUTE(INDEX(貼り付け!$A$1:$BZ$3001,799,$C$1)&amp;"",",",""),"¥",""),"￥","")),0))</f>
        <v/>
      </c>
      <c r="D800">
        <f>IF($D$1=0,0,IFERROR(VALUE(SUBSTITUTE(SUBSTITUTE(SUBSTITUTE(INDEX(貼り付け!$A$1:$BZ$3001,799,$D$1)&amp;"",",",""),"¥",""),"￥","")),0))</f>
        <v/>
      </c>
      <c r="E800">
        <f>IF($E$1=0,0,IFERROR(VALUE(SUBSTITUTE(SUBSTITUTE(SUBSTITUTE(INDEX(貼り付け!$A$1:$BZ$3001,799,$E$1)&amp;"",",",""),"¥",""),"￥","")),0))</f>
        <v/>
      </c>
      <c r="F800">
        <f>IF($F$1=0,0,IFERROR(VALUE(SUBSTITUTE(SUBSTITUTE(SUBSTITUTE(INDEX(貼り付け!$A$1:$BZ$3001,799,$F$1)&amp;"",",",""),"¥",""),"￥","")),0))</f>
        <v/>
      </c>
      <c r="G800">
        <f>IF(ISNUMBER(B800),YEAR(B800),"")</f>
        <v/>
      </c>
      <c r="H800">
        <f>IF(ISNUMBER(B800),MONTH(B800),"")</f>
        <v/>
      </c>
      <c r="I800">
        <f>IFERROR(IF($B$1=0,"",IF(ISNUMBER(INDEX(貼り付け!$A$1:$BZ$3001,799,$B$1)),"",SUBSTITUTE(SUBSTITUTE(SUBSTITUTE(SUBSTITUTE(TRIM(LEFT(INDEX(貼り付け!$A$1:$BZ$3001,799,$B$1)&amp;"",FIND(" ",TRIM(INDEX(貼り付け!$A$1:$BZ$3001,799,$B$1)&amp;"")&amp;" ")-1)),"/","-"),"年","-"),"月","-"),"日",""))),"")</f>
        <v/>
      </c>
      <c r="J800">
        <f>IFERROR(MID(I800,FIND("-",I800)+1,99),"")</f>
        <v/>
      </c>
    </row>
    <row r="801">
      <c r="B801">
        <f>IFERROR(IF($B$1=0,"",IF(INDEX(貼り付け!$A$1:$BZ$3001,800,$B$1)="","",IF(ISNUMBER(INDEX(貼り付け!$A$1:$BZ$3001,800,$B$1)),INT(INDEX(貼り付け!$A$1:$BZ$3001,800,$B$1)),DATE(VALUE(LEFT(I801,FIND("-",I801)-1)),VALUE(LEFT(J801,FIND("-",J801)-1)),VALUE(MID(J801,FIND("-",J801)+1,99)))))),"")</f>
        <v/>
      </c>
      <c r="C801">
        <f>IF($C$1=0,0,IFERROR(VALUE(SUBSTITUTE(SUBSTITUTE(SUBSTITUTE(INDEX(貼り付け!$A$1:$BZ$3001,800,$C$1)&amp;"",",",""),"¥",""),"￥","")),0))</f>
        <v/>
      </c>
      <c r="D801">
        <f>IF($D$1=0,0,IFERROR(VALUE(SUBSTITUTE(SUBSTITUTE(SUBSTITUTE(INDEX(貼り付け!$A$1:$BZ$3001,800,$D$1)&amp;"",",",""),"¥",""),"￥","")),0))</f>
        <v/>
      </c>
      <c r="E801">
        <f>IF($E$1=0,0,IFERROR(VALUE(SUBSTITUTE(SUBSTITUTE(SUBSTITUTE(INDEX(貼り付け!$A$1:$BZ$3001,800,$E$1)&amp;"",",",""),"¥",""),"￥","")),0))</f>
        <v/>
      </c>
      <c r="F801">
        <f>IF($F$1=0,0,IFERROR(VALUE(SUBSTITUTE(SUBSTITUTE(SUBSTITUTE(INDEX(貼り付け!$A$1:$BZ$3001,800,$F$1)&amp;"",",",""),"¥",""),"￥","")),0))</f>
        <v/>
      </c>
      <c r="G801">
        <f>IF(ISNUMBER(B801),YEAR(B801),"")</f>
        <v/>
      </c>
      <c r="H801">
        <f>IF(ISNUMBER(B801),MONTH(B801),"")</f>
        <v/>
      </c>
      <c r="I801">
        <f>IFERROR(IF($B$1=0,"",IF(ISNUMBER(INDEX(貼り付け!$A$1:$BZ$3001,800,$B$1)),"",SUBSTITUTE(SUBSTITUTE(SUBSTITUTE(SUBSTITUTE(TRIM(LEFT(INDEX(貼り付け!$A$1:$BZ$3001,800,$B$1)&amp;"",FIND(" ",TRIM(INDEX(貼り付け!$A$1:$BZ$3001,800,$B$1)&amp;"")&amp;" ")-1)),"/","-"),"年","-"),"月","-"),"日",""))),"")</f>
        <v/>
      </c>
      <c r="J801">
        <f>IFERROR(MID(I801,FIND("-",I801)+1,99),"")</f>
        <v/>
      </c>
    </row>
    <row r="802">
      <c r="B802">
        <f>IFERROR(IF($B$1=0,"",IF(INDEX(貼り付け!$A$1:$BZ$3001,801,$B$1)="","",IF(ISNUMBER(INDEX(貼り付け!$A$1:$BZ$3001,801,$B$1)),INT(INDEX(貼り付け!$A$1:$BZ$3001,801,$B$1)),DATE(VALUE(LEFT(I802,FIND("-",I802)-1)),VALUE(LEFT(J802,FIND("-",J802)-1)),VALUE(MID(J802,FIND("-",J802)+1,99)))))),"")</f>
        <v/>
      </c>
      <c r="C802">
        <f>IF($C$1=0,0,IFERROR(VALUE(SUBSTITUTE(SUBSTITUTE(SUBSTITUTE(INDEX(貼り付け!$A$1:$BZ$3001,801,$C$1)&amp;"",",",""),"¥",""),"￥","")),0))</f>
        <v/>
      </c>
      <c r="D802">
        <f>IF($D$1=0,0,IFERROR(VALUE(SUBSTITUTE(SUBSTITUTE(SUBSTITUTE(INDEX(貼り付け!$A$1:$BZ$3001,801,$D$1)&amp;"",",",""),"¥",""),"￥","")),0))</f>
        <v/>
      </c>
      <c r="E802">
        <f>IF($E$1=0,0,IFERROR(VALUE(SUBSTITUTE(SUBSTITUTE(SUBSTITUTE(INDEX(貼り付け!$A$1:$BZ$3001,801,$E$1)&amp;"",",",""),"¥",""),"￥","")),0))</f>
        <v/>
      </c>
      <c r="F802">
        <f>IF($F$1=0,0,IFERROR(VALUE(SUBSTITUTE(SUBSTITUTE(SUBSTITUTE(INDEX(貼り付け!$A$1:$BZ$3001,801,$F$1)&amp;"",",",""),"¥",""),"￥","")),0))</f>
        <v/>
      </c>
      <c r="G802">
        <f>IF(ISNUMBER(B802),YEAR(B802),"")</f>
        <v/>
      </c>
      <c r="H802">
        <f>IF(ISNUMBER(B802),MONTH(B802),"")</f>
        <v/>
      </c>
      <c r="I802">
        <f>IFERROR(IF($B$1=0,"",IF(ISNUMBER(INDEX(貼り付け!$A$1:$BZ$3001,801,$B$1)),"",SUBSTITUTE(SUBSTITUTE(SUBSTITUTE(SUBSTITUTE(TRIM(LEFT(INDEX(貼り付け!$A$1:$BZ$3001,801,$B$1)&amp;"",FIND(" ",TRIM(INDEX(貼り付け!$A$1:$BZ$3001,801,$B$1)&amp;"")&amp;" ")-1)),"/","-"),"年","-"),"月","-"),"日",""))),"")</f>
        <v/>
      </c>
      <c r="J802">
        <f>IFERROR(MID(I802,FIND("-",I802)+1,99),"")</f>
        <v/>
      </c>
    </row>
    <row r="803">
      <c r="B803">
        <f>IFERROR(IF($B$1=0,"",IF(INDEX(貼り付け!$A$1:$BZ$3001,802,$B$1)="","",IF(ISNUMBER(INDEX(貼り付け!$A$1:$BZ$3001,802,$B$1)),INT(INDEX(貼り付け!$A$1:$BZ$3001,802,$B$1)),DATE(VALUE(LEFT(I803,FIND("-",I803)-1)),VALUE(LEFT(J803,FIND("-",J803)-1)),VALUE(MID(J803,FIND("-",J803)+1,99)))))),"")</f>
        <v/>
      </c>
      <c r="C803">
        <f>IF($C$1=0,0,IFERROR(VALUE(SUBSTITUTE(SUBSTITUTE(SUBSTITUTE(INDEX(貼り付け!$A$1:$BZ$3001,802,$C$1)&amp;"",",",""),"¥",""),"￥","")),0))</f>
        <v/>
      </c>
      <c r="D803">
        <f>IF($D$1=0,0,IFERROR(VALUE(SUBSTITUTE(SUBSTITUTE(SUBSTITUTE(INDEX(貼り付け!$A$1:$BZ$3001,802,$D$1)&amp;"",",",""),"¥",""),"￥","")),0))</f>
        <v/>
      </c>
      <c r="E803">
        <f>IF($E$1=0,0,IFERROR(VALUE(SUBSTITUTE(SUBSTITUTE(SUBSTITUTE(INDEX(貼り付け!$A$1:$BZ$3001,802,$E$1)&amp;"",",",""),"¥",""),"￥","")),0))</f>
        <v/>
      </c>
      <c r="F803">
        <f>IF($F$1=0,0,IFERROR(VALUE(SUBSTITUTE(SUBSTITUTE(SUBSTITUTE(INDEX(貼り付け!$A$1:$BZ$3001,802,$F$1)&amp;"",",",""),"¥",""),"￥","")),0))</f>
        <v/>
      </c>
      <c r="G803">
        <f>IF(ISNUMBER(B803),YEAR(B803),"")</f>
        <v/>
      </c>
      <c r="H803">
        <f>IF(ISNUMBER(B803),MONTH(B803),"")</f>
        <v/>
      </c>
      <c r="I803">
        <f>IFERROR(IF($B$1=0,"",IF(ISNUMBER(INDEX(貼り付け!$A$1:$BZ$3001,802,$B$1)),"",SUBSTITUTE(SUBSTITUTE(SUBSTITUTE(SUBSTITUTE(TRIM(LEFT(INDEX(貼り付け!$A$1:$BZ$3001,802,$B$1)&amp;"",FIND(" ",TRIM(INDEX(貼り付け!$A$1:$BZ$3001,802,$B$1)&amp;"")&amp;" ")-1)),"/","-"),"年","-"),"月","-"),"日",""))),"")</f>
        <v/>
      </c>
      <c r="J803">
        <f>IFERROR(MID(I803,FIND("-",I803)+1,99),"")</f>
        <v/>
      </c>
    </row>
    <row r="804">
      <c r="B804">
        <f>IFERROR(IF($B$1=0,"",IF(INDEX(貼り付け!$A$1:$BZ$3001,803,$B$1)="","",IF(ISNUMBER(INDEX(貼り付け!$A$1:$BZ$3001,803,$B$1)),INT(INDEX(貼り付け!$A$1:$BZ$3001,803,$B$1)),DATE(VALUE(LEFT(I804,FIND("-",I804)-1)),VALUE(LEFT(J804,FIND("-",J804)-1)),VALUE(MID(J804,FIND("-",J804)+1,99)))))),"")</f>
        <v/>
      </c>
      <c r="C804">
        <f>IF($C$1=0,0,IFERROR(VALUE(SUBSTITUTE(SUBSTITUTE(SUBSTITUTE(INDEX(貼り付け!$A$1:$BZ$3001,803,$C$1)&amp;"",",",""),"¥",""),"￥","")),0))</f>
        <v/>
      </c>
      <c r="D804">
        <f>IF($D$1=0,0,IFERROR(VALUE(SUBSTITUTE(SUBSTITUTE(SUBSTITUTE(INDEX(貼り付け!$A$1:$BZ$3001,803,$D$1)&amp;"",",",""),"¥",""),"￥","")),0))</f>
        <v/>
      </c>
      <c r="E804">
        <f>IF($E$1=0,0,IFERROR(VALUE(SUBSTITUTE(SUBSTITUTE(SUBSTITUTE(INDEX(貼り付け!$A$1:$BZ$3001,803,$E$1)&amp;"",",",""),"¥",""),"￥","")),0))</f>
        <v/>
      </c>
      <c r="F804">
        <f>IF($F$1=0,0,IFERROR(VALUE(SUBSTITUTE(SUBSTITUTE(SUBSTITUTE(INDEX(貼り付け!$A$1:$BZ$3001,803,$F$1)&amp;"",",",""),"¥",""),"￥","")),0))</f>
        <v/>
      </c>
      <c r="G804">
        <f>IF(ISNUMBER(B804),YEAR(B804),"")</f>
        <v/>
      </c>
      <c r="H804">
        <f>IF(ISNUMBER(B804),MONTH(B804),"")</f>
        <v/>
      </c>
      <c r="I804">
        <f>IFERROR(IF($B$1=0,"",IF(ISNUMBER(INDEX(貼り付け!$A$1:$BZ$3001,803,$B$1)),"",SUBSTITUTE(SUBSTITUTE(SUBSTITUTE(SUBSTITUTE(TRIM(LEFT(INDEX(貼り付け!$A$1:$BZ$3001,803,$B$1)&amp;"",FIND(" ",TRIM(INDEX(貼り付け!$A$1:$BZ$3001,803,$B$1)&amp;"")&amp;" ")-1)),"/","-"),"年","-"),"月","-"),"日",""))),"")</f>
        <v/>
      </c>
      <c r="J804">
        <f>IFERROR(MID(I804,FIND("-",I804)+1,99),"")</f>
        <v/>
      </c>
    </row>
    <row r="805">
      <c r="B805">
        <f>IFERROR(IF($B$1=0,"",IF(INDEX(貼り付け!$A$1:$BZ$3001,804,$B$1)="","",IF(ISNUMBER(INDEX(貼り付け!$A$1:$BZ$3001,804,$B$1)),INT(INDEX(貼り付け!$A$1:$BZ$3001,804,$B$1)),DATE(VALUE(LEFT(I805,FIND("-",I805)-1)),VALUE(LEFT(J805,FIND("-",J805)-1)),VALUE(MID(J805,FIND("-",J805)+1,99)))))),"")</f>
        <v/>
      </c>
      <c r="C805">
        <f>IF($C$1=0,0,IFERROR(VALUE(SUBSTITUTE(SUBSTITUTE(SUBSTITUTE(INDEX(貼り付け!$A$1:$BZ$3001,804,$C$1)&amp;"",",",""),"¥",""),"￥","")),0))</f>
        <v/>
      </c>
      <c r="D805">
        <f>IF($D$1=0,0,IFERROR(VALUE(SUBSTITUTE(SUBSTITUTE(SUBSTITUTE(INDEX(貼り付け!$A$1:$BZ$3001,804,$D$1)&amp;"",",",""),"¥",""),"￥","")),0))</f>
        <v/>
      </c>
      <c r="E805">
        <f>IF($E$1=0,0,IFERROR(VALUE(SUBSTITUTE(SUBSTITUTE(SUBSTITUTE(INDEX(貼り付け!$A$1:$BZ$3001,804,$E$1)&amp;"",",",""),"¥",""),"￥","")),0))</f>
        <v/>
      </c>
      <c r="F805">
        <f>IF($F$1=0,0,IFERROR(VALUE(SUBSTITUTE(SUBSTITUTE(SUBSTITUTE(INDEX(貼り付け!$A$1:$BZ$3001,804,$F$1)&amp;"",",",""),"¥",""),"￥","")),0))</f>
        <v/>
      </c>
      <c r="G805">
        <f>IF(ISNUMBER(B805),YEAR(B805),"")</f>
        <v/>
      </c>
      <c r="H805">
        <f>IF(ISNUMBER(B805),MONTH(B805),"")</f>
        <v/>
      </c>
      <c r="I805">
        <f>IFERROR(IF($B$1=0,"",IF(ISNUMBER(INDEX(貼り付け!$A$1:$BZ$3001,804,$B$1)),"",SUBSTITUTE(SUBSTITUTE(SUBSTITUTE(SUBSTITUTE(TRIM(LEFT(INDEX(貼り付け!$A$1:$BZ$3001,804,$B$1)&amp;"",FIND(" ",TRIM(INDEX(貼り付け!$A$1:$BZ$3001,804,$B$1)&amp;"")&amp;" ")-1)),"/","-"),"年","-"),"月","-"),"日",""))),"")</f>
        <v/>
      </c>
      <c r="J805">
        <f>IFERROR(MID(I805,FIND("-",I805)+1,99),"")</f>
        <v/>
      </c>
    </row>
    <row r="806">
      <c r="B806">
        <f>IFERROR(IF($B$1=0,"",IF(INDEX(貼り付け!$A$1:$BZ$3001,805,$B$1)="","",IF(ISNUMBER(INDEX(貼り付け!$A$1:$BZ$3001,805,$B$1)),INT(INDEX(貼り付け!$A$1:$BZ$3001,805,$B$1)),DATE(VALUE(LEFT(I806,FIND("-",I806)-1)),VALUE(LEFT(J806,FIND("-",J806)-1)),VALUE(MID(J806,FIND("-",J806)+1,99)))))),"")</f>
        <v/>
      </c>
      <c r="C806">
        <f>IF($C$1=0,0,IFERROR(VALUE(SUBSTITUTE(SUBSTITUTE(SUBSTITUTE(INDEX(貼り付け!$A$1:$BZ$3001,805,$C$1)&amp;"",",",""),"¥",""),"￥","")),0))</f>
        <v/>
      </c>
      <c r="D806">
        <f>IF($D$1=0,0,IFERROR(VALUE(SUBSTITUTE(SUBSTITUTE(SUBSTITUTE(INDEX(貼り付け!$A$1:$BZ$3001,805,$D$1)&amp;"",",",""),"¥",""),"￥","")),0))</f>
        <v/>
      </c>
      <c r="E806">
        <f>IF($E$1=0,0,IFERROR(VALUE(SUBSTITUTE(SUBSTITUTE(SUBSTITUTE(INDEX(貼り付け!$A$1:$BZ$3001,805,$E$1)&amp;"",",",""),"¥",""),"￥","")),0))</f>
        <v/>
      </c>
      <c r="F806">
        <f>IF($F$1=0,0,IFERROR(VALUE(SUBSTITUTE(SUBSTITUTE(SUBSTITUTE(INDEX(貼り付け!$A$1:$BZ$3001,805,$F$1)&amp;"",",",""),"¥",""),"￥","")),0))</f>
        <v/>
      </c>
      <c r="G806">
        <f>IF(ISNUMBER(B806),YEAR(B806),"")</f>
        <v/>
      </c>
      <c r="H806">
        <f>IF(ISNUMBER(B806),MONTH(B806),"")</f>
        <v/>
      </c>
      <c r="I806">
        <f>IFERROR(IF($B$1=0,"",IF(ISNUMBER(INDEX(貼り付け!$A$1:$BZ$3001,805,$B$1)),"",SUBSTITUTE(SUBSTITUTE(SUBSTITUTE(SUBSTITUTE(TRIM(LEFT(INDEX(貼り付け!$A$1:$BZ$3001,805,$B$1)&amp;"",FIND(" ",TRIM(INDEX(貼り付け!$A$1:$BZ$3001,805,$B$1)&amp;"")&amp;" ")-1)),"/","-"),"年","-"),"月","-"),"日",""))),"")</f>
        <v/>
      </c>
      <c r="J806">
        <f>IFERROR(MID(I806,FIND("-",I806)+1,99),"")</f>
        <v/>
      </c>
    </row>
    <row r="807">
      <c r="B807">
        <f>IFERROR(IF($B$1=0,"",IF(INDEX(貼り付け!$A$1:$BZ$3001,806,$B$1)="","",IF(ISNUMBER(INDEX(貼り付け!$A$1:$BZ$3001,806,$B$1)),INT(INDEX(貼り付け!$A$1:$BZ$3001,806,$B$1)),DATE(VALUE(LEFT(I807,FIND("-",I807)-1)),VALUE(LEFT(J807,FIND("-",J807)-1)),VALUE(MID(J807,FIND("-",J807)+1,99)))))),"")</f>
        <v/>
      </c>
      <c r="C807">
        <f>IF($C$1=0,0,IFERROR(VALUE(SUBSTITUTE(SUBSTITUTE(SUBSTITUTE(INDEX(貼り付け!$A$1:$BZ$3001,806,$C$1)&amp;"",",",""),"¥",""),"￥","")),0))</f>
        <v/>
      </c>
      <c r="D807">
        <f>IF($D$1=0,0,IFERROR(VALUE(SUBSTITUTE(SUBSTITUTE(SUBSTITUTE(INDEX(貼り付け!$A$1:$BZ$3001,806,$D$1)&amp;"",",",""),"¥",""),"￥","")),0))</f>
        <v/>
      </c>
      <c r="E807">
        <f>IF($E$1=0,0,IFERROR(VALUE(SUBSTITUTE(SUBSTITUTE(SUBSTITUTE(INDEX(貼り付け!$A$1:$BZ$3001,806,$E$1)&amp;"",",",""),"¥",""),"￥","")),0))</f>
        <v/>
      </c>
      <c r="F807">
        <f>IF($F$1=0,0,IFERROR(VALUE(SUBSTITUTE(SUBSTITUTE(SUBSTITUTE(INDEX(貼り付け!$A$1:$BZ$3001,806,$F$1)&amp;"",",",""),"¥",""),"￥","")),0))</f>
        <v/>
      </c>
      <c r="G807">
        <f>IF(ISNUMBER(B807),YEAR(B807),"")</f>
        <v/>
      </c>
      <c r="H807">
        <f>IF(ISNUMBER(B807),MONTH(B807),"")</f>
        <v/>
      </c>
      <c r="I807">
        <f>IFERROR(IF($B$1=0,"",IF(ISNUMBER(INDEX(貼り付け!$A$1:$BZ$3001,806,$B$1)),"",SUBSTITUTE(SUBSTITUTE(SUBSTITUTE(SUBSTITUTE(TRIM(LEFT(INDEX(貼り付け!$A$1:$BZ$3001,806,$B$1)&amp;"",FIND(" ",TRIM(INDEX(貼り付け!$A$1:$BZ$3001,806,$B$1)&amp;"")&amp;" ")-1)),"/","-"),"年","-"),"月","-"),"日",""))),"")</f>
        <v/>
      </c>
      <c r="J807">
        <f>IFERROR(MID(I807,FIND("-",I807)+1,99),"")</f>
        <v/>
      </c>
    </row>
    <row r="808">
      <c r="B808">
        <f>IFERROR(IF($B$1=0,"",IF(INDEX(貼り付け!$A$1:$BZ$3001,807,$B$1)="","",IF(ISNUMBER(INDEX(貼り付け!$A$1:$BZ$3001,807,$B$1)),INT(INDEX(貼り付け!$A$1:$BZ$3001,807,$B$1)),DATE(VALUE(LEFT(I808,FIND("-",I808)-1)),VALUE(LEFT(J808,FIND("-",J808)-1)),VALUE(MID(J808,FIND("-",J808)+1,99)))))),"")</f>
        <v/>
      </c>
      <c r="C808">
        <f>IF($C$1=0,0,IFERROR(VALUE(SUBSTITUTE(SUBSTITUTE(SUBSTITUTE(INDEX(貼り付け!$A$1:$BZ$3001,807,$C$1)&amp;"",",",""),"¥",""),"￥","")),0))</f>
        <v/>
      </c>
      <c r="D808">
        <f>IF($D$1=0,0,IFERROR(VALUE(SUBSTITUTE(SUBSTITUTE(SUBSTITUTE(INDEX(貼り付け!$A$1:$BZ$3001,807,$D$1)&amp;"",",",""),"¥",""),"￥","")),0))</f>
        <v/>
      </c>
      <c r="E808">
        <f>IF($E$1=0,0,IFERROR(VALUE(SUBSTITUTE(SUBSTITUTE(SUBSTITUTE(INDEX(貼り付け!$A$1:$BZ$3001,807,$E$1)&amp;"",",",""),"¥",""),"￥","")),0))</f>
        <v/>
      </c>
      <c r="F808">
        <f>IF($F$1=0,0,IFERROR(VALUE(SUBSTITUTE(SUBSTITUTE(SUBSTITUTE(INDEX(貼り付け!$A$1:$BZ$3001,807,$F$1)&amp;"",",",""),"¥",""),"￥","")),0))</f>
        <v/>
      </c>
      <c r="G808">
        <f>IF(ISNUMBER(B808),YEAR(B808),"")</f>
        <v/>
      </c>
      <c r="H808">
        <f>IF(ISNUMBER(B808),MONTH(B808),"")</f>
        <v/>
      </c>
      <c r="I808">
        <f>IFERROR(IF($B$1=0,"",IF(ISNUMBER(INDEX(貼り付け!$A$1:$BZ$3001,807,$B$1)),"",SUBSTITUTE(SUBSTITUTE(SUBSTITUTE(SUBSTITUTE(TRIM(LEFT(INDEX(貼り付け!$A$1:$BZ$3001,807,$B$1)&amp;"",FIND(" ",TRIM(INDEX(貼り付け!$A$1:$BZ$3001,807,$B$1)&amp;"")&amp;" ")-1)),"/","-"),"年","-"),"月","-"),"日",""))),"")</f>
        <v/>
      </c>
      <c r="J808">
        <f>IFERROR(MID(I808,FIND("-",I808)+1,99),"")</f>
        <v/>
      </c>
    </row>
    <row r="809">
      <c r="B809">
        <f>IFERROR(IF($B$1=0,"",IF(INDEX(貼り付け!$A$1:$BZ$3001,808,$B$1)="","",IF(ISNUMBER(INDEX(貼り付け!$A$1:$BZ$3001,808,$B$1)),INT(INDEX(貼り付け!$A$1:$BZ$3001,808,$B$1)),DATE(VALUE(LEFT(I809,FIND("-",I809)-1)),VALUE(LEFT(J809,FIND("-",J809)-1)),VALUE(MID(J809,FIND("-",J809)+1,99)))))),"")</f>
        <v/>
      </c>
      <c r="C809">
        <f>IF($C$1=0,0,IFERROR(VALUE(SUBSTITUTE(SUBSTITUTE(SUBSTITUTE(INDEX(貼り付け!$A$1:$BZ$3001,808,$C$1)&amp;"",",",""),"¥",""),"￥","")),0))</f>
        <v/>
      </c>
      <c r="D809">
        <f>IF($D$1=0,0,IFERROR(VALUE(SUBSTITUTE(SUBSTITUTE(SUBSTITUTE(INDEX(貼り付け!$A$1:$BZ$3001,808,$D$1)&amp;"",",",""),"¥",""),"￥","")),0))</f>
        <v/>
      </c>
      <c r="E809">
        <f>IF($E$1=0,0,IFERROR(VALUE(SUBSTITUTE(SUBSTITUTE(SUBSTITUTE(INDEX(貼り付け!$A$1:$BZ$3001,808,$E$1)&amp;"",",",""),"¥",""),"￥","")),0))</f>
        <v/>
      </c>
      <c r="F809">
        <f>IF($F$1=0,0,IFERROR(VALUE(SUBSTITUTE(SUBSTITUTE(SUBSTITUTE(INDEX(貼り付け!$A$1:$BZ$3001,808,$F$1)&amp;"",",",""),"¥",""),"￥","")),0))</f>
        <v/>
      </c>
      <c r="G809">
        <f>IF(ISNUMBER(B809),YEAR(B809),"")</f>
        <v/>
      </c>
      <c r="H809">
        <f>IF(ISNUMBER(B809),MONTH(B809),"")</f>
        <v/>
      </c>
      <c r="I809">
        <f>IFERROR(IF($B$1=0,"",IF(ISNUMBER(INDEX(貼り付け!$A$1:$BZ$3001,808,$B$1)),"",SUBSTITUTE(SUBSTITUTE(SUBSTITUTE(SUBSTITUTE(TRIM(LEFT(INDEX(貼り付け!$A$1:$BZ$3001,808,$B$1)&amp;"",FIND(" ",TRIM(INDEX(貼り付け!$A$1:$BZ$3001,808,$B$1)&amp;"")&amp;" ")-1)),"/","-"),"年","-"),"月","-"),"日",""))),"")</f>
        <v/>
      </c>
      <c r="J809">
        <f>IFERROR(MID(I809,FIND("-",I809)+1,99),"")</f>
        <v/>
      </c>
    </row>
    <row r="810">
      <c r="B810">
        <f>IFERROR(IF($B$1=0,"",IF(INDEX(貼り付け!$A$1:$BZ$3001,809,$B$1)="","",IF(ISNUMBER(INDEX(貼り付け!$A$1:$BZ$3001,809,$B$1)),INT(INDEX(貼り付け!$A$1:$BZ$3001,809,$B$1)),DATE(VALUE(LEFT(I810,FIND("-",I810)-1)),VALUE(LEFT(J810,FIND("-",J810)-1)),VALUE(MID(J810,FIND("-",J810)+1,99)))))),"")</f>
        <v/>
      </c>
      <c r="C810">
        <f>IF($C$1=0,0,IFERROR(VALUE(SUBSTITUTE(SUBSTITUTE(SUBSTITUTE(INDEX(貼り付け!$A$1:$BZ$3001,809,$C$1)&amp;"",",",""),"¥",""),"￥","")),0))</f>
        <v/>
      </c>
      <c r="D810">
        <f>IF($D$1=0,0,IFERROR(VALUE(SUBSTITUTE(SUBSTITUTE(SUBSTITUTE(INDEX(貼り付け!$A$1:$BZ$3001,809,$D$1)&amp;"",",",""),"¥",""),"￥","")),0))</f>
        <v/>
      </c>
      <c r="E810">
        <f>IF($E$1=0,0,IFERROR(VALUE(SUBSTITUTE(SUBSTITUTE(SUBSTITUTE(INDEX(貼り付け!$A$1:$BZ$3001,809,$E$1)&amp;"",",",""),"¥",""),"￥","")),0))</f>
        <v/>
      </c>
      <c r="F810">
        <f>IF($F$1=0,0,IFERROR(VALUE(SUBSTITUTE(SUBSTITUTE(SUBSTITUTE(INDEX(貼り付け!$A$1:$BZ$3001,809,$F$1)&amp;"",",",""),"¥",""),"￥","")),0))</f>
        <v/>
      </c>
      <c r="G810">
        <f>IF(ISNUMBER(B810),YEAR(B810),"")</f>
        <v/>
      </c>
      <c r="H810">
        <f>IF(ISNUMBER(B810),MONTH(B810),"")</f>
        <v/>
      </c>
      <c r="I810">
        <f>IFERROR(IF($B$1=0,"",IF(ISNUMBER(INDEX(貼り付け!$A$1:$BZ$3001,809,$B$1)),"",SUBSTITUTE(SUBSTITUTE(SUBSTITUTE(SUBSTITUTE(TRIM(LEFT(INDEX(貼り付け!$A$1:$BZ$3001,809,$B$1)&amp;"",FIND(" ",TRIM(INDEX(貼り付け!$A$1:$BZ$3001,809,$B$1)&amp;"")&amp;" ")-1)),"/","-"),"年","-"),"月","-"),"日",""))),"")</f>
        <v/>
      </c>
      <c r="J810">
        <f>IFERROR(MID(I810,FIND("-",I810)+1,99),"")</f>
        <v/>
      </c>
    </row>
    <row r="811">
      <c r="B811">
        <f>IFERROR(IF($B$1=0,"",IF(INDEX(貼り付け!$A$1:$BZ$3001,810,$B$1)="","",IF(ISNUMBER(INDEX(貼り付け!$A$1:$BZ$3001,810,$B$1)),INT(INDEX(貼り付け!$A$1:$BZ$3001,810,$B$1)),DATE(VALUE(LEFT(I811,FIND("-",I811)-1)),VALUE(LEFT(J811,FIND("-",J811)-1)),VALUE(MID(J811,FIND("-",J811)+1,99)))))),"")</f>
        <v/>
      </c>
      <c r="C811">
        <f>IF($C$1=0,0,IFERROR(VALUE(SUBSTITUTE(SUBSTITUTE(SUBSTITUTE(INDEX(貼り付け!$A$1:$BZ$3001,810,$C$1)&amp;"",",",""),"¥",""),"￥","")),0))</f>
        <v/>
      </c>
      <c r="D811">
        <f>IF($D$1=0,0,IFERROR(VALUE(SUBSTITUTE(SUBSTITUTE(SUBSTITUTE(INDEX(貼り付け!$A$1:$BZ$3001,810,$D$1)&amp;"",",",""),"¥",""),"￥","")),0))</f>
        <v/>
      </c>
      <c r="E811">
        <f>IF($E$1=0,0,IFERROR(VALUE(SUBSTITUTE(SUBSTITUTE(SUBSTITUTE(INDEX(貼り付け!$A$1:$BZ$3001,810,$E$1)&amp;"",",",""),"¥",""),"￥","")),0))</f>
        <v/>
      </c>
      <c r="F811">
        <f>IF($F$1=0,0,IFERROR(VALUE(SUBSTITUTE(SUBSTITUTE(SUBSTITUTE(INDEX(貼り付け!$A$1:$BZ$3001,810,$F$1)&amp;"",",",""),"¥",""),"￥","")),0))</f>
        <v/>
      </c>
      <c r="G811">
        <f>IF(ISNUMBER(B811),YEAR(B811),"")</f>
        <v/>
      </c>
      <c r="H811">
        <f>IF(ISNUMBER(B811),MONTH(B811),"")</f>
        <v/>
      </c>
      <c r="I811">
        <f>IFERROR(IF($B$1=0,"",IF(ISNUMBER(INDEX(貼り付け!$A$1:$BZ$3001,810,$B$1)),"",SUBSTITUTE(SUBSTITUTE(SUBSTITUTE(SUBSTITUTE(TRIM(LEFT(INDEX(貼り付け!$A$1:$BZ$3001,810,$B$1)&amp;"",FIND(" ",TRIM(INDEX(貼り付け!$A$1:$BZ$3001,810,$B$1)&amp;"")&amp;" ")-1)),"/","-"),"年","-"),"月","-"),"日",""))),"")</f>
        <v/>
      </c>
      <c r="J811">
        <f>IFERROR(MID(I811,FIND("-",I811)+1,99),"")</f>
        <v/>
      </c>
    </row>
    <row r="812">
      <c r="B812">
        <f>IFERROR(IF($B$1=0,"",IF(INDEX(貼り付け!$A$1:$BZ$3001,811,$B$1)="","",IF(ISNUMBER(INDEX(貼り付け!$A$1:$BZ$3001,811,$B$1)),INT(INDEX(貼り付け!$A$1:$BZ$3001,811,$B$1)),DATE(VALUE(LEFT(I812,FIND("-",I812)-1)),VALUE(LEFT(J812,FIND("-",J812)-1)),VALUE(MID(J812,FIND("-",J812)+1,99)))))),"")</f>
        <v/>
      </c>
      <c r="C812">
        <f>IF($C$1=0,0,IFERROR(VALUE(SUBSTITUTE(SUBSTITUTE(SUBSTITUTE(INDEX(貼り付け!$A$1:$BZ$3001,811,$C$1)&amp;"",",",""),"¥",""),"￥","")),0))</f>
        <v/>
      </c>
      <c r="D812">
        <f>IF($D$1=0,0,IFERROR(VALUE(SUBSTITUTE(SUBSTITUTE(SUBSTITUTE(INDEX(貼り付け!$A$1:$BZ$3001,811,$D$1)&amp;"",",",""),"¥",""),"￥","")),0))</f>
        <v/>
      </c>
      <c r="E812">
        <f>IF($E$1=0,0,IFERROR(VALUE(SUBSTITUTE(SUBSTITUTE(SUBSTITUTE(INDEX(貼り付け!$A$1:$BZ$3001,811,$E$1)&amp;"",",",""),"¥",""),"￥","")),0))</f>
        <v/>
      </c>
      <c r="F812">
        <f>IF($F$1=0,0,IFERROR(VALUE(SUBSTITUTE(SUBSTITUTE(SUBSTITUTE(INDEX(貼り付け!$A$1:$BZ$3001,811,$F$1)&amp;"",",",""),"¥",""),"￥","")),0))</f>
        <v/>
      </c>
      <c r="G812">
        <f>IF(ISNUMBER(B812),YEAR(B812),"")</f>
        <v/>
      </c>
      <c r="H812">
        <f>IF(ISNUMBER(B812),MONTH(B812),"")</f>
        <v/>
      </c>
      <c r="I812">
        <f>IFERROR(IF($B$1=0,"",IF(ISNUMBER(INDEX(貼り付け!$A$1:$BZ$3001,811,$B$1)),"",SUBSTITUTE(SUBSTITUTE(SUBSTITUTE(SUBSTITUTE(TRIM(LEFT(INDEX(貼り付け!$A$1:$BZ$3001,811,$B$1)&amp;"",FIND(" ",TRIM(INDEX(貼り付け!$A$1:$BZ$3001,811,$B$1)&amp;"")&amp;" ")-1)),"/","-"),"年","-"),"月","-"),"日",""))),"")</f>
        <v/>
      </c>
      <c r="J812">
        <f>IFERROR(MID(I812,FIND("-",I812)+1,99),"")</f>
        <v/>
      </c>
    </row>
    <row r="813">
      <c r="B813">
        <f>IFERROR(IF($B$1=0,"",IF(INDEX(貼り付け!$A$1:$BZ$3001,812,$B$1)="","",IF(ISNUMBER(INDEX(貼り付け!$A$1:$BZ$3001,812,$B$1)),INT(INDEX(貼り付け!$A$1:$BZ$3001,812,$B$1)),DATE(VALUE(LEFT(I813,FIND("-",I813)-1)),VALUE(LEFT(J813,FIND("-",J813)-1)),VALUE(MID(J813,FIND("-",J813)+1,99)))))),"")</f>
        <v/>
      </c>
      <c r="C813">
        <f>IF($C$1=0,0,IFERROR(VALUE(SUBSTITUTE(SUBSTITUTE(SUBSTITUTE(INDEX(貼り付け!$A$1:$BZ$3001,812,$C$1)&amp;"",",",""),"¥",""),"￥","")),0))</f>
        <v/>
      </c>
      <c r="D813">
        <f>IF($D$1=0,0,IFERROR(VALUE(SUBSTITUTE(SUBSTITUTE(SUBSTITUTE(INDEX(貼り付け!$A$1:$BZ$3001,812,$D$1)&amp;"",",",""),"¥",""),"￥","")),0))</f>
        <v/>
      </c>
      <c r="E813">
        <f>IF($E$1=0,0,IFERROR(VALUE(SUBSTITUTE(SUBSTITUTE(SUBSTITUTE(INDEX(貼り付け!$A$1:$BZ$3001,812,$E$1)&amp;"",",",""),"¥",""),"￥","")),0))</f>
        <v/>
      </c>
      <c r="F813">
        <f>IF($F$1=0,0,IFERROR(VALUE(SUBSTITUTE(SUBSTITUTE(SUBSTITUTE(INDEX(貼り付け!$A$1:$BZ$3001,812,$F$1)&amp;"",",",""),"¥",""),"￥","")),0))</f>
        <v/>
      </c>
      <c r="G813">
        <f>IF(ISNUMBER(B813),YEAR(B813),"")</f>
        <v/>
      </c>
      <c r="H813">
        <f>IF(ISNUMBER(B813),MONTH(B813),"")</f>
        <v/>
      </c>
      <c r="I813">
        <f>IFERROR(IF($B$1=0,"",IF(ISNUMBER(INDEX(貼り付け!$A$1:$BZ$3001,812,$B$1)),"",SUBSTITUTE(SUBSTITUTE(SUBSTITUTE(SUBSTITUTE(TRIM(LEFT(INDEX(貼り付け!$A$1:$BZ$3001,812,$B$1)&amp;"",FIND(" ",TRIM(INDEX(貼り付け!$A$1:$BZ$3001,812,$B$1)&amp;"")&amp;" ")-1)),"/","-"),"年","-"),"月","-"),"日",""))),"")</f>
        <v/>
      </c>
      <c r="J813">
        <f>IFERROR(MID(I813,FIND("-",I813)+1,99),"")</f>
        <v/>
      </c>
    </row>
    <row r="814">
      <c r="B814">
        <f>IFERROR(IF($B$1=0,"",IF(INDEX(貼り付け!$A$1:$BZ$3001,813,$B$1)="","",IF(ISNUMBER(INDEX(貼り付け!$A$1:$BZ$3001,813,$B$1)),INT(INDEX(貼り付け!$A$1:$BZ$3001,813,$B$1)),DATE(VALUE(LEFT(I814,FIND("-",I814)-1)),VALUE(LEFT(J814,FIND("-",J814)-1)),VALUE(MID(J814,FIND("-",J814)+1,99)))))),"")</f>
        <v/>
      </c>
      <c r="C814">
        <f>IF($C$1=0,0,IFERROR(VALUE(SUBSTITUTE(SUBSTITUTE(SUBSTITUTE(INDEX(貼り付け!$A$1:$BZ$3001,813,$C$1)&amp;"",",",""),"¥",""),"￥","")),0))</f>
        <v/>
      </c>
      <c r="D814">
        <f>IF($D$1=0,0,IFERROR(VALUE(SUBSTITUTE(SUBSTITUTE(SUBSTITUTE(INDEX(貼り付け!$A$1:$BZ$3001,813,$D$1)&amp;"",",",""),"¥",""),"￥","")),0))</f>
        <v/>
      </c>
      <c r="E814">
        <f>IF($E$1=0,0,IFERROR(VALUE(SUBSTITUTE(SUBSTITUTE(SUBSTITUTE(INDEX(貼り付け!$A$1:$BZ$3001,813,$E$1)&amp;"",",",""),"¥",""),"￥","")),0))</f>
        <v/>
      </c>
      <c r="F814">
        <f>IF($F$1=0,0,IFERROR(VALUE(SUBSTITUTE(SUBSTITUTE(SUBSTITUTE(INDEX(貼り付け!$A$1:$BZ$3001,813,$F$1)&amp;"",",",""),"¥",""),"￥","")),0))</f>
        <v/>
      </c>
      <c r="G814">
        <f>IF(ISNUMBER(B814),YEAR(B814),"")</f>
        <v/>
      </c>
      <c r="H814">
        <f>IF(ISNUMBER(B814),MONTH(B814),"")</f>
        <v/>
      </c>
      <c r="I814">
        <f>IFERROR(IF($B$1=0,"",IF(ISNUMBER(INDEX(貼り付け!$A$1:$BZ$3001,813,$B$1)),"",SUBSTITUTE(SUBSTITUTE(SUBSTITUTE(SUBSTITUTE(TRIM(LEFT(INDEX(貼り付け!$A$1:$BZ$3001,813,$B$1)&amp;"",FIND(" ",TRIM(INDEX(貼り付け!$A$1:$BZ$3001,813,$B$1)&amp;"")&amp;" ")-1)),"/","-"),"年","-"),"月","-"),"日",""))),"")</f>
        <v/>
      </c>
      <c r="J814">
        <f>IFERROR(MID(I814,FIND("-",I814)+1,99),"")</f>
        <v/>
      </c>
    </row>
    <row r="815">
      <c r="B815">
        <f>IFERROR(IF($B$1=0,"",IF(INDEX(貼り付け!$A$1:$BZ$3001,814,$B$1)="","",IF(ISNUMBER(INDEX(貼り付け!$A$1:$BZ$3001,814,$B$1)),INT(INDEX(貼り付け!$A$1:$BZ$3001,814,$B$1)),DATE(VALUE(LEFT(I815,FIND("-",I815)-1)),VALUE(LEFT(J815,FIND("-",J815)-1)),VALUE(MID(J815,FIND("-",J815)+1,99)))))),"")</f>
        <v/>
      </c>
      <c r="C815">
        <f>IF($C$1=0,0,IFERROR(VALUE(SUBSTITUTE(SUBSTITUTE(SUBSTITUTE(INDEX(貼り付け!$A$1:$BZ$3001,814,$C$1)&amp;"",",",""),"¥",""),"￥","")),0))</f>
        <v/>
      </c>
      <c r="D815">
        <f>IF($D$1=0,0,IFERROR(VALUE(SUBSTITUTE(SUBSTITUTE(SUBSTITUTE(INDEX(貼り付け!$A$1:$BZ$3001,814,$D$1)&amp;"",",",""),"¥",""),"￥","")),0))</f>
        <v/>
      </c>
      <c r="E815">
        <f>IF($E$1=0,0,IFERROR(VALUE(SUBSTITUTE(SUBSTITUTE(SUBSTITUTE(INDEX(貼り付け!$A$1:$BZ$3001,814,$E$1)&amp;"",",",""),"¥",""),"￥","")),0))</f>
        <v/>
      </c>
      <c r="F815">
        <f>IF($F$1=0,0,IFERROR(VALUE(SUBSTITUTE(SUBSTITUTE(SUBSTITUTE(INDEX(貼り付け!$A$1:$BZ$3001,814,$F$1)&amp;"",",",""),"¥",""),"￥","")),0))</f>
        <v/>
      </c>
      <c r="G815">
        <f>IF(ISNUMBER(B815),YEAR(B815),"")</f>
        <v/>
      </c>
      <c r="H815">
        <f>IF(ISNUMBER(B815),MONTH(B815),"")</f>
        <v/>
      </c>
      <c r="I815">
        <f>IFERROR(IF($B$1=0,"",IF(ISNUMBER(INDEX(貼り付け!$A$1:$BZ$3001,814,$B$1)),"",SUBSTITUTE(SUBSTITUTE(SUBSTITUTE(SUBSTITUTE(TRIM(LEFT(INDEX(貼り付け!$A$1:$BZ$3001,814,$B$1)&amp;"",FIND(" ",TRIM(INDEX(貼り付け!$A$1:$BZ$3001,814,$B$1)&amp;"")&amp;" ")-1)),"/","-"),"年","-"),"月","-"),"日",""))),"")</f>
        <v/>
      </c>
      <c r="J815">
        <f>IFERROR(MID(I815,FIND("-",I815)+1,99),"")</f>
        <v/>
      </c>
    </row>
    <row r="816">
      <c r="B816">
        <f>IFERROR(IF($B$1=0,"",IF(INDEX(貼り付け!$A$1:$BZ$3001,815,$B$1)="","",IF(ISNUMBER(INDEX(貼り付け!$A$1:$BZ$3001,815,$B$1)),INT(INDEX(貼り付け!$A$1:$BZ$3001,815,$B$1)),DATE(VALUE(LEFT(I816,FIND("-",I816)-1)),VALUE(LEFT(J816,FIND("-",J816)-1)),VALUE(MID(J816,FIND("-",J816)+1,99)))))),"")</f>
        <v/>
      </c>
      <c r="C816">
        <f>IF($C$1=0,0,IFERROR(VALUE(SUBSTITUTE(SUBSTITUTE(SUBSTITUTE(INDEX(貼り付け!$A$1:$BZ$3001,815,$C$1)&amp;"",",",""),"¥",""),"￥","")),0))</f>
        <v/>
      </c>
      <c r="D816">
        <f>IF($D$1=0,0,IFERROR(VALUE(SUBSTITUTE(SUBSTITUTE(SUBSTITUTE(INDEX(貼り付け!$A$1:$BZ$3001,815,$D$1)&amp;"",",",""),"¥",""),"￥","")),0))</f>
        <v/>
      </c>
      <c r="E816">
        <f>IF($E$1=0,0,IFERROR(VALUE(SUBSTITUTE(SUBSTITUTE(SUBSTITUTE(INDEX(貼り付け!$A$1:$BZ$3001,815,$E$1)&amp;"",",",""),"¥",""),"￥","")),0))</f>
        <v/>
      </c>
      <c r="F816">
        <f>IF($F$1=0,0,IFERROR(VALUE(SUBSTITUTE(SUBSTITUTE(SUBSTITUTE(INDEX(貼り付け!$A$1:$BZ$3001,815,$F$1)&amp;"",",",""),"¥",""),"￥","")),0))</f>
        <v/>
      </c>
      <c r="G816">
        <f>IF(ISNUMBER(B816),YEAR(B816),"")</f>
        <v/>
      </c>
      <c r="H816">
        <f>IF(ISNUMBER(B816),MONTH(B816),"")</f>
        <v/>
      </c>
      <c r="I816">
        <f>IFERROR(IF($B$1=0,"",IF(ISNUMBER(INDEX(貼り付け!$A$1:$BZ$3001,815,$B$1)),"",SUBSTITUTE(SUBSTITUTE(SUBSTITUTE(SUBSTITUTE(TRIM(LEFT(INDEX(貼り付け!$A$1:$BZ$3001,815,$B$1)&amp;"",FIND(" ",TRIM(INDEX(貼り付け!$A$1:$BZ$3001,815,$B$1)&amp;"")&amp;" ")-1)),"/","-"),"年","-"),"月","-"),"日",""))),"")</f>
        <v/>
      </c>
      <c r="J816">
        <f>IFERROR(MID(I816,FIND("-",I816)+1,99),"")</f>
        <v/>
      </c>
    </row>
    <row r="817">
      <c r="B817">
        <f>IFERROR(IF($B$1=0,"",IF(INDEX(貼り付け!$A$1:$BZ$3001,816,$B$1)="","",IF(ISNUMBER(INDEX(貼り付け!$A$1:$BZ$3001,816,$B$1)),INT(INDEX(貼り付け!$A$1:$BZ$3001,816,$B$1)),DATE(VALUE(LEFT(I817,FIND("-",I817)-1)),VALUE(LEFT(J817,FIND("-",J817)-1)),VALUE(MID(J817,FIND("-",J817)+1,99)))))),"")</f>
        <v/>
      </c>
      <c r="C817">
        <f>IF($C$1=0,0,IFERROR(VALUE(SUBSTITUTE(SUBSTITUTE(SUBSTITUTE(INDEX(貼り付け!$A$1:$BZ$3001,816,$C$1)&amp;"",",",""),"¥",""),"￥","")),0))</f>
        <v/>
      </c>
      <c r="D817">
        <f>IF($D$1=0,0,IFERROR(VALUE(SUBSTITUTE(SUBSTITUTE(SUBSTITUTE(INDEX(貼り付け!$A$1:$BZ$3001,816,$D$1)&amp;"",",",""),"¥",""),"￥","")),0))</f>
        <v/>
      </c>
      <c r="E817">
        <f>IF($E$1=0,0,IFERROR(VALUE(SUBSTITUTE(SUBSTITUTE(SUBSTITUTE(INDEX(貼り付け!$A$1:$BZ$3001,816,$E$1)&amp;"",",",""),"¥",""),"￥","")),0))</f>
        <v/>
      </c>
      <c r="F817">
        <f>IF($F$1=0,0,IFERROR(VALUE(SUBSTITUTE(SUBSTITUTE(SUBSTITUTE(INDEX(貼り付け!$A$1:$BZ$3001,816,$F$1)&amp;"",",",""),"¥",""),"￥","")),0))</f>
        <v/>
      </c>
      <c r="G817">
        <f>IF(ISNUMBER(B817),YEAR(B817),"")</f>
        <v/>
      </c>
      <c r="H817">
        <f>IF(ISNUMBER(B817),MONTH(B817),"")</f>
        <v/>
      </c>
      <c r="I817">
        <f>IFERROR(IF($B$1=0,"",IF(ISNUMBER(INDEX(貼り付け!$A$1:$BZ$3001,816,$B$1)),"",SUBSTITUTE(SUBSTITUTE(SUBSTITUTE(SUBSTITUTE(TRIM(LEFT(INDEX(貼り付け!$A$1:$BZ$3001,816,$B$1)&amp;"",FIND(" ",TRIM(INDEX(貼り付け!$A$1:$BZ$3001,816,$B$1)&amp;"")&amp;" ")-1)),"/","-"),"年","-"),"月","-"),"日",""))),"")</f>
        <v/>
      </c>
      <c r="J817">
        <f>IFERROR(MID(I817,FIND("-",I817)+1,99),"")</f>
        <v/>
      </c>
    </row>
    <row r="818">
      <c r="B818">
        <f>IFERROR(IF($B$1=0,"",IF(INDEX(貼り付け!$A$1:$BZ$3001,817,$B$1)="","",IF(ISNUMBER(INDEX(貼り付け!$A$1:$BZ$3001,817,$B$1)),INT(INDEX(貼り付け!$A$1:$BZ$3001,817,$B$1)),DATE(VALUE(LEFT(I818,FIND("-",I818)-1)),VALUE(LEFT(J818,FIND("-",J818)-1)),VALUE(MID(J818,FIND("-",J818)+1,99)))))),"")</f>
        <v/>
      </c>
      <c r="C818">
        <f>IF($C$1=0,0,IFERROR(VALUE(SUBSTITUTE(SUBSTITUTE(SUBSTITUTE(INDEX(貼り付け!$A$1:$BZ$3001,817,$C$1)&amp;"",",",""),"¥",""),"￥","")),0))</f>
        <v/>
      </c>
      <c r="D818">
        <f>IF($D$1=0,0,IFERROR(VALUE(SUBSTITUTE(SUBSTITUTE(SUBSTITUTE(INDEX(貼り付け!$A$1:$BZ$3001,817,$D$1)&amp;"",",",""),"¥",""),"￥","")),0))</f>
        <v/>
      </c>
      <c r="E818">
        <f>IF($E$1=0,0,IFERROR(VALUE(SUBSTITUTE(SUBSTITUTE(SUBSTITUTE(INDEX(貼り付け!$A$1:$BZ$3001,817,$E$1)&amp;"",",",""),"¥",""),"￥","")),0))</f>
        <v/>
      </c>
      <c r="F818">
        <f>IF($F$1=0,0,IFERROR(VALUE(SUBSTITUTE(SUBSTITUTE(SUBSTITUTE(INDEX(貼り付け!$A$1:$BZ$3001,817,$F$1)&amp;"",",",""),"¥",""),"￥","")),0))</f>
        <v/>
      </c>
      <c r="G818">
        <f>IF(ISNUMBER(B818),YEAR(B818),"")</f>
        <v/>
      </c>
      <c r="H818">
        <f>IF(ISNUMBER(B818),MONTH(B818),"")</f>
        <v/>
      </c>
      <c r="I818">
        <f>IFERROR(IF($B$1=0,"",IF(ISNUMBER(INDEX(貼り付け!$A$1:$BZ$3001,817,$B$1)),"",SUBSTITUTE(SUBSTITUTE(SUBSTITUTE(SUBSTITUTE(TRIM(LEFT(INDEX(貼り付け!$A$1:$BZ$3001,817,$B$1)&amp;"",FIND(" ",TRIM(INDEX(貼り付け!$A$1:$BZ$3001,817,$B$1)&amp;"")&amp;" ")-1)),"/","-"),"年","-"),"月","-"),"日",""))),"")</f>
        <v/>
      </c>
      <c r="J818">
        <f>IFERROR(MID(I818,FIND("-",I818)+1,99),"")</f>
        <v/>
      </c>
    </row>
    <row r="819">
      <c r="B819">
        <f>IFERROR(IF($B$1=0,"",IF(INDEX(貼り付け!$A$1:$BZ$3001,818,$B$1)="","",IF(ISNUMBER(INDEX(貼り付け!$A$1:$BZ$3001,818,$B$1)),INT(INDEX(貼り付け!$A$1:$BZ$3001,818,$B$1)),DATE(VALUE(LEFT(I819,FIND("-",I819)-1)),VALUE(LEFT(J819,FIND("-",J819)-1)),VALUE(MID(J819,FIND("-",J819)+1,99)))))),"")</f>
        <v/>
      </c>
      <c r="C819">
        <f>IF($C$1=0,0,IFERROR(VALUE(SUBSTITUTE(SUBSTITUTE(SUBSTITUTE(INDEX(貼り付け!$A$1:$BZ$3001,818,$C$1)&amp;"",",",""),"¥",""),"￥","")),0))</f>
        <v/>
      </c>
      <c r="D819">
        <f>IF($D$1=0,0,IFERROR(VALUE(SUBSTITUTE(SUBSTITUTE(SUBSTITUTE(INDEX(貼り付け!$A$1:$BZ$3001,818,$D$1)&amp;"",",",""),"¥",""),"￥","")),0))</f>
        <v/>
      </c>
      <c r="E819">
        <f>IF($E$1=0,0,IFERROR(VALUE(SUBSTITUTE(SUBSTITUTE(SUBSTITUTE(INDEX(貼り付け!$A$1:$BZ$3001,818,$E$1)&amp;"",",",""),"¥",""),"￥","")),0))</f>
        <v/>
      </c>
      <c r="F819">
        <f>IF($F$1=0,0,IFERROR(VALUE(SUBSTITUTE(SUBSTITUTE(SUBSTITUTE(INDEX(貼り付け!$A$1:$BZ$3001,818,$F$1)&amp;"",",",""),"¥",""),"￥","")),0))</f>
        <v/>
      </c>
      <c r="G819">
        <f>IF(ISNUMBER(B819),YEAR(B819),"")</f>
        <v/>
      </c>
      <c r="H819">
        <f>IF(ISNUMBER(B819),MONTH(B819),"")</f>
        <v/>
      </c>
      <c r="I819">
        <f>IFERROR(IF($B$1=0,"",IF(ISNUMBER(INDEX(貼り付け!$A$1:$BZ$3001,818,$B$1)),"",SUBSTITUTE(SUBSTITUTE(SUBSTITUTE(SUBSTITUTE(TRIM(LEFT(INDEX(貼り付け!$A$1:$BZ$3001,818,$B$1)&amp;"",FIND(" ",TRIM(INDEX(貼り付け!$A$1:$BZ$3001,818,$B$1)&amp;"")&amp;" ")-1)),"/","-"),"年","-"),"月","-"),"日",""))),"")</f>
        <v/>
      </c>
      <c r="J819">
        <f>IFERROR(MID(I819,FIND("-",I819)+1,99),"")</f>
        <v/>
      </c>
    </row>
    <row r="820">
      <c r="B820">
        <f>IFERROR(IF($B$1=0,"",IF(INDEX(貼り付け!$A$1:$BZ$3001,819,$B$1)="","",IF(ISNUMBER(INDEX(貼り付け!$A$1:$BZ$3001,819,$B$1)),INT(INDEX(貼り付け!$A$1:$BZ$3001,819,$B$1)),DATE(VALUE(LEFT(I820,FIND("-",I820)-1)),VALUE(LEFT(J820,FIND("-",J820)-1)),VALUE(MID(J820,FIND("-",J820)+1,99)))))),"")</f>
        <v/>
      </c>
      <c r="C820">
        <f>IF($C$1=0,0,IFERROR(VALUE(SUBSTITUTE(SUBSTITUTE(SUBSTITUTE(INDEX(貼り付け!$A$1:$BZ$3001,819,$C$1)&amp;"",",",""),"¥",""),"￥","")),0))</f>
        <v/>
      </c>
      <c r="D820">
        <f>IF($D$1=0,0,IFERROR(VALUE(SUBSTITUTE(SUBSTITUTE(SUBSTITUTE(INDEX(貼り付け!$A$1:$BZ$3001,819,$D$1)&amp;"",",",""),"¥",""),"￥","")),0))</f>
        <v/>
      </c>
      <c r="E820">
        <f>IF($E$1=0,0,IFERROR(VALUE(SUBSTITUTE(SUBSTITUTE(SUBSTITUTE(INDEX(貼り付け!$A$1:$BZ$3001,819,$E$1)&amp;"",",",""),"¥",""),"￥","")),0))</f>
        <v/>
      </c>
      <c r="F820">
        <f>IF($F$1=0,0,IFERROR(VALUE(SUBSTITUTE(SUBSTITUTE(SUBSTITUTE(INDEX(貼り付け!$A$1:$BZ$3001,819,$F$1)&amp;"",",",""),"¥",""),"￥","")),0))</f>
        <v/>
      </c>
      <c r="G820">
        <f>IF(ISNUMBER(B820),YEAR(B820),"")</f>
        <v/>
      </c>
      <c r="H820">
        <f>IF(ISNUMBER(B820),MONTH(B820),"")</f>
        <v/>
      </c>
      <c r="I820">
        <f>IFERROR(IF($B$1=0,"",IF(ISNUMBER(INDEX(貼り付け!$A$1:$BZ$3001,819,$B$1)),"",SUBSTITUTE(SUBSTITUTE(SUBSTITUTE(SUBSTITUTE(TRIM(LEFT(INDEX(貼り付け!$A$1:$BZ$3001,819,$B$1)&amp;"",FIND(" ",TRIM(INDEX(貼り付け!$A$1:$BZ$3001,819,$B$1)&amp;"")&amp;" ")-1)),"/","-"),"年","-"),"月","-"),"日",""))),"")</f>
        <v/>
      </c>
      <c r="J820">
        <f>IFERROR(MID(I820,FIND("-",I820)+1,99),"")</f>
        <v/>
      </c>
    </row>
    <row r="821">
      <c r="B821">
        <f>IFERROR(IF($B$1=0,"",IF(INDEX(貼り付け!$A$1:$BZ$3001,820,$B$1)="","",IF(ISNUMBER(INDEX(貼り付け!$A$1:$BZ$3001,820,$B$1)),INT(INDEX(貼り付け!$A$1:$BZ$3001,820,$B$1)),DATE(VALUE(LEFT(I821,FIND("-",I821)-1)),VALUE(LEFT(J821,FIND("-",J821)-1)),VALUE(MID(J821,FIND("-",J821)+1,99)))))),"")</f>
        <v/>
      </c>
      <c r="C821">
        <f>IF($C$1=0,0,IFERROR(VALUE(SUBSTITUTE(SUBSTITUTE(SUBSTITUTE(INDEX(貼り付け!$A$1:$BZ$3001,820,$C$1)&amp;"",",",""),"¥",""),"￥","")),0))</f>
        <v/>
      </c>
      <c r="D821">
        <f>IF($D$1=0,0,IFERROR(VALUE(SUBSTITUTE(SUBSTITUTE(SUBSTITUTE(INDEX(貼り付け!$A$1:$BZ$3001,820,$D$1)&amp;"",",",""),"¥",""),"￥","")),0))</f>
        <v/>
      </c>
      <c r="E821">
        <f>IF($E$1=0,0,IFERROR(VALUE(SUBSTITUTE(SUBSTITUTE(SUBSTITUTE(INDEX(貼り付け!$A$1:$BZ$3001,820,$E$1)&amp;"",",",""),"¥",""),"￥","")),0))</f>
        <v/>
      </c>
      <c r="F821">
        <f>IF($F$1=0,0,IFERROR(VALUE(SUBSTITUTE(SUBSTITUTE(SUBSTITUTE(INDEX(貼り付け!$A$1:$BZ$3001,820,$F$1)&amp;"",",",""),"¥",""),"￥","")),0))</f>
        <v/>
      </c>
      <c r="G821">
        <f>IF(ISNUMBER(B821),YEAR(B821),"")</f>
        <v/>
      </c>
      <c r="H821">
        <f>IF(ISNUMBER(B821),MONTH(B821),"")</f>
        <v/>
      </c>
      <c r="I821">
        <f>IFERROR(IF($B$1=0,"",IF(ISNUMBER(INDEX(貼り付け!$A$1:$BZ$3001,820,$B$1)),"",SUBSTITUTE(SUBSTITUTE(SUBSTITUTE(SUBSTITUTE(TRIM(LEFT(INDEX(貼り付け!$A$1:$BZ$3001,820,$B$1)&amp;"",FIND(" ",TRIM(INDEX(貼り付け!$A$1:$BZ$3001,820,$B$1)&amp;"")&amp;" ")-1)),"/","-"),"年","-"),"月","-"),"日",""))),"")</f>
        <v/>
      </c>
      <c r="J821">
        <f>IFERROR(MID(I821,FIND("-",I821)+1,99),"")</f>
        <v/>
      </c>
    </row>
    <row r="822">
      <c r="B822">
        <f>IFERROR(IF($B$1=0,"",IF(INDEX(貼り付け!$A$1:$BZ$3001,821,$B$1)="","",IF(ISNUMBER(INDEX(貼り付け!$A$1:$BZ$3001,821,$B$1)),INT(INDEX(貼り付け!$A$1:$BZ$3001,821,$B$1)),DATE(VALUE(LEFT(I822,FIND("-",I822)-1)),VALUE(LEFT(J822,FIND("-",J822)-1)),VALUE(MID(J822,FIND("-",J822)+1,99)))))),"")</f>
        <v/>
      </c>
      <c r="C822">
        <f>IF($C$1=0,0,IFERROR(VALUE(SUBSTITUTE(SUBSTITUTE(SUBSTITUTE(INDEX(貼り付け!$A$1:$BZ$3001,821,$C$1)&amp;"",",",""),"¥",""),"￥","")),0))</f>
        <v/>
      </c>
      <c r="D822">
        <f>IF($D$1=0,0,IFERROR(VALUE(SUBSTITUTE(SUBSTITUTE(SUBSTITUTE(INDEX(貼り付け!$A$1:$BZ$3001,821,$D$1)&amp;"",",",""),"¥",""),"￥","")),0))</f>
        <v/>
      </c>
      <c r="E822">
        <f>IF($E$1=0,0,IFERROR(VALUE(SUBSTITUTE(SUBSTITUTE(SUBSTITUTE(INDEX(貼り付け!$A$1:$BZ$3001,821,$E$1)&amp;"",",",""),"¥",""),"￥","")),0))</f>
        <v/>
      </c>
      <c r="F822">
        <f>IF($F$1=0,0,IFERROR(VALUE(SUBSTITUTE(SUBSTITUTE(SUBSTITUTE(INDEX(貼り付け!$A$1:$BZ$3001,821,$F$1)&amp;"",",",""),"¥",""),"￥","")),0))</f>
        <v/>
      </c>
      <c r="G822">
        <f>IF(ISNUMBER(B822),YEAR(B822),"")</f>
        <v/>
      </c>
      <c r="H822">
        <f>IF(ISNUMBER(B822),MONTH(B822),"")</f>
        <v/>
      </c>
      <c r="I822">
        <f>IFERROR(IF($B$1=0,"",IF(ISNUMBER(INDEX(貼り付け!$A$1:$BZ$3001,821,$B$1)),"",SUBSTITUTE(SUBSTITUTE(SUBSTITUTE(SUBSTITUTE(TRIM(LEFT(INDEX(貼り付け!$A$1:$BZ$3001,821,$B$1)&amp;"",FIND(" ",TRIM(INDEX(貼り付け!$A$1:$BZ$3001,821,$B$1)&amp;"")&amp;" ")-1)),"/","-"),"年","-"),"月","-"),"日",""))),"")</f>
        <v/>
      </c>
      <c r="J822">
        <f>IFERROR(MID(I822,FIND("-",I822)+1,99),"")</f>
        <v/>
      </c>
    </row>
    <row r="823">
      <c r="B823">
        <f>IFERROR(IF($B$1=0,"",IF(INDEX(貼り付け!$A$1:$BZ$3001,822,$B$1)="","",IF(ISNUMBER(INDEX(貼り付け!$A$1:$BZ$3001,822,$B$1)),INT(INDEX(貼り付け!$A$1:$BZ$3001,822,$B$1)),DATE(VALUE(LEFT(I823,FIND("-",I823)-1)),VALUE(LEFT(J823,FIND("-",J823)-1)),VALUE(MID(J823,FIND("-",J823)+1,99)))))),"")</f>
        <v/>
      </c>
      <c r="C823">
        <f>IF($C$1=0,0,IFERROR(VALUE(SUBSTITUTE(SUBSTITUTE(SUBSTITUTE(INDEX(貼り付け!$A$1:$BZ$3001,822,$C$1)&amp;"",",",""),"¥",""),"￥","")),0))</f>
        <v/>
      </c>
      <c r="D823">
        <f>IF($D$1=0,0,IFERROR(VALUE(SUBSTITUTE(SUBSTITUTE(SUBSTITUTE(INDEX(貼り付け!$A$1:$BZ$3001,822,$D$1)&amp;"",",",""),"¥",""),"￥","")),0))</f>
        <v/>
      </c>
      <c r="E823">
        <f>IF($E$1=0,0,IFERROR(VALUE(SUBSTITUTE(SUBSTITUTE(SUBSTITUTE(INDEX(貼り付け!$A$1:$BZ$3001,822,$E$1)&amp;"",",",""),"¥",""),"￥","")),0))</f>
        <v/>
      </c>
      <c r="F823">
        <f>IF($F$1=0,0,IFERROR(VALUE(SUBSTITUTE(SUBSTITUTE(SUBSTITUTE(INDEX(貼り付け!$A$1:$BZ$3001,822,$F$1)&amp;"",",",""),"¥",""),"￥","")),0))</f>
        <v/>
      </c>
      <c r="G823">
        <f>IF(ISNUMBER(B823),YEAR(B823),"")</f>
        <v/>
      </c>
      <c r="H823">
        <f>IF(ISNUMBER(B823),MONTH(B823),"")</f>
        <v/>
      </c>
      <c r="I823">
        <f>IFERROR(IF($B$1=0,"",IF(ISNUMBER(INDEX(貼り付け!$A$1:$BZ$3001,822,$B$1)),"",SUBSTITUTE(SUBSTITUTE(SUBSTITUTE(SUBSTITUTE(TRIM(LEFT(INDEX(貼り付け!$A$1:$BZ$3001,822,$B$1)&amp;"",FIND(" ",TRIM(INDEX(貼り付け!$A$1:$BZ$3001,822,$B$1)&amp;"")&amp;" ")-1)),"/","-"),"年","-"),"月","-"),"日",""))),"")</f>
        <v/>
      </c>
      <c r="J823">
        <f>IFERROR(MID(I823,FIND("-",I823)+1,99),"")</f>
        <v/>
      </c>
    </row>
    <row r="824">
      <c r="B824">
        <f>IFERROR(IF($B$1=0,"",IF(INDEX(貼り付け!$A$1:$BZ$3001,823,$B$1)="","",IF(ISNUMBER(INDEX(貼り付け!$A$1:$BZ$3001,823,$B$1)),INT(INDEX(貼り付け!$A$1:$BZ$3001,823,$B$1)),DATE(VALUE(LEFT(I824,FIND("-",I824)-1)),VALUE(LEFT(J824,FIND("-",J824)-1)),VALUE(MID(J824,FIND("-",J824)+1,99)))))),"")</f>
        <v/>
      </c>
      <c r="C824">
        <f>IF($C$1=0,0,IFERROR(VALUE(SUBSTITUTE(SUBSTITUTE(SUBSTITUTE(INDEX(貼り付け!$A$1:$BZ$3001,823,$C$1)&amp;"",",",""),"¥",""),"￥","")),0))</f>
        <v/>
      </c>
      <c r="D824">
        <f>IF($D$1=0,0,IFERROR(VALUE(SUBSTITUTE(SUBSTITUTE(SUBSTITUTE(INDEX(貼り付け!$A$1:$BZ$3001,823,$D$1)&amp;"",",",""),"¥",""),"￥","")),0))</f>
        <v/>
      </c>
      <c r="E824">
        <f>IF($E$1=0,0,IFERROR(VALUE(SUBSTITUTE(SUBSTITUTE(SUBSTITUTE(INDEX(貼り付け!$A$1:$BZ$3001,823,$E$1)&amp;"",",",""),"¥",""),"￥","")),0))</f>
        <v/>
      </c>
      <c r="F824">
        <f>IF($F$1=0,0,IFERROR(VALUE(SUBSTITUTE(SUBSTITUTE(SUBSTITUTE(INDEX(貼り付け!$A$1:$BZ$3001,823,$F$1)&amp;"",",",""),"¥",""),"￥","")),0))</f>
        <v/>
      </c>
      <c r="G824">
        <f>IF(ISNUMBER(B824),YEAR(B824),"")</f>
        <v/>
      </c>
      <c r="H824">
        <f>IF(ISNUMBER(B824),MONTH(B824),"")</f>
        <v/>
      </c>
      <c r="I824">
        <f>IFERROR(IF($B$1=0,"",IF(ISNUMBER(INDEX(貼り付け!$A$1:$BZ$3001,823,$B$1)),"",SUBSTITUTE(SUBSTITUTE(SUBSTITUTE(SUBSTITUTE(TRIM(LEFT(INDEX(貼り付け!$A$1:$BZ$3001,823,$B$1)&amp;"",FIND(" ",TRIM(INDEX(貼り付け!$A$1:$BZ$3001,823,$B$1)&amp;"")&amp;" ")-1)),"/","-"),"年","-"),"月","-"),"日",""))),"")</f>
        <v/>
      </c>
      <c r="J824">
        <f>IFERROR(MID(I824,FIND("-",I824)+1,99),"")</f>
        <v/>
      </c>
    </row>
    <row r="825">
      <c r="B825">
        <f>IFERROR(IF($B$1=0,"",IF(INDEX(貼り付け!$A$1:$BZ$3001,824,$B$1)="","",IF(ISNUMBER(INDEX(貼り付け!$A$1:$BZ$3001,824,$B$1)),INT(INDEX(貼り付け!$A$1:$BZ$3001,824,$B$1)),DATE(VALUE(LEFT(I825,FIND("-",I825)-1)),VALUE(LEFT(J825,FIND("-",J825)-1)),VALUE(MID(J825,FIND("-",J825)+1,99)))))),"")</f>
        <v/>
      </c>
      <c r="C825">
        <f>IF($C$1=0,0,IFERROR(VALUE(SUBSTITUTE(SUBSTITUTE(SUBSTITUTE(INDEX(貼り付け!$A$1:$BZ$3001,824,$C$1)&amp;"",",",""),"¥",""),"￥","")),0))</f>
        <v/>
      </c>
      <c r="D825">
        <f>IF($D$1=0,0,IFERROR(VALUE(SUBSTITUTE(SUBSTITUTE(SUBSTITUTE(INDEX(貼り付け!$A$1:$BZ$3001,824,$D$1)&amp;"",",",""),"¥",""),"￥","")),0))</f>
        <v/>
      </c>
      <c r="E825">
        <f>IF($E$1=0,0,IFERROR(VALUE(SUBSTITUTE(SUBSTITUTE(SUBSTITUTE(INDEX(貼り付け!$A$1:$BZ$3001,824,$E$1)&amp;"",",",""),"¥",""),"￥","")),0))</f>
        <v/>
      </c>
      <c r="F825">
        <f>IF($F$1=0,0,IFERROR(VALUE(SUBSTITUTE(SUBSTITUTE(SUBSTITUTE(INDEX(貼り付け!$A$1:$BZ$3001,824,$F$1)&amp;"",",",""),"¥",""),"￥","")),0))</f>
        <v/>
      </c>
      <c r="G825">
        <f>IF(ISNUMBER(B825),YEAR(B825),"")</f>
        <v/>
      </c>
      <c r="H825">
        <f>IF(ISNUMBER(B825),MONTH(B825),"")</f>
        <v/>
      </c>
      <c r="I825">
        <f>IFERROR(IF($B$1=0,"",IF(ISNUMBER(INDEX(貼り付け!$A$1:$BZ$3001,824,$B$1)),"",SUBSTITUTE(SUBSTITUTE(SUBSTITUTE(SUBSTITUTE(TRIM(LEFT(INDEX(貼り付け!$A$1:$BZ$3001,824,$B$1)&amp;"",FIND(" ",TRIM(INDEX(貼り付け!$A$1:$BZ$3001,824,$B$1)&amp;"")&amp;" ")-1)),"/","-"),"年","-"),"月","-"),"日",""))),"")</f>
        <v/>
      </c>
      <c r="J825">
        <f>IFERROR(MID(I825,FIND("-",I825)+1,99),"")</f>
        <v/>
      </c>
    </row>
    <row r="826">
      <c r="B826">
        <f>IFERROR(IF($B$1=0,"",IF(INDEX(貼り付け!$A$1:$BZ$3001,825,$B$1)="","",IF(ISNUMBER(INDEX(貼り付け!$A$1:$BZ$3001,825,$B$1)),INT(INDEX(貼り付け!$A$1:$BZ$3001,825,$B$1)),DATE(VALUE(LEFT(I826,FIND("-",I826)-1)),VALUE(LEFT(J826,FIND("-",J826)-1)),VALUE(MID(J826,FIND("-",J826)+1,99)))))),"")</f>
        <v/>
      </c>
      <c r="C826">
        <f>IF($C$1=0,0,IFERROR(VALUE(SUBSTITUTE(SUBSTITUTE(SUBSTITUTE(INDEX(貼り付け!$A$1:$BZ$3001,825,$C$1)&amp;"",",",""),"¥",""),"￥","")),0))</f>
        <v/>
      </c>
      <c r="D826">
        <f>IF($D$1=0,0,IFERROR(VALUE(SUBSTITUTE(SUBSTITUTE(SUBSTITUTE(INDEX(貼り付け!$A$1:$BZ$3001,825,$D$1)&amp;"",",",""),"¥",""),"￥","")),0))</f>
        <v/>
      </c>
      <c r="E826">
        <f>IF($E$1=0,0,IFERROR(VALUE(SUBSTITUTE(SUBSTITUTE(SUBSTITUTE(INDEX(貼り付け!$A$1:$BZ$3001,825,$E$1)&amp;"",",",""),"¥",""),"￥","")),0))</f>
        <v/>
      </c>
      <c r="F826">
        <f>IF($F$1=0,0,IFERROR(VALUE(SUBSTITUTE(SUBSTITUTE(SUBSTITUTE(INDEX(貼り付け!$A$1:$BZ$3001,825,$F$1)&amp;"",",",""),"¥",""),"￥","")),0))</f>
        <v/>
      </c>
      <c r="G826">
        <f>IF(ISNUMBER(B826),YEAR(B826),"")</f>
        <v/>
      </c>
      <c r="H826">
        <f>IF(ISNUMBER(B826),MONTH(B826),"")</f>
        <v/>
      </c>
      <c r="I826">
        <f>IFERROR(IF($B$1=0,"",IF(ISNUMBER(INDEX(貼り付け!$A$1:$BZ$3001,825,$B$1)),"",SUBSTITUTE(SUBSTITUTE(SUBSTITUTE(SUBSTITUTE(TRIM(LEFT(INDEX(貼り付け!$A$1:$BZ$3001,825,$B$1)&amp;"",FIND(" ",TRIM(INDEX(貼り付け!$A$1:$BZ$3001,825,$B$1)&amp;"")&amp;" ")-1)),"/","-"),"年","-"),"月","-"),"日",""))),"")</f>
        <v/>
      </c>
      <c r="J826">
        <f>IFERROR(MID(I826,FIND("-",I826)+1,99),"")</f>
        <v/>
      </c>
    </row>
    <row r="827">
      <c r="B827">
        <f>IFERROR(IF($B$1=0,"",IF(INDEX(貼り付け!$A$1:$BZ$3001,826,$B$1)="","",IF(ISNUMBER(INDEX(貼り付け!$A$1:$BZ$3001,826,$B$1)),INT(INDEX(貼り付け!$A$1:$BZ$3001,826,$B$1)),DATE(VALUE(LEFT(I827,FIND("-",I827)-1)),VALUE(LEFT(J827,FIND("-",J827)-1)),VALUE(MID(J827,FIND("-",J827)+1,99)))))),"")</f>
        <v/>
      </c>
      <c r="C827">
        <f>IF($C$1=0,0,IFERROR(VALUE(SUBSTITUTE(SUBSTITUTE(SUBSTITUTE(INDEX(貼り付け!$A$1:$BZ$3001,826,$C$1)&amp;"",",",""),"¥",""),"￥","")),0))</f>
        <v/>
      </c>
      <c r="D827">
        <f>IF($D$1=0,0,IFERROR(VALUE(SUBSTITUTE(SUBSTITUTE(SUBSTITUTE(INDEX(貼り付け!$A$1:$BZ$3001,826,$D$1)&amp;"",",",""),"¥",""),"￥","")),0))</f>
        <v/>
      </c>
      <c r="E827">
        <f>IF($E$1=0,0,IFERROR(VALUE(SUBSTITUTE(SUBSTITUTE(SUBSTITUTE(INDEX(貼り付け!$A$1:$BZ$3001,826,$E$1)&amp;"",",",""),"¥",""),"￥","")),0))</f>
        <v/>
      </c>
      <c r="F827">
        <f>IF($F$1=0,0,IFERROR(VALUE(SUBSTITUTE(SUBSTITUTE(SUBSTITUTE(INDEX(貼り付け!$A$1:$BZ$3001,826,$F$1)&amp;"",",",""),"¥",""),"￥","")),0))</f>
        <v/>
      </c>
      <c r="G827">
        <f>IF(ISNUMBER(B827),YEAR(B827),"")</f>
        <v/>
      </c>
      <c r="H827">
        <f>IF(ISNUMBER(B827),MONTH(B827),"")</f>
        <v/>
      </c>
      <c r="I827">
        <f>IFERROR(IF($B$1=0,"",IF(ISNUMBER(INDEX(貼り付け!$A$1:$BZ$3001,826,$B$1)),"",SUBSTITUTE(SUBSTITUTE(SUBSTITUTE(SUBSTITUTE(TRIM(LEFT(INDEX(貼り付け!$A$1:$BZ$3001,826,$B$1)&amp;"",FIND(" ",TRIM(INDEX(貼り付け!$A$1:$BZ$3001,826,$B$1)&amp;"")&amp;" ")-1)),"/","-"),"年","-"),"月","-"),"日",""))),"")</f>
        <v/>
      </c>
      <c r="J827">
        <f>IFERROR(MID(I827,FIND("-",I827)+1,99),"")</f>
        <v/>
      </c>
    </row>
    <row r="828">
      <c r="B828">
        <f>IFERROR(IF($B$1=0,"",IF(INDEX(貼り付け!$A$1:$BZ$3001,827,$B$1)="","",IF(ISNUMBER(INDEX(貼り付け!$A$1:$BZ$3001,827,$B$1)),INT(INDEX(貼り付け!$A$1:$BZ$3001,827,$B$1)),DATE(VALUE(LEFT(I828,FIND("-",I828)-1)),VALUE(LEFT(J828,FIND("-",J828)-1)),VALUE(MID(J828,FIND("-",J828)+1,99)))))),"")</f>
        <v/>
      </c>
      <c r="C828">
        <f>IF($C$1=0,0,IFERROR(VALUE(SUBSTITUTE(SUBSTITUTE(SUBSTITUTE(INDEX(貼り付け!$A$1:$BZ$3001,827,$C$1)&amp;"",",",""),"¥",""),"￥","")),0))</f>
        <v/>
      </c>
      <c r="D828">
        <f>IF($D$1=0,0,IFERROR(VALUE(SUBSTITUTE(SUBSTITUTE(SUBSTITUTE(INDEX(貼り付け!$A$1:$BZ$3001,827,$D$1)&amp;"",",",""),"¥",""),"￥","")),0))</f>
        <v/>
      </c>
      <c r="E828">
        <f>IF($E$1=0,0,IFERROR(VALUE(SUBSTITUTE(SUBSTITUTE(SUBSTITUTE(INDEX(貼り付け!$A$1:$BZ$3001,827,$E$1)&amp;"",",",""),"¥",""),"￥","")),0))</f>
        <v/>
      </c>
      <c r="F828">
        <f>IF($F$1=0,0,IFERROR(VALUE(SUBSTITUTE(SUBSTITUTE(SUBSTITUTE(INDEX(貼り付け!$A$1:$BZ$3001,827,$F$1)&amp;"",",",""),"¥",""),"￥","")),0))</f>
        <v/>
      </c>
      <c r="G828">
        <f>IF(ISNUMBER(B828),YEAR(B828),"")</f>
        <v/>
      </c>
      <c r="H828">
        <f>IF(ISNUMBER(B828),MONTH(B828),"")</f>
        <v/>
      </c>
      <c r="I828">
        <f>IFERROR(IF($B$1=0,"",IF(ISNUMBER(INDEX(貼り付け!$A$1:$BZ$3001,827,$B$1)),"",SUBSTITUTE(SUBSTITUTE(SUBSTITUTE(SUBSTITUTE(TRIM(LEFT(INDEX(貼り付け!$A$1:$BZ$3001,827,$B$1)&amp;"",FIND(" ",TRIM(INDEX(貼り付け!$A$1:$BZ$3001,827,$B$1)&amp;"")&amp;" ")-1)),"/","-"),"年","-"),"月","-"),"日",""))),"")</f>
        <v/>
      </c>
      <c r="J828">
        <f>IFERROR(MID(I828,FIND("-",I828)+1,99),"")</f>
        <v/>
      </c>
    </row>
    <row r="829">
      <c r="B829">
        <f>IFERROR(IF($B$1=0,"",IF(INDEX(貼り付け!$A$1:$BZ$3001,828,$B$1)="","",IF(ISNUMBER(INDEX(貼り付け!$A$1:$BZ$3001,828,$B$1)),INT(INDEX(貼り付け!$A$1:$BZ$3001,828,$B$1)),DATE(VALUE(LEFT(I829,FIND("-",I829)-1)),VALUE(LEFT(J829,FIND("-",J829)-1)),VALUE(MID(J829,FIND("-",J829)+1,99)))))),"")</f>
        <v/>
      </c>
      <c r="C829">
        <f>IF($C$1=0,0,IFERROR(VALUE(SUBSTITUTE(SUBSTITUTE(SUBSTITUTE(INDEX(貼り付け!$A$1:$BZ$3001,828,$C$1)&amp;"",",",""),"¥",""),"￥","")),0))</f>
        <v/>
      </c>
      <c r="D829">
        <f>IF($D$1=0,0,IFERROR(VALUE(SUBSTITUTE(SUBSTITUTE(SUBSTITUTE(INDEX(貼り付け!$A$1:$BZ$3001,828,$D$1)&amp;"",",",""),"¥",""),"￥","")),0))</f>
        <v/>
      </c>
      <c r="E829">
        <f>IF($E$1=0,0,IFERROR(VALUE(SUBSTITUTE(SUBSTITUTE(SUBSTITUTE(INDEX(貼り付け!$A$1:$BZ$3001,828,$E$1)&amp;"",",",""),"¥",""),"￥","")),0))</f>
        <v/>
      </c>
      <c r="F829">
        <f>IF($F$1=0,0,IFERROR(VALUE(SUBSTITUTE(SUBSTITUTE(SUBSTITUTE(INDEX(貼り付け!$A$1:$BZ$3001,828,$F$1)&amp;"",",",""),"¥",""),"￥","")),0))</f>
        <v/>
      </c>
      <c r="G829">
        <f>IF(ISNUMBER(B829),YEAR(B829),"")</f>
        <v/>
      </c>
      <c r="H829">
        <f>IF(ISNUMBER(B829),MONTH(B829),"")</f>
        <v/>
      </c>
      <c r="I829">
        <f>IFERROR(IF($B$1=0,"",IF(ISNUMBER(INDEX(貼り付け!$A$1:$BZ$3001,828,$B$1)),"",SUBSTITUTE(SUBSTITUTE(SUBSTITUTE(SUBSTITUTE(TRIM(LEFT(INDEX(貼り付け!$A$1:$BZ$3001,828,$B$1)&amp;"",FIND(" ",TRIM(INDEX(貼り付け!$A$1:$BZ$3001,828,$B$1)&amp;"")&amp;" ")-1)),"/","-"),"年","-"),"月","-"),"日",""))),"")</f>
        <v/>
      </c>
      <c r="J829">
        <f>IFERROR(MID(I829,FIND("-",I829)+1,99),"")</f>
        <v/>
      </c>
    </row>
    <row r="830">
      <c r="B830">
        <f>IFERROR(IF($B$1=0,"",IF(INDEX(貼り付け!$A$1:$BZ$3001,829,$B$1)="","",IF(ISNUMBER(INDEX(貼り付け!$A$1:$BZ$3001,829,$B$1)),INT(INDEX(貼り付け!$A$1:$BZ$3001,829,$B$1)),DATE(VALUE(LEFT(I830,FIND("-",I830)-1)),VALUE(LEFT(J830,FIND("-",J830)-1)),VALUE(MID(J830,FIND("-",J830)+1,99)))))),"")</f>
        <v/>
      </c>
      <c r="C830">
        <f>IF($C$1=0,0,IFERROR(VALUE(SUBSTITUTE(SUBSTITUTE(SUBSTITUTE(INDEX(貼り付け!$A$1:$BZ$3001,829,$C$1)&amp;"",",",""),"¥",""),"￥","")),0))</f>
        <v/>
      </c>
      <c r="D830">
        <f>IF($D$1=0,0,IFERROR(VALUE(SUBSTITUTE(SUBSTITUTE(SUBSTITUTE(INDEX(貼り付け!$A$1:$BZ$3001,829,$D$1)&amp;"",",",""),"¥",""),"￥","")),0))</f>
        <v/>
      </c>
      <c r="E830">
        <f>IF($E$1=0,0,IFERROR(VALUE(SUBSTITUTE(SUBSTITUTE(SUBSTITUTE(INDEX(貼り付け!$A$1:$BZ$3001,829,$E$1)&amp;"",",",""),"¥",""),"￥","")),0))</f>
        <v/>
      </c>
      <c r="F830">
        <f>IF($F$1=0,0,IFERROR(VALUE(SUBSTITUTE(SUBSTITUTE(SUBSTITUTE(INDEX(貼り付け!$A$1:$BZ$3001,829,$F$1)&amp;"",",",""),"¥",""),"￥","")),0))</f>
        <v/>
      </c>
      <c r="G830">
        <f>IF(ISNUMBER(B830),YEAR(B830),"")</f>
        <v/>
      </c>
      <c r="H830">
        <f>IF(ISNUMBER(B830),MONTH(B830),"")</f>
        <v/>
      </c>
      <c r="I830">
        <f>IFERROR(IF($B$1=0,"",IF(ISNUMBER(INDEX(貼り付け!$A$1:$BZ$3001,829,$B$1)),"",SUBSTITUTE(SUBSTITUTE(SUBSTITUTE(SUBSTITUTE(TRIM(LEFT(INDEX(貼り付け!$A$1:$BZ$3001,829,$B$1)&amp;"",FIND(" ",TRIM(INDEX(貼り付け!$A$1:$BZ$3001,829,$B$1)&amp;"")&amp;" ")-1)),"/","-"),"年","-"),"月","-"),"日",""))),"")</f>
        <v/>
      </c>
      <c r="J830">
        <f>IFERROR(MID(I830,FIND("-",I830)+1,99),"")</f>
        <v/>
      </c>
    </row>
    <row r="831">
      <c r="B831">
        <f>IFERROR(IF($B$1=0,"",IF(INDEX(貼り付け!$A$1:$BZ$3001,830,$B$1)="","",IF(ISNUMBER(INDEX(貼り付け!$A$1:$BZ$3001,830,$B$1)),INT(INDEX(貼り付け!$A$1:$BZ$3001,830,$B$1)),DATE(VALUE(LEFT(I831,FIND("-",I831)-1)),VALUE(LEFT(J831,FIND("-",J831)-1)),VALUE(MID(J831,FIND("-",J831)+1,99)))))),"")</f>
        <v/>
      </c>
      <c r="C831">
        <f>IF($C$1=0,0,IFERROR(VALUE(SUBSTITUTE(SUBSTITUTE(SUBSTITUTE(INDEX(貼り付け!$A$1:$BZ$3001,830,$C$1)&amp;"",",",""),"¥",""),"￥","")),0))</f>
        <v/>
      </c>
      <c r="D831">
        <f>IF($D$1=0,0,IFERROR(VALUE(SUBSTITUTE(SUBSTITUTE(SUBSTITUTE(INDEX(貼り付け!$A$1:$BZ$3001,830,$D$1)&amp;"",",",""),"¥",""),"￥","")),0))</f>
        <v/>
      </c>
      <c r="E831">
        <f>IF($E$1=0,0,IFERROR(VALUE(SUBSTITUTE(SUBSTITUTE(SUBSTITUTE(INDEX(貼り付け!$A$1:$BZ$3001,830,$E$1)&amp;"",",",""),"¥",""),"￥","")),0))</f>
        <v/>
      </c>
      <c r="F831">
        <f>IF($F$1=0,0,IFERROR(VALUE(SUBSTITUTE(SUBSTITUTE(SUBSTITUTE(INDEX(貼り付け!$A$1:$BZ$3001,830,$F$1)&amp;"",",",""),"¥",""),"￥","")),0))</f>
        <v/>
      </c>
      <c r="G831">
        <f>IF(ISNUMBER(B831),YEAR(B831),"")</f>
        <v/>
      </c>
      <c r="H831">
        <f>IF(ISNUMBER(B831),MONTH(B831),"")</f>
        <v/>
      </c>
      <c r="I831">
        <f>IFERROR(IF($B$1=0,"",IF(ISNUMBER(INDEX(貼り付け!$A$1:$BZ$3001,830,$B$1)),"",SUBSTITUTE(SUBSTITUTE(SUBSTITUTE(SUBSTITUTE(TRIM(LEFT(INDEX(貼り付け!$A$1:$BZ$3001,830,$B$1)&amp;"",FIND(" ",TRIM(INDEX(貼り付け!$A$1:$BZ$3001,830,$B$1)&amp;"")&amp;" ")-1)),"/","-"),"年","-"),"月","-"),"日",""))),"")</f>
        <v/>
      </c>
      <c r="J831">
        <f>IFERROR(MID(I831,FIND("-",I831)+1,99),"")</f>
        <v/>
      </c>
    </row>
    <row r="832">
      <c r="B832">
        <f>IFERROR(IF($B$1=0,"",IF(INDEX(貼り付け!$A$1:$BZ$3001,831,$B$1)="","",IF(ISNUMBER(INDEX(貼り付け!$A$1:$BZ$3001,831,$B$1)),INT(INDEX(貼り付け!$A$1:$BZ$3001,831,$B$1)),DATE(VALUE(LEFT(I832,FIND("-",I832)-1)),VALUE(LEFT(J832,FIND("-",J832)-1)),VALUE(MID(J832,FIND("-",J832)+1,99)))))),"")</f>
        <v/>
      </c>
      <c r="C832">
        <f>IF($C$1=0,0,IFERROR(VALUE(SUBSTITUTE(SUBSTITUTE(SUBSTITUTE(INDEX(貼り付け!$A$1:$BZ$3001,831,$C$1)&amp;"",",",""),"¥",""),"￥","")),0))</f>
        <v/>
      </c>
      <c r="D832">
        <f>IF($D$1=0,0,IFERROR(VALUE(SUBSTITUTE(SUBSTITUTE(SUBSTITUTE(INDEX(貼り付け!$A$1:$BZ$3001,831,$D$1)&amp;"",",",""),"¥",""),"￥","")),0))</f>
        <v/>
      </c>
      <c r="E832">
        <f>IF($E$1=0,0,IFERROR(VALUE(SUBSTITUTE(SUBSTITUTE(SUBSTITUTE(INDEX(貼り付け!$A$1:$BZ$3001,831,$E$1)&amp;"",",",""),"¥",""),"￥","")),0))</f>
        <v/>
      </c>
      <c r="F832">
        <f>IF($F$1=0,0,IFERROR(VALUE(SUBSTITUTE(SUBSTITUTE(SUBSTITUTE(INDEX(貼り付け!$A$1:$BZ$3001,831,$F$1)&amp;"",",",""),"¥",""),"￥","")),0))</f>
        <v/>
      </c>
      <c r="G832">
        <f>IF(ISNUMBER(B832),YEAR(B832),"")</f>
        <v/>
      </c>
      <c r="H832">
        <f>IF(ISNUMBER(B832),MONTH(B832),"")</f>
        <v/>
      </c>
      <c r="I832">
        <f>IFERROR(IF($B$1=0,"",IF(ISNUMBER(INDEX(貼り付け!$A$1:$BZ$3001,831,$B$1)),"",SUBSTITUTE(SUBSTITUTE(SUBSTITUTE(SUBSTITUTE(TRIM(LEFT(INDEX(貼り付け!$A$1:$BZ$3001,831,$B$1)&amp;"",FIND(" ",TRIM(INDEX(貼り付け!$A$1:$BZ$3001,831,$B$1)&amp;"")&amp;" ")-1)),"/","-"),"年","-"),"月","-"),"日",""))),"")</f>
        <v/>
      </c>
      <c r="J832">
        <f>IFERROR(MID(I832,FIND("-",I832)+1,99),"")</f>
        <v/>
      </c>
    </row>
    <row r="833">
      <c r="B833">
        <f>IFERROR(IF($B$1=0,"",IF(INDEX(貼り付け!$A$1:$BZ$3001,832,$B$1)="","",IF(ISNUMBER(INDEX(貼り付け!$A$1:$BZ$3001,832,$B$1)),INT(INDEX(貼り付け!$A$1:$BZ$3001,832,$B$1)),DATE(VALUE(LEFT(I833,FIND("-",I833)-1)),VALUE(LEFT(J833,FIND("-",J833)-1)),VALUE(MID(J833,FIND("-",J833)+1,99)))))),"")</f>
        <v/>
      </c>
      <c r="C833">
        <f>IF($C$1=0,0,IFERROR(VALUE(SUBSTITUTE(SUBSTITUTE(SUBSTITUTE(INDEX(貼り付け!$A$1:$BZ$3001,832,$C$1)&amp;"",",",""),"¥",""),"￥","")),0))</f>
        <v/>
      </c>
      <c r="D833">
        <f>IF($D$1=0,0,IFERROR(VALUE(SUBSTITUTE(SUBSTITUTE(SUBSTITUTE(INDEX(貼り付け!$A$1:$BZ$3001,832,$D$1)&amp;"",",",""),"¥",""),"￥","")),0))</f>
        <v/>
      </c>
      <c r="E833">
        <f>IF($E$1=0,0,IFERROR(VALUE(SUBSTITUTE(SUBSTITUTE(SUBSTITUTE(INDEX(貼り付け!$A$1:$BZ$3001,832,$E$1)&amp;"",",",""),"¥",""),"￥","")),0))</f>
        <v/>
      </c>
      <c r="F833">
        <f>IF($F$1=0,0,IFERROR(VALUE(SUBSTITUTE(SUBSTITUTE(SUBSTITUTE(INDEX(貼り付け!$A$1:$BZ$3001,832,$F$1)&amp;"",",",""),"¥",""),"￥","")),0))</f>
        <v/>
      </c>
      <c r="G833">
        <f>IF(ISNUMBER(B833),YEAR(B833),"")</f>
        <v/>
      </c>
      <c r="H833">
        <f>IF(ISNUMBER(B833),MONTH(B833),"")</f>
        <v/>
      </c>
      <c r="I833">
        <f>IFERROR(IF($B$1=0,"",IF(ISNUMBER(INDEX(貼り付け!$A$1:$BZ$3001,832,$B$1)),"",SUBSTITUTE(SUBSTITUTE(SUBSTITUTE(SUBSTITUTE(TRIM(LEFT(INDEX(貼り付け!$A$1:$BZ$3001,832,$B$1)&amp;"",FIND(" ",TRIM(INDEX(貼り付け!$A$1:$BZ$3001,832,$B$1)&amp;"")&amp;" ")-1)),"/","-"),"年","-"),"月","-"),"日",""))),"")</f>
        <v/>
      </c>
      <c r="J833">
        <f>IFERROR(MID(I833,FIND("-",I833)+1,99),"")</f>
        <v/>
      </c>
    </row>
    <row r="834">
      <c r="B834">
        <f>IFERROR(IF($B$1=0,"",IF(INDEX(貼り付け!$A$1:$BZ$3001,833,$B$1)="","",IF(ISNUMBER(INDEX(貼り付け!$A$1:$BZ$3001,833,$B$1)),INT(INDEX(貼り付け!$A$1:$BZ$3001,833,$B$1)),DATE(VALUE(LEFT(I834,FIND("-",I834)-1)),VALUE(LEFT(J834,FIND("-",J834)-1)),VALUE(MID(J834,FIND("-",J834)+1,99)))))),"")</f>
        <v/>
      </c>
      <c r="C834">
        <f>IF($C$1=0,0,IFERROR(VALUE(SUBSTITUTE(SUBSTITUTE(SUBSTITUTE(INDEX(貼り付け!$A$1:$BZ$3001,833,$C$1)&amp;"",",",""),"¥",""),"￥","")),0))</f>
        <v/>
      </c>
      <c r="D834">
        <f>IF($D$1=0,0,IFERROR(VALUE(SUBSTITUTE(SUBSTITUTE(SUBSTITUTE(INDEX(貼り付け!$A$1:$BZ$3001,833,$D$1)&amp;"",",",""),"¥",""),"￥","")),0))</f>
        <v/>
      </c>
      <c r="E834">
        <f>IF($E$1=0,0,IFERROR(VALUE(SUBSTITUTE(SUBSTITUTE(SUBSTITUTE(INDEX(貼り付け!$A$1:$BZ$3001,833,$E$1)&amp;"",",",""),"¥",""),"￥","")),0))</f>
        <v/>
      </c>
      <c r="F834">
        <f>IF($F$1=0,0,IFERROR(VALUE(SUBSTITUTE(SUBSTITUTE(SUBSTITUTE(INDEX(貼り付け!$A$1:$BZ$3001,833,$F$1)&amp;"",",",""),"¥",""),"￥","")),0))</f>
        <v/>
      </c>
      <c r="G834">
        <f>IF(ISNUMBER(B834),YEAR(B834),"")</f>
        <v/>
      </c>
      <c r="H834">
        <f>IF(ISNUMBER(B834),MONTH(B834),"")</f>
        <v/>
      </c>
      <c r="I834">
        <f>IFERROR(IF($B$1=0,"",IF(ISNUMBER(INDEX(貼り付け!$A$1:$BZ$3001,833,$B$1)),"",SUBSTITUTE(SUBSTITUTE(SUBSTITUTE(SUBSTITUTE(TRIM(LEFT(INDEX(貼り付け!$A$1:$BZ$3001,833,$B$1)&amp;"",FIND(" ",TRIM(INDEX(貼り付け!$A$1:$BZ$3001,833,$B$1)&amp;"")&amp;" ")-1)),"/","-"),"年","-"),"月","-"),"日",""))),"")</f>
        <v/>
      </c>
      <c r="J834">
        <f>IFERROR(MID(I834,FIND("-",I834)+1,99),"")</f>
        <v/>
      </c>
    </row>
    <row r="835">
      <c r="B835">
        <f>IFERROR(IF($B$1=0,"",IF(INDEX(貼り付け!$A$1:$BZ$3001,834,$B$1)="","",IF(ISNUMBER(INDEX(貼り付け!$A$1:$BZ$3001,834,$B$1)),INT(INDEX(貼り付け!$A$1:$BZ$3001,834,$B$1)),DATE(VALUE(LEFT(I835,FIND("-",I835)-1)),VALUE(LEFT(J835,FIND("-",J835)-1)),VALUE(MID(J835,FIND("-",J835)+1,99)))))),"")</f>
        <v/>
      </c>
      <c r="C835">
        <f>IF($C$1=0,0,IFERROR(VALUE(SUBSTITUTE(SUBSTITUTE(SUBSTITUTE(INDEX(貼り付け!$A$1:$BZ$3001,834,$C$1)&amp;"",",",""),"¥",""),"￥","")),0))</f>
        <v/>
      </c>
      <c r="D835">
        <f>IF($D$1=0,0,IFERROR(VALUE(SUBSTITUTE(SUBSTITUTE(SUBSTITUTE(INDEX(貼り付け!$A$1:$BZ$3001,834,$D$1)&amp;"",",",""),"¥",""),"￥","")),0))</f>
        <v/>
      </c>
      <c r="E835">
        <f>IF($E$1=0,0,IFERROR(VALUE(SUBSTITUTE(SUBSTITUTE(SUBSTITUTE(INDEX(貼り付け!$A$1:$BZ$3001,834,$E$1)&amp;"",",",""),"¥",""),"￥","")),0))</f>
        <v/>
      </c>
      <c r="F835">
        <f>IF($F$1=0,0,IFERROR(VALUE(SUBSTITUTE(SUBSTITUTE(SUBSTITUTE(INDEX(貼り付け!$A$1:$BZ$3001,834,$F$1)&amp;"",",",""),"¥",""),"￥","")),0))</f>
        <v/>
      </c>
      <c r="G835">
        <f>IF(ISNUMBER(B835),YEAR(B835),"")</f>
        <v/>
      </c>
      <c r="H835">
        <f>IF(ISNUMBER(B835),MONTH(B835),"")</f>
        <v/>
      </c>
      <c r="I835">
        <f>IFERROR(IF($B$1=0,"",IF(ISNUMBER(INDEX(貼り付け!$A$1:$BZ$3001,834,$B$1)),"",SUBSTITUTE(SUBSTITUTE(SUBSTITUTE(SUBSTITUTE(TRIM(LEFT(INDEX(貼り付け!$A$1:$BZ$3001,834,$B$1)&amp;"",FIND(" ",TRIM(INDEX(貼り付け!$A$1:$BZ$3001,834,$B$1)&amp;"")&amp;" ")-1)),"/","-"),"年","-"),"月","-"),"日",""))),"")</f>
        <v/>
      </c>
      <c r="J835">
        <f>IFERROR(MID(I835,FIND("-",I835)+1,99),"")</f>
        <v/>
      </c>
    </row>
    <row r="836">
      <c r="B836">
        <f>IFERROR(IF($B$1=0,"",IF(INDEX(貼り付け!$A$1:$BZ$3001,835,$B$1)="","",IF(ISNUMBER(INDEX(貼り付け!$A$1:$BZ$3001,835,$B$1)),INT(INDEX(貼り付け!$A$1:$BZ$3001,835,$B$1)),DATE(VALUE(LEFT(I836,FIND("-",I836)-1)),VALUE(LEFT(J836,FIND("-",J836)-1)),VALUE(MID(J836,FIND("-",J836)+1,99)))))),"")</f>
        <v/>
      </c>
      <c r="C836">
        <f>IF($C$1=0,0,IFERROR(VALUE(SUBSTITUTE(SUBSTITUTE(SUBSTITUTE(INDEX(貼り付け!$A$1:$BZ$3001,835,$C$1)&amp;"",",",""),"¥",""),"￥","")),0))</f>
        <v/>
      </c>
      <c r="D836">
        <f>IF($D$1=0,0,IFERROR(VALUE(SUBSTITUTE(SUBSTITUTE(SUBSTITUTE(INDEX(貼り付け!$A$1:$BZ$3001,835,$D$1)&amp;"",",",""),"¥",""),"￥","")),0))</f>
        <v/>
      </c>
      <c r="E836">
        <f>IF($E$1=0,0,IFERROR(VALUE(SUBSTITUTE(SUBSTITUTE(SUBSTITUTE(INDEX(貼り付け!$A$1:$BZ$3001,835,$E$1)&amp;"",",",""),"¥",""),"￥","")),0))</f>
        <v/>
      </c>
      <c r="F836">
        <f>IF($F$1=0,0,IFERROR(VALUE(SUBSTITUTE(SUBSTITUTE(SUBSTITUTE(INDEX(貼り付け!$A$1:$BZ$3001,835,$F$1)&amp;"",",",""),"¥",""),"￥","")),0))</f>
        <v/>
      </c>
      <c r="G836">
        <f>IF(ISNUMBER(B836),YEAR(B836),"")</f>
        <v/>
      </c>
      <c r="H836">
        <f>IF(ISNUMBER(B836),MONTH(B836),"")</f>
        <v/>
      </c>
      <c r="I836">
        <f>IFERROR(IF($B$1=0,"",IF(ISNUMBER(INDEX(貼り付け!$A$1:$BZ$3001,835,$B$1)),"",SUBSTITUTE(SUBSTITUTE(SUBSTITUTE(SUBSTITUTE(TRIM(LEFT(INDEX(貼り付け!$A$1:$BZ$3001,835,$B$1)&amp;"",FIND(" ",TRIM(INDEX(貼り付け!$A$1:$BZ$3001,835,$B$1)&amp;"")&amp;" ")-1)),"/","-"),"年","-"),"月","-"),"日",""))),"")</f>
        <v/>
      </c>
      <c r="J836">
        <f>IFERROR(MID(I836,FIND("-",I836)+1,99),"")</f>
        <v/>
      </c>
    </row>
    <row r="837">
      <c r="B837">
        <f>IFERROR(IF($B$1=0,"",IF(INDEX(貼り付け!$A$1:$BZ$3001,836,$B$1)="","",IF(ISNUMBER(INDEX(貼り付け!$A$1:$BZ$3001,836,$B$1)),INT(INDEX(貼り付け!$A$1:$BZ$3001,836,$B$1)),DATE(VALUE(LEFT(I837,FIND("-",I837)-1)),VALUE(LEFT(J837,FIND("-",J837)-1)),VALUE(MID(J837,FIND("-",J837)+1,99)))))),"")</f>
        <v/>
      </c>
      <c r="C837">
        <f>IF($C$1=0,0,IFERROR(VALUE(SUBSTITUTE(SUBSTITUTE(SUBSTITUTE(INDEX(貼り付け!$A$1:$BZ$3001,836,$C$1)&amp;"",",",""),"¥",""),"￥","")),0))</f>
        <v/>
      </c>
      <c r="D837">
        <f>IF($D$1=0,0,IFERROR(VALUE(SUBSTITUTE(SUBSTITUTE(SUBSTITUTE(INDEX(貼り付け!$A$1:$BZ$3001,836,$D$1)&amp;"",",",""),"¥",""),"￥","")),0))</f>
        <v/>
      </c>
      <c r="E837">
        <f>IF($E$1=0,0,IFERROR(VALUE(SUBSTITUTE(SUBSTITUTE(SUBSTITUTE(INDEX(貼り付け!$A$1:$BZ$3001,836,$E$1)&amp;"",",",""),"¥",""),"￥","")),0))</f>
        <v/>
      </c>
      <c r="F837">
        <f>IF($F$1=0,0,IFERROR(VALUE(SUBSTITUTE(SUBSTITUTE(SUBSTITUTE(INDEX(貼り付け!$A$1:$BZ$3001,836,$F$1)&amp;"",",",""),"¥",""),"￥","")),0))</f>
        <v/>
      </c>
      <c r="G837">
        <f>IF(ISNUMBER(B837),YEAR(B837),"")</f>
        <v/>
      </c>
      <c r="H837">
        <f>IF(ISNUMBER(B837),MONTH(B837),"")</f>
        <v/>
      </c>
      <c r="I837">
        <f>IFERROR(IF($B$1=0,"",IF(ISNUMBER(INDEX(貼り付け!$A$1:$BZ$3001,836,$B$1)),"",SUBSTITUTE(SUBSTITUTE(SUBSTITUTE(SUBSTITUTE(TRIM(LEFT(INDEX(貼り付け!$A$1:$BZ$3001,836,$B$1)&amp;"",FIND(" ",TRIM(INDEX(貼り付け!$A$1:$BZ$3001,836,$B$1)&amp;"")&amp;" ")-1)),"/","-"),"年","-"),"月","-"),"日",""))),"")</f>
        <v/>
      </c>
      <c r="J837">
        <f>IFERROR(MID(I837,FIND("-",I837)+1,99),"")</f>
        <v/>
      </c>
    </row>
    <row r="838">
      <c r="B838">
        <f>IFERROR(IF($B$1=0,"",IF(INDEX(貼り付け!$A$1:$BZ$3001,837,$B$1)="","",IF(ISNUMBER(INDEX(貼り付け!$A$1:$BZ$3001,837,$B$1)),INT(INDEX(貼り付け!$A$1:$BZ$3001,837,$B$1)),DATE(VALUE(LEFT(I838,FIND("-",I838)-1)),VALUE(LEFT(J838,FIND("-",J838)-1)),VALUE(MID(J838,FIND("-",J838)+1,99)))))),"")</f>
        <v/>
      </c>
      <c r="C838">
        <f>IF($C$1=0,0,IFERROR(VALUE(SUBSTITUTE(SUBSTITUTE(SUBSTITUTE(INDEX(貼り付け!$A$1:$BZ$3001,837,$C$1)&amp;"",",",""),"¥",""),"￥","")),0))</f>
        <v/>
      </c>
      <c r="D838">
        <f>IF($D$1=0,0,IFERROR(VALUE(SUBSTITUTE(SUBSTITUTE(SUBSTITUTE(INDEX(貼り付け!$A$1:$BZ$3001,837,$D$1)&amp;"",",",""),"¥",""),"￥","")),0))</f>
        <v/>
      </c>
      <c r="E838">
        <f>IF($E$1=0,0,IFERROR(VALUE(SUBSTITUTE(SUBSTITUTE(SUBSTITUTE(INDEX(貼り付け!$A$1:$BZ$3001,837,$E$1)&amp;"",",",""),"¥",""),"￥","")),0))</f>
        <v/>
      </c>
      <c r="F838">
        <f>IF($F$1=0,0,IFERROR(VALUE(SUBSTITUTE(SUBSTITUTE(SUBSTITUTE(INDEX(貼り付け!$A$1:$BZ$3001,837,$F$1)&amp;"",",",""),"¥",""),"￥","")),0))</f>
        <v/>
      </c>
      <c r="G838">
        <f>IF(ISNUMBER(B838),YEAR(B838),"")</f>
        <v/>
      </c>
      <c r="H838">
        <f>IF(ISNUMBER(B838),MONTH(B838),"")</f>
        <v/>
      </c>
      <c r="I838">
        <f>IFERROR(IF($B$1=0,"",IF(ISNUMBER(INDEX(貼り付け!$A$1:$BZ$3001,837,$B$1)),"",SUBSTITUTE(SUBSTITUTE(SUBSTITUTE(SUBSTITUTE(TRIM(LEFT(INDEX(貼り付け!$A$1:$BZ$3001,837,$B$1)&amp;"",FIND(" ",TRIM(INDEX(貼り付け!$A$1:$BZ$3001,837,$B$1)&amp;"")&amp;" ")-1)),"/","-"),"年","-"),"月","-"),"日",""))),"")</f>
        <v/>
      </c>
      <c r="J838">
        <f>IFERROR(MID(I838,FIND("-",I838)+1,99),"")</f>
        <v/>
      </c>
    </row>
    <row r="839">
      <c r="B839">
        <f>IFERROR(IF($B$1=0,"",IF(INDEX(貼り付け!$A$1:$BZ$3001,838,$B$1)="","",IF(ISNUMBER(INDEX(貼り付け!$A$1:$BZ$3001,838,$B$1)),INT(INDEX(貼り付け!$A$1:$BZ$3001,838,$B$1)),DATE(VALUE(LEFT(I839,FIND("-",I839)-1)),VALUE(LEFT(J839,FIND("-",J839)-1)),VALUE(MID(J839,FIND("-",J839)+1,99)))))),"")</f>
        <v/>
      </c>
      <c r="C839">
        <f>IF($C$1=0,0,IFERROR(VALUE(SUBSTITUTE(SUBSTITUTE(SUBSTITUTE(INDEX(貼り付け!$A$1:$BZ$3001,838,$C$1)&amp;"",",",""),"¥",""),"￥","")),0))</f>
        <v/>
      </c>
      <c r="D839">
        <f>IF($D$1=0,0,IFERROR(VALUE(SUBSTITUTE(SUBSTITUTE(SUBSTITUTE(INDEX(貼り付け!$A$1:$BZ$3001,838,$D$1)&amp;"",",",""),"¥",""),"￥","")),0))</f>
        <v/>
      </c>
      <c r="E839">
        <f>IF($E$1=0,0,IFERROR(VALUE(SUBSTITUTE(SUBSTITUTE(SUBSTITUTE(INDEX(貼り付け!$A$1:$BZ$3001,838,$E$1)&amp;"",",",""),"¥",""),"￥","")),0))</f>
        <v/>
      </c>
      <c r="F839">
        <f>IF($F$1=0,0,IFERROR(VALUE(SUBSTITUTE(SUBSTITUTE(SUBSTITUTE(INDEX(貼り付け!$A$1:$BZ$3001,838,$F$1)&amp;"",",",""),"¥",""),"￥","")),0))</f>
        <v/>
      </c>
      <c r="G839">
        <f>IF(ISNUMBER(B839),YEAR(B839),"")</f>
        <v/>
      </c>
      <c r="H839">
        <f>IF(ISNUMBER(B839),MONTH(B839),"")</f>
        <v/>
      </c>
      <c r="I839">
        <f>IFERROR(IF($B$1=0,"",IF(ISNUMBER(INDEX(貼り付け!$A$1:$BZ$3001,838,$B$1)),"",SUBSTITUTE(SUBSTITUTE(SUBSTITUTE(SUBSTITUTE(TRIM(LEFT(INDEX(貼り付け!$A$1:$BZ$3001,838,$B$1)&amp;"",FIND(" ",TRIM(INDEX(貼り付け!$A$1:$BZ$3001,838,$B$1)&amp;"")&amp;" ")-1)),"/","-"),"年","-"),"月","-"),"日",""))),"")</f>
        <v/>
      </c>
      <c r="J839">
        <f>IFERROR(MID(I839,FIND("-",I839)+1,99),"")</f>
        <v/>
      </c>
    </row>
    <row r="840">
      <c r="B840">
        <f>IFERROR(IF($B$1=0,"",IF(INDEX(貼り付け!$A$1:$BZ$3001,839,$B$1)="","",IF(ISNUMBER(INDEX(貼り付け!$A$1:$BZ$3001,839,$B$1)),INT(INDEX(貼り付け!$A$1:$BZ$3001,839,$B$1)),DATE(VALUE(LEFT(I840,FIND("-",I840)-1)),VALUE(LEFT(J840,FIND("-",J840)-1)),VALUE(MID(J840,FIND("-",J840)+1,99)))))),"")</f>
        <v/>
      </c>
      <c r="C840">
        <f>IF($C$1=0,0,IFERROR(VALUE(SUBSTITUTE(SUBSTITUTE(SUBSTITUTE(INDEX(貼り付け!$A$1:$BZ$3001,839,$C$1)&amp;"",",",""),"¥",""),"￥","")),0))</f>
        <v/>
      </c>
      <c r="D840">
        <f>IF($D$1=0,0,IFERROR(VALUE(SUBSTITUTE(SUBSTITUTE(SUBSTITUTE(INDEX(貼り付け!$A$1:$BZ$3001,839,$D$1)&amp;"",",",""),"¥",""),"￥","")),0))</f>
        <v/>
      </c>
      <c r="E840">
        <f>IF($E$1=0,0,IFERROR(VALUE(SUBSTITUTE(SUBSTITUTE(SUBSTITUTE(INDEX(貼り付け!$A$1:$BZ$3001,839,$E$1)&amp;"",",",""),"¥",""),"￥","")),0))</f>
        <v/>
      </c>
      <c r="F840">
        <f>IF($F$1=0,0,IFERROR(VALUE(SUBSTITUTE(SUBSTITUTE(SUBSTITUTE(INDEX(貼り付け!$A$1:$BZ$3001,839,$F$1)&amp;"",",",""),"¥",""),"￥","")),0))</f>
        <v/>
      </c>
      <c r="G840">
        <f>IF(ISNUMBER(B840),YEAR(B840),"")</f>
        <v/>
      </c>
      <c r="H840">
        <f>IF(ISNUMBER(B840),MONTH(B840),"")</f>
        <v/>
      </c>
      <c r="I840">
        <f>IFERROR(IF($B$1=0,"",IF(ISNUMBER(INDEX(貼り付け!$A$1:$BZ$3001,839,$B$1)),"",SUBSTITUTE(SUBSTITUTE(SUBSTITUTE(SUBSTITUTE(TRIM(LEFT(INDEX(貼り付け!$A$1:$BZ$3001,839,$B$1)&amp;"",FIND(" ",TRIM(INDEX(貼り付け!$A$1:$BZ$3001,839,$B$1)&amp;"")&amp;" ")-1)),"/","-"),"年","-"),"月","-"),"日",""))),"")</f>
        <v/>
      </c>
      <c r="J840">
        <f>IFERROR(MID(I840,FIND("-",I840)+1,99),"")</f>
        <v/>
      </c>
    </row>
    <row r="841">
      <c r="B841">
        <f>IFERROR(IF($B$1=0,"",IF(INDEX(貼り付け!$A$1:$BZ$3001,840,$B$1)="","",IF(ISNUMBER(INDEX(貼り付け!$A$1:$BZ$3001,840,$B$1)),INT(INDEX(貼り付け!$A$1:$BZ$3001,840,$B$1)),DATE(VALUE(LEFT(I841,FIND("-",I841)-1)),VALUE(LEFT(J841,FIND("-",J841)-1)),VALUE(MID(J841,FIND("-",J841)+1,99)))))),"")</f>
        <v/>
      </c>
      <c r="C841">
        <f>IF($C$1=0,0,IFERROR(VALUE(SUBSTITUTE(SUBSTITUTE(SUBSTITUTE(INDEX(貼り付け!$A$1:$BZ$3001,840,$C$1)&amp;"",",",""),"¥",""),"￥","")),0))</f>
        <v/>
      </c>
      <c r="D841">
        <f>IF($D$1=0,0,IFERROR(VALUE(SUBSTITUTE(SUBSTITUTE(SUBSTITUTE(INDEX(貼り付け!$A$1:$BZ$3001,840,$D$1)&amp;"",",",""),"¥",""),"￥","")),0))</f>
        <v/>
      </c>
      <c r="E841">
        <f>IF($E$1=0,0,IFERROR(VALUE(SUBSTITUTE(SUBSTITUTE(SUBSTITUTE(INDEX(貼り付け!$A$1:$BZ$3001,840,$E$1)&amp;"",",",""),"¥",""),"￥","")),0))</f>
        <v/>
      </c>
      <c r="F841">
        <f>IF($F$1=0,0,IFERROR(VALUE(SUBSTITUTE(SUBSTITUTE(SUBSTITUTE(INDEX(貼り付け!$A$1:$BZ$3001,840,$F$1)&amp;"",",",""),"¥",""),"￥","")),0))</f>
        <v/>
      </c>
      <c r="G841">
        <f>IF(ISNUMBER(B841),YEAR(B841),"")</f>
        <v/>
      </c>
      <c r="H841">
        <f>IF(ISNUMBER(B841),MONTH(B841),"")</f>
        <v/>
      </c>
      <c r="I841">
        <f>IFERROR(IF($B$1=0,"",IF(ISNUMBER(INDEX(貼り付け!$A$1:$BZ$3001,840,$B$1)),"",SUBSTITUTE(SUBSTITUTE(SUBSTITUTE(SUBSTITUTE(TRIM(LEFT(INDEX(貼り付け!$A$1:$BZ$3001,840,$B$1)&amp;"",FIND(" ",TRIM(INDEX(貼り付け!$A$1:$BZ$3001,840,$B$1)&amp;"")&amp;" ")-1)),"/","-"),"年","-"),"月","-"),"日",""))),"")</f>
        <v/>
      </c>
      <c r="J841">
        <f>IFERROR(MID(I841,FIND("-",I841)+1,99),"")</f>
        <v/>
      </c>
    </row>
    <row r="842">
      <c r="B842">
        <f>IFERROR(IF($B$1=0,"",IF(INDEX(貼り付け!$A$1:$BZ$3001,841,$B$1)="","",IF(ISNUMBER(INDEX(貼り付け!$A$1:$BZ$3001,841,$B$1)),INT(INDEX(貼り付け!$A$1:$BZ$3001,841,$B$1)),DATE(VALUE(LEFT(I842,FIND("-",I842)-1)),VALUE(LEFT(J842,FIND("-",J842)-1)),VALUE(MID(J842,FIND("-",J842)+1,99)))))),"")</f>
        <v/>
      </c>
      <c r="C842">
        <f>IF($C$1=0,0,IFERROR(VALUE(SUBSTITUTE(SUBSTITUTE(SUBSTITUTE(INDEX(貼り付け!$A$1:$BZ$3001,841,$C$1)&amp;"",",",""),"¥",""),"￥","")),0))</f>
        <v/>
      </c>
      <c r="D842">
        <f>IF($D$1=0,0,IFERROR(VALUE(SUBSTITUTE(SUBSTITUTE(SUBSTITUTE(INDEX(貼り付け!$A$1:$BZ$3001,841,$D$1)&amp;"",",",""),"¥",""),"￥","")),0))</f>
        <v/>
      </c>
      <c r="E842">
        <f>IF($E$1=0,0,IFERROR(VALUE(SUBSTITUTE(SUBSTITUTE(SUBSTITUTE(INDEX(貼り付け!$A$1:$BZ$3001,841,$E$1)&amp;"",",",""),"¥",""),"￥","")),0))</f>
        <v/>
      </c>
      <c r="F842">
        <f>IF($F$1=0,0,IFERROR(VALUE(SUBSTITUTE(SUBSTITUTE(SUBSTITUTE(INDEX(貼り付け!$A$1:$BZ$3001,841,$F$1)&amp;"",",",""),"¥",""),"￥","")),0))</f>
        <v/>
      </c>
      <c r="G842">
        <f>IF(ISNUMBER(B842),YEAR(B842),"")</f>
        <v/>
      </c>
      <c r="H842">
        <f>IF(ISNUMBER(B842),MONTH(B842),"")</f>
        <v/>
      </c>
      <c r="I842">
        <f>IFERROR(IF($B$1=0,"",IF(ISNUMBER(INDEX(貼り付け!$A$1:$BZ$3001,841,$B$1)),"",SUBSTITUTE(SUBSTITUTE(SUBSTITUTE(SUBSTITUTE(TRIM(LEFT(INDEX(貼り付け!$A$1:$BZ$3001,841,$B$1)&amp;"",FIND(" ",TRIM(INDEX(貼り付け!$A$1:$BZ$3001,841,$B$1)&amp;"")&amp;" ")-1)),"/","-"),"年","-"),"月","-"),"日",""))),"")</f>
        <v/>
      </c>
      <c r="J842">
        <f>IFERROR(MID(I842,FIND("-",I842)+1,99),"")</f>
        <v/>
      </c>
    </row>
    <row r="843">
      <c r="B843">
        <f>IFERROR(IF($B$1=0,"",IF(INDEX(貼り付け!$A$1:$BZ$3001,842,$B$1)="","",IF(ISNUMBER(INDEX(貼り付け!$A$1:$BZ$3001,842,$B$1)),INT(INDEX(貼り付け!$A$1:$BZ$3001,842,$B$1)),DATE(VALUE(LEFT(I843,FIND("-",I843)-1)),VALUE(LEFT(J843,FIND("-",J843)-1)),VALUE(MID(J843,FIND("-",J843)+1,99)))))),"")</f>
        <v/>
      </c>
      <c r="C843">
        <f>IF($C$1=0,0,IFERROR(VALUE(SUBSTITUTE(SUBSTITUTE(SUBSTITUTE(INDEX(貼り付け!$A$1:$BZ$3001,842,$C$1)&amp;"",",",""),"¥",""),"￥","")),0))</f>
        <v/>
      </c>
      <c r="D843">
        <f>IF($D$1=0,0,IFERROR(VALUE(SUBSTITUTE(SUBSTITUTE(SUBSTITUTE(INDEX(貼り付け!$A$1:$BZ$3001,842,$D$1)&amp;"",",",""),"¥",""),"￥","")),0))</f>
        <v/>
      </c>
      <c r="E843">
        <f>IF($E$1=0,0,IFERROR(VALUE(SUBSTITUTE(SUBSTITUTE(SUBSTITUTE(INDEX(貼り付け!$A$1:$BZ$3001,842,$E$1)&amp;"",",",""),"¥",""),"￥","")),0))</f>
        <v/>
      </c>
      <c r="F843">
        <f>IF($F$1=0,0,IFERROR(VALUE(SUBSTITUTE(SUBSTITUTE(SUBSTITUTE(INDEX(貼り付け!$A$1:$BZ$3001,842,$F$1)&amp;"",",",""),"¥",""),"￥","")),0))</f>
        <v/>
      </c>
      <c r="G843">
        <f>IF(ISNUMBER(B843),YEAR(B843),"")</f>
        <v/>
      </c>
      <c r="H843">
        <f>IF(ISNUMBER(B843),MONTH(B843),"")</f>
        <v/>
      </c>
      <c r="I843">
        <f>IFERROR(IF($B$1=0,"",IF(ISNUMBER(INDEX(貼り付け!$A$1:$BZ$3001,842,$B$1)),"",SUBSTITUTE(SUBSTITUTE(SUBSTITUTE(SUBSTITUTE(TRIM(LEFT(INDEX(貼り付け!$A$1:$BZ$3001,842,$B$1)&amp;"",FIND(" ",TRIM(INDEX(貼り付け!$A$1:$BZ$3001,842,$B$1)&amp;"")&amp;" ")-1)),"/","-"),"年","-"),"月","-"),"日",""))),"")</f>
        <v/>
      </c>
      <c r="J843">
        <f>IFERROR(MID(I843,FIND("-",I843)+1,99),"")</f>
        <v/>
      </c>
    </row>
    <row r="844">
      <c r="B844">
        <f>IFERROR(IF($B$1=0,"",IF(INDEX(貼り付け!$A$1:$BZ$3001,843,$B$1)="","",IF(ISNUMBER(INDEX(貼り付け!$A$1:$BZ$3001,843,$B$1)),INT(INDEX(貼り付け!$A$1:$BZ$3001,843,$B$1)),DATE(VALUE(LEFT(I844,FIND("-",I844)-1)),VALUE(LEFT(J844,FIND("-",J844)-1)),VALUE(MID(J844,FIND("-",J844)+1,99)))))),"")</f>
        <v/>
      </c>
      <c r="C844">
        <f>IF($C$1=0,0,IFERROR(VALUE(SUBSTITUTE(SUBSTITUTE(SUBSTITUTE(INDEX(貼り付け!$A$1:$BZ$3001,843,$C$1)&amp;"",",",""),"¥",""),"￥","")),0))</f>
        <v/>
      </c>
      <c r="D844">
        <f>IF($D$1=0,0,IFERROR(VALUE(SUBSTITUTE(SUBSTITUTE(SUBSTITUTE(INDEX(貼り付け!$A$1:$BZ$3001,843,$D$1)&amp;"",",",""),"¥",""),"￥","")),0))</f>
        <v/>
      </c>
      <c r="E844">
        <f>IF($E$1=0,0,IFERROR(VALUE(SUBSTITUTE(SUBSTITUTE(SUBSTITUTE(INDEX(貼り付け!$A$1:$BZ$3001,843,$E$1)&amp;"",",",""),"¥",""),"￥","")),0))</f>
        <v/>
      </c>
      <c r="F844">
        <f>IF($F$1=0,0,IFERROR(VALUE(SUBSTITUTE(SUBSTITUTE(SUBSTITUTE(INDEX(貼り付け!$A$1:$BZ$3001,843,$F$1)&amp;"",",",""),"¥",""),"￥","")),0))</f>
        <v/>
      </c>
      <c r="G844">
        <f>IF(ISNUMBER(B844),YEAR(B844),"")</f>
        <v/>
      </c>
      <c r="H844">
        <f>IF(ISNUMBER(B844),MONTH(B844),"")</f>
        <v/>
      </c>
      <c r="I844">
        <f>IFERROR(IF($B$1=0,"",IF(ISNUMBER(INDEX(貼り付け!$A$1:$BZ$3001,843,$B$1)),"",SUBSTITUTE(SUBSTITUTE(SUBSTITUTE(SUBSTITUTE(TRIM(LEFT(INDEX(貼り付け!$A$1:$BZ$3001,843,$B$1)&amp;"",FIND(" ",TRIM(INDEX(貼り付け!$A$1:$BZ$3001,843,$B$1)&amp;"")&amp;" ")-1)),"/","-"),"年","-"),"月","-"),"日",""))),"")</f>
        <v/>
      </c>
      <c r="J844">
        <f>IFERROR(MID(I844,FIND("-",I844)+1,99),"")</f>
        <v/>
      </c>
    </row>
    <row r="845">
      <c r="B845">
        <f>IFERROR(IF($B$1=0,"",IF(INDEX(貼り付け!$A$1:$BZ$3001,844,$B$1)="","",IF(ISNUMBER(INDEX(貼り付け!$A$1:$BZ$3001,844,$B$1)),INT(INDEX(貼り付け!$A$1:$BZ$3001,844,$B$1)),DATE(VALUE(LEFT(I845,FIND("-",I845)-1)),VALUE(LEFT(J845,FIND("-",J845)-1)),VALUE(MID(J845,FIND("-",J845)+1,99)))))),"")</f>
        <v/>
      </c>
      <c r="C845">
        <f>IF($C$1=0,0,IFERROR(VALUE(SUBSTITUTE(SUBSTITUTE(SUBSTITUTE(INDEX(貼り付け!$A$1:$BZ$3001,844,$C$1)&amp;"",",",""),"¥",""),"￥","")),0))</f>
        <v/>
      </c>
      <c r="D845">
        <f>IF($D$1=0,0,IFERROR(VALUE(SUBSTITUTE(SUBSTITUTE(SUBSTITUTE(INDEX(貼り付け!$A$1:$BZ$3001,844,$D$1)&amp;"",",",""),"¥",""),"￥","")),0))</f>
        <v/>
      </c>
      <c r="E845">
        <f>IF($E$1=0,0,IFERROR(VALUE(SUBSTITUTE(SUBSTITUTE(SUBSTITUTE(INDEX(貼り付け!$A$1:$BZ$3001,844,$E$1)&amp;"",",",""),"¥",""),"￥","")),0))</f>
        <v/>
      </c>
      <c r="F845">
        <f>IF($F$1=0,0,IFERROR(VALUE(SUBSTITUTE(SUBSTITUTE(SUBSTITUTE(INDEX(貼り付け!$A$1:$BZ$3001,844,$F$1)&amp;"",",",""),"¥",""),"￥","")),0))</f>
        <v/>
      </c>
      <c r="G845">
        <f>IF(ISNUMBER(B845),YEAR(B845),"")</f>
        <v/>
      </c>
      <c r="H845">
        <f>IF(ISNUMBER(B845),MONTH(B845),"")</f>
        <v/>
      </c>
      <c r="I845">
        <f>IFERROR(IF($B$1=0,"",IF(ISNUMBER(INDEX(貼り付け!$A$1:$BZ$3001,844,$B$1)),"",SUBSTITUTE(SUBSTITUTE(SUBSTITUTE(SUBSTITUTE(TRIM(LEFT(INDEX(貼り付け!$A$1:$BZ$3001,844,$B$1)&amp;"",FIND(" ",TRIM(INDEX(貼り付け!$A$1:$BZ$3001,844,$B$1)&amp;"")&amp;" ")-1)),"/","-"),"年","-"),"月","-"),"日",""))),"")</f>
        <v/>
      </c>
      <c r="J845">
        <f>IFERROR(MID(I845,FIND("-",I845)+1,99),"")</f>
        <v/>
      </c>
    </row>
    <row r="846">
      <c r="B846">
        <f>IFERROR(IF($B$1=0,"",IF(INDEX(貼り付け!$A$1:$BZ$3001,845,$B$1)="","",IF(ISNUMBER(INDEX(貼り付け!$A$1:$BZ$3001,845,$B$1)),INT(INDEX(貼り付け!$A$1:$BZ$3001,845,$B$1)),DATE(VALUE(LEFT(I846,FIND("-",I846)-1)),VALUE(LEFT(J846,FIND("-",J846)-1)),VALUE(MID(J846,FIND("-",J846)+1,99)))))),"")</f>
        <v/>
      </c>
      <c r="C846">
        <f>IF($C$1=0,0,IFERROR(VALUE(SUBSTITUTE(SUBSTITUTE(SUBSTITUTE(INDEX(貼り付け!$A$1:$BZ$3001,845,$C$1)&amp;"",",",""),"¥",""),"￥","")),0))</f>
        <v/>
      </c>
      <c r="D846">
        <f>IF($D$1=0,0,IFERROR(VALUE(SUBSTITUTE(SUBSTITUTE(SUBSTITUTE(INDEX(貼り付け!$A$1:$BZ$3001,845,$D$1)&amp;"",",",""),"¥",""),"￥","")),0))</f>
        <v/>
      </c>
      <c r="E846">
        <f>IF($E$1=0,0,IFERROR(VALUE(SUBSTITUTE(SUBSTITUTE(SUBSTITUTE(INDEX(貼り付け!$A$1:$BZ$3001,845,$E$1)&amp;"",",",""),"¥",""),"￥","")),0))</f>
        <v/>
      </c>
      <c r="F846">
        <f>IF($F$1=0,0,IFERROR(VALUE(SUBSTITUTE(SUBSTITUTE(SUBSTITUTE(INDEX(貼り付け!$A$1:$BZ$3001,845,$F$1)&amp;"",",",""),"¥",""),"￥","")),0))</f>
        <v/>
      </c>
      <c r="G846">
        <f>IF(ISNUMBER(B846),YEAR(B846),"")</f>
        <v/>
      </c>
      <c r="H846">
        <f>IF(ISNUMBER(B846),MONTH(B846),"")</f>
        <v/>
      </c>
      <c r="I846">
        <f>IFERROR(IF($B$1=0,"",IF(ISNUMBER(INDEX(貼り付け!$A$1:$BZ$3001,845,$B$1)),"",SUBSTITUTE(SUBSTITUTE(SUBSTITUTE(SUBSTITUTE(TRIM(LEFT(INDEX(貼り付け!$A$1:$BZ$3001,845,$B$1)&amp;"",FIND(" ",TRIM(INDEX(貼り付け!$A$1:$BZ$3001,845,$B$1)&amp;"")&amp;" ")-1)),"/","-"),"年","-"),"月","-"),"日",""))),"")</f>
        <v/>
      </c>
      <c r="J846">
        <f>IFERROR(MID(I846,FIND("-",I846)+1,99),"")</f>
        <v/>
      </c>
    </row>
    <row r="847">
      <c r="B847">
        <f>IFERROR(IF($B$1=0,"",IF(INDEX(貼り付け!$A$1:$BZ$3001,846,$B$1)="","",IF(ISNUMBER(INDEX(貼り付け!$A$1:$BZ$3001,846,$B$1)),INT(INDEX(貼り付け!$A$1:$BZ$3001,846,$B$1)),DATE(VALUE(LEFT(I847,FIND("-",I847)-1)),VALUE(LEFT(J847,FIND("-",J847)-1)),VALUE(MID(J847,FIND("-",J847)+1,99)))))),"")</f>
        <v/>
      </c>
      <c r="C847">
        <f>IF($C$1=0,0,IFERROR(VALUE(SUBSTITUTE(SUBSTITUTE(SUBSTITUTE(INDEX(貼り付け!$A$1:$BZ$3001,846,$C$1)&amp;"",",",""),"¥",""),"￥","")),0))</f>
        <v/>
      </c>
      <c r="D847">
        <f>IF($D$1=0,0,IFERROR(VALUE(SUBSTITUTE(SUBSTITUTE(SUBSTITUTE(INDEX(貼り付け!$A$1:$BZ$3001,846,$D$1)&amp;"",",",""),"¥",""),"￥","")),0))</f>
        <v/>
      </c>
      <c r="E847">
        <f>IF($E$1=0,0,IFERROR(VALUE(SUBSTITUTE(SUBSTITUTE(SUBSTITUTE(INDEX(貼り付け!$A$1:$BZ$3001,846,$E$1)&amp;"",",",""),"¥",""),"￥","")),0))</f>
        <v/>
      </c>
      <c r="F847">
        <f>IF($F$1=0,0,IFERROR(VALUE(SUBSTITUTE(SUBSTITUTE(SUBSTITUTE(INDEX(貼り付け!$A$1:$BZ$3001,846,$F$1)&amp;"",",",""),"¥",""),"￥","")),0))</f>
        <v/>
      </c>
      <c r="G847">
        <f>IF(ISNUMBER(B847),YEAR(B847),"")</f>
        <v/>
      </c>
      <c r="H847">
        <f>IF(ISNUMBER(B847),MONTH(B847),"")</f>
        <v/>
      </c>
      <c r="I847">
        <f>IFERROR(IF($B$1=0,"",IF(ISNUMBER(INDEX(貼り付け!$A$1:$BZ$3001,846,$B$1)),"",SUBSTITUTE(SUBSTITUTE(SUBSTITUTE(SUBSTITUTE(TRIM(LEFT(INDEX(貼り付け!$A$1:$BZ$3001,846,$B$1)&amp;"",FIND(" ",TRIM(INDEX(貼り付け!$A$1:$BZ$3001,846,$B$1)&amp;"")&amp;" ")-1)),"/","-"),"年","-"),"月","-"),"日",""))),"")</f>
        <v/>
      </c>
      <c r="J847">
        <f>IFERROR(MID(I847,FIND("-",I847)+1,99),"")</f>
        <v/>
      </c>
    </row>
    <row r="848">
      <c r="B848">
        <f>IFERROR(IF($B$1=0,"",IF(INDEX(貼り付け!$A$1:$BZ$3001,847,$B$1)="","",IF(ISNUMBER(INDEX(貼り付け!$A$1:$BZ$3001,847,$B$1)),INT(INDEX(貼り付け!$A$1:$BZ$3001,847,$B$1)),DATE(VALUE(LEFT(I848,FIND("-",I848)-1)),VALUE(LEFT(J848,FIND("-",J848)-1)),VALUE(MID(J848,FIND("-",J848)+1,99)))))),"")</f>
        <v/>
      </c>
      <c r="C848">
        <f>IF($C$1=0,0,IFERROR(VALUE(SUBSTITUTE(SUBSTITUTE(SUBSTITUTE(INDEX(貼り付け!$A$1:$BZ$3001,847,$C$1)&amp;"",",",""),"¥",""),"￥","")),0))</f>
        <v/>
      </c>
      <c r="D848">
        <f>IF($D$1=0,0,IFERROR(VALUE(SUBSTITUTE(SUBSTITUTE(SUBSTITUTE(INDEX(貼り付け!$A$1:$BZ$3001,847,$D$1)&amp;"",",",""),"¥",""),"￥","")),0))</f>
        <v/>
      </c>
      <c r="E848">
        <f>IF($E$1=0,0,IFERROR(VALUE(SUBSTITUTE(SUBSTITUTE(SUBSTITUTE(INDEX(貼り付け!$A$1:$BZ$3001,847,$E$1)&amp;"",",",""),"¥",""),"￥","")),0))</f>
        <v/>
      </c>
      <c r="F848">
        <f>IF($F$1=0,0,IFERROR(VALUE(SUBSTITUTE(SUBSTITUTE(SUBSTITUTE(INDEX(貼り付け!$A$1:$BZ$3001,847,$F$1)&amp;"",",",""),"¥",""),"￥","")),0))</f>
        <v/>
      </c>
      <c r="G848">
        <f>IF(ISNUMBER(B848),YEAR(B848),"")</f>
        <v/>
      </c>
      <c r="H848">
        <f>IF(ISNUMBER(B848),MONTH(B848),"")</f>
        <v/>
      </c>
      <c r="I848">
        <f>IFERROR(IF($B$1=0,"",IF(ISNUMBER(INDEX(貼り付け!$A$1:$BZ$3001,847,$B$1)),"",SUBSTITUTE(SUBSTITUTE(SUBSTITUTE(SUBSTITUTE(TRIM(LEFT(INDEX(貼り付け!$A$1:$BZ$3001,847,$B$1)&amp;"",FIND(" ",TRIM(INDEX(貼り付け!$A$1:$BZ$3001,847,$B$1)&amp;"")&amp;" ")-1)),"/","-"),"年","-"),"月","-"),"日",""))),"")</f>
        <v/>
      </c>
      <c r="J848">
        <f>IFERROR(MID(I848,FIND("-",I848)+1,99),"")</f>
        <v/>
      </c>
    </row>
    <row r="849">
      <c r="B849">
        <f>IFERROR(IF($B$1=0,"",IF(INDEX(貼り付け!$A$1:$BZ$3001,848,$B$1)="","",IF(ISNUMBER(INDEX(貼り付け!$A$1:$BZ$3001,848,$B$1)),INT(INDEX(貼り付け!$A$1:$BZ$3001,848,$B$1)),DATE(VALUE(LEFT(I849,FIND("-",I849)-1)),VALUE(LEFT(J849,FIND("-",J849)-1)),VALUE(MID(J849,FIND("-",J849)+1,99)))))),"")</f>
        <v/>
      </c>
      <c r="C849">
        <f>IF($C$1=0,0,IFERROR(VALUE(SUBSTITUTE(SUBSTITUTE(SUBSTITUTE(INDEX(貼り付け!$A$1:$BZ$3001,848,$C$1)&amp;"",",",""),"¥",""),"￥","")),0))</f>
        <v/>
      </c>
      <c r="D849">
        <f>IF($D$1=0,0,IFERROR(VALUE(SUBSTITUTE(SUBSTITUTE(SUBSTITUTE(INDEX(貼り付け!$A$1:$BZ$3001,848,$D$1)&amp;"",",",""),"¥",""),"￥","")),0))</f>
        <v/>
      </c>
      <c r="E849">
        <f>IF($E$1=0,0,IFERROR(VALUE(SUBSTITUTE(SUBSTITUTE(SUBSTITUTE(INDEX(貼り付け!$A$1:$BZ$3001,848,$E$1)&amp;"",",",""),"¥",""),"￥","")),0))</f>
        <v/>
      </c>
      <c r="F849">
        <f>IF($F$1=0,0,IFERROR(VALUE(SUBSTITUTE(SUBSTITUTE(SUBSTITUTE(INDEX(貼り付け!$A$1:$BZ$3001,848,$F$1)&amp;"",",",""),"¥",""),"￥","")),0))</f>
        <v/>
      </c>
      <c r="G849">
        <f>IF(ISNUMBER(B849),YEAR(B849),"")</f>
        <v/>
      </c>
      <c r="H849">
        <f>IF(ISNUMBER(B849),MONTH(B849),"")</f>
        <v/>
      </c>
      <c r="I849">
        <f>IFERROR(IF($B$1=0,"",IF(ISNUMBER(INDEX(貼り付け!$A$1:$BZ$3001,848,$B$1)),"",SUBSTITUTE(SUBSTITUTE(SUBSTITUTE(SUBSTITUTE(TRIM(LEFT(INDEX(貼り付け!$A$1:$BZ$3001,848,$B$1)&amp;"",FIND(" ",TRIM(INDEX(貼り付け!$A$1:$BZ$3001,848,$B$1)&amp;"")&amp;" ")-1)),"/","-"),"年","-"),"月","-"),"日",""))),"")</f>
        <v/>
      </c>
      <c r="J849">
        <f>IFERROR(MID(I849,FIND("-",I849)+1,99),"")</f>
        <v/>
      </c>
    </row>
    <row r="850">
      <c r="B850">
        <f>IFERROR(IF($B$1=0,"",IF(INDEX(貼り付け!$A$1:$BZ$3001,849,$B$1)="","",IF(ISNUMBER(INDEX(貼り付け!$A$1:$BZ$3001,849,$B$1)),INT(INDEX(貼り付け!$A$1:$BZ$3001,849,$B$1)),DATE(VALUE(LEFT(I850,FIND("-",I850)-1)),VALUE(LEFT(J850,FIND("-",J850)-1)),VALUE(MID(J850,FIND("-",J850)+1,99)))))),"")</f>
        <v/>
      </c>
      <c r="C850">
        <f>IF($C$1=0,0,IFERROR(VALUE(SUBSTITUTE(SUBSTITUTE(SUBSTITUTE(INDEX(貼り付け!$A$1:$BZ$3001,849,$C$1)&amp;"",",",""),"¥",""),"￥","")),0))</f>
        <v/>
      </c>
      <c r="D850">
        <f>IF($D$1=0,0,IFERROR(VALUE(SUBSTITUTE(SUBSTITUTE(SUBSTITUTE(INDEX(貼り付け!$A$1:$BZ$3001,849,$D$1)&amp;"",",",""),"¥",""),"￥","")),0))</f>
        <v/>
      </c>
      <c r="E850">
        <f>IF($E$1=0,0,IFERROR(VALUE(SUBSTITUTE(SUBSTITUTE(SUBSTITUTE(INDEX(貼り付け!$A$1:$BZ$3001,849,$E$1)&amp;"",",",""),"¥",""),"￥","")),0))</f>
        <v/>
      </c>
      <c r="F850">
        <f>IF($F$1=0,0,IFERROR(VALUE(SUBSTITUTE(SUBSTITUTE(SUBSTITUTE(INDEX(貼り付け!$A$1:$BZ$3001,849,$F$1)&amp;"",",",""),"¥",""),"￥","")),0))</f>
        <v/>
      </c>
      <c r="G850">
        <f>IF(ISNUMBER(B850),YEAR(B850),"")</f>
        <v/>
      </c>
      <c r="H850">
        <f>IF(ISNUMBER(B850),MONTH(B850),"")</f>
        <v/>
      </c>
      <c r="I850">
        <f>IFERROR(IF($B$1=0,"",IF(ISNUMBER(INDEX(貼り付け!$A$1:$BZ$3001,849,$B$1)),"",SUBSTITUTE(SUBSTITUTE(SUBSTITUTE(SUBSTITUTE(TRIM(LEFT(INDEX(貼り付け!$A$1:$BZ$3001,849,$B$1)&amp;"",FIND(" ",TRIM(INDEX(貼り付け!$A$1:$BZ$3001,849,$B$1)&amp;"")&amp;" ")-1)),"/","-"),"年","-"),"月","-"),"日",""))),"")</f>
        <v/>
      </c>
      <c r="J850">
        <f>IFERROR(MID(I850,FIND("-",I850)+1,99),"")</f>
        <v/>
      </c>
    </row>
    <row r="851">
      <c r="B851">
        <f>IFERROR(IF($B$1=0,"",IF(INDEX(貼り付け!$A$1:$BZ$3001,850,$B$1)="","",IF(ISNUMBER(INDEX(貼り付け!$A$1:$BZ$3001,850,$B$1)),INT(INDEX(貼り付け!$A$1:$BZ$3001,850,$B$1)),DATE(VALUE(LEFT(I851,FIND("-",I851)-1)),VALUE(LEFT(J851,FIND("-",J851)-1)),VALUE(MID(J851,FIND("-",J851)+1,99)))))),"")</f>
        <v/>
      </c>
      <c r="C851">
        <f>IF($C$1=0,0,IFERROR(VALUE(SUBSTITUTE(SUBSTITUTE(SUBSTITUTE(INDEX(貼り付け!$A$1:$BZ$3001,850,$C$1)&amp;"",",",""),"¥",""),"￥","")),0))</f>
        <v/>
      </c>
      <c r="D851">
        <f>IF($D$1=0,0,IFERROR(VALUE(SUBSTITUTE(SUBSTITUTE(SUBSTITUTE(INDEX(貼り付け!$A$1:$BZ$3001,850,$D$1)&amp;"",",",""),"¥",""),"￥","")),0))</f>
        <v/>
      </c>
      <c r="E851">
        <f>IF($E$1=0,0,IFERROR(VALUE(SUBSTITUTE(SUBSTITUTE(SUBSTITUTE(INDEX(貼り付け!$A$1:$BZ$3001,850,$E$1)&amp;"",",",""),"¥",""),"￥","")),0))</f>
        <v/>
      </c>
      <c r="F851">
        <f>IF($F$1=0,0,IFERROR(VALUE(SUBSTITUTE(SUBSTITUTE(SUBSTITUTE(INDEX(貼り付け!$A$1:$BZ$3001,850,$F$1)&amp;"",",",""),"¥",""),"￥","")),0))</f>
        <v/>
      </c>
      <c r="G851">
        <f>IF(ISNUMBER(B851),YEAR(B851),"")</f>
        <v/>
      </c>
      <c r="H851">
        <f>IF(ISNUMBER(B851),MONTH(B851),"")</f>
        <v/>
      </c>
      <c r="I851">
        <f>IFERROR(IF($B$1=0,"",IF(ISNUMBER(INDEX(貼り付け!$A$1:$BZ$3001,850,$B$1)),"",SUBSTITUTE(SUBSTITUTE(SUBSTITUTE(SUBSTITUTE(TRIM(LEFT(INDEX(貼り付け!$A$1:$BZ$3001,850,$B$1)&amp;"",FIND(" ",TRIM(INDEX(貼り付け!$A$1:$BZ$3001,850,$B$1)&amp;"")&amp;" ")-1)),"/","-"),"年","-"),"月","-"),"日",""))),"")</f>
        <v/>
      </c>
      <c r="J851">
        <f>IFERROR(MID(I851,FIND("-",I851)+1,99),"")</f>
        <v/>
      </c>
    </row>
    <row r="852">
      <c r="B852">
        <f>IFERROR(IF($B$1=0,"",IF(INDEX(貼り付け!$A$1:$BZ$3001,851,$B$1)="","",IF(ISNUMBER(INDEX(貼り付け!$A$1:$BZ$3001,851,$B$1)),INT(INDEX(貼り付け!$A$1:$BZ$3001,851,$B$1)),DATE(VALUE(LEFT(I852,FIND("-",I852)-1)),VALUE(LEFT(J852,FIND("-",J852)-1)),VALUE(MID(J852,FIND("-",J852)+1,99)))))),"")</f>
        <v/>
      </c>
      <c r="C852">
        <f>IF($C$1=0,0,IFERROR(VALUE(SUBSTITUTE(SUBSTITUTE(SUBSTITUTE(INDEX(貼り付け!$A$1:$BZ$3001,851,$C$1)&amp;"",",",""),"¥",""),"￥","")),0))</f>
        <v/>
      </c>
      <c r="D852">
        <f>IF($D$1=0,0,IFERROR(VALUE(SUBSTITUTE(SUBSTITUTE(SUBSTITUTE(INDEX(貼り付け!$A$1:$BZ$3001,851,$D$1)&amp;"",",",""),"¥",""),"￥","")),0))</f>
        <v/>
      </c>
      <c r="E852">
        <f>IF($E$1=0,0,IFERROR(VALUE(SUBSTITUTE(SUBSTITUTE(SUBSTITUTE(INDEX(貼り付け!$A$1:$BZ$3001,851,$E$1)&amp;"",",",""),"¥",""),"￥","")),0))</f>
        <v/>
      </c>
      <c r="F852">
        <f>IF($F$1=0,0,IFERROR(VALUE(SUBSTITUTE(SUBSTITUTE(SUBSTITUTE(INDEX(貼り付け!$A$1:$BZ$3001,851,$F$1)&amp;"",",",""),"¥",""),"￥","")),0))</f>
        <v/>
      </c>
      <c r="G852">
        <f>IF(ISNUMBER(B852),YEAR(B852),"")</f>
        <v/>
      </c>
      <c r="H852">
        <f>IF(ISNUMBER(B852),MONTH(B852),"")</f>
        <v/>
      </c>
      <c r="I852">
        <f>IFERROR(IF($B$1=0,"",IF(ISNUMBER(INDEX(貼り付け!$A$1:$BZ$3001,851,$B$1)),"",SUBSTITUTE(SUBSTITUTE(SUBSTITUTE(SUBSTITUTE(TRIM(LEFT(INDEX(貼り付け!$A$1:$BZ$3001,851,$B$1)&amp;"",FIND(" ",TRIM(INDEX(貼り付け!$A$1:$BZ$3001,851,$B$1)&amp;"")&amp;" ")-1)),"/","-"),"年","-"),"月","-"),"日",""))),"")</f>
        <v/>
      </c>
      <c r="J852">
        <f>IFERROR(MID(I852,FIND("-",I852)+1,99),"")</f>
        <v/>
      </c>
    </row>
    <row r="853">
      <c r="B853">
        <f>IFERROR(IF($B$1=0,"",IF(INDEX(貼り付け!$A$1:$BZ$3001,852,$B$1)="","",IF(ISNUMBER(INDEX(貼り付け!$A$1:$BZ$3001,852,$B$1)),INT(INDEX(貼り付け!$A$1:$BZ$3001,852,$B$1)),DATE(VALUE(LEFT(I853,FIND("-",I853)-1)),VALUE(LEFT(J853,FIND("-",J853)-1)),VALUE(MID(J853,FIND("-",J853)+1,99)))))),"")</f>
        <v/>
      </c>
      <c r="C853">
        <f>IF($C$1=0,0,IFERROR(VALUE(SUBSTITUTE(SUBSTITUTE(SUBSTITUTE(INDEX(貼り付け!$A$1:$BZ$3001,852,$C$1)&amp;"",",",""),"¥",""),"￥","")),0))</f>
        <v/>
      </c>
      <c r="D853">
        <f>IF($D$1=0,0,IFERROR(VALUE(SUBSTITUTE(SUBSTITUTE(SUBSTITUTE(INDEX(貼り付け!$A$1:$BZ$3001,852,$D$1)&amp;"",",",""),"¥",""),"￥","")),0))</f>
        <v/>
      </c>
      <c r="E853">
        <f>IF($E$1=0,0,IFERROR(VALUE(SUBSTITUTE(SUBSTITUTE(SUBSTITUTE(INDEX(貼り付け!$A$1:$BZ$3001,852,$E$1)&amp;"",",",""),"¥",""),"￥","")),0))</f>
        <v/>
      </c>
      <c r="F853">
        <f>IF($F$1=0,0,IFERROR(VALUE(SUBSTITUTE(SUBSTITUTE(SUBSTITUTE(INDEX(貼り付け!$A$1:$BZ$3001,852,$F$1)&amp;"",",",""),"¥",""),"￥","")),0))</f>
        <v/>
      </c>
      <c r="G853">
        <f>IF(ISNUMBER(B853),YEAR(B853),"")</f>
        <v/>
      </c>
      <c r="H853">
        <f>IF(ISNUMBER(B853),MONTH(B853),"")</f>
        <v/>
      </c>
      <c r="I853">
        <f>IFERROR(IF($B$1=0,"",IF(ISNUMBER(INDEX(貼り付け!$A$1:$BZ$3001,852,$B$1)),"",SUBSTITUTE(SUBSTITUTE(SUBSTITUTE(SUBSTITUTE(TRIM(LEFT(INDEX(貼り付け!$A$1:$BZ$3001,852,$B$1)&amp;"",FIND(" ",TRIM(INDEX(貼り付け!$A$1:$BZ$3001,852,$B$1)&amp;"")&amp;" ")-1)),"/","-"),"年","-"),"月","-"),"日",""))),"")</f>
        <v/>
      </c>
      <c r="J853">
        <f>IFERROR(MID(I853,FIND("-",I853)+1,99),"")</f>
        <v/>
      </c>
    </row>
    <row r="854">
      <c r="B854">
        <f>IFERROR(IF($B$1=0,"",IF(INDEX(貼り付け!$A$1:$BZ$3001,853,$B$1)="","",IF(ISNUMBER(INDEX(貼り付け!$A$1:$BZ$3001,853,$B$1)),INT(INDEX(貼り付け!$A$1:$BZ$3001,853,$B$1)),DATE(VALUE(LEFT(I854,FIND("-",I854)-1)),VALUE(LEFT(J854,FIND("-",J854)-1)),VALUE(MID(J854,FIND("-",J854)+1,99)))))),"")</f>
        <v/>
      </c>
      <c r="C854">
        <f>IF($C$1=0,0,IFERROR(VALUE(SUBSTITUTE(SUBSTITUTE(SUBSTITUTE(INDEX(貼り付け!$A$1:$BZ$3001,853,$C$1)&amp;"",",",""),"¥",""),"￥","")),0))</f>
        <v/>
      </c>
      <c r="D854">
        <f>IF($D$1=0,0,IFERROR(VALUE(SUBSTITUTE(SUBSTITUTE(SUBSTITUTE(INDEX(貼り付け!$A$1:$BZ$3001,853,$D$1)&amp;"",",",""),"¥",""),"￥","")),0))</f>
        <v/>
      </c>
      <c r="E854">
        <f>IF($E$1=0,0,IFERROR(VALUE(SUBSTITUTE(SUBSTITUTE(SUBSTITUTE(INDEX(貼り付け!$A$1:$BZ$3001,853,$E$1)&amp;"",",",""),"¥",""),"￥","")),0))</f>
        <v/>
      </c>
      <c r="F854">
        <f>IF($F$1=0,0,IFERROR(VALUE(SUBSTITUTE(SUBSTITUTE(SUBSTITUTE(INDEX(貼り付け!$A$1:$BZ$3001,853,$F$1)&amp;"",",",""),"¥",""),"￥","")),0))</f>
        <v/>
      </c>
      <c r="G854">
        <f>IF(ISNUMBER(B854),YEAR(B854),"")</f>
        <v/>
      </c>
      <c r="H854">
        <f>IF(ISNUMBER(B854),MONTH(B854),"")</f>
        <v/>
      </c>
      <c r="I854">
        <f>IFERROR(IF($B$1=0,"",IF(ISNUMBER(INDEX(貼り付け!$A$1:$BZ$3001,853,$B$1)),"",SUBSTITUTE(SUBSTITUTE(SUBSTITUTE(SUBSTITUTE(TRIM(LEFT(INDEX(貼り付け!$A$1:$BZ$3001,853,$B$1)&amp;"",FIND(" ",TRIM(INDEX(貼り付け!$A$1:$BZ$3001,853,$B$1)&amp;"")&amp;" ")-1)),"/","-"),"年","-"),"月","-"),"日",""))),"")</f>
        <v/>
      </c>
      <c r="J854">
        <f>IFERROR(MID(I854,FIND("-",I854)+1,99),"")</f>
        <v/>
      </c>
    </row>
    <row r="855">
      <c r="B855">
        <f>IFERROR(IF($B$1=0,"",IF(INDEX(貼り付け!$A$1:$BZ$3001,854,$B$1)="","",IF(ISNUMBER(INDEX(貼り付け!$A$1:$BZ$3001,854,$B$1)),INT(INDEX(貼り付け!$A$1:$BZ$3001,854,$B$1)),DATE(VALUE(LEFT(I855,FIND("-",I855)-1)),VALUE(LEFT(J855,FIND("-",J855)-1)),VALUE(MID(J855,FIND("-",J855)+1,99)))))),"")</f>
        <v/>
      </c>
      <c r="C855">
        <f>IF($C$1=0,0,IFERROR(VALUE(SUBSTITUTE(SUBSTITUTE(SUBSTITUTE(INDEX(貼り付け!$A$1:$BZ$3001,854,$C$1)&amp;"",",",""),"¥",""),"￥","")),0))</f>
        <v/>
      </c>
      <c r="D855">
        <f>IF($D$1=0,0,IFERROR(VALUE(SUBSTITUTE(SUBSTITUTE(SUBSTITUTE(INDEX(貼り付け!$A$1:$BZ$3001,854,$D$1)&amp;"",",",""),"¥",""),"￥","")),0))</f>
        <v/>
      </c>
      <c r="E855">
        <f>IF($E$1=0,0,IFERROR(VALUE(SUBSTITUTE(SUBSTITUTE(SUBSTITUTE(INDEX(貼り付け!$A$1:$BZ$3001,854,$E$1)&amp;"",",",""),"¥",""),"￥","")),0))</f>
        <v/>
      </c>
      <c r="F855">
        <f>IF($F$1=0,0,IFERROR(VALUE(SUBSTITUTE(SUBSTITUTE(SUBSTITUTE(INDEX(貼り付け!$A$1:$BZ$3001,854,$F$1)&amp;"",",",""),"¥",""),"￥","")),0))</f>
        <v/>
      </c>
      <c r="G855">
        <f>IF(ISNUMBER(B855),YEAR(B855),"")</f>
        <v/>
      </c>
      <c r="H855">
        <f>IF(ISNUMBER(B855),MONTH(B855),"")</f>
        <v/>
      </c>
      <c r="I855">
        <f>IFERROR(IF($B$1=0,"",IF(ISNUMBER(INDEX(貼り付け!$A$1:$BZ$3001,854,$B$1)),"",SUBSTITUTE(SUBSTITUTE(SUBSTITUTE(SUBSTITUTE(TRIM(LEFT(INDEX(貼り付け!$A$1:$BZ$3001,854,$B$1)&amp;"",FIND(" ",TRIM(INDEX(貼り付け!$A$1:$BZ$3001,854,$B$1)&amp;"")&amp;" ")-1)),"/","-"),"年","-"),"月","-"),"日",""))),"")</f>
        <v/>
      </c>
      <c r="J855">
        <f>IFERROR(MID(I855,FIND("-",I855)+1,99),"")</f>
        <v/>
      </c>
    </row>
    <row r="856">
      <c r="B856">
        <f>IFERROR(IF($B$1=0,"",IF(INDEX(貼り付け!$A$1:$BZ$3001,855,$B$1)="","",IF(ISNUMBER(INDEX(貼り付け!$A$1:$BZ$3001,855,$B$1)),INT(INDEX(貼り付け!$A$1:$BZ$3001,855,$B$1)),DATE(VALUE(LEFT(I856,FIND("-",I856)-1)),VALUE(LEFT(J856,FIND("-",J856)-1)),VALUE(MID(J856,FIND("-",J856)+1,99)))))),"")</f>
        <v/>
      </c>
      <c r="C856">
        <f>IF($C$1=0,0,IFERROR(VALUE(SUBSTITUTE(SUBSTITUTE(SUBSTITUTE(INDEX(貼り付け!$A$1:$BZ$3001,855,$C$1)&amp;"",",",""),"¥",""),"￥","")),0))</f>
        <v/>
      </c>
      <c r="D856">
        <f>IF($D$1=0,0,IFERROR(VALUE(SUBSTITUTE(SUBSTITUTE(SUBSTITUTE(INDEX(貼り付け!$A$1:$BZ$3001,855,$D$1)&amp;"",",",""),"¥",""),"￥","")),0))</f>
        <v/>
      </c>
      <c r="E856">
        <f>IF($E$1=0,0,IFERROR(VALUE(SUBSTITUTE(SUBSTITUTE(SUBSTITUTE(INDEX(貼り付け!$A$1:$BZ$3001,855,$E$1)&amp;"",",",""),"¥",""),"￥","")),0))</f>
        <v/>
      </c>
      <c r="F856">
        <f>IF($F$1=0,0,IFERROR(VALUE(SUBSTITUTE(SUBSTITUTE(SUBSTITUTE(INDEX(貼り付け!$A$1:$BZ$3001,855,$F$1)&amp;"",",",""),"¥",""),"￥","")),0))</f>
        <v/>
      </c>
      <c r="G856">
        <f>IF(ISNUMBER(B856),YEAR(B856),"")</f>
        <v/>
      </c>
      <c r="H856">
        <f>IF(ISNUMBER(B856),MONTH(B856),"")</f>
        <v/>
      </c>
      <c r="I856">
        <f>IFERROR(IF($B$1=0,"",IF(ISNUMBER(INDEX(貼り付け!$A$1:$BZ$3001,855,$B$1)),"",SUBSTITUTE(SUBSTITUTE(SUBSTITUTE(SUBSTITUTE(TRIM(LEFT(INDEX(貼り付け!$A$1:$BZ$3001,855,$B$1)&amp;"",FIND(" ",TRIM(INDEX(貼り付け!$A$1:$BZ$3001,855,$B$1)&amp;"")&amp;" ")-1)),"/","-"),"年","-"),"月","-"),"日",""))),"")</f>
        <v/>
      </c>
      <c r="J856">
        <f>IFERROR(MID(I856,FIND("-",I856)+1,99),"")</f>
        <v/>
      </c>
    </row>
    <row r="857">
      <c r="B857">
        <f>IFERROR(IF($B$1=0,"",IF(INDEX(貼り付け!$A$1:$BZ$3001,856,$B$1)="","",IF(ISNUMBER(INDEX(貼り付け!$A$1:$BZ$3001,856,$B$1)),INT(INDEX(貼り付け!$A$1:$BZ$3001,856,$B$1)),DATE(VALUE(LEFT(I857,FIND("-",I857)-1)),VALUE(LEFT(J857,FIND("-",J857)-1)),VALUE(MID(J857,FIND("-",J857)+1,99)))))),"")</f>
        <v/>
      </c>
      <c r="C857">
        <f>IF($C$1=0,0,IFERROR(VALUE(SUBSTITUTE(SUBSTITUTE(SUBSTITUTE(INDEX(貼り付け!$A$1:$BZ$3001,856,$C$1)&amp;"",",",""),"¥",""),"￥","")),0))</f>
        <v/>
      </c>
      <c r="D857">
        <f>IF($D$1=0,0,IFERROR(VALUE(SUBSTITUTE(SUBSTITUTE(SUBSTITUTE(INDEX(貼り付け!$A$1:$BZ$3001,856,$D$1)&amp;"",",",""),"¥",""),"￥","")),0))</f>
        <v/>
      </c>
      <c r="E857">
        <f>IF($E$1=0,0,IFERROR(VALUE(SUBSTITUTE(SUBSTITUTE(SUBSTITUTE(INDEX(貼り付け!$A$1:$BZ$3001,856,$E$1)&amp;"",",",""),"¥",""),"￥","")),0))</f>
        <v/>
      </c>
      <c r="F857">
        <f>IF($F$1=0,0,IFERROR(VALUE(SUBSTITUTE(SUBSTITUTE(SUBSTITUTE(INDEX(貼り付け!$A$1:$BZ$3001,856,$F$1)&amp;"",",",""),"¥",""),"￥","")),0))</f>
        <v/>
      </c>
      <c r="G857">
        <f>IF(ISNUMBER(B857),YEAR(B857),"")</f>
        <v/>
      </c>
      <c r="H857">
        <f>IF(ISNUMBER(B857),MONTH(B857),"")</f>
        <v/>
      </c>
      <c r="I857">
        <f>IFERROR(IF($B$1=0,"",IF(ISNUMBER(INDEX(貼り付け!$A$1:$BZ$3001,856,$B$1)),"",SUBSTITUTE(SUBSTITUTE(SUBSTITUTE(SUBSTITUTE(TRIM(LEFT(INDEX(貼り付け!$A$1:$BZ$3001,856,$B$1)&amp;"",FIND(" ",TRIM(INDEX(貼り付け!$A$1:$BZ$3001,856,$B$1)&amp;"")&amp;" ")-1)),"/","-"),"年","-"),"月","-"),"日",""))),"")</f>
        <v/>
      </c>
      <c r="J857">
        <f>IFERROR(MID(I857,FIND("-",I857)+1,99),"")</f>
        <v/>
      </c>
    </row>
    <row r="858">
      <c r="B858">
        <f>IFERROR(IF($B$1=0,"",IF(INDEX(貼り付け!$A$1:$BZ$3001,857,$B$1)="","",IF(ISNUMBER(INDEX(貼り付け!$A$1:$BZ$3001,857,$B$1)),INT(INDEX(貼り付け!$A$1:$BZ$3001,857,$B$1)),DATE(VALUE(LEFT(I858,FIND("-",I858)-1)),VALUE(LEFT(J858,FIND("-",J858)-1)),VALUE(MID(J858,FIND("-",J858)+1,99)))))),"")</f>
        <v/>
      </c>
      <c r="C858">
        <f>IF($C$1=0,0,IFERROR(VALUE(SUBSTITUTE(SUBSTITUTE(SUBSTITUTE(INDEX(貼り付け!$A$1:$BZ$3001,857,$C$1)&amp;"",",",""),"¥",""),"￥","")),0))</f>
        <v/>
      </c>
      <c r="D858">
        <f>IF($D$1=0,0,IFERROR(VALUE(SUBSTITUTE(SUBSTITUTE(SUBSTITUTE(INDEX(貼り付け!$A$1:$BZ$3001,857,$D$1)&amp;"",",",""),"¥",""),"￥","")),0))</f>
        <v/>
      </c>
      <c r="E858">
        <f>IF($E$1=0,0,IFERROR(VALUE(SUBSTITUTE(SUBSTITUTE(SUBSTITUTE(INDEX(貼り付け!$A$1:$BZ$3001,857,$E$1)&amp;"",",",""),"¥",""),"￥","")),0))</f>
        <v/>
      </c>
      <c r="F858">
        <f>IF($F$1=0,0,IFERROR(VALUE(SUBSTITUTE(SUBSTITUTE(SUBSTITUTE(INDEX(貼り付け!$A$1:$BZ$3001,857,$F$1)&amp;"",",",""),"¥",""),"￥","")),0))</f>
        <v/>
      </c>
      <c r="G858">
        <f>IF(ISNUMBER(B858),YEAR(B858),"")</f>
        <v/>
      </c>
      <c r="H858">
        <f>IF(ISNUMBER(B858),MONTH(B858),"")</f>
        <v/>
      </c>
      <c r="I858">
        <f>IFERROR(IF($B$1=0,"",IF(ISNUMBER(INDEX(貼り付け!$A$1:$BZ$3001,857,$B$1)),"",SUBSTITUTE(SUBSTITUTE(SUBSTITUTE(SUBSTITUTE(TRIM(LEFT(INDEX(貼り付け!$A$1:$BZ$3001,857,$B$1)&amp;"",FIND(" ",TRIM(INDEX(貼り付け!$A$1:$BZ$3001,857,$B$1)&amp;"")&amp;" ")-1)),"/","-"),"年","-"),"月","-"),"日",""))),"")</f>
        <v/>
      </c>
      <c r="J858">
        <f>IFERROR(MID(I858,FIND("-",I858)+1,99),"")</f>
        <v/>
      </c>
    </row>
    <row r="859">
      <c r="B859">
        <f>IFERROR(IF($B$1=0,"",IF(INDEX(貼り付け!$A$1:$BZ$3001,858,$B$1)="","",IF(ISNUMBER(INDEX(貼り付け!$A$1:$BZ$3001,858,$B$1)),INT(INDEX(貼り付け!$A$1:$BZ$3001,858,$B$1)),DATE(VALUE(LEFT(I859,FIND("-",I859)-1)),VALUE(LEFT(J859,FIND("-",J859)-1)),VALUE(MID(J859,FIND("-",J859)+1,99)))))),"")</f>
        <v/>
      </c>
      <c r="C859">
        <f>IF($C$1=0,0,IFERROR(VALUE(SUBSTITUTE(SUBSTITUTE(SUBSTITUTE(INDEX(貼り付け!$A$1:$BZ$3001,858,$C$1)&amp;"",",",""),"¥",""),"￥","")),0))</f>
        <v/>
      </c>
      <c r="D859">
        <f>IF($D$1=0,0,IFERROR(VALUE(SUBSTITUTE(SUBSTITUTE(SUBSTITUTE(INDEX(貼り付け!$A$1:$BZ$3001,858,$D$1)&amp;"",",",""),"¥",""),"￥","")),0))</f>
        <v/>
      </c>
      <c r="E859">
        <f>IF($E$1=0,0,IFERROR(VALUE(SUBSTITUTE(SUBSTITUTE(SUBSTITUTE(INDEX(貼り付け!$A$1:$BZ$3001,858,$E$1)&amp;"",",",""),"¥",""),"￥","")),0))</f>
        <v/>
      </c>
      <c r="F859">
        <f>IF($F$1=0,0,IFERROR(VALUE(SUBSTITUTE(SUBSTITUTE(SUBSTITUTE(INDEX(貼り付け!$A$1:$BZ$3001,858,$F$1)&amp;"",",",""),"¥",""),"￥","")),0))</f>
        <v/>
      </c>
      <c r="G859">
        <f>IF(ISNUMBER(B859),YEAR(B859),"")</f>
        <v/>
      </c>
      <c r="H859">
        <f>IF(ISNUMBER(B859),MONTH(B859),"")</f>
        <v/>
      </c>
      <c r="I859">
        <f>IFERROR(IF($B$1=0,"",IF(ISNUMBER(INDEX(貼り付け!$A$1:$BZ$3001,858,$B$1)),"",SUBSTITUTE(SUBSTITUTE(SUBSTITUTE(SUBSTITUTE(TRIM(LEFT(INDEX(貼り付け!$A$1:$BZ$3001,858,$B$1)&amp;"",FIND(" ",TRIM(INDEX(貼り付け!$A$1:$BZ$3001,858,$B$1)&amp;"")&amp;" ")-1)),"/","-"),"年","-"),"月","-"),"日",""))),"")</f>
        <v/>
      </c>
      <c r="J859">
        <f>IFERROR(MID(I859,FIND("-",I859)+1,99),"")</f>
        <v/>
      </c>
    </row>
    <row r="860">
      <c r="B860">
        <f>IFERROR(IF($B$1=0,"",IF(INDEX(貼り付け!$A$1:$BZ$3001,859,$B$1)="","",IF(ISNUMBER(INDEX(貼り付け!$A$1:$BZ$3001,859,$B$1)),INT(INDEX(貼り付け!$A$1:$BZ$3001,859,$B$1)),DATE(VALUE(LEFT(I860,FIND("-",I860)-1)),VALUE(LEFT(J860,FIND("-",J860)-1)),VALUE(MID(J860,FIND("-",J860)+1,99)))))),"")</f>
        <v/>
      </c>
      <c r="C860">
        <f>IF($C$1=0,0,IFERROR(VALUE(SUBSTITUTE(SUBSTITUTE(SUBSTITUTE(INDEX(貼り付け!$A$1:$BZ$3001,859,$C$1)&amp;"",",",""),"¥",""),"￥","")),0))</f>
        <v/>
      </c>
      <c r="D860">
        <f>IF($D$1=0,0,IFERROR(VALUE(SUBSTITUTE(SUBSTITUTE(SUBSTITUTE(INDEX(貼り付け!$A$1:$BZ$3001,859,$D$1)&amp;"",",",""),"¥",""),"￥","")),0))</f>
        <v/>
      </c>
      <c r="E860">
        <f>IF($E$1=0,0,IFERROR(VALUE(SUBSTITUTE(SUBSTITUTE(SUBSTITUTE(INDEX(貼り付け!$A$1:$BZ$3001,859,$E$1)&amp;"",",",""),"¥",""),"￥","")),0))</f>
        <v/>
      </c>
      <c r="F860">
        <f>IF($F$1=0,0,IFERROR(VALUE(SUBSTITUTE(SUBSTITUTE(SUBSTITUTE(INDEX(貼り付け!$A$1:$BZ$3001,859,$F$1)&amp;"",",",""),"¥",""),"￥","")),0))</f>
        <v/>
      </c>
      <c r="G860">
        <f>IF(ISNUMBER(B860),YEAR(B860),"")</f>
        <v/>
      </c>
      <c r="H860">
        <f>IF(ISNUMBER(B860),MONTH(B860),"")</f>
        <v/>
      </c>
      <c r="I860">
        <f>IFERROR(IF($B$1=0,"",IF(ISNUMBER(INDEX(貼り付け!$A$1:$BZ$3001,859,$B$1)),"",SUBSTITUTE(SUBSTITUTE(SUBSTITUTE(SUBSTITUTE(TRIM(LEFT(INDEX(貼り付け!$A$1:$BZ$3001,859,$B$1)&amp;"",FIND(" ",TRIM(INDEX(貼り付け!$A$1:$BZ$3001,859,$B$1)&amp;"")&amp;" ")-1)),"/","-"),"年","-"),"月","-"),"日",""))),"")</f>
        <v/>
      </c>
      <c r="J860">
        <f>IFERROR(MID(I860,FIND("-",I860)+1,99),"")</f>
        <v/>
      </c>
    </row>
    <row r="861">
      <c r="B861">
        <f>IFERROR(IF($B$1=0,"",IF(INDEX(貼り付け!$A$1:$BZ$3001,860,$B$1)="","",IF(ISNUMBER(INDEX(貼り付け!$A$1:$BZ$3001,860,$B$1)),INT(INDEX(貼り付け!$A$1:$BZ$3001,860,$B$1)),DATE(VALUE(LEFT(I861,FIND("-",I861)-1)),VALUE(LEFT(J861,FIND("-",J861)-1)),VALUE(MID(J861,FIND("-",J861)+1,99)))))),"")</f>
        <v/>
      </c>
      <c r="C861">
        <f>IF($C$1=0,0,IFERROR(VALUE(SUBSTITUTE(SUBSTITUTE(SUBSTITUTE(INDEX(貼り付け!$A$1:$BZ$3001,860,$C$1)&amp;"",",",""),"¥",""),"￥","")),0))</f>
        <v/>
      </c>
      <c r="D861">
        <f>IF($D$1=0,0,IFERROR(VALUE(SUBSTITUTE(SUBSTITUTE(SUBSTITUTE(INDEX(貼り付け!$A$1:$BZ$3001,860,$D$1)&amp;"",",",""),"¥",""),"￥","")),0))</f>
        <v/>
      </c>
      <c r="E861">
        <f>IF($E$1=0,0,IFERROR(VALUE(SUBSTITUTE(SUBSTITUTE(SUBSTITUTE(INDEX(貼り付け!$A$1:$BZ$3001,860,$E$1)&amp;"",",",""),"¥",""),"￥","")),0))</f>
        <v/>
      </c>
      <c r="F861">
        <f>IF($F$1=0,0,IFERROR(VALUE(SUBSTITUTE(SUBSTITUTE(SUBSTITUTE(INDEX(貼り付け!$A$1:$BZ$3001,860,$F$1)&amp;"",",",""),"¥",""),"￥","")),0))</f>
        <v/>
      </c>
      <c r="G861">
        <f>IF(ISNUMBER(B861),YEAR(B861),"")</f>
        <v/>
      </c>
      <c r="H861">
        <f>IF(ISNUMBER(B861),MONTH(B861),"")</f>
        <v/>
      </c>
      <c r="I861">
        <f>IFERROR(IF($B$1=0,"",IF(ISNUMBER(INDEX(貼り付け!$A$1:$BZ$3001,860,$B$1)),"",SUBSTITUTE(SUBSTITUTE(SUBSTITUTE(SUBSTITUTE(TRIM(LEFT(INDEX(貼り付け!$A$1:$BZ$3001,860,$B$1)&amp;"",FIND(" ",TRIM(INDEX(貼り付け!$A$1:$BZ$3001,860,$B$1)&amp;"")&amp;" ")-1)),"/","-"),"年","-"),"月","-"),"日",""))),"")</f>
        <v/>
      </c>
      <c r="J861">
        <f>IFERROR(MID(I861,FIND("-",I861)+1,99),"")</f>
        <v/>
      </c>
    </row>
    <row r="862">
      <c r="B862">
        <f>IFERROR(IF($B$1=0,"",IF(INDEX(貼り付け!$A$1:$BZ$3001,861,$B$1)="","",IF(ISNUMBER(INDEX(貼り付け!$A$1:$BZ$3001,861,$B$1)),INT(INDEX(貼り付け!$A$1:$BZ$3001,861,$B$1)),DATE(VALUE(LEFT(I862,FIND("-",I862)-1)),VALUE(LEFT(J862,FIND("-",J862)-1)),VALUE(MID(J862,FIND("-",J862)+1,99)))))),"")</f>
        <v/>
      </c>
      <c r="C862">
        <f>IF($C$1=0,0,IFERROR(VALUE(SUBSTITUTE(SUBSTITUTE(SUBSTITUTE(INDEX(貼り付け!$A$1:$BZ$3001,861,$C$1)&amp;"",",",""),"¥",""),"￥","")),0))</f>
        <v/>
      </c>
      <c r="D862">
        <f>IF($D$1=0,0,IFERROR(VALUE(SUBSTITUTE(SUBSTITUTE(SUBSTITUTE(INDEX(貼り付け!$A$1:$BZ$3001,861,$D$1)&amp;"",",",""),"¥",""),"￥","")),0))</f>
        <v/>
      </c>
      <c r="E862">
        <f>IF($E$1=0,0,IFERROR(VALUE(SUBSTITUTE(SUBSTITUTE(SUBSTITUTE(INDEX(貼り付け!$A$1:$BZ$3001,861,$E$1)&amp;"",",",""),"¥",""),"￥","")),0))</f>
        <v/>
      </c>
      <c r="F862">
        <f>IF($F$1=0,0,IFERROR(VALUE(SUBSTITUTE(SUBSTITUTE(SUBSTITUTE(INDEX(貼り付け!$A$1:$BZ$3001,861,$F$1)&amp;"",",",""),"¥",""),"￥","")),0))</f>
        <v/>
      </c>
      <c r="G862">
        <f>IF(ISNUMBER(B862),YEAR(B862),"")</f>
        <v/>
      </c>
      <c r="H862">
        <f>IF(ISNUMBER(B862),MONTH(B862),"")</f>
        <v/>
      </c>
      <c r="I862">
        <f>IFERROR(IF($B$1=0,"",IF(ISNUMBER(INDEX(貼り付け!$A$1:$BZ$3001,861,$B$1)),"",SUBSTITUTE(SUBSTITUTE(SUBSTITUTE(SUBSTITUTE(TRIM(LEFT(INDEX(貼り付け!$A$1:$BZ$3001,861,$B$1)&amp;"",FIND(" ",TRIM(INDEX(貼り付け!$A$1:$BZ$3001,861,$B$1)&amp;"")&amp;" ")-1)),"/","-"),"年","-"),"月","-"),"日",""))),"")</f>
        <v/>
      </c>
      <c r="J862">
        <f>IFERROR(MID(I862,FIND("-",I862)+1,99),"")</f>
        <v/>
      </c>
    </row>
    <row r="863">
      <c r="B863">
        <f>IFERROR(IF($B$1=0,"",IF(INDEX(貼り付け!$A$1:$BZ$3001,862,$B$1)="","",IF(ISNUMBER(INDEX(貼り付け!$A$1:$BZ$3001,862,$B$1)),INT(INDEX(貼り付け!$A$1:$BZ$3001,862,$B$1)),DATE(VALUE(LEFT(I863,FIND("-",I863)-1)),VALUE(LEFT(J863,FIND("-",J863)-1)),VALUE(MID(J863,FIND("-",J863)+1,99)))))),"")</f>
        <v/>
      </c>
      <c r="C863">
        <f>IF($C$1=0,0,IFERROR(VALUE(SUBSTITUTE(SUBSTITUTE(SUBSTITUTE(INDEX(貼り付け!$A$1:$BZ$3001,862,$C$1)&amp;"",",",""),"¥",""),"￥","")),0))</f>
        <v/>
      </c>
      <c r="D863">
        <f>IF($D$1=0,0,IFERROR(VALUE(SUBSTITUTE(SUBSTITUTE(SUBSTITUTE(INDEX(貼り付け!$A$1:$BZ$3001,862,$D$1)&amp;"",",",""),"¥",""),"￥","")),0))</f>
        <v/>
      </c>
      <c r="E863">
        <f>IF($E$1=0,0,IFERROR(VALUE(SUBSTITUTE(SUBSTITUTE(SUBSTITUTE(INDEX(貼り付け!$A$1:$BZ$3001,862,$E$1)&amp;"",",",""),"¥",""),"￥","")),0))</f>
        <v/>
      </c>
      <c r="F863">
        <f>IF($F$1=0,0,IFERROR(VALUE(SUBSTITUTE(SUBSTITUTE(SUBSTITUTE(INDEX(貼り付け!$A$1:$BZ$3001,862,$F$1)&amp;"",",",""),"¥",""),"￥","")),0))</f>
        <v/>
      </c>
      <c r="G863">
        <f>IF(ISNUMBER(B863),YEAR(B863),"")</f>
        <v/>
      </c>
      <c r="H863">
        <f>IF(ISNUMBER(B863),MONTH(B863),"")</f>
        <v/>
      </c>
      <c r="I863">
        <f>IFERROR(IF($B$1=0,"",IF(ISNUMBER(INDEX(貼り付け!$A$1:$BZ$3001,862,$B$1)),"",SUBSTITUTE(SUBSTITUTE(SUBSTITUTE(SUBSTITUTE(TRIM(LEFT(INDEX(貼り付け!$A$1:$BZ$3001,862,$B$1)&amp;"",FIND(" ",TRIM(INDEX(貼り付け!$A$1:$BZ$3001,862,$B$1)&amp;"")&amp;" ")-1)),"/","-"),"年","-"),"月","-"),"日",""))),"")</f>
        <v/>
      </c>
      <c r="J863">
        <f>IFERROR(MID(I863,FIND("-",I863)+1,99),"")</f>
        <v/>
      </c>
    </row>
    <row r="864">
      <c r="B864">
        <f>IFERROR(IF($B$1=0,"",IF(INDEX(貼り付け!$A$1:$BZ$3001,863,$B$1)="","",IF(ISNUMBER(INDEX(貼り付け!$A$1:$BZ$3001,863,$B$1)),INT(INDEX(貼り付け!$A$1:$BZ$3001,863,$B$1)),DATE(VALUE(LEFT(I864,FIND("-",I864)-1)),VALUE(LEFT(J864,FIND("-",J864)-1)),VALUE(MID(J864,FIND("-",J864)+1,99)))))),"")</f>
        <v/>
      </c>
      <c r="C864">
        <f>IF($C$1=0,0,IFERROR(VALUE(SUBSTITUTE(SUBSTITUTE(SUBSTITUTE(INDEX(貼り付け!$A$1:$BZ$3001,863,$C$1)&amp;"",",",""),"¥",""),"￥","")),0))</f>
        <v/>
      </c>
      <c r="D864">
        <f>IF($D$1=0,0,IFERROR(VALUE(SUBSTITUTE(SUBSTITUTE(SUBSTITUTE(INDEX(貼り付け!$A$1:$BZ$3001,863,$D$1)&amp;"",",",""),"¥",""),"￥","")),0))</f>
        <v/>
      </c>
      <c r="E864">
        <f>IF($E$1=0,0,IFERROR(VALUE(SUBSTITUTE(SUBSTITUTE(SUBSTITUTE(INDEX(貼り付け!$A$1:$BZ$3001,863,$E$1)&amp;"",",",""),"¥",""),"￥","")),0))</f>
        <v/>
      </c>
      <c r="F864">
        <f>IF($F$1=0,0,IFERROR(VALUE(SUBSTITUTE(SUBSTITUTE(SUBSTITUTE(INDEX(貼り付け!$A$1:$BZ$3001,863,$F$1)&amp;"",",",""),"¥",""),"￥","")),0))</f>
        <v/>
      </c>
      <c r="G864">
        <f>IF(ISNUMBER(B864),YEAR(B864),"")</f>
        <v/>
      </c>
      <c r="H864">
        <f>IF(ISNUMBER(B864),MONTH(B864),"")</f>
        <v/>
      </c>
      <c r="I864">
        <f>IFERROR(IF($B$1=0,"",IF(ISNUMBER(INDEX(貼り付け!$A$1:$BZ$3001,863,$B$1)),"",SUBSTITUTE(SUBSTITUTE(SUBSTITUTE(SUBSTITUTE(TRIM(LEFT(INDEX(貼り付け!$A$1:$BZ$3001,863,$B$1)&amp;"",FIND(" ",TRIM(INDEX(貼り付け!$A$1:$BZ$3001,863,$B$1)&amp;"")&amp;" ")-1)),"/","-"),"年","-"),"月","-"),"日",""))),"")</f>
        <v/>
      </c>
      <c r="J864">
        <f>IFERROR(MID(I864,FIND("-",I864)+1,99),"")</f>
        <v/>
      </c>
    </row>
    <row r="865">
      <c r="B865">
        <f>IFERROR(IF($B$1=0,"",IF(INDEX(貼り付け!$A$1:$BZ$3001,864,$B$1)="","",IF(ISNUMBER(INDEX(貼り付け!$A$1:$BZ$3001,864,$B$1)),INT(INDEX(貼り付け!$A$1:$BZ$3001,864,$B$1)),DATE(VALUE(LEFT(I865,FIND("-",I865)-1)),VALUE(LEFT(J865,FIND("-",J865)-1)),VALUE(MID(J865,FIND("-",J865)+1,99)))))),"")</f>
        <v/>
      </c>
      <c r="C865">
        <f>IF($C$1=0,0,IFERROR(VALUE(SUBSTITUTE(SUBSTITUTE(SUBSTITUTE(INDEX(貼り付け!$A$1:$BZ$3001,864,$C$1)&amp;"",",",""),"¥",""),"￥","")),0))</f>
        <v/>
      </c>
      <c r="D865">
        <f>IF($D$1=0,0,IFERROR(VALUE(SUBSTITUTE(SUBSTITUTE(SUBSTITUTE(INDEX(貼り付け!$A$1:$BZ$3001,864,$D$1)&amp;"",",",""),"¥",""),"￥","")),0))</f>
        <v/>
      </c>
      <c r="E865">
        <f>IF($E$1=0,0,IFERROR(VALUE(SUBSTITUTE(SUBSTITUTE(SUBSTITUTE(INDEX(貼り付け!$A$1:$BZ$3001,864,$E$1)&amp;"",",",""),"¥",""),"￥","")),0))</f>
        <v/>
      </c>
      <c r="F865">
        <f>IF($F$1=0,0,IFERROR(VALUE(SUBSTITUTE(SUBSTITUTE(SUBSTITUTE(INDEX(貼り付け!$A$1:$BZ$3001,864,$F$1)&amp;"",",",""),"¥",""),"￥","")),0))</f>
        <v/>
      </c>
      <c r="G865">
        <f>IF(ISNUMBER(B865),YEAR(B865),"")</f>
        <v/>
      </c>
      <c r="H865">
        <f>IF(ISNUMBER(B865),MONTH(B865),"")</f>
        <v/>
      </c>
      <c r="I865">
        <f>IFERROR(IF($B$1=0,"",IF(ISNUMBER(INDEX(貼り付け!$A$1:$BZ$3001,864,$B$1)),"",SUBSTITUTE(SUBSTITUTE(SUBSTITUTE(SUBSTITUTE(TRIM(LEFT(INDEX(貼り付け!$A$1:$BZ$3001,864,$B$1)&amp;"",FIND(" ",TRIM(INDEX(貼り付け!$A$1:$BZ$3001,864,$B$1)&amp;"")&amp;" ")-1)),"/","-"),"年","-"),"月","-"),"日",""))),"")</f>
        <v/>
      </c>
      <c r="J865">
        <f>IFERROR(MID(I865,FIND("-",I865)+1,99),"")</f>
        <v/>
      </c>
    </row>
    <row r="866">
      <c r="B866">
        <f>IFERROR(IF($B$1=0,"",IF(INDEX(貼り付け!$A$1:$BZ$3001,865,$B$1)="","",IF(ISNUMBER(INDEX(貼り付け!$A$1:$BZ$3001,865,$B$1)),INT(INDEX(貼り付け!$A$1:$BZ$3001,865,$B$1)),DATE(VALUE(LEFT(I866,FIND("-",I866)-1)),VALUE(LEFT(J866,FIND("-",J866)-1)),VALUE(MID(J866,FIND("-",J866)+1,99)))))),"")</f>
        <v/>
      </c>
      <c r="C866">
        <f>IF($C$1=0,0,IFERROR(VALUE(SUBSTITUTE(SUBSTITUTE(SUBSTITUTE(INDEX(貼り付け!$A$1:$BZ$3001,865,$C$1)&amp;"",",",""),"¥",""),"￥","")),0))</f>
        <v/>
      </c>
      <c r="D866">
        <f>IF($D$1=0,0,IFERROR(VALUE(SUBSTITUTE(SUBSTITUTE(SUBSTITUTE(INDEX(貼り付け!$A$1:$BZ$3001,865,$D$1)&amp;"",",",""),"¥",""),"￥","")),0))</f>
        <v/>
      </c>
      <c r="E866">
        <f>IF($E$1=0,0,IFERROR(VALUE(SUBSTITUTE(SUBSTITUTE(SUBSTITUTE(INDEX(貼り付け!$A$1:$BZ$3001,865,$E$1)&amp;"",",",""),"¥",""),"￥","")),0))</f>
        <v/>
      </c>
      <c r="F866">
        <f>IF($F$1=0,0,IFERROR(VALUE(SUBSTITUTE(SUBSTITUTE(SUBSTITUTE(INDEX(貼り付け!$A$1:$BZ$3001,865,$F$1)&amp;"",",",""),"¥",""),"￥","")),0))</f>
        <v/>
      </c>
      <c r="G866">
        <f>IF(ISNUMBER(B866),YEAR(B866),"")</f>
        <v/>
      </c>
      <c r="H866">
        <f>IF(ISNUMBER(B866),MONTH(B866),"")</f>
        <v/>
      </c>
      <c r="I866">
        <f>IFERROR(IF($B$1=0,"",IF(ISNUMBER(INDEX(貼り付け!$A$1:$BZ$3001,865,$B$1)),"",SUBSTITUTE(SUBSTITUTE(SUBSTITUTE(SUBSTITUTE(TRIM(LEFT(INDEX(貼り付け!$A$1:$BZ$3001,865,$B$1)&amp;"",FIND(" ",TRIM(INDEX(貼り付け!$A$1:$BZ$3001,865,$B$1)&amp;"")&amp;" ")-1)),"/","-"),"年","-"),"月","-"),"日",""))),"")</f>
        <v/>
      </c>
      <c r="J866">
        <f>IFERROR(MID(I866,FIND("-",I866)+1,99),"")</f>
        <v/>
      </c>
    </row>
    <row r="867">
      <c r="B867">
        <f>IFERROR(IF($B$1=0,"",IF(INDEX(貼り付け!$A$1:$BZ$3001,866,$B$1)="","",IF(ISNUMBER(INDEX(貼り付け!$A$1:$BZ$3001,866,$B$1)),INT(INDEX(貼り付け!$A$1:$BZ$3001,866,$B$1)),DATE(VALUE(LEFT(I867,FIND("-",I867)-1)),VALUE(LEFT(J867,FIND("-",J867)-1)),VALUE(MID(J867,FIND("-",J867)+1,99)))))),"")</f>
        <v/>
      </c>
      <c r="C867">
        <f>IF($C$1=0,0,IFERROR(VALUE(SUBSTITUTE(SUBSTITUTE(SUBSTITUTE(INDEX(貼り付け!$A$1:$BZ$3001,866,$C$1)&amp;"",",",""),"¥",""),"￥","")),0))</f>
        <v/>
      </c>
      <c r="D867">
        <f>IF($D$1=0,0,IFERROR(VALUE(SUBSTITUTE(SUBSTITUTE(SUBSTITUTE(INDEX(貼り付け!$A$1:$BZ$3001,866,$D$1)&amp;"",",",""),"¥",""),"￥","")),0))</f>
        <v/>
      </c>
      <c r="E867">
        <f>IF($E$1=0,0,IFERROR(VALUE(SUBSTITUTE(SUBSTITUTE(SUBSTITUTE(INDEX(貼り付け!$A$1:$BZ$3001,866,$E$1)&amp;"",",",""),"¥",""),"￥","")),0))</f>
        <v/>
      </c>
      <c r="F867">
        <f>IF($F$1=0,0,IFERROR(VALUE(SUBSTITUTE(SUBSTITUTE(SUBSTITUTE(INDEX(貼り付け!$A$1:$BZ$3001,866,$F$1)&amp;"",",",""),"¥",""),"￥","")),0))</f>
        <v/>
      </c>
      <c r="G867">
        <f>IF(ISNUMBER(B867),YEAR(B867),"")</f>
        <v/>
      </c>
      <c r="H867">
        <f>IF(ISNUMBER(B867),MONTH(B867),"")</f>
        <v/>
      </c>
      <c r="I867">
        <f>IFERROR(IF($B$1=0,"",IF(ISNUMBER(INDEX(貼り付け!$A$1:$BZ$3001,866,$B$1)),"",SUBSTITUTE(SUBSTITUTE(SUBSTITUTE(SUBSTITUTE(TRIM(LEFT(INDEX(貼り付け!$A$1:$BZ$3001,866,$B$1)&amp;"",FIND(" ",TRIM(INDEX(貼り付け!$A$1:$BZ$3001,866,$B$1)&amp;"")&amp;" ")-1)),"/","-"),"年","-"),"月","-"),"日",""))),"")</f>
        <v/>
      </c>
      <c r="J867">
        <f>IFERROR(MID(I867,FIND("-",I867)+1,99),"")</f>
        <v/>
      </c>
    </row>
    <row r="868">
      <c r="B868">
        <f>IFERROR(IF($B$1=0,"",IF(INDEX(貼り付け!$A$1:$BZ$3001,867,$B$1)="","",IF(ISNUMBER(INDEX(貼り付け!$A$1:$BZ$3001,867,$B$1)),INT(INDEX(貼り付け!$A$1:$BZ$3001,867,$B$1)),DATE(VALUE(LEFT(I868,FIND("-",I868)-1)),VALUE(LEFT(J868,FIND("-",J868)-1)),VALUE(MID(J868,FIND("-",J868)+1,99)))))),"")</f>
        <v/>
      </c>
      <c r="C868">
        <f>IF($C$1=0,0,IFERROR(VALUE(SUBSTITUTE(SUBSTITUTE(SUBSTITUTE(INDEX(貼り付け!$A$1:$BZ$3001,867,$C$1)&amp;"",",",""),"¥",""),"￥","")),0))</f>
        <v/>
      </c>
      <c r="D868">
        <f>IF($D$1=0,0,IFERROR(VALUE(SUBSTITUTE(SUBSTITUTE(SUBSTITUTE(INDEX(貼り付け!$A$1:$BZ$3001,867,$D$1)&amp;"",",",""),"¥",""),"￥","")),0))</f>
        <v/>
      </c>
      <c r="E868">
        <f>IF($E$1=0,0,IFERROR(VALUE(SUBSTITUTE(SUBSTITUTE(SUBSTITUTE(INDEX(貼り付け!$A$1:$BZ$3001,867,$E$1)&amp;"",",",""),"¥",""),"￥","")),0))</f>
        <v/>
      </c>
      <c r="F868">
        <f>IF($F$1=0,0,IFERROR(VALUE(SUBSTITUTE(SUBSTITUTE(SUBSTITUTE(INDEX(貼り付け!$A$1:$BZ$3001,867,$F$1)&amp;"",",",""),"¥",""),"￥","")),0))</f>
        <v/>
      </c>
      <c r="G868">
        <f>IF(ISNUMBER(B868),YEAR(B868),"")</f>
        <v/>
      </c>
      <c r="H868">
        <f>IF(ISNUMBER(B868),MONTH(B868),"")</f>
        <v/>
      </c>
      <c r="I868">
        <f>IFERROR(IF($B$1=0,"",IF(ISNUMBER(INDEX(貼り付け!$A$1:$BZ$3001,867,$B$1)),"",SUBSTITUTE(SUBSTITUTE(SUBSTITUTE(SUBSTITUTE(TRIM(LEFT(INDEX(貼り付け!$A$1:$BZ$3001,867,$B$1)&amp;"",FIND(" ",TRIM(INDEX(貼り付け!$A$1:$BZ$3001,867,$B$1)&amp;"")&amp;" ")-1)),"/","-"),"年","-"),"月","-"),"日",""))),"")</f>
        <v/>
      </c>
      <c r="J868">
        <f>IFERROR(MID(I868,FIND("-",I868)+1,99),"")</f>
        <v/>
      </c>
    </row>
    <row r="869">
      <c r="B869">
        <f>IFERROR(IF($B$1=0,"",IF(INDEX(貼り付け!$A$1:$BZ$3001,868,$B$1)="","",IF(ISNUMBER(INDEX(貼り付け!$A$1:$BZ$3001,868,$B$1)),INT(INDEX(貼り付け!$A$1:$BZ$3001,868,$B$1)),DATE(VALUE(LEFT(I869,FIND("-",I869)-1)),VALUE(LEFT(J869,FIND("-",J869)-1)),VALUE(MID(J869,FIND("-",J869)+1,99)))))),"")</f>
        <v/>
      </c>
      <c r="C869">
        <f>IF($C$1=0,0,IFERROR(VALUE(SUBSTITUTE(SUBSTITUTE(SUBSTITUTE(INDEX(貼り付け!$A$1:$BZ$3001,868,$C$1)&amp;"",",",""),"¥",""),"￥","")),0))</f>
        <v/>
      </c>
      <c r="D869">
        <f>IF($D$1=0,0,IFERROR(VALUE(SUBSTITUTE(SUBSTITUTE(SUBSTITUTE(INDEX(貼り付け!$A$1:$BZ$3001,868,$D$1)&amp;"",",",""),"¥",""),"￥","")),0))</f>
        <v/>
      </c>
      <c r="E869">
        <f>IF($E$1=0,0,IFERROR(VALUE(SUBSTITUTE(SUBSTITUTE(SUBSTITUTE(INDEX(貼り付け!$A$1:$BZ$3001,868,$E$1)&amp;"",",",""),"¥",""),"￥","")),0))</f>
        <v/>
      </c>
      <c r="F869">
        <f>IF($F$1=0,0,IFERROR(VALUE(SUBSTITUTE(SUBSTITUTE(SUBSTITUTE(INDEX(貼り付け!$A$1:$BZ$3001,868,$F$1)&amp;"",",",""),"¥",""),"￥","")),0))</f>
        <v/>
      </c>
      <c r="G869">
        <f>IF(ISNUMBER(B869),YEAR(B869),"")</f>
        <v/>
      </c>
      <c r="H869">
        <f>IF(ISNUMBER(B869),MONTH(B869),"")</f>
        <v/>
      </c>
      <c r="I869">
        <f>IFERROR(IF($B$1=0,"",IF(ISNUMBER(INDEX(貼り付け!$A$1:$BZ$3001,868,$B$1)),"",SUBSTITUTE(SUBSTITUTE(SUBSTITUTE(SUBSTITUTE(TRIM(LEFT(INDEX(貼り付け!$A$1:$BZ$3001,868,$B$1)&amp;"",FIND(" ",TRIM(INDEX(貼り付け!$A$1:$BZ$3001,868,$B$1)&amp;"")&amp;" ")-1)),"/","-"),"年","-"),"月","-"),"日",""))),"")</f>
        <v/>
      </c>
      <c r="J869">
        <f>IFERROR(MID(I869,FIND("-",I869)+1,99),"")</f>
        <v/>
      </c>
    </row>
    <row r="870">
      <c r="B870">
        <f>IFERROR(IF($B$1=0,"",IF(INDEX(貼り付け!$A$1:$BZ$3001,869,$B$1)="","",IF(ISNUMBER(INDEX(貼り付け!$A$1:$BZ$3001,869,$B$1)),INT(INDEX(貼り付け!$A$1:$BZ$3001,869,$B$1)),DATE(VALUE(LEFT(I870,FIND("-",I870)-1)),VALUE(LEFT(J870,FIND("-",J870)-1)),VALUE(MID(J870,FIND("-",J870)+1,99)))))),"")</f>
        <v/>
      </c>
      <c r="C870">
        <f>IF($C$1=0,0,IFERROR(VALUE(SUBSTITUTE(SUBSTITUTE(SUBSTITUTE(INDEX(貼り付け!$A$1:$BZ$3001,869,$C$1)&amp;"",",",""),"¥",""),"￥","")),0))</f>
        <v/>
      </c>
      <c r="D870">
        <f>IF($D$1=0,0,IFERROR(VALUE(SUBSTITUTE(SUBSTITUTE(SUBSTITUTE(INDEX(貼り付け!$A$1:$BZ$3001,869,$D$1)&amp;"",",",""),"¥",""),"￥","")),0))</f>
        <v/>
      </c>
      <c r="E870">
        <f>IF($E$1=0,0,IFERROR(VALUE(SUBSTITUTE(SUBSTITUTE(SUBSTITUTE(INDEX(貼り付け!$A$1:$BZ$3001,869,$E$1)&amp;"",",",""),"¥",""),"￥","")),0))</f>
        <v/>
      </c>
      <c r="F870">
        <f>IF($F$1=0,0,IFERROR(VALUE(SUBSTITUTE(SUBSTITUTE(SUBSTITUTE(INDEX(貼り付け!$A$1:$BZ$3001,869,$F$1)&amp;"",",",""),"¥",""),"￥","")),0))</f>
        <v/>
      </c>
      <c r="G870">
        <f>IF(ISNUMBER(B870),YEAR(B870),"")</f>
        <v/>
      </c>
      <c r="H870">
        <f>IF(ISNUMBER(B870),MONTH(B870),"")</f>
        <v/>
      </c>
      <c r="I870">
        <f>IFERROR(IF($B$1=0,"",IF(ISNUMBER(INDEX(貼り付け!$A$1:$BZ$3001,869,$B$1)),"",SUBSTITUTE(SUBSTITUTE(SUBSTITUTE(SUBSTITUTE(TRIM(LEFT(INDEX(貼り付け!$A$1:$BZ$3001,869,$B$1)&amp;"",FIND(" ",TRIM(INDEX(貼り付け!$A$1:$BZ$3001,869,$B$1)&amp;"")&amp;" ")-1)),"/","-"),"年","-"),"月","-"),"日",""))),"")</f>
        <v/>
      </c>
      <c r="J870">
        <f>IFERROR(MID(I870,FIND("-",I870)+1,99),"")</f>
        <v/>
      </c>
    </row>
    <row r="871">
      <c r="B871">
        <f>IFERROR(IF($B$1=0,"",IF(INDEX(貼り付け!$A$1:$BZ$3001,870,$B$1)="","",IF(ISNUMBER(INDEX(貼り付け!$A$1:$BZ$3001,870,$B$1)),INT(INDEX(貼り付け!$A$1:$BZ$3001,870,$B$1)),DATE(VALUE(LEFT(I871,FIND("-",I871)-1)),VALUE(LEFT(J871,FIND("-",J871)-1)),VALUE(MID(J871,FIND("-",J871)+1,99)))))),"")</f>
        <v/>
      </c>
      <c r="C871">
        <f>IF($C$1=0,0,IFERROR(VALUE(SUBSTITUTE(SUBSTITUTE(SUBSTITUTE(INDEX(貼り付け!$A$1:$BZ$3001,870,$C$1)&amp;"",",",""),"¥",""),"￥","")),0))</f>
        <v/>
      </c>
      <c r="D871">
        <f>IF($D$1=0,0,IFERROR(VALUE(SUBSTITUTE(SUBSTITUTE(SUBSTITUTE(INDEX(貼り付け!$A$1:$BZ$3001,870,$D$1)&amp;"",",",""),"¥",""),"￥","")),0))</f>
        <v/>
      </c>
      <c r="E871">
        <f>IF($E$1=0,0,IFERROR(VALUE(SUBSTITUTE(SUBSTITUTE(SUBSTITUTE(INDEX(貼り付け!$A$1:$BZ$3001,870,$E$1)&amp;"",",",""),"¥",""),"￥","")),0))</f>
        <v/>
      </c>
      <c r="F871">
        <f>IF($F$1=0,0,IFERROR(VALUE(SUBSTITUTE(SUBSTITUTE(SUBSTITUTE(INDEX(貼り付け!$A$1:$BZ$3001,870,$F$1)&amp;"",",",""),"¥",""),"￥","")),0))</f>
        <v/>
      </c>
      <c r="G871">
        <f>IF(ISNUMBER(B871),YEAR(B871),"")</f>
        <v/>
      </c>
      <c r="H871">
        <f>IF(ISNUMBER(B871),MONTH(B871),"")</f>
        <v/>
      </c>
      <c r="I871">
        <f>IFERROR(IF($B$1=0,"",IF(ISNUMBER(INDEX(貼り付け!$A$1:$BZ$3001,870,$B$1)),"",SUBSTITUTE(SUBSTITUTE(SUBSTITUTE(SUBSTITUTE(TRIM(LEFT(INDEX(貼り付け!$A$1:$BZ$3001,870,$B$1)&amp;"",FIND(" ",TRIM(INDEX(貼り付け!$A$1:$BZ$3001,870,$B$1)&amp;"")&amp;" ")-1)),"/","-"),"年","-"),"月","-"),"日",""))),"")</f>
        <v/>
      </c>
      <c r="J871">
        <f>IFERROR(MID(I871,FIND("-",I871)+1,99),"")</f>
        <v/>
      </c>
    </row>
    <row r="872">
      <c r="B872">
        <f>IFERROR(IF($B$1=0,"",IF(INDEX(貼り付け!$A$1:$BZ$3001,871,$B$1)="","",IF(ISNUMBER(INDEX(貼り付け!$A$1:$BZ$3001,871,$B$1)),INT(INDEX(貼り付け!$A$1:$BZ$3001,871,$B$1)),DATE(VALUE(LEFT(I872,FIND("-",I872)-1)),VALUE(LEFT(J872,FIND("-",J872)-1)),VALUE(MID(J872,FIND("-",J872)+1,99)))))),"")</f>
        <v/>
      </c>
      <c r="C872">
        <f>IF($C$1=0,0,IFERROR(VALUE(SUBSTITUTE(SUBSTITUTE(SUBSTITUTE(INDEX(貼り付け!$A$1:$BZ$3001,871,$C$1)&amp;"",",",""),"¥",""),"￥","")),0))</f>
        <v/>
      </c>
      <c r="D872">
        <f>IF($D$1=0,0,IFERROR(VALUE(SUBSTITUTE(SUBSTITUTE(SUBSTITUTE(INDEX(貼り付け!$A$1:$BZ$3001,871,$D$1)&amp;"",",",""),"¥",""),"￥","")),0))</f>
        <v/>
      </c>
      <c r="E872">
        <f>IF($E$1=0,0,IFERROR(VALUE(SUBSTITUTE(SUBSTITUTE(SUBSTITUTE(INDEX(貼り付け!$A$1:$BZ$3001,871,$E$1)&amp;"",",",""),"¥",""),"￥","")),0))</f>
        <v/>
      </c>
      <c r="F872">
        <f>IF($F$1=0,0,IFERROR(VALUE(SUBSTITUTE(SUBSTITUTE(SUBSTITUTE(INDEX(貼り付け!$A$1:$BZ$3001,871,$F$1)&amp;"",",",""),"¥",""),"￥","")),0))</f>
        <v/>
      </c>
      <c r="G872">
        <f>IF(ISNUMBER(B872),YEAR(B872),"")</f>
        <v/>
      </c>
      <c r="H872">
        <f>IF(ISNUMBER(B872),MONTH(B872),"")</f>
        <v/>
      </c>
      <c r="I872">
        <f>IFERROR(IF($B$1=0,"",IF(ISNUMBER(INDEX(貼り付け!$A$1:$BZ$3001,871,$B$1)),"",SUBSTITUTE(SUBSTITUTE(SUBSTITUTE(SUBSTITUTE(TRIM(LEFT(INDEX(貼り付け!$A$1:$BZ$3001,871,$B$1)&amp;"",FIND(" ",TRIM(INDEX(貼り付け!$A$1:$BZ$3001,871,$B$1)&amp;"")&amp;" ")-1)),"/","-"),"年","-"),"月","-"),"日",""))),"")</f>
        <v/>
      </c>
      <c r="J872">
        <f>IFERROR(MID(I872,FIND("-",I872)+1,99),"")</f>
        <v/>
      </c>
    </row>
    <row r="873">
      <c r="B873">
        <f>IFERROR(IF($B$1=0,"",IF(INDEX(貼り付け!$A$1:$BZ$3001,872,$B$1)="","",IF(ISNUMBER(INDEX(貼り付け!$A$1:$BZ$3001,872,$B$1)),INT(INDEX(貼り付け!$A$1:$BZ$3001,872,$B$1)),DATE(VALUE(LEFT(I873,FIND("-",I873)-1)),VALUE(LEFT(J873,FIND("-",J873)-1)),VALUE(MID(J873,FIND("-",J873)+1,99)))))),"")</f>
        <v/>
      </c>
      <c r="C873">
        <f>IF($C$1=0,0,IFERROR(VALUE(SUBSTITUTE(SUBSTITUTE(SUBSTITUTE(INDEX(貼り付け!$A$1:$BZ$3001,872,$C$1)&amp;"",",",""),"¥",""),"￥","")),0))</f>
        <v/>
      </c>
      <c r="D873">
        <f>IF($D$1=0,0,IFERROR(VALUE(SUBSTITUTE(SUBSTITUTE(SUBSTITUTE(INDEX(貼り付け!$A$1:$BZ$3001,872,$D$1)&amp;"",",",""),"¥",""),"￥","")),0))</f>
        <v/>
      </c>
      <c r="E873">
        <f>IF($E$1=0,0,IFERROR(VALUE(SUBSTITUTE(SUBSTITUTE(SUBSTITUTE(INDEX(貼り付け!$A$1:$BZ$3001,872,$E$1)&amp;"",",",""),"¥",""),"￥","")),0))</f>
        <v/>
      </c>
      <c r="F873">
        <f>IF($F$1=0,0,IFERROR(VALUE(SUBSTITUTE(SUBSTITUTE(SUBSTITUTE(INDEX(貼り付け!$A$1:$BZ$3001,872,$F$1)&amp;"",",",""),"¥",""),"￥","")),0))</f>
        <v/>
      </c>
      <c r="G873">
        <f>IF(ISNUMBER(B873),YEAR(B873),"")</f>
        <v/>
      </c>
      <c r="H873">
        <f>IF(ISNUMBER(B873),MONTH(B873),"")</f>
        <v/>
      </c>
      <c r="I873">
        <f>IFERROR(IF($B$1=0,"",IF(ISNUMBER(INDEX(貼り付け!$A$1:$BZ$3001,872,$B$1)),"",SUBSTITUTE(SUBSTITUTE(SUBSTITUTE(SUBSTITUTE(TRIM(LEFT(INDEX(貼り付け!$A$1:$BZ$3001,872,$B$1)&amp;"",FIND(" ",TRIM(INDEX(貼り付け!$A$1:$BZ$3001,872,$B$1)&amp;"")&amp;" ")-1)),"/","-"),"年","-"),"月","-"),"日",""))),"")</f>
        <v/>
      </c>
      <c r="J873">
        <f>IFERROR(MID(I873,FIND("-",I873)+1,99),"")</f>
        <v/>
      </c>
    </row>
    <row r="874">
      <c r="B874">
        <f>IFERROR(IF($B$1=0,"",IF(INDEX(貼り付け!$A$1:$BZ$3001,873,$B$1)="","",IF(ISNUMBER(INDEX(貼り付け!$A$1:$BZ$3001,873,$B$1)),INT(INDEX(貼り付け!$A$1:$BZ$3001,873,$B$1)),DATE(VALUE(LEFT(I874,FIND("-",I874)-1)),VALUE(LEFT(J874,FIND("-",J874)-1)),VALUE(MID(J874,FIND("-",J874)+1,99)))))),"")</f>
        <v/>
      </c>
      <c r="C874">
        <f>IF($C$1=0,0,IFERROR(VALUE(SUBSTITUTE(SUBSTITUTE(SUBSTITUTE(INDEX(貼り付け!$A$1:$BZ$3001,873,$C$1)&amp;"",",",""),"¥",""),"￥","")),0))</f>
        <v/>
      </c>
      <c r="D874">
        <f>IF($D$1=0,0,IFERROR(VALUE(SUBSTITUTE(SUBSTITUTE(SUBSTITUTE(INDEX(貼り付け!$A$1:$BZ$3001,873,$D$1)&amp;"",",",""),"¥",""),"￥","")),0))</f>
        <v/>
      </c>
      <c r="E874">
        <f>IF($E$1=0,0,IFERROR(VALUE(SUBSTITUTE(SUBSTITUTE(SUBSTITUTE(INDEX(貼り付け!$A$1:$BZ$3001,873,$E$1)&amp;"",",",""),"¥",""),"￥","")),0))</f>
        <v/>
      </c>
      <c r="F874">
        <f>IF($F$1=0,0,IFERROR(VALUE(SUBSTITUTE(SUBSTITUTE(SUBSTITUTE(INDEX(貼り付け!$A$1:$BZ$3001,873,$F$1)&amp;"",",",""),"¥",""),"￥","")),0))</f>
        <v/>
      </c>
      <c r="G874">
        <f>IF(ISNUMBER(B874),YEAR(B874),"")</f>
        <v/>
      </c>
      <c r="H874">
        <f>IF(ISNUMBER(B874),MONTH(B874),"")</f>
        <v/>
      </c>
      <c r="I874">
        <f>IFERROR(IF($B$1=0,"",IF(ISNUMBER(INDEX(貼り付け!$A$1:$BZ$3001,873,$B$1)),"",SUBSTITUTE(SUBSTITUTE(SUBSTITUTE(SUBSTITUTE(TRIM(LEFT(INDEX(貼り付け!$A$1:$BZ$3001,873,$B$1)&amp;"",FIND(" ",TRIM(INDEX(貼り付け!$A$1:$BZ$3001,873,$B$1)&amp;"")&amp;" ")-1)),"/","-"),"年","-"),"月","-"),"日",""))),"")</f>
        <v/>
      </c>
      <c r="J874">
        <f>IFERROR(MID(I874,FIND("-",I874)+1,99),"")</f>
        <v/>
      </c>
    </row>
    <row r="875">
      <c r="B875">
        <f>IFERROR(IF($B$1=0,"",IF(INDEX(貼り付け!$A$1:$BZ$3001,874,$B$1)="","",IF(ISNUMBER(INDEX(貼り付け!$A$1:$BZ$3001,874,$B$1)),INT(INDEX(貼り付け!$A$1:$BZ$3001,874,$B$1)),DATE(VALUE(LEFT(I875,FIND("-",I875)-1)),VALUE(LEFT(J875,FIND("-",J875)-1)),VALUE(MID(J875,FIND("-",J875)+1,99)))))),"")</f>
        <v/>
      </c>
      <c r="C875">
        <f>IF($C$1=0,0,IFERROR(VALUE(SUBSTITUTE(SUBSTITUTE(SUBSTITUTE(INDEX(貼り付け!$A$1:$BZ$3001,874,$C$1)&amp;"",",",""),"¥",""),"￥","")),0))</f>
        <v/>
      </c>
      <c r="D875">
        <f>IF($D$1=0,0,IFERROR(VALUE(SUBSTITUTE(SUBSTITUTE(SUBSTITUTE(INDEX(貼り付け!$A$1:$BZ$3001,874,$D$1)&amp;"",",",""),"¥",""),"￥","")),0))</f>
        <v/>
      </c>
      <c r="E875">
        <f>IF($E$1=0,0,IFERROR(VALUE(SUBSTITUTE(SUBSTITUTE(SUBSTITUTE(INDEX(貼り付け!$A$1:$BZ$3001,874,$E$1)&amp;"",",",""),"¥",""),"￥","")),0))</f>
        <v/>
      </c>
      <c r="F875">
        <f>IF($F$1=0,0,IFERROR(VALUE(SUBSTITUTE(SUBSTITUTE(SUBSTITUTE(INDEX(貼り付け!$A$1:$BZ$3001,874,$F$1)&amp;"",",",""),"¥",""),"￥","")),0))</f>
        <v/>
      </c>
      <c r="G875">
        <f>IF(ISNUMBER(B875),YEAR(B875),"")</f>
        <v/>
      </c>
      <c r="H875">
        <f>IF(ISNUMBER(B875),MONTH(B875),"")</f>
        <v/>
      </c>
      <c r="I875">
        <f>IFERROR(IF($B$1=0,"",IF(ISNUMBER(INDEX(貼り付け!$A$1:$BZ$3001,874,$B$1)),"",SUBSTITUTE(SUBSTITUTE(SUBSTITUTE(SUBSTITUTE(TRIM(LEFT(INDEX(貼り付け!$A$1:$BZ$3001,874,$B$1)&amp;"",FIND(" ",TRIM(INDEX(貼り付け!$A$1:$BZ$3001,874,$B$1)&amp;"")&amp;" ")-1)),"/","-"),"年","-"),"月","-"),"日",""))),"")</f>
        <v/>
      </c>
      <c r="J875">
        <f>IFERROR(MID(I875,FIND("-",I875)+1,99),"")</f>
        <v/>
      </c>
    </row>
    <row r="876">
      <c r="B876">
        <f>IFERROR(IF($B$1=0,"",IF(INDEX(貼り付け!$A$1:$BZ$3001,875,$B$1)="","",IF(ISNUMBER(INDEX(貼り付け!$A$1:$BZ$3001,875,$B$1)),INT(INDEX(貼り付け!$A$1:$BZ$3001,875,$B$1)),DATE(VALUE(LEFT(I876,FIND("-",I876)-1)),VALUE(LEFT(J876,FIND("-",J876)-1)),VALUE(MID(J876,FIND("-",J876)+1,99)))))),"")</f>
        <v/>
      </c>
      <c r="C876">
        <f>IF($C$1=0,0,IFERROR(VALUE(SUBSTITUTE(SUBSTITUTE(SUBSTITUTE(INDEX(貼り付け!$A$1:$BZ$3001,875,$C$1)&amp;"",",",""),"¥",""),"￥","")),0))</f>
        <v/>
      </c>
      <c r="D876">
        <f>IF($D$1=0,0,IFERROR(VALUE(SUBSTITUTE(SUBSTITUTE(SUBSTITUTE(INDEX(貼り付け!$A$1:$BZ$3001,875,$D$1)&amp;"",",",""),"¥",""),"￥","")),0))</f>
        <v/>
      </c>
      <c r="E876">
        <f>IF($E$1=0,0,IFERROR(VALUE(SUBSTITUTE(SUBSTITUTE(SUBSTITUTE(INDEX(貼り付け!$A$1:$BZ$3001,875,$E$1)&amp;"",",",""),"¥",""),"￥","")),0))</f>
        <v/>
      </c>
      <c r="F876">
        <f>IF($F$1=0,0,IFERROR(VALUE(SUBSTITUTE(SUBSTITUTE(SUBSTITUTE(INDEX(貼り付け!$A$1:$BZ$3001,875,$F$1)&amp;"",",",""),"¥",""),"￥","")),0))</f>
        <v/>
      </c>
      <c r="G876">
        <f>IF(ISNUMBER(B876),YEAR(B876),"")</f>
        <v/>
      </c>
      <c r="H876">
        <f>IF(ISNUMBER(B876),MONTH(B876),"")</f>
        <v/>
      </c>
      <c r="I876">
        <f>IFERROR(IF($B$1=0,"",IF(ISNUMBER(INDEX(貼り付け!$A$1:$BZ$3001,875,$B$1)),"",SUBSTITUTE(SUBSTITUTE(SUBSTITUTE(SUBSTITUTE(TRIM(LEFT(INDEX(貼り付け!$A$1:$BZ$3001,875,$B$1)&amp;"",FIND(" ",TRIM(INDEX(貼り付け!$A$1:$BZ$3001,875,$B$1)&amp;"")&amp;" ")-1)),"/","-"),"年","-"),"月","-"),"日",""))),"")</f>
        <v/>
      </c>
      <c r="J876">
        <f>IFERROR(MID(I876,FIND("-",I876)+1,99),"")</f>
        <v/>
      </c>
    </row>
    <row r="877">
      <c r="B877">
        <f>IFERROR(IF($B$1=0,"",IF(INDEX(貼り付け!$A$1:$BZ$3001,876,$B$1)="","",IF(ISNUMBER(INDEX(貼り付け!$A$1:$BZ$3001,876,$B$1)),INT(INDEX(貼り付け!$A$1:$BZ$3001,876,$B$1)),DATE(VALUE(LEFT(I877,FIND("-",I877)-1)),VALUE(LEFT(J877,FIND("-",J877)-1)),VALUE(MID(J877,FIND("-",J877)+1,99)))))),"")</f>
        <v/>
      </c>
      <c r="C877">
        <f>IF($C$1=0,0,IFERROR(VALUE(SUBSTITUTE(SUBSTITUTE(SUBSTITUTE(INDEX(貼り付け!$A$1:$BZ$3001,876,$C$1)&amp;"",",",""),"¥",""),"￥","")),0))</f>
        <v/>
      </c>
      <c r="D877">
        <f>IF($D$1=0,0,IFERROR(VALUE(SUBSTITUTE(SUBSTITUTE(SUBSTITUTE(INDEX(貼り付け!$A$1:$BZ$3001,876,$D$1)&amp;"",",",""),"¥",""),"￥","")),0))</f>
        <v/>
      </c>
      <c r="E877">
        <f>IF($E$1=0,0,IFERROR(VALUE(SUBSTITUTE(SUBSTITUTE(SUBSTITUTE(INDEX(貼り付け!$A$1:$BZ$3001,876,$E$1)&amp;"",",",""),"¥",""),"￥","")),0))</f>
        <v/>
      </c>
      <c r="F877">
        <f>IF($F$1=0,0,IFERROR(VALUE(SUBSTITUTE(SUBSTITUTE(SUBSTITUTE(INDEX(貼り付け!$A$1:$BZ$3001,876,$F$1)&amp;"",",",""),"¥",""),"￥","")),0))</f>
        <v/>
      </c>
      <c r="G877">
        <f>IF(ISNUMBER(B877),YEAR(B877),"")</f>
        <v/>
      </c>
      <c r="H877">
        <f>IF(ISNUMBER(B877),MONTH(B877),"")</f>
        <v/>
      </c>
      <c r="I877">
        <f>IFERROR(IF($B$1=0,"",IF(ISNUMBER(INDEX(貼り付け!$A$1:$BZ$3001,876,$B$1)),"",SUBSTITUTE(SUBSTITUTE(SUBSTITUTE(SUBSTITUTE(TRIM(LEFT(INDEX(貼り付け!$A$1:$BZ$3001,876,$B$1)&amp;"",FIND(" ",TRIM(INDEX(貼り付け!$A$1:$BZ$3001,876,$B$1)&amp;"")&amp;" ")-1)),"/","-"),"年","-"),"月","-"),"日",""))),"")</f>
        <v/>
      </c>
      <c r="J877">
        <f>IFERROR(MID(I877,FIND("-",I877)+1,99),"")</f>
        <v/>
      </c>
    </row>
    <row r="878">
      <c r="B878">
        <f>IFERROR(IF($B$1=0,"",IF(INDEX(貼り付け!$A$1:$BZ$3001,877,$B$1)="","",IF(ISNUMBER(INDEX(貼り付け!$A$1:$BZ$3001,877,$B$1)),INT(INDEX(貼り付け!$A$1:$BZ$3001,877,$B$1)),DATE(VALUE(LEFT(I878,FIND("-",I878)-1)),VALUE(LEFT(J878,FIND("-",J878)-1)),VALUE(MID(J878,FIND("-",J878)+1,99)))))),"")</f>
        <v/>
      </c>
      <c r="C878">
        <f>IF($C$1=0,0,IFERROR(VALUE(SUBSTITUTE(SUBSTITUTE(SUBSTITUTE(INDEX(貼り付け!$A$1:$BZ$3001,877,$C$1)&amp;"",",",""),"¥",""),"￥","")),0))</f>
        <v/>
      </c>
      <c r="D878">
        <f>IF($D$1=0,0,IFERROR(VALUE(SUBSTITUTE(SUBSTITUTE(SUBSTITUTE(INDEX(貼り付け!$A$1:$BZ$3001,877,$D$1)&amp;"",",",""),"¥",""),"￥","")),0))</f>
        <v/>
      </c>
      <c r="E878">
        <f>IF($E$1=0,0,IFERROR(VALUE(SUBSTITUTE(SUBSTITUTE(SUBSTITUTE(INDEX(貼り付け!$A$1:$BZ$3001,877,$E$1)&amp;"",",",""),"¥",""),"￥","")),0))</f>
        <v/>
      </c>
      <c r="F878">
        <f>IF($F$1=0,0,IFERROR(VALUE(SUBSTITUTE(SUBSTITUTE(SUBSTITUTE(INDEX(貼り付け!$A$1:$BZ$3001,877,$F$1)&amp;"",",",""),"¥",""),"￥","")),0))</f>
        <v/>
      </c>
      <c r="G878">
        <f>IF(ISNUMBER(B878),YEAR(B878),"")</f>
        <v/>
      </c>
      <c r="H878">
        <f>IF(ISNUMBER(B878),MONTH(B878),"")</f>
        <v/>
      </c>
      <c r="I878">
        <f>IFERROR(IF($B$1=0,"",IF(ISNUMBER(INDEX(貼り付け!$A$1:$BZ$3001,877,$B$1)),"",SUBSTITUTE(SUBSTITUTE(SUBSTITUTE(SUBSTITUTE(TRIM(LEFT(INDEX(貼り付け!$A$1:$BZ$3001,877,$B$1)&amp;"",FIND(" ",TRIM(INDEX(貼り付け!$A$1:$BZ$3001,877,$B$1)&amp;"")&amp;" ")-1)),"/","-"),"年","-"),"月","-"),"日",""))),"")</f>
        <v/>
      </c>
      <c r="J878">
        <f>IFERROR(MID(I878,FIND("-",I878)+1,99),"")</f>
        <v/>
      </c>
    </row>
    <row r="879">
      <c r="B879">
        <f>IFERROR(IF($B$1=0,"",IF(INDEX(貼り付け!$A$1:$BZ$3001,878,$B$1)="","",IF(ISNUMBER(INDEX(貼り付け!$A$1:$BZ$3001,878,$B$1)),INT(INDEX(貼り付け!$A$1:$BZ$3001,878,$B$1)),DATE(VALUE(LEFT(I879,FIND("-",I879)-1)),VALUE(LEFT(J879,FIND("-",J879)-1)),VALUE(MID(J879,FIND("-",J879)+1,99)))))),"")</f>
        <v/>
      </c>
      <c r="C879">
        <f>IF($C$1=0,0,IFERROR(VALUE(SUBSTITUTE(SUBSTITUTE(SUBSTITUTE(INDEX(貼り付け!$A$1:$BZ$3001,878,$C$1)&amp;"",",",""),"¥",""),"￥","")),0))</f>
        <v/>
      </c>
      <c r="D879">
        <f>IF($D$1=0,0,IFERROR(VALUE(SUBSTITUTE(SUBSTITUTE(SUBSTITUTE(INDEX(貼り付け!$A$1:$BZ$3001,878,$D$1)&amp;"",",",""),"¥",""),"￥","")),0))</f>
        <v/>
      </c>
      <c r="E879">
        <f>IF($E$1=0,0,IFERROR(VALUE(SUBSTITUTE(SUBSTITUTE(SUBSTITUTE(INDEX(貼り付け!$A$1:$BZ$3001,878,$E$1)&amp;"",",",""),"¥",""),"￥","")),0))</f>
        <v/>
      </c>
      <c r="F879">
        <f>IF($F$1=0,0,IFERROR(VALUE(SUBSTITUTE(SUBSTITUTE(SUBSTITUTE(INDEX(貼り付け!$A$1:$BZ$3001,878,$F$1)&amp;"",",",""),"¥",""),"￥","")),0))</f>
        <v/>
      </c>
      <c r="G879">
        <f>IF(ISNUMBER(B879),YEAR(B879),"")</f>
        <v/>
      </c>
      <c r="H879">
        <f>IF(ISNUMBER(B879),MONTH(B879),"")</f>
        <v/>
      </c>
      <c r="I879">
        <f>IFERROR(IF($B$1=0,"",IF(ISNUMBER(INDEX(貼り付け!$A$1:$BZ$3001,878,$B$1)),"",SUBSTITUTE(SUBSTITUTE(SUBSTITUTE(SUBSTITUTE(TRIM(LEFT(INDEX(貼り付け!$A$1:$BZ$3001,878,$B$1)&amp;"",FIND(" ",TRIM(INDEX(貼り付け!$A$1:$BZ$3001,878,$B$1)&amp;"")&amp;" ")-1)),"/","-"),"年","-"),"月","-"),"日",""))),"")</f>
        <v/>
      </c>
      <c r="J879">
        <f>IFERROR(MID(I879,FIND("-",I879)+1,99),"")</f>
        <v/>
      </c>
    </row>
    <row r="880">
      <c r="B880">
        <f>IFERROR(IF($B$1=0,"",IF(INDEX(貼り付け!$A$1:$BZ$3001,879,$B$1)="","",IF(ISNUMBER(INDEX(貼り付け!$A$1:$BZ$3001,879,$B$1)),INT(INDEX(貼り付け!$A$1:$BZ$3001,879,$B$1)),DATE(VALUE(LEFT(I880,FIND("-",I880)-1)),VALUE(LEFT(J880,FIND("-",J880)-1)),VALUE(MID(J880,FIND("-",J880)+1,99)))))),"")</f>
        <v/>
      </c>
      <c r="C880">
        <f>IF($C$1=0,0,IFERROR(VALUE(SUBSTITUTE(SUBSTITUTE(SUBSTITUTE(INDEX(貼り付け!$A$1:$BZ$3001,879,$C$1)&amp;"",",",""),"¥",""),"￥","")),0))</f>
        <v/>
      </c>
      <c r="D880">
        <f>IF($D$1=0,0,IFERROR(VALUE(SUBSTITUTE(SUBSTITUTE(SUBSTITUTE(INDEX(貼り付け!$A$1:$BZ$3001,879,$D$1)&amp;"",",",""),"¥",""),"￥","")),0))</f>
        <v/>
      </c>
      <c r="E880">
        <f>IF($E$1=0,0,IFERROR(VALUE(SUBSTITUTE(SUBSTITUTE(SUBSTITUTE(INDEX(貼り付け!$A$1:$BZ$3001,879,$E$1)&amp;"",",",""),"¥",""),"￥","")),0))</f>
        <v/>
      </c>
      <c r="F880">
        <f>IF($F$1=0,0,IFERROR(VALUE(SUBSTITUTE(SUBSTITUTE(SUBSTITUTE(INDEX(貼り付け!$A$1:$BZ$3001,879,$F$1)&amp;"",",",""),"¥",""),"￥","")),0))</f>
        <v/>
      </c>
      <c r="G880">
        <f>IF(ISNUMBER(B880),YEAR(B880),"")</f>
        <v/>
      </c>
      <c r="H880">
        <f>IF(ISNUMBER(B880),MONTH(B880),"")</f>
        <v/>
      </c>
      <c r="I880">
        <f>IFERROR(IF($B$1=0,"",IF(ISNUMBER(INDEX(貼り付け!$A$1:$BZ$3001,879,$B$1)),"",SUBSTITUTE(SUBSTITUTE(SUBSTITUTE(SUBSTITUTE(TRIM(LEFT(INDEX(貼り付け!$A$1:$BZ$3001,879,$B$1)&amp;"",FIND(" ",TRIM(INDEX(貼り付け!$A$1:$BZ$3001,879,$B$1)&amp;"")&amp;" ")-1)),"/","-"),"年","-"),"月","-"),"日",""))),"")</f>
        <v/>
      </c>
      <c r="J880">
        <f>IFERROR(MID(I880,FIND("-",I880)+1,99),"")</f>
        <v/>
      </c>
    </row>
    <row r="881">
      <c r="B881">
        <f>IFERROR(IF($B$1=0,"",IF(INDEX(貼り付け!$A$1:$BZ$3001,880,$B$1)="","",IF(ISNUMBER(INDEX(貼り付け!$A$1:$BZ$3001,880,$B$1)),INT(INDEX(貼り付け!$A$1:$BZ$3001,880,$B$1)),DATE(VALUE(LEFT(I881,FIND("-",I881)-1)),VALUE(LEFT(J881,FIND("-",J881)-1)),VALUE(MID(J881,FIND("-",J881)+1,99)))))),"")</f>
        <v/>
      </c>
      <c r="C881">
        <f>IF($C$1=0,0,IFERROR(VALUE(SUBSTITUTE(SUBSTITUTE(SUBSTITUTE(INDEX(貼り付け!$A$1:$BZ$3001,880,$C$1)&amp;"",",",""),"¥",""),"￥","")),0))</f>
        <v/>
      </c>
      <c r="D881">
        <f>IF($D$1=0,0,IFERROR(VALUE(SUBSTITUTE(SUBSTITUTE(SUBSTITUTE(INDEX(貼り付け!$A$1:$BZ$3001,880,$D$1)&amp;"",",",""),"¥",""),"￥","")),0))</f>
        <v/>
      </c>
      <c r="E881">
        <f>IF($E$1=0,0,IFERROR(VALUE(SUBSTITUTE(SUBSTITUTE(SUBSTITUTE(INDEX(貼り付け!$A$1:$BZ$3001,880,$E$1)&amp;"",",",""),"¥",""),"￥","")),0))</f>
        <v/>
      </c>
      <c r="F881">
        <f>IF($F$1=0,0,IFERROR(VALUE(SUBSTITUTE(SUBSTITUTE(SUBSTITUTE(INDEX(貼り付け!$A$1:$BZ$3001,880,$F$1)&amp;"",",",""),"¥",""),"￥","")),0))</f>
        <v/>
      </c>
      <c r="G881">
        <f>IF(ISNUMBER(B881),YEAR(B881),"")</f>
        <v/>
      </c>
      <c r="H881">
        <f>IF(ISNUMBER(B881),MONTH(B881),"")</f>
        <v/>
      </c>
      <c r="I881">
        <f>IFERROR(IF($B$1=0,"",IF(ISNUMBER(INDEX(貼り付け!$A$1:$BZ$3001,880,$B$1)),"",SUBSTITUTE(SUBSTITUTE(SUBSTITUTE(SUBSTITUTE(TRIM(LEFT(INDEX(貼り付け!$A$1:$BZ$3001,880,$B$1)&amp;"",FIND(" ",TRIM(INDEX(貼り付け!$A$1:$BZ$3001,880,$B$1)&amp;"")&amp;" ")-1)),"/","-"),"年","-"),"月","-"),"日",""))),"")</f>
        <v/>
      </c>
      <c r="J881">
        <f>IFERROR(MID(I881,FIND("-",I881)+1,99),"")</f>
        <v/>
      </c>
    </row>
    <row r="882">
      <c r="B882">
        <f>IFERROR(IF($B$1=0,"",IF(INDEX(貼り付け!$A$1:$BZ$3001,881,$B$1)="","",IF(ISNUMBER(INDEX(貼り付け!$A$1:$BZ$3001,881,$B$1)),INT(INDEX(貼り付け!$A$1:$BZ$3001,881,$B$1)),DATE(VALUE(LEFT(I882,FIND("-",I882)-1)),VALUE(LEFT(J882,FIND("-",J882)-1)),VALUE(MID(J882,FIND("-",J882)+1,99)))))),"")</f>
        <v/>
      </c>
      <c r="C882">
        <f>IF($C$1=0,0,IFERROR(VALUE(SUBSTITUTE(SUBSTITUTE(SUBSTITUTE(INDEX(貼り付け!$A$1:$BZ$3001,881,$C$1)&amp;"",",",""),"¥",""),"￥","")),0))</f>
        <v/>
      </c>
      <c r="D882">
        <f>IF($D$1=0,0,IFERROR(VALUE(SUBSTITUTE(SUBSTITUTE(SUBSTITUTE(INDEX(貼り付け!$A$1:$BZ$3001,881,$D$1)&amp;"",",",""),"¥",""),"￥","")),0))</f>
        <v/>
      </c>
      <c r="E882">
        <f>IF($E$1=0,0,IFERROR(VALUE(SUBSTITUTE(SUBSTITUTE(SUBSTITUTE(INDEX(貼り付け!$A$1:$BZ$3001,881,$E$1)&amp;"",",",""),"¥",""),"￥","")),0))</f>
        <v/>
      </c>
      <c r="F882">
        <f>IF($F$1=0,0,IFERROR(VALUE(SUBSTITUTE(SUBSTITUTE(SUBSTITUTE(INDEX(貼り付け!$A$1:$BZ$3001,881,$F$1)&amp;"",",",""),"¥",""),"￥","")),0))</f>
        <v/>
      </c>
      <c r="G882">
        <f>IF(ISNUMBER(B882),YEAR(B882),"")</f>
        <v/>
      </c>
      <c r="H882">
        <f>IF(ISNUMBER(B882),MONTH(B882),"")</f>
        <v/>
      </c>
      <c r="I882">
        <f>IFERROR(IF($B$1=0,"",IF(ISNUMBER(INDEX(貼り付け!$A$1:$BZ$3001,881,$B$1)),"",SUBSTITUTE(SUBSTITUTE(SUBSTITUTE(SUBSTITUTE(TRIM(LEFT(INDEX(貼り付け!$A$1:$BZ$3001,881,$B$1)&amp;"",FIND(" ",TRIM(INDEX(貼り付け!$A$1:$BZ$3001,881,$B$1)&amp;"")&amp;" ")-1)),"/","-"),"年","-"),"月","-"),"日",""))),"")</f>
        <v/>
      </c>
      <c r="J882">
        <f>IFERROR(MID(I882,FIND("-",I882)+1,99),"")</f>
        <v/>
      </c>
    </row>
    <row r="883">
      <c r="B883">
        <f>IFERROR(IF($B$1=0,"",IF(INDEX(貼り付け!$A$1:$BZ$3001,882,$B$1)="","",IF(ISNUMBER(INDEX(貼り付け!$A$1:$BZ$3001,882,$B$1)),INT(INDEX(貼り付け!$A$1:$BZ$3001,882,$B$1)),DATE(VALUE(LEFT(I883,FIND("-",I883)-1)),VALUE(LEFT(J883,FIND("-",J883)-1)),VALUE(MID(J883,FIND("-",J883)+1,99)))))),"")</f>
        <v/>
      </c>
      <c r="C883">
        <f>IF($C$1=0,0,IFERROR(VALUE(SUBSTITUTE(SUBSTITUTE(SUBSTITUTE(INDEX(貼り付け!$A$1:$BZ$3001,882,$C$1)&amp;"",",",""),"¥",""),"￥","")),0))</f>
        <v/>
      </c>
      <c r="D883">
        <f>IF($D$1=0,0,IFERROR(VALUE(SUBSTITUTE(SUBSTITUTE(SUBSTITUTE(INDEX(貼り付け!$A$1:$BZ$3001,882,$D$1)&amp;"",",",""),"¥",""),"￥","")),0))</f>
        <v/>
      </c>
      <c r="E883">
        <f>IF($E$1=0,0,IFERROR(VALUE(SUBSTITUTE(SUBSTITUTE(SUBSTITUTE(INDEX(貼り付け!$A$1:$BZ$3001,882,$E$1)&amp;"",",",""),"¥",""),"￥","")),0))</f>
        <v/>
      </c>
      <c r="F883">
        <f>IF($F$1=0,0,IFERROR(VALUE(SUBSTITUTE(SUBSTITUTE(SUBSTITUTE(INDEX(貼り付け!$A$1:$BZ$3001,882,$F$1)&amp;"",",",""),"¥",""),"￥","")),0))</f>
        <v/>
      </c>
      <c r="G883">
        <f>IF(ISNUMBER(B883),YEAR(B883),"")</f>
        <v/>
      </c>
      <c r="H883">
        <f>IF(ISNUMBER(B883),MONTH(B883),"")</f>
        <v/>
      </c>
      <c r="I883">
        <f>IFERROR(IF($B$1=0,"",IF(ISNUMBER(INDEX(貼り付け!$A$1:$BZ$3001,882,$B$1)),"",SUBSTITUTE(SUBSTITUTE(SUBSTITUTE(SUBSTITUTE(TRIM(LEFT(INDEX(貼り付け!$A$1:$BZ$3001,882,$B$1)&amp;"",FIND(" ",TRIM(INDEX(貼り付け!$A$1:$BZ$3001,882,$B$1)&amp;"")&amp;" ")-1)),"/","-"),"年","-"),"月","-"),"日",""))),"")</f>
        <v/>
      </c>
      <c r="J883">
        <f>IFERROR(MID(I883,FIND("-",I883)+1,99),"")</f>
        <v/>
      </c>
    </row>
    <row r="884">
      <c r="B884">
        <f>IFERROR(IF($B$1=0,"",IF(INDEX(貼り付け!$A$1:$BZ$3001,883,$B$1)="","",IF(ISNUMBER(INDEX(貼り付け!$A$1:$BZ$3001,883,$B$1)),INT(INDEX(貼り付け!$A$1:$BZ$3001,883,$B$1)),DATE(VALUE(LEFT(I884,FIND("-",I884)-1)),VALUE(LEFT(J884,FIND("-",J884)-1)),VALUE(MID(J884,FIND("-",J884)+1,99)))))),"")</f>
        <v/>
      </c>
      <c r="C884">
        <f>IF($C$1=0,0,IFERROR(VALUE(SUBSTITUTE(SUBSTITUTE(SUBSTITUTE(INDEX(貼り付け!$A$1:$BZ$3001,883,$C$1)&amp;"",",",""),"¥",""),"￥","")),0))</f>
        <v/>
      </c>
      <c r="D884">
        <f>IF($D$1=0,0,IFERROR(VALUE(SUBSTITUTE(SUBSTITUTE(SUBSTITUTE(INDEX(貼り付け!$A$1:$BZ$3001,883,$D$1)&amp;"",",",""),"¥",""),"￥","")),0))</f>
        <v/>
      </c>
      <c r="E884">
        <f>IF($E$1=0,0,IFERROR(VALUE(SUBSTITUTE(SUBSTITUTE(SUBSTITUTE(INDEX(貼り付け!$A$1:$BZ$3001,883,$E$1)&amp;"",",",""),"¥",""),"￥","")),0))</f>
        <v/>
      </c>
      <c r="F884">
        <f>IF($F$1=0,0,IFERROR(VALUE(SUBSTITUTE(SUBSTITUTE(SUBSTITUTE(INDEX(貼り付け!$A$1:$BZ$3001,883,$F$1)&amp;"",",",""),"¥",""),"￥","")),0))</f>
        <v/>
      </c>
      <c r="G884">
        <f>IF(ISNUMBER(B884),YEAR(B884),"")</f>
        <v/>
      </c>
      <c r="H884">
        <f>IF(ISNUMBER(B884),MONTH(B884),"")</f>
        <v/>
      </c>
      <c r="I884">
        <f>IFERROR(IF($B$1=0,"",IF(ISNUMBER(INDEX(貼り付け!$A$1:$BZ$3001,883,$B$1)),"",SUBSTITUTE(SUBSTITUTE(SUBSTITUTE(SUBSTITUTE(TRIM(LEFT(INDEX(貼り付け!$A$1:$BZ$3001,883,$B$1)&amp;"",FIND(" ",TRIM(INDEX(貼り付け!$A$1:$BZ$3001,883,$B$1)&amp;"")&amp;" ")-1)),"/","-"),"年","-"),"月","-"),"日",""))),"")</f>
        <v/>
      </c>
      <c r="J884">
        <f>IFERROR(MID(I884,FIND("-",I884)+1,99),"")</f>
        <v/>
      </c>
    </row>
    <row r="885">
      <c r="B885">
        <f>IFERROR(IF($B$1=0,"",IF(INDEX(貼り付け!$A$1:$BZ$3001,884,$B$1)="","",IF(ISNUMBER(INDEX(貼り付け!$A$1:$BZ$3001,884,$B$1)),INT(INDEX(貼り付け!$A$1:$BZ$3001,884,$B$1)),DATE(VALUE(LEFT(I885,FIND("-",I885)-1)),VALUE(LEFT(J885,FIND("-",J885)-1)),VALUE(MID(J885,FIND("-",J885)+1,99)))))),"")</f>
        <v/>
      </c>
      <c r="C885">
        <f>IF($C$1=0,0,IFERROR(VALUE(SUBSTITUTE(SUBSTITUTE(SUBSTITUTE(INDEX(貼り付け!$A$1:$BZ$3001,884,$C$1)&amp;"",",",""),"¥",""),"￥","")),0))</f>
        <v/>
      </c>
      <c r="D885">
        <f>IF($D$1=0,0,IFERROR(VALUE(SUBSTITUTE(SUBSTITUTE(SUBSTITUTE(INDEX(貼り付け!$A$1:$BZ$3001,884,$D$1)&amp;"",",",""),"¥",""),"￥","")),0))</f>
        <v/>
      </c>
      <c r="E885">
        <f>IF($E$1=0,0,IFERROR(VALUE(SUBSTITUTE(SUBSTITUTE(SUBSTITUTE(INDEX(貼り付け!$A$1:$BZ$3001,884,$E$1)&amp;"",",",""),"¥",""),"￥","")),0))</f>
        <v/>
      </c>
      <c r="F885">
        <f>IF($F$1=0,0,IFERROR(VALUE(SUBSTITUTE(SUBSTITUTE(SUBSTITUTE(INDEX(貼り付け!$A$1:$BZ$3001,884,$F$1)&amp;"",",",""),"¥",""),"￥","")),0))</f>
        <v/>
      </c>
      <c r="G885">
        <f>IF(ISNUMBER(B885),YEAR(B885),"")</f>
        <v/>
      </c>
      <c r="H885">
        <f>IF(ISNUMBER(B885),MONTH(B885),"")</f>
        <v/>
      </c>
      <c r="I885">
        <f>IFERROR(IF($B$1=0,"",IF(ISNUMBER(INDEX(貼り付け!$A$1:$BZ$3001,884,$B$1)),"",SUBSTITUTE(SUBSTITUTE(SUBSTITUTE(SUBSTITUTE(TRIM(LEFT(INDEX(貼り付け!$A$1:$BZ$3001,884,$B$1)&amp;"",FIND(" ",TRIM(INDEX(貼り付け!$A$1:$BZ$3001,884,$B$1)&amp;"")&amp;" ")-1)),"/","-"),"年","-"),"月","-"),"日",""))),"")</f>
        <v/>
      </c>
      <c r="J885">
        <f>IFERROR(MID(I885,FIND("-",I885)+1,99),"")</f>
        <v/>
      </c>
    </row>
    <row r="886">
      <c r="B886">
        <f>IFERROR(IF($B$1=0,"",IF(INDEX(貼り付け!$A$1:$BZ$3001,885,$B$1)="","",IF(ISNUMBER(INDEX(貼り付け!$A$1:$BZ$3001,885,$B$1)),INT(INDEX(貼り付け!$A$1:$BZ$3001,885,$B$1)),DATE(VALUE(LEFT(I886,FIND("-",I886)-1)),VALUE(LEFT(J886,FIND("-",J886)-1)),VALUE(MID(J886,FIND("-",J886)+1,99)))))),"")</f>
        <v/>
      </c>
      <c r="C886">
        <f>IF($C$1=0,0,IFERROR(VALUE(SUBSTITUTE(SUBSTITUTE(SUBSTITUTE(INDEX(貼り付け!$A$1:$BZ$3001,885,$C$1)&amp;"",",",""),"¥",""),"￥","")),0))</f>
        <v/>
      </c>
      <c r="D886">
        <f>IF($D$1=0,0,IFERROR(VALUE(SUBSTITUTE(SUBSTITUTE(SUBSTITUTE(INDEX(貼り付け!$A$1:$BZ$3001,885,$D$1)&amp;"",",",""),"¥",""),"￥","")),0))</f>
        <v/>
      </c>
      <c r="E886">
        <f>IF($E$1=0,0,IFERROR(VALUE(SUBSTITUTE(SUBSTITUTE(SUBSTITUTE(INDEX(貼り付け!$A$1:$BZ$3001,885,$E$1)&amp;"",",",""),"¥",""),"￥","")),0))</f>
        <v/>
      </c>
      <c r="F886">
        <f>IF($F$1=0,0,IFERROR(VALUE(SUBSTITUTE(SUBSTITUTE(SUBSTITUTE(INDEX(貼り付け!$A$1:$BZ$3001,885,$F$1)&amp;"",",",""),"¥",""),"￥","")),0))</f>
        <v/>
      </c>
      <c r="G886">
        <f>IF(ISNUMBER(B886),YEAR(B886),"")</f>
        <v/>
      </c>
      <c r="H886">
        <f>IF(ISNUMBER(B886),MONTH(B886),"")</f>
        <v/>
      </c>
      <c r="I886">
        <f>IFERROR(IF($B$1=0,"",IF(ISNUMBER(INDEX(貼り付け!$A$1:$BZ$3001,885,$B$1)),"",SUBSTITUTE(SUBSTITUTE(SUBSTITUTE(SUBSTITUTE(TRIM(LEFT(INDEX(貼り付け!$A$1:$BZ$3001,885,$B$1)&amp;"",FIND(" ",TRIM(INDEX(貼り付け!$A$1:$BZ$3001,885,$B$1)&amp;"")&amp;" ")-1)),"/","-"),"年","-"),"月","-"),"日",""))),"")</f>
        <v/>
      </c>
      <c r="J886">
        <f>IFERROR(MID(I886,FIND("-",I886)+1,99),"")</f>
        <v/>
      </c>
    </row>
    <row r="887">
      <c r="B887">
        <f>IFERROR(IF($B$1=0,"",IF(INDEX(貼り付け!$A$1:$BZ$3001,886,$B$1)="","",IF(ISNUMBER(INDEX(貼り付け!$A$1:$BZ$3001,886,$B$1)),INT(INDEX(貼り付け!$A$1:$BZ$3001,886,$B$1)),DATE(VALUE(LEFT(I887,FIND("-",I887)-1)),VALUE(LEFT(J887,FIND("-",J887)-1)),VALUE(MID(J887,FIND("-",J887)+1,99)))))),"")</f>
        <v/>
      </c>
      <c r="C887">
        <f>IF($C$1=0,0,IFERROR(VALUE(SUBSTITUTE(SUBSTITUTE(SUBSTITUTE(INDEX(貼り付け!$A$1:$BZ$3001,886,$C$1)&amp;"",",",""),"¥",""),"￥","")),0))</f>
        <v/>
      </c>
      <c r="D887">
        <f>IF($D$1=0,0,IFERROR(VALUE(SUBSTITUTE(SUBSTITUTE(SUBSTITUTE(INDEX(貼り付け!$A$1:$BZ$3001,886,$D$1)&amp;"",",",""),"¥",""),"￥","")),0))</f>
        <v/>
      </c>
      <c r="E887">
        <f>IF($E$1=0,0,IFERROR(VALUE(SUBSTITUTE(SUBSTITUTE(SUBSTITUTE(INDEX(貼り付け!$A$1:$BZ$3001,886,$E$1)&amp;"",",",""),"¥",""),"￥","")),0))</f>
        <v/>
      </c>
      <c r="F887">
        <f>IF($F$1=0,0,IFERROR(VALUE(SUBSTITUTE(SUBSTITUTE(SUBSTITUTE(INDEX(貼り付け!$A$1:$BZ$3001,886,$F$1)&amp;"",",",""),"¥",""),"￥","")),0))</f>
        <v/>
      </c>
      <c r="G887">
        <f>IF(ISNUMBER(B887),YEAR(B887),"")</f>
        <v/>
      </c>
      <c r="H887">
        <f>IF(ISNUMBER(B887),MONTH(B887),"")</f>
        <v/>
      </c>
      <c r="I887">
        <f>IFERROR(IF($B$1=0,"",IF(ISNUMBER(INDEX(貼り付け!$A$1:$BZ$3001,886,$B$1)),"",SUBSTITUTE(SUBSTITUTE(SUBSTITUTE(SUBSTITUTE(TRIM(LEFT(INDEX(貼り付け!$A$1:$BZ$3001,886,$B$1)&amp;"",FIND(" ",TRIM(INDEX(貼り付け!$A$1:$BZ$3001,886,$B$1)&amp;"")&amp;" ")-1)),"/","-"),"年","-"),"月","-"),"日",""))),"")</f>
        <v/>
      </c>
      <c r="J887">
        <f>IFERROR(MID(I887,FIND("-",I887)+1,99),"")</f>
        <v/>
      </c>
    </row>
    <row r="888">
      <c r="B888">
        <f>IFERROR(IF($B$1=0,"",IF(INDEX(貼り付け!$A$1:$BZ$3001,887,$B$1)="","",IF(ISNUMBER(INDEX(貼り付け!$A$1:$BZ$3001,887,$B$1)),INT(INDEX(貼り付け!$A$1:$BZ$3001,887,$B$1)),DATE(VALUE(LEFT(I888,FIND("-",I888)-1)),VALUE(LEFT(J888,FIND("-",J888)-1)),VALUE(MID(J888,FIND("-",J888)+1,99)))))),"")</f>
        <v/>
      </c>
      <c r="C888">
        <f>IF($C$1=0,0,IFERROR(VALUE(SUBSTITUTE(SUBSTITUTE(SUBSTITUTE(INDEX(貼り付け!$A$1:$BZ$3001,887,$C$1)&amp;"",",",""),"¥",""),"￥","")),0))</f>
        <v/>
      </c>
      <c r="D888">
        <f>IF($D$1=0,0,IFERROR(VALUE(SUBSTITUTE(SUBSTITUTE(SUBSTITUTE(INDEX(貼り付け!$A$1:$BZ$3001,887,$D$1)&amp;"",",",""),"¥",""),"￥","")),0))</f>
        <v/>
      </c>
      <c r="E888">
        <f>IF($E$1=0,0,IFERROR(VALUE(SUBSTITUTE(SUBSTITUTE(SUBSTITUTE(INDEX(貼り付け!$A$1:$BZ$3001,887,$E$1)&amp;"",",",""),"¥",""),"￥","")),0))</f>
        <v/>
      </c>
      <c r="F888">
        <f>IF($F$1=0,0,IFERROR(VALUE(SUBSTITUTE(SUBSTITUTE(SUBSTITUTE(INDEX(貼り付け!$A$1:$BZ$3001,887,$F$1)&amp;"",",",""),"¥",""),"￥","")),0))</f>
        <v/>
      </c>
      <c r="G888">
        <f>IF(ISNUMBER(B888),YEAR(B888),"")</f>
        <v/>
      </c>
      <c r="H888">
        <f>IF(ISNUMBER(B888),MONTH(B888),"")</f>
        <v/>
      </c>
      <c r="I888">
        <f>IFERROR(IF($B$1=0,"",IF(ISNUMBER(INDEX(貼り付け!$A$1:$BZ$3001,887,$B$1)),"",SUBSTITUTE(SUBSTITUTE(SUBSTITUTE(SUBSTITUTE(TRIM(LEFT(INDEX(貼り付け!$A$1:$BZ$3001,887,$B$1)&amp;"",FIND(" ",TRIM(INDEX(貼り付け!$A$1:$BZ$3001,887,$B$1)&amp;"")&amp;" ")-1)),"/","-"),"年","-"),"月","-"),"日",""))),"")</f>
        <v/>
      </c>
      <c r="J888">
        <f>IFERROR(MID(I888,FIND("-",I888)+1,99),"")</f>
        <v/>
      </c>
    </row>
    <row r="889">
      <c r="B889">
        <f>IFERROR(IF($B$1=0,"",IF(INDEX(貼り付け!$A$1:$BZ$3001,888,$B$1)="","",IF(ISNUMBER(INDEX(貼り付け!$A$1:$BZ$3001,888,$B$1)),INT(INDEX(貼り付け!$A$1:$BZ$3001,888,$B$1)),DATE(VALUE(LEFT(I889,FIND("-",I889)-1)),VALUE(LEFT(J889,FIND("-",J889)-1)),VALUE(MID(J889,FIND("-",J889)+1,99)))))),"")</f>
        <v/>
      </c>
      <c r="C889">
        <f>IF($C$1=0,0,IFERROR(VALUE(SUBSTITUTE(SUBSTITUTE(SUBSTITUTE(INDEX(貼り付け!$A$1:$BZ$3001,888,$C$1)&amp;"",",",""),"¥",""),"￥","")),0))</f>
        <v/>
      </c>
      <c r="D889">
        <f>IF($D$1=0,0,IFERROR(VALUE(SUBSTITUTE(SUBSTITUTE(SUBSTITUTE(INDEX(貼り付け!$A$1:$BZ$3001,888,$D$1)&amp;"",",",""),"¥",""),"￥","")),0))</f>
        <v/>
      </c>
      <c r="E889">
        <f>IF($E$1=0,0,IFERROR(VALUE(SUBSTITUTE(SUBSTITUTE(SUBSTITUTE(INDEX(貼り付け!$A$1:$BZ$3001,888,$E$1)&amp;"",",",""),"¥",""),"￥","")),0))</f>
        <v/>
      </c>
      <c r="F889">
        <f>IF($F$1=0,0,IFERROR(VALUE(SUBSTITUTE(SUBSTITUTE(SUBSTITUTE(INDEX(貼り付け!$A$1:$BZ$3001,888,$F$1)&amp;"",",",""),"¥",""),"￥","")),0))</f>
        <v/>
      </c>
      <c r="G889">
        <f>IF(ISNUMBER(B889),YEAR(B889),"")</f>
        <v/>
      </c>
      <c r="H889">
        <f>IF(ISNUMBER(B889),MONTH(B889),"")</f>
        <v/>
      </c>
      <c r="I889">
        <f>IFERROR(IF($B$1=0,"",IF(ISNUMBER(INDEX(貼り付け!$A$1:$BZ$3001,888,$B$1)),"",SUBSTITUTE(SUBSTITUTE(SUBSTITUTE(SUBSTITUTE(TRIM(LEFT(INDEX(貼り付け!$A$1:$BZ$3001,888,$B$1)&amp;"",FIND(" ",TRIM(INDEX(貼り付け!$A$1:$BZ$3001,888,$B$1)&amp;"")&amp;" ")-1)),"/","-"),"年","-"),"月","-"),"日",""))),"")</f>
        <v/>
      </c>
      <c r="J889">
        <f>IFERROR(MID(I889,FIND("-",I889)+1,99),"")</f>
        <v/>
      </c>
    </row>
    <row r="890">
      <c r="B890">
        <f>IFERROR(IF($B$1=0,"",IF(INDEX(貼り付け!$A$1:$BZ$3001,889,$B$1)="","",IF(ISNUMBER(INDEX(貼り付け!$A$1:$BZ$3001,889,$B$1)),INT(INDEX(貼り付け!$A$1:$BZ$3001,889,$B$1)),DATE(VALUE(LEFT(I890,FIND("-",I890)-1)),VALUE(LEFT(J890,FIND("-",J890)-1)),VALUE(MID(J890,FIND("-",J890)+1,99)))))),"")</f>
        <v/>
      </c>
      <c r="C890">
        <f>IF($C$1=0,0,IFERROR(VALUE(SUBSTITUTE(SUBSTITUTE(SUBSTITUTE(INDEX(貼り付け!$A$1:$BZ$3001,889,$C$1)&amp;"",",",""),"¥",""),"￥","")),0))</f>
        <v/>
      </c>
      <c r="D890">
        <f>IF($D$1=0,0,IFERROR(VALUE(SUBSTITUTE(SUBSTITUTE(SUBSTITUTE(INDEX(貼り付け!$A$1:$BZ$3001,889,$D$1)&amp;"",",",""),"¥",""),"￥","")),0))</f>
        <v/>
      </c>
      <c r="E890">
        <f>IF($E$1=0,0,IFERROR(VALUE(SUBSTITUTE(SUBSTITUTE(SUBSTITUTE(INDEX(貼り付け!$A$1:$BZ$3001,889,$E$1)&amp;"",",",""),"¥",""),"￥","")),0))</f>
        <v/>
      </c>
      <c r="F890">
        <f>IF($F$1=0,0,IFERROR(VALUE(SUBSTITUTE(SUBSTITUTE(SUBSTITUTE(INDEX(貼り付け!$A$1:$BZ$3001,889,$F$1)&amp;"",",",""),"¥",""),"￥","")),0))</f>
        <v/>
      </c>
      <c r="G890">
        <f>IF(ISNUMBER(B890),YEAR(B890),"")</f>
        <v/>
      </c>
      <c r="H890">
        <f>IF(ISNUMBER(B890),MONTH(B890),"")</f>
        <v/>
      </c>
      <c r="I890">
        <f>IFERROR(IF($B$1=0,"",IF(ISNUMBER(INDEX(貼り付け!$A$1:$BZ$3001,889,$B$1)),"",SUBSTITUTE(SUBSTITUTE(SUBSTITUTE(SUBSTITUTE(TRIM(LEFT(INDEX(貼り付け!$A$1:$BZ$3001,889,$B$1)&amp;"",FIND(" ",TRIM(INDEX(貼り付け!$A$1:$BZ$3001,889,$B$1)&amp;"")&amp;" ")-1)),"/","-"),"年","-"),"月","-"),"日",""))),"")</f>
        <v/>
      </c>
      <c r="J890">
        <f>IFERROR(MID(I890,FIND("-",I890)+1,99),"")</f>
        <v/>
      </c>
    </row>
    <row r="891">
      <c r="B891">
        <f>IFERROR(IF($B$1=0,"",IF(INDEX(貼り付け!$A$1:$BZ$3001,890,$B$1)="","",IF(ISNUMBER(INDEX(貼り付け!$A$1:$BZ$3001,890,$B$1)),INT(INDEX(貼り付け!$A$1:$BZ$3001,890,$B$1)),DATE(VALUE(LEFT(I891,FIND("-",I891)-1)),VALUE(LEFT(J891,FIND("-",J891)-1)),VALUE(MID(J891,FIND("-",J891)+1,99)))))),"")</f>
        <v/>
      </c>
      <c r="C891">
        <f>IF($C$1=0,0,IFERROR(VALUE(SUBSTITUTE(SUBSTITUTE(SUBSTITUTE(INDEX(貼り付け!$A$1:$BZ$3001,890,$C$1)&amp;"",",",""),"¥",""),"￥","")),0))</f>
        <v/>
      </c>
      <c r="D891">
        <f>IF($D$1=0,0,IFERROR(VALUE(SUBSTITUTE(SUBSTITUTE(SUBSTITUTE(INDEX(貼り付け!$A$1:$BZ$3001,890,$D$1)&amp;"",",",""),"¥",""),"￥","")),0))</f>
        <v/>
      </c>
      <c r="E891">
        <f>IF($E$1=0,0,IFERROR(VALUE(SUBSTITUTE(SUBSTITUTE(SUBSTITUTE(INDEX(貼り付け!$A$1:$BZ$3001,890,$E$1)&amp;"",",",""),"¥",""),"￥","")),0))</f>
        <v/>
      </c>
      <c r="F891">
        <f>IF($F$1=0,0,IFERROR(VALUE(SUBSTITUTE(SUBSTITUTE(SUBSTITUTE(INDEX(貼り付け!$A$1:$BZ$3001,890,$F$1)&amp;"",",",""),"¥",""),"￥","")),0))</f>
        <v/>
      </c>
      <c r="G891">
        <f>IF(ISNUMBER(B891),YEAR(B891),"")</f>
        <v/>
      </c>
      <c r="H891">
        <f>IF(ISNUMBER(B891),MONTH(B891),"")</f>
        <v/>
      </c>
      <c r="I891">
        <f>IFERROR(IF($B$1=0,"",IF(ISNUMBER(INDEX(貼り付け!$A$1:$BZ$3001,890,$B$1)),"",SUBSTITUTE(SUBSTITUTE(SUBSTITUTE(SUBSTITUTE(TRIM(LEFT(INDEX(貼り付け!$A$1:$BZ$3001,890,$B$1)&amp;"",FIND(" ",TRIM(INDEX(貼り付け!$A$1:$BZ$3001,890,$B$1)&amp;"")&amp;" ")-1)),"/","-"),"年","-"),"月","-"),"日",""))),"")</f>
        <v/>
      </c>
      <c r="J891">
        <f>IFERROR(MID(I891,FIND("-",I891)+1,99),"")</f>
        <v/>
      </c>
    </row>
    <row r="892">
      <c r="B892">
        <f>IFERROR(IF($B$1=0,"",IF(INDEX(貼り付け!$A$1:$BZ$3001,891,$B$1)="","",IF(ISNUMBER(INDEX(貼り付け!$A$1:$BZ$3001,891,$B$1)),INT(INDEX(貼り付け!$A$1:$BZ$3001,891,$B$1)),DATE(VALUE(LEFT(I892,FIND("-",I892)-1)),VALUE(LEFT(J892,FIND("-",J892)-1)),VALUE(MID(J892,FIND("-",J892)+1,99)))))),"")</f>
        <v/>
      </c>
      <c r="C892">
        <f>IF($C$1=0,0,IFERROR(VALUE(SUBSTITUTE(SUBSTITUTE(SUBSTITUTE(INDEX(貼り付け!$A$1:$BZ$3001,891,$C$1)&amp;"",",",""),"¥",""),"￥","")),0))</f>
        <v/>
      </c>
      <c r="D892">
        <f>IF($D$1=0,0,IFERROR(VALUE(SUBSTITUTE(SUBSTITUTE(SUBSTITUTE(INDEX(貼り付け!$A$1:$BZ$3001,891,$D$1)&amp;"",",",""),"¥",""),"￥","")),0))</f>
        <v/>
      </c>
      <c r="E892">
        <f>IF($E$1=0,0,IFERROR(VALUE(SUBSTITUTE(SUBSTITUTE(SUBSTITUTE(INDEX(貼り付け!$A$1:$BZ$3001,891,$E$1)&amp;"",",",""),"¥",""),"￥","")),0))</f>
        <v/>
      </c>
      <c r="F892">
        <f>IF($F$1=0,0,IFERROR(VALUE(SUBSTITUTE(SUBSTITUTE(SUBSTITUTE(INDEX(貼り付け!$A$1:$BZ$3001,891,$F$1)&amp;"",",",""),"¥",""),"￥","")),0))</f>
        <v/>
      </c>
      <c r="G892">
        <f>IF(ISNUMBER(B892),YEAR(B892),"")</f>
        <v/>
      </c>
      <c r="H892">
        <f>IF(ISNUMBER(B892),MONTH(B892),"")</f>
        <v/>
      </c>
      <c r="I892">
        <f>IFERROR(IF($B$1=0,"",IF(ISNUMBER(INDEX(貼り付け!$A$1:$BZ$3001,891,$B$1)),"",SUBSTITUTE(SUBSTITUTE(SUBSTITUTE(SUBSTITUTE(TRIM(LEFT(INDEX(貼り付け!$A$1:$BZ$3001,891,$B$1)&amp;"",FIND(" ",TRIM(INDEX(貼り付け!$A$1:$BZ$3001,891,$B$1)&amp;"")&amp;" ")-1)),"/","-"),"年","-"),"月","-"),"日",""))),"")</f>
        <v/>
      </c>
      <c r="J892">
        <f>IFERROR(MID(I892,FIND("-",I892)+1,99),"")</f>
        <v/>
      </c>
    </row>
    <row r="893">
      <c r="B893">
        <f>IFERROR(IF($B$1=0,"",IF(INDEX(貼り付け!$A$1:$BZ$3001,892,$B$1)="","",IF(ISNUMBER(INDEX(貼り付け!$A$1:$BZ$3001,892,$B$1)),INT(INDEX(貼り付け!$A$1:$BZ$3001,892,$B$1)),DATE(VALUE(LEFT(I893,FIND("-",I893)-1)),VALUE(LEFT(J893,FIND("-",J893)-1)),VALUE(MID(J893,FIND("-",J893)+1,99)))))),"")</f>
        <v/>
      </c>
      <c r="C893">
        <f>IF($C$1=0,0,IFERROR(VALUE(SUBSTITUTE(SUBSTITUTE(SUBSTITUTE(INDEX(貼り付け!$A$1:$BZ$3001,892,$C$1)&amp;"",",",""),"¥",""),"￥","")),0))</f>
        <v/>
      </c>
      <c r="D893">
        <f>IF($D$1=0,0,IFERROR(VALUE(SUBSTITUTE(SUBSTITUTE(SUBSTITUTE(INDEX(貼り付け!$A$1:$BZ$3001,892,$D$1)&amp;"",",",""),"¥",""),"￥","")),0))</f>
        <v/>
      </c>
      <c r="E893">
        <f>IF($E$1=0,0,IFERROR(VALUE(SUBSTITUTE(SUBSTITUTE(SUBSTITUTE(INDEX(貼り付け!$A$1:$BZ$3001,892,$E$1)&amp;"",",",""),"¥",""),"￥","")),0))</f>
        <v/>
      </c>
      <c r="F893">
        <f>IF($F$1=0,0,IFERROR(VALUE(SUBSTITUTE(SUBSTITUTE(SUBSTITUTE(INDEX(貼り付け!$A$1:$BZ$3001,892,$F$1)&amp;"",",",""),"¥",""),"￥","")),0))</f>
        <v/>
      </c>
      <c r="G893">
        <f>IF(ISNUMBER(B893),YEAR(B893),"")</f>
        <v/>
      </c>
      <c r="H893">
        <f>IF(ISNUMBER(B893),MONTH(B893),"")</f>
        <v/>
      </c>
      <c r="I893">
        <f>IFERROR(IF($B$1=0,"",IF(ISNUMBER(INDEX(貼り付け!$A$1:$BZ$3001,892,$B$1)),"",SUBSTITUTE(SUBSTITUTE(SUBSTITUTE(SUBSTITUTE(TRIM(LEFT(INDEX(貼り付け!$A$1:$BZ$3001,892,$B$1)&amp;"",FIND(" ",TRIM(INDEX(貼り付け!$A$1:$BZ$3001,892,$B$1)&amp;"")&amp;" ")-1)),"/","-"),"年","-"),"月","-"),"日",""))),"")</f>
        <v/>
      </c>
      <c r="J893">
        <f>IFERROR(MID(I893,FIND("-",I893)+1,99),"")</f>
        <v/>
      </c>
    </row>
    <row r="894">
      <c r="B894">
        <f>IFERROR(IF($B$1=0,"",IF(INDEX(貼り付け!$A$1:$BZ$3001,893,$B$1)="","",IF(ISNUMBER(INDEX(貼り付け!$A$1:$BZ$3001,893,$B$1)),INT(INDEX(貼り付け!$A$1:$BZ$3001,893,$B$1)),DATE(VALUE(LEFT(I894,FIND("-",I894)-1)),VALUE(LEFT(J894,FIND("-",J894)-1)),VALUE(MID(J894,FIND("-",J894)+1,99)))))),"")</f>
        <v/>
      </c>
      <c r="C894">
        <f>IF($C$1=0,0,IFERROR(VALUE(SUBSTITUTE(SUBSTITUTE(SUBSTITUTE(INDEX(貼り付け!$A$1:$BZ$3001,893,$C$1)&amp;"",",",""),"¥",""),"￥","")),0))</f>
        <v/>
      </c>
      <c r="D894">
        <f>IF($D$1=0,0,IFERROR(VALUE(SUBSTITUTE(SUBSTITUTE(SUBSTITUTE(INDEX(貼り付け!$A$1:$BZ$3001,893,$D$1)&amp;"",",",""),"¥",""),"￥","")),0))</f>
        <v/>
      </c>
      <c r="E894">
        <f>IF($E$1=0,0,IFERROR(VALUE(SUBSTITUTE(SUBSTITUTE(SUBSTITUTE(INDEX(貼り付け!$A$1:$BZ$3001,893,$E$1)&amp;"",",",""),"¥",""),"￥","")),0))</f>
        <v/>
      </c>
      <c r="F894">
        <f>IF($F$1=0,0,IFERROR(VALUE(SUBSTITUTE(SUBSTITUTE(SUBSTITUTE(INDEX(貼り付け!$A$1:$BZ$3001,893,$F$1)&amp;"",",",""),"¥",""),"￥","")),0))</f>
        <v/>
      </c>
      <c r="G894">
        <f>IF(ISNUMBER(B894),YEAR(B894),"")</f>
        <v/>
      </c>
      <c r="H894">
        <f>IF(ISNUMBER(B894),MONTH(B894),"")</f>
        <v/>
      </c>
      <c r="I894">
        <f>IFERROR(IF($B$1=0,"",IF(ISNUMBER(INDEX(貼り付け!$A$1:$BZ$3001,893,$B$1)),"",SUBSTITUTE(SUBSTITUTE(SUBSTITUTE(SUBSTITUTE(TRIM(LEFT(INDEX(貼り付け!$A$1:$BZ$3001,893,$B$1)&amp;"",FIND(" ",TRIM(INDEX(貼り付け!$A$1:$BZ$3001,893,$B$1)&amp;"")&amp;" ")-1)),"/","-"),"年","-"),"月","-"),"日",""))),"")</f>
        <v/>
      </c>
      <c r="J894">
        <f>IFERROR(MID(I894,FIND("-",I894)+1,99),"")</f>
        <v/>
      </c>
    </row>
    <row r="895">
      <c r="B895">
        <f>IFERROR(IF($B$1=0,"",IF(INDEX(貼り付け!$A$1:$BZ$3001,894,$B$1)="","",IF(ISNUMBER(INDEX(貼り付け!$A$1:$BZ$3001,894,$B$1)),INT(INDEX(貼り付け!$A$1:$BZ$3001,894,$B$1)),DATE(VALUE(LEFT(I895,FIND("-",I895)-1)),VALUE(LEFT(J895,FIND("-",J895)-1)),VALUE(MID(J895,FIND("-",J895)+1,99)))))),"")</f>
        <v/>
      </c>
      <c r="C895">
        <f>IF($C$1=0,0,IFERROR(VALUE(SUBSTITUTE(SUBSTITUTE(SUBSTITUTE(INDEX(貼り付け!$A$1:$BZ$3001,894,$C$1)&amp;"",",",""),"¥",""),"￥","")),0))</f>
        <v/>
      </c>
      <c r="D895">
        <f>IF($D$1=0,0,IFERROR(VALUE(SUBSTITUTE(SUBSTITUTE(SUBSTITUTE(INDEX(貼り付け!$A$1:$BZ$3001,894,$D$1)&amp;"",",",""),"¥",""),"￥","")),0))</f>
        <v/>
      </c>
      <c r="E895">
        <f>IF($E$1=0,0,IFERROR(VALUE(SUBSTITUTE(SUBSTITUTE(SUBSTITUTE(INDEX(貼り付け!$A$1:$BZ$3001,894,$E$1)&amp;"",",",""),"¥",""),"￥","")),0))</f>
        <v/>
      </c>
      <c r="F895">
        <f>IF($F$1=0,0,IFERROR(VALUE(SUBSTITUTE(SUBSTITUTE(SUBSTITUTE(INDEX(貼り付け!$A$1:$BZ$3001,894,$F$1)&amp;"",",",""),"¥",""),"￥","")),0))</f>
        <v/>
      </c>
      <c r="G895">
        <f>IF(ISNUMBER(B895),YEAR(B895),"")</f>
        <v/>
      </c>
      <c r="H895">
        <f>IF(ISNUMBER(B895),MONTH(B895),"")</f>
        <v/>
      </c>
      <c r="I895">
        <f>IFERROR(IF($B$1=0,"",IF(ISNUMBER(INDEX(貼り付け!$A$1:$BZ$3001,894,$B$1)),"",SUBSTITUTE(SUBSTITUTE(SUBSTITUTE(SUBSTITUTE(TRIM(LEFT(INDEX(貼り付け!$A$1:$BZ$3001,894,$B$1)&amp;"",FIND(" ",TRIM(INDEX(貼り付け!$A$1:$BZ$3001,894,$B$1)&amp;"")&amp;" ")-1)),"/","-"),"年","-"),"月","-"),"日",""))),"")</f>
        <v/>
      </c>
      <c r="J895">
        <f>IFERROR(MID(I895,FIND("-",I895)+1,99),"")</f>
        <v/>
      </c>
    </row>
    <row r="896">
      <c r="B896">
        <f>IFERROR(IF($B$1=0,"",IF(INDEX(貼り付け!$A$1:$BZ$3001,895,$B$1)="","",IF(ISNUMBER(INDEX(貼り付け!$A$1:$BZ$3001,895,$B$1)),INT(INDEX(貼り付け!$A$1:$BZ$3001,895,$B$1)),DATE(VALUE(LEFT(I896,FIND("-",I896)-1)),VALUE(LEFT(J896,FIND("-",J896)-1)),VALUE(MID(J896,FIND("-",J896)+1,99)))))),"")</f>
        <v/>
      </c>
      <c r="C896">
        <f>IF($C$1=0,0,IFERROR(VALUE(SUBSTITUTE(SUBSTITUTE(SUBSTITUTE(INDEX(貼り付け!$A$1:$BZ$3001,895,$C$1)&amp;"",",",""),"¥",""),"￥","")),0))</f>
        <v/>
      </c>
      <c r="D896">
        <f>IF($D$1=0,0,IFERROR(VALUE(SUBSTITUTE(SUBSTITUTE(SUBSTITUTE(INDEX(貼り付け!$A$1:$BZ$3001,895,$D$1)&amp;"",",",""),"¥",""),"￥","")),0))</f>
        <v/>
      </c>
      <c r="E896">
        <f>IF($E$1=0,0,IFERROR(VALUE(SUBSTITUTE(SUBSTITUTE(SUBSTITUTE(INDEX(貼り付け!$A$1:$BZ$3001,895,$E$1)&amp;"",",",""),"¥",""),"￥","")),0))</f>
        <v/>
      </c>
      <c r="F896">
        <f>IF($F$1=0,0,IFERROR(VALUE(SUBSTITUTE(SUBSTITUTE(SUBSTITUTE(INDEX(貼り付け!$A$1:$BZ$3001,895,$F$1)&amp;"",",",""),"¥",""),"￥","")),0))</f>
        <v/>
      </c>
      <c r="G896">
        <f>IF(ISNUMBER(B896),YEAR(B896),"")</f>
        <v/>
      </c>
      <c r="H896">
        <f>IF(ISNUMBER(B896),MONTH(B896),"")</f>
        <v/>
      </c>
      <c r="I896">
        <f>IFERROR(IF($B$1=0,"",IF(ISNUMBER(INDEX(貼り付け!$A$1:$BZ$3001,895,$B$1)),"",SUBSTITUTE(SUBSTITUTE(SUBSTITUTE(SUBSTITUTE(TRIM(LEFT(INDEX(貼り付け!$A$1:$BZ$3001,895,$B$1)&amp;"",FIND(" ",TRIM(INDEX(貼り付け!$A$1:$BZ$3001,895,$B$1)&amp;"")&amp;" ")-1)),"/","-"),"年","-"),"月","-"),"日",""))),"")</f>
        <v/>
      </c>
      <c r="J896">
        <f>IFERROR(MID(I896,FIND("-",I896)+1,99),"")</f>
        <v/>
      </c>
    </row>
    <row r="897">
      <c r="B897">
        <f>IFERROR(IF($B$1=0,"",IF(INDEX(貼り付け!$A$1:$BZ$3001,896,$B$1)="","",IF(ISNUMBER(INDEX(貼り付け!$A$1:$BZ$3001,896,$B$1)),INT(INDEX(貼り付け!$A$1:$BZ$3001,896,$B$1)),DATE(VALUE(LEFT(I897,FIND("-",I897)-1)),VALUE(LEFT(J897,FIND("-",J897)-1)),VALUE(MID(J897,FIND("-",J897)+1,99)))))),"")</f>
        <v/>
      </c>
      <c r="C897">
        <f>IF($C$1=0,0,IFERROR(VALUE(SUBSTITUTE(SUBSTITUTE(SUBSTITUTE(INDEX(貼り付け!$A$1:$BZ$3001,896,$C$1)&amp;"",",",""),"¥",""),"￥","")),0))</f>
        <v/>
      </c>
      <c r="D897">
        <f>IF($D$1=0,0,IFERROR(VALUE(SUBSTITUTE(SUBSTITUTE(SUBSTITUTE(INDEX(貼り付け!$A$1:$BZ$3001,896,$D$1)&amp;"",",",""),"¥",""),"￥","")),0))</f>
        <v/>
      </c>
      <c r="E897">
        <f>IF($E$1=0,0,IFERROR(VALUE(SUBSTITUTE(SUBSTITUTE(SUBSTITUTE(INDEX(貼り付け!$A$1:$BZ$3001,896,$E$1)&amp;"",",",""),"¥",""),"￥","")),0))</f>
        <v/>
      </c>
      <c r="F897">
        <f>IF($F$1=0,0,IFERROR(VALUE(SUBSTITUTE(SUBSTITUTE(SUBSTITUTE(INDEX(貼り付け!$A$1:$BZ$3001,896,$F$1)&amp;"",",",""),"¥",""),"￥","")),0))</f>
        <v/>
      </c>
      <c r="G897">
        <f>IF(ISNUMBER(B897),YEAR(B897),"")</f>
        <v/>
      </c>
      <c r="H897">
        <f>IF(ISNUMBER(B897),MONTH(B897),"")</f>
        <v/>
      </c>
      <c r="I897">
        <f>IFERROR(IF($B$1=0,"",IF(ISNUMBER(INDEX(貼り付け!$A$1:$BZ$3001,896,$B$1)),"",SUBSTITUTE(SUBSTITUTE(SUBSTITUTE(SUBSTITUTE(TRIM(LEFT(INDEX(貼り付け!$A$1:$BZ$3001,896,$B$1)&amp;"",FIND(" ",TRIM(INDEX(貼り付け!$A$1:$BZ$3001,896,$B$1)&amp;"")&amp;" ")-1)),"/","-"),"年","-"),"月","-"),"日",""))),"")</f>
        <v/>
      </c>
      <c r="J897">
        <f>IFERROR(MID(I897,FIND("-",I897)+1,99),"")</f>
        <v/>
      </c>
    </row>
    <row r="898">
      <c r="B898">
        <f>IFERROR(IF($B$1=0,"",IF(INDEX(貼り付け!$A$1:$BZ$3001,897,$B$1)="","",IF(ISNUMBER(INDEX(貼り付け!$A$1:$BZ$3001,897,$B$1)),INT(INDEX(貼り付け!$A$1:$BZ$3001,897,$B$1)),DATE(VALUE(LEFT(I898,FIND("-",I898)-1)),VALUE(LEFT(J898,FIND("-",J898)-1)),VALUE(MID(J898,FIND("-",J898)+1,99)))))),"")</f>
        <v/>
      </c>
      <c r="C898">
        <f>IF($C$1=0,0,IFERROR(VALUE(SUBSTITUTE(SUBSTITUTE(SUBSTITUTE(INDEX(貼り付け!$A$1:$BZ$3001,897,$C$1)&amp;"",",",""),"¥",""),"￥","")),0))</f>
        <v/>
      </c>
      <c r="D898">
        <f>IF($D$1=0,0,IFERROR(VALUE(SUBSTITUTE(SUBSTITUTE(SUBSTITUTE(INDEX(貼り付け!$A$1:$BZ$3001,897,$D$1)&amp;"",",",""),"¥",""),"￥","")),0))</f>
        <v/>
      </c>
      <c r="E898">
        <f>IF($E$1=0,0,IFERROR(VALUE(SUBSTITUTE(SUBSTITUTE(SUBSTITUTE(INDEX(貼り付け!$A$1:$BZ$3001,897,$E$1)&amp;"",",",""),"¥",""),"￥","")),0))</f>
        <v/>
      </c>
      <c r="F898">
        <f>IF($F$1=0,0,IFERROR(VALUE(SUBSTITUTE(SUBSTITUTE(SUBSTITUTE(INDEX(貼り付け!$A$1:$BZ$3001,897,$F$1)&amp;"",",",""),"¥",""),"￥","")),0))</f>
        <v/>
      </c>
      <c r="G898">
        <f>IF(ISNUMBER(B898),YEAR(B898),"")</f>
        <v/>
      </c>
      <c r="H898">
        <f>IF(ISNUMBER(B898),MONTH(B898),"")</f>
        <v/>
      </c>
      <c r="I898">
        <f>IFERROR(IF($B$1=0,"",IF(ISNUMBER(INDEX(貼り付け!$A$1:$BZ$3001,897,$B$1)),"",SUBSTITUTE(SUBSTITUTE(SUBSTITUTE(SUBSTITUTE(TRIM(LEFT(INDEX(貼り付け!$A$1:$BZ$3001,897,$B$1)&amp;"",FIND(" ",TRIM(INDEX(貼り付け!$A$1:$BZ$3001,897,$B$1)&amp;"")&amp;" ")-1)),"/","-"),"年","-"),"月","-"),"日",""))),"")</f>
        <v/>
      </c>
      <c r="J898">
        <f>IFERROR(MID(I898,FIND("-",I898)+1,99),"")</f>
        <v/>
      </c>
    </row>
    <row r="899">
      <c r="B899">
        <f>IFERROR(IF($B$1=0,"",IF(INDEX(貼り付け!$A$1:$BZ$3001,898,$B$1)="","",IF(ISNUMBER(INDEX(貼り付け!$A$1:$BZ$3001,898,$B$1)),INT(INDEX(貼り付け!$A$1:$BZ$3001,898,$B$1)),DATE(VALUE(LEFT(I899,FIND("-",I899)-1)),VALUE(LEFT(J899,FIND("-",J899)-1)),VALUE(MID(J899,FIND("-",J899)+1,99)))))),"")</f>
        <v/>
      </c>
      <c r="C899">
        <f>IF($C$1=0,0,IFERROR(VALUE(SUBSTITUTE(SUBSTITUTE(SUBSTITUTE(INDEX(貼り付け!$A$1:$BZ$3001,898,$C$1)&amp;"",",",""),"¥",""),"￥","")),0))</f>
        <v/>
      </c>
      <c r="D899">
        <f>IF($D$1=0,0,IFERROR(VALUE(SUBSTITUTE(SUBSTITUTE(SUBSTITUTE(INDEX(貼り付け!$A$1:$BZ$3001,898,$D$1)&amp;"",",",""),"¥",""),"￥","")),0))</f>
        <v/>
      </c>
      <c r="E899">
        <f>IF($E$1=0,0,IFERROR(VALUE(SUBSTITUTE(SUBSTITUTE(SUBSTITUTE(INDEX(貼り付け!$A$1:$BZ$3001,898,$E$1)&amp;"",",",""),"¥",""),"￥","")),0))</f>
        <v/>
      </c>
      <c r="F899">
        <f>IF($F$1=0,0,IFERROR(VALUE(SUBSTITUTE(SUBSTITUTE(SUBSTITUTE(INDEX(貼り付け!$A$1:$BZ$3001,898,$F$1)&amp;"",",",""),"¥",""),"￥","")),0))</f>
        <v/>
      </c>
      <c r="G899">
        <f>IF(ISNUMBER(B899),YEAR(B899),"")</f>
        <v/>
      </c>
      <c r="H899">
        <f>IF(ISNUMBER(B899),MONTH(B899),"")</f>
        <v/>
      </c>
      <c r="I899">
        <f>IFERROR(IF($B$1=0,"",IF(ISNUMBER(INDEX(貼り付け!$A$1:$BZ$3001,898,$B$1)),"",SUBSTITUTE(SUBSTITUTE(SUBSTITUTE(SUBSTITUTE(TRIM(LEFT(INDEX(貼り付け!$A$1:$BZ$3001,898,$B$1)&amp;"",FIND(" ",TRIM(INDEX(貼り付け!$A$1:$BZ$3001,898,$B$1)&amp;"")&amp;" ")-1)),"/","-"),"年","-"),"月","-"),"日",""))),"")</f>
        <v/>
      </c>
      <c r="J899">
        <f>IFERROR(MID(I899,FIND("-",I899)+1,99),"")</f>
        <v/>
      </c>
    </row>
    <row r="900">
      <c r="B900">
        <f>IFERROR(IF($B$1=0,"",IF(INDEX(貼り付け!$A$1:$BZ$3001,899,$B$1)="","",IF(ISNUMBER(INDEX(貼り付け!$A$1:$BZ$3001,899,$B$1)),INT(INDEX(貼り付け!$A$1:$BZ$3001,899,$B$1)),DATE(VALUE(LEFT(I900,FIND("-",I900)-1)),VALUE(LEFT(J900,FIND("-",J900)-1)),VALUE(MID(J900,FIND("-",J900)+1,99)))))),"")</f>
        <v/>
      </c>
      <c r="C900">
        <f>IF($C$1=0,0,IFERROR(VALUE(SUBSTITUTE(SUBSTITUTE(SUBSTITUTE(INDEX(貼り付け!$A$1:$BZ$3001,899,$C$1)&amp;"",",",""),"¥",""),"￥","")),0))</f>
        <v/>
      </c>
      <c r="D900">
        <f>IF($D$1=0,0,IFERROR(VALUE(SUBSTITUTE(SUBSTITUTE(SUBSTITUTE(INDEX(貼り付け!$A$1:$BZ$3001,899,$D$1)&amp;"",",",""),"¥",""),"￥","")),0))</f>
        <v/>
      </c>
      <c r="E900">
        <f>IF($E$1=0,0,IFERROR(VALUE(SUBSTITUTE(SUBSTITUTE(SUBSTITUTE(INDEX(貼り付け!$A$1:$BZ$3001,899,$E$1)&amp;"",",",""),"¥",""),"￥","")),0))</f>
        <v/>
      </c>
      <c r="F900">
        <f>IF($F$1=0,0,IFERROR(VALUE(SUBSTITUTE(SUBSTITUTE(SUBSTITUTE(INDEX(貼り付け!$A$1:$BZ$3001,899,$F$1)&amp;"",",",""),"¥",""),"￥","")),0))</f>
        <v/>
      </c>
      <c r="G900">
        <f>IF(ISNUMBER(B900),YEAR(B900),"")</f>
        <v/>
      </c>
      <c r="H900">
        <f>IF(ISNUMBER(B900),MONTH(B900),"")</f>
        <v/>
      </c>
      <c r="I900">
        <f>IFERROR(IF($B$1=0,"",IF(ISNUMBER(INDEX(貼り付け!$A$1:$BZ$3001,899,$B$1)),"",SUBSTITUTE(SUBSTITUTE(SUBSTITUTE(SUBSTITUTE(TRIM(LEFT(INDEX(貼り付け!$A$1:$BZ$3001,899,$B$1)&amp;"",FIND(" ",TRIM(INDEX(貼り付け!$A$1:$BZ$3001,899,$B$1)&amp;"")&amp;" ")-1)),"/","-"),"年","-"),"月","-"),"日",""))),"")</f>
        <v/>
      </c>
      <c r="J900">
        <f>IFERROR(MID(I900,FIND("-",I900)+1,99),"")</f>
        <v/>
      </c>
    </row>
    <row r="901">
      <c r="B901">
        <f>IFERROR(IF($B$1=0,"",IF(INDEX(貼り付け!$A$1:$BZ$3001,900,$B$1)="","",IF(ISNUMBER(INDEX(貼り付け!$A$1:$BZ$3001,900,$B$1)),INT(INDEX(貼り付け!$A$1:$BZ$3001,900,$B$1)),DATE(VALUE(LEFT(I901,FIND("-",I901)-1)),VALUE(LEFT(J901,FIND("-",J901)-1)),VALUE(MID(J901,FIND("-",J901)+1,99)))))),"")</f>
        <v/>
      </c>
      <c r="C901">
        <f>IF($C$1=0,0,IFERROR(VALUE(SUBSTITUTE(SUBSTITUTE(SUBSTITUTE(INDEX(貼り付け!$A$1:$BZ$3001,900,$C$1)&amp;"",",",""),"¥",""),"￥","")),0))</f>
        <v/>
      </c>
      <c r="D901">
        <f>IF($D$1=0,0,IFERROR(VALUE(SUBSTITUTE(SUBSTITUTE(SUBSTITUTE(INDEX(貼り付け!$A$1:$BZ$3001,900,$D$1)&amp;"",",",""),"¥",""),"￥","")),0))</f>
        <v/>
      </c>
      <c r="E901">
        <f>IF($E$1=0,0,IFERROR(VALUE(SUBSTITUTE(SUBSTITUTE(SUBSTITUTE(INDEX(貼り付け!$A$1:$BZ$3001,900,$E$1)&amp;"",",",""),"¥",""),"￥","")),0))</f>
        <v/>
      </c>
      <c r="F901">
        <f>IF($F$1=0,0,IFERROR(VALUE(SUBSTITUTE(SUBSTITUTE(SUBSTITUTE(INDEX(貼り付け!$A$1:$BZ$3001,900,$F$1)&amp;"",",",""),"¥",""),"￥","")),0))</f>
        <v/>
      </c>
      <c r="G901">
        <f>IF(ISNUMBER(B901),YEAR(B901),"")</f>
        <v/>
      </c>
      <c r="H901">
        <f>IF(ISNUMBER(B901),MONTH(B901),"")</f>
        <v/>
      </c>
      <c r="I901">
        <f>IFERROR(IF($B$1=0,"",IF(ISNUMBER(INDEX(貼り付け!$A$1:$BZ$3001,900,$B$1)),"",SUBSTITUTE(SUBSTITUTE(SUBSTITUTE(SUBSTITUTE(TRIM(LEFT(INDEX(貼り付け!$A$1:$BZ$3001,900,$B$1)&amp;"",FIND(" ",TRIM(INDEX(貼り付け!$A$1:$BZ$3001,900,$B$1)&amp;"")&amp;" ")-1)),"/","-"),"年","-"),"月","-"),"日",""))),"")</f>
        <v/>
      </c>
      <c r="J901">
        <f>IFERROR(MID(I901,FIND("-",I901)+1,99),"")</f>
        <v/>
      </c>
    </row>
    <row r="902">
      <c r="B902">
        <f>IFERROR(IF($B$1=0,"",IF(INDEX(貼り付け!$A$1:$BZ$3001,901,$B$1)="","",IF(ISNUMBER(INDEX(貼り付け!$A$1:$BZ$3001,901,$B$1)),INT(INDEX(貼り付け!$A$1:$BZ$3001,901,$B$1)),DATE(VALUE(LEFT(I902,FIND("-",I902)-1)),VALUE(LEFT(J902,FIND("-",J902)-1)),VALUE(MID(J902,FIND("-",J902)+1,99)))))),"")</f>
        <v/>
      </c>
      <c r="C902">
        <f>IF($C$1=0,0,IFERROR(VALUE(SUBSTITUTE(SUBSTITUTE(SUBSTITUTE(INDEX(貼り付け!$A$1:$BZ$3001,901,$C$1)&amp;"",",",""),"¥",""),"￥","")),0))</f>
        <v/>
      </c>
      <c r="D902">
        <f>IF($D$1=0,0,IFERROR(VALUE(SUBSTITUTE(SUBSTITUTE(SUBSTITUTE(INDEX(貼り付け!$A$1:$BZ$3001,901,$D$1)&amp;"",",",""),"¥",""),"￥","")),0))</f>
        <v/>
      </c>
      <c r="E902">
        <f>IF($E$1=0,0,IFERROR(VALUE(SUBSTITUTE(SUBSTITUTE(SUBSTITUTE(INDEX(貼り付け!$A$1:$BZ$3001,901,$E$1)&amp;"",",",""),"¥",""),"￥","")),0))</f>
        <v/>
      </c>
      <c r="F902">
        <f>IF($F$1=0,0,IFERROR(VALUE(SUBSTITUTE(SUBSTITUTE(SUBSTITUTE(INDEX(貼り付け!$A$1:$BZ$3001,901,$F$1)&amp;"",",",""),"¥",""),"￥","")),0))</f>
        <v/>
      </c>
      <c r="G902">
        <f>IF(ISNUMBER(B902),YEAR(B902),"")</f>
        <v/>
      </c>
      <c r="H902">
        <f>IF(ISNUMBER(B902),MONTH(B902),"")</f>
        <v/>
      </c>
      <c r="I902">
        <f>IFERROR(IF($B$1=0,"",IF(ISNUMBER(INDEX(貼り付け!$A$1:$BZ$3001,901,$B$1)),"",SUBSTITUTE(SUBSTITUTE(SUBSTITUTE(SUBSTITUTE(TRIM(LEFT(INDEX(貼り付け!$A$1:$BZ$3001,901,$B$1)&amp;"",FIND(" ",TRIM(INDEX(貼り付け!$A$1:$BZ$3001,901,$B$1)&amp;"")&amp;" ")-1)),"/","-"),"年","-"),"月","-"),"日",""))),"")</f>
        <v/>
      </c>
      <c r="J902">
        <f>IFERROR(MID(I902,FIND("-",I902)+1,99),"")</f>
        <v/>
      </c>
    </row>
    <row r="903">
      <c r="B903">
        <f>IFERROR(IF($B$1=0,"",IF(INDEX(貼り付け!$A$1:$BZ$3001,902,$B$1)="","",IF(ISNUMBER(INDEX(貼り付け!$A$1:$BZ$3001,902,$B$1)),INT(INDEX(貼り付け!$A$1:$BZ$3001,902,$B$1)),DATE(VALUE(LEFT(I903,FIND("-",I903)-1)),VALUE(LEFT(J903,FIND("-",J903)-1)),VALUE(MID(J903,FIND("-",J903)+1,99)))))),"")</f>
        <v/>
      </c>
      <c r="C903">
        <f>IF($C$1=0,0,IFERROR(VALUE(SUBSTITUTE(SUBSTITUTE(SUBSTITUTE(INDEX(貼り付け!$A$1:$BZ$3001,902,$C$1)&amp;"",",",""),"¥",""),"￥","")),0))</f>
        <v/>
      </c>
      <c r="D903">
        <f>IF($D$1=0,0,IFERROR(VALUE(SUBSTITUTE(SUBSTITUTE(SUBSTITUTE(INDEX(貼り付け!$A$1:$BZ$3001,902,$D$1)&amp;"",",",""),"¥",""),"￥","")),0))</f>
        <v/>
      </c>
      <c r="E903">
        <f>IF($E$1=0,0,IFERROR(VALUE(SUBSTITUTE(SUBSTITUTE(SUBSTITUTE(INDEX(貼り付け!$A$1:$BZ$3001,902,$E$1)&amp;"",",",""),"¥",""),"￥","")),0))</f>
        <v/>
      </c>
      <c r="F903">
        <f>IF($F$1=0,0,IFERROR(VALUE(SUBSTITUTE(SUBSTITUTE(SUBSTITUTE(INDEX(貼り付け!$A$1:$BZ$3001,902,$F$1)&amp;"",",",""),"¥",""),"￥","")),0))</f>
        <v/>
      </c>
      <c r="G903">
        <f>IF(ISNUMBER(B903),YEAR(B903),"")</f>
        <v/>
      </c>
      <c r="H903">
        <f>IF(ISNUMBER(B903),MONTH(B903),"")</f>
        <v/>
      </c>
      <c r="I903">
        <f>IFERROR(IF($B$1=0,"",IF(ISNUMBER(INDEX(貼り付け!$A$1:$BZ$3001,902,$B$1)),"",SUBSTITUTE(SUBSTITUTE(SUBSTITUTE(SUBSTITUTE(TRIM(LEFT(INDEX(貼り付け!$A$1:$BZ$3001,902,$B$1)&amp;"",FIND(" ",TRIM(INDEX(貼り付け!$A$1:$BZ$3001,902,$B$1)&amp;"")&amp;" ")-1)),"/","-"),"年","-"),"月","-"),"日",""))),"")</f>
        <v/>
      </c>
      <c r="J903">
        <f>IFERROR(MID(I903,FIND("-",I903)+1,99),"")</f>
        <v/>
      </c>
    </row>
    <row r="904">
      <c r="B904">
        <f>IFERROR(IF($B$1=0,"",IF(INDEX(貼り付け!$A$1:$BZ$3001,903,$B$1)="","",IF(ISNUMBER(INDEX(貼り付け!$A$1:$BZ$3001,903,$B$1)),INT(INDEX(貼り付け!$A$1:$BZ$3001,903,$B$1)),DATE(VALUE(LEFT(I904,FIND("-",I904)-1)),VALUE(LEFT(J904,FIND("-",J904)-1)),VALUE(MID(J904,FIND("-",J904)+1,99)))))),"")</f>
        <v/>
      </c>
      <c r="C904">
        <f>IF($C$1=0,0,IFERROR(VALUE(SUBSTITUTE(SUBSTITUTE(SUBSTITUTE(INDEX(貼り付け!$A$1:$BZ$3001,903,$C$1)&amp;"",",",""),"¥",""),"￥","")),0))</f>
        <v/>
      </c>
      <c r="D904">
        <f>IF($D$1=0,0,IFERROR(VALUE(SUBSTITUTE(SUBSTITUTE(SUBSTITUTE(INDEX(貼り付け!$A$1:$BZ$3001,903,$D$1)&amp;"",",",""),"¥",""),"￥","")),0))</f>
        <v/>
      </c>
      <c r="E904">
        <f>IF($E$1=0,0,IFERROR(VALUE(SUBSTITUTE(SUBSTITUTE(SUBSTITUTE(INDEX(貼り付け!$A$1:$BZ$3001,903,$E$1)&amp;"",",",""),"¥",""),"￥","")),0))</f>
        <v/>
      </c>
      <c r="F904">
        <f>IF($F$1=0,0,IFERROR(VALUE(SUBSTITUTE(SUBSTITUTE(SUBSTITUTE(INDEX(貼り付け!$A$1:$BZ$3001,903,$F$1)&amp;"",",",""),"¥",""),"￥","")),0))</f>
        <v/>
      </c>
      <c r="G904">
        <f>IF(ISNUMBER(B904),YEAR(B904),"")</f>
        <v/>
      </c>
      <c r="H904">
        <f>IF(ISNUMBER(B904),MONTH(B904),"")</f>
        <v/>
      </c>
      <c r="I904">
        <f>IFERROR(IF($B$1=0,"",IF(ISNUMBER(INDEX(貼り付け!$A$1:$BZ$3001,903,$B$1)),"",SUBSTITUTE(SUBSTITUTE(SUBSTITUTE(SUBSTITUTE(TRIM(LEFT(INDEX(貼り付け!$A$1:$BZ$3001,903,$B$1)&amp;"",FIND(" ",TRIM(INDEX(貼り付け!$A$1:$BZ$3001,903,$B$1)&amp;"")&amp;" ")-1)),"/","-"),"年","-"),"月","-"),"日",""))),"")</f>
        <v/>
      </c>
      <c r="J904">
        <f>IFERROR(MID(I904,FIND("-",I904)+1,99),"")</f>
        <v/>
      </c>
    </row>
    <row r="905">
      <c r="B905">
        <f>IFERROR(IF($B$1=0,"",IF(INDEX(貼り付け!$A$1:$BZ$3001,904,$B$1)="","",IF(ISNUMBER(INDEX(貼り付け!$A$1:$BZ$3001,904,$B$1)),INT(INDEX(貼り付け!$A$1:$BZ$3001,904,$B$1)),DATE(VALUE(LEFT(I905,FIND("-",I905)-1)),VALUE(LEFT(J905,FIND("-",J905)-1)),VALUE(MID(J905,FIND("-",J905)+1,99)))))),"")</f>
        <v/>
      </c>
      <c r="C905">
        <f>IF($C$1=0,0,IFERROR(VALUE(SUBSTITUTE(SUBSTITUTE(SUBSTITUTE(INDEX(貼り付け!$A$1:$BZ$3001,904,$C$1)&amp;"",",",""),"¥",""),"￥","")),0))</f>
        <v/>
      </c>
      <c r="D905">
        <f>IF($D$1=0,0,IFERROR(VALUE(SUBSTITUTE(SUBSTITUTE(SUBSTITUTE(INDEX(貼り付け!$A$1:$BZ$3001,904,$D$1)&amp;"",",",""),"¥",""),"￥","")),0))</f>
        <v/>
      </c>
      <c r="E905">
        <f>IF($E$1=0,0,IFERROR(VALUE(SUBSTITUTE(SUBSTITUTE(SUBSTITUTE(INDEX(貼り付け!$A$1:$BZ$3001,904,$E$1)&amp;"",",",""),"¥",""),"￥","")),0))</f>
        <v/>
      </c>
      <c r="F905">
        <f>IF($F$1=0,0,IFERROR(VALUE(SUBSTITUTE(SUBSTITUTE(SUBSTITUTE(INDEX(貼り付け!$A$1:$BZ$3001,904,$F$1)&amp;"",",",""),"¥",""),"￥","")),0))</f>
        <v/>
      </c>
      <c r="G905">
        <f>IF(ISNUMBER(B905),YEAR(B905),"")</f>
        <v/>
      </c>
      <c r="H905">
        <f>IF(ISNUMBER(B905),MONTH(B905),"")</f>
        <v/>
      </c>
      <c r="I905">
        <f>IFERROR(IF($B$1=0,"",IF(ISNUMBER(INDEX(貼り付け!$A$1:$BZ$3001,904,$B$1)),"",SUBSTITUTE(SUBSTITUTE(SUBSTITUTE(SUBSTITUTE(TRIM(LEFT(INDEX(貼り付け!$A$1:$BZ$3001,904,$B$1)&amp;"",FIND(" ",TRIM(INDEX(貼り付け!$A$1:$BZ$3001,904,$B$1)&amp;"")&amp;" ")-1)),"/","-"),"年","-"),"月","-"),"日",""))),"")</f>
        <v/>
      </c>
      <c r="J905">
        <f>IFERROR(MID(I905,FIND("-",I905)+1,99),"")</f>
        <v/>
      </c>
    </row>
    <row r="906">
      <c r="B906">
        <f>IFERROR(IF($B$1=0,"",IF(INDEX(貼り付け!$A$1:$BZ$3001,905,$B$1)="","",IF(ISNUMBER(INDEX(貼り付け!$A$1:$BZ$3001,905,$B$1)),INT(INDEX(貼り付け!$A$1:$BZ$3001,905,$B$1)),DATE(VALUE(LEFT(I906,FIND("-",I906)-1)),VALUE(LEFT(J906,FIND("-",J906)-1)),VALUE(MID(J906,FIND("-",J906)+1,99)))))),"")</f>
        <v/>
      </c>
      <c r="C906">
        <f>IF($C$1=0,0,IFERROR(VALUE(SUBSTITUTE(SUBSTITUTE(SUBSTITUTE(INDEX(貼り付け!$A$1:$BZ$3001,905,$C$1)&amp;"",",",""),"¥",""),"￥","")),0))</f>
        <v/>
      </c>
      <c r="D906">
        <f>IF($D$1=0,0,IFERROR(VALUE(SUBSTITUTE(SUBSTITUTE(SUBSTITUTE(INDEX(貼り付け!$A$1:$BZ$3001,905,$D$1)&amp;"",",",""),"¥",""),"￥","")),0))</f>
        <v/>
      </c>
      <c r="E906">
        <f>IF($E$1=0,0,IFERROR(VALUE(SUBSTITUTE(SUBSTITUTE(SUBSTITUTE(INDEX(貼り付け!$A$1:$BZ$3001,905,$E$1)&amp;"",",",""),"¥",""),"￥","")),0))</f>
        <v/>
      </c>
      <c r="F906">
        <f>IF($F$1=0,0,IFERROR(VALUE(SUBSTITUTE(SUBSTITUTE(SUBSTITUTE(INDEX(貼り付け!$A$1:$BZ$3001,905,$F$1)&amp;"",",",""),"¥",""),"￥","")),0))</f>
        <v/>
      </c>
      <c r="G906">
        <f>IF(ISNUMBER(B906),YEAR(B906),"")</f>
        <v/>
      </c>
      <c r="H906">
        <f>IF(ISNUMBER(B906),MONTH(B906),"")</f>
        <v/>
      </c>
      <c r="I906">
        <f>IFERROR(IF($B$1=0,"",IF(ISNUMBER(INDEX(貼り付け!$A$1:$BZ$3001,905,$B$1)),"",SUBSTITUTE(SUBSTITUTE(SUBSTITUTE(SUBSTITUTE(TRIM(LEFT(INDEX(貼り付け!$A$1:$BZ$3001,905,$B$1)&amp;"",FIND(" ",TRIM(INDEX(貼り付け!$A$1:$BZ$3001,905,$B$1)&amp;"")&amp;" ")-1)),"/","-"),"年","-"),"月","-"),"日",""))),"")</f>
        <v/>
      </c>
      <c r="J906">
        <f>IFERROR(MID(I906,FIND("-",I906)+1,99),"")</f>
        <v/>
      </c>
    </row>
    <row r="907">
      <c r="B907">
        <f>IFERROR(IF($B$1=0,"",IF(INDEX(貼り付け!$A$1:$BZ$3001,906,$B$1)="","",IF(ISNUMBER(INDEX(貼り付け!$A$1:$BZ$3001,906,$B$1)),INT(INDEX(貼り付け!$A$1:$BZ$3001,906,$B$1)),DATE(VALUE(LEFT(I907,FIND("-",I907)-1)),VALUE(LEFT(J907,FIND("-",J907)-1)),VALUE(MID(J907,FIND("-",J907)+1,99)))))),"")</f>
        <v/>
      </c>
      <c r="C907">
        <f>IF($C$1=0,0,IFERROR(VALUE(SUBSTITUTE(SUBSTITUTE(SUBSTITUTE(INDEX(貼り付け!$A$1:$BZ$3001,906,$C$1)&amp;"",",",""),"¥",""),"￥","")),0))</f>
        <v/>
      </c>
      <c r="D907">
        <f>IF($D$1=0,0,IFERROR(VALUE(SUBSTITUTE(SUBSTITUTE(SUBSTITUTE(INDEX(貼り付け!$A$1:$BZ$3001,906,$D$1)&amp;"",",",""),"¥",""),"￥","")),0))</f>
        <v/>
      </c>
      <c r="E907">
        <f>IF($E$1=0,0,IFERROR(VALUE(SUBSTITUTE(SUBSTITUTE(SUBSTITUTE(INDEX(貼り付け!$A$1:$BZ$3001,906,$E$1)&amp;"",",",""),"¥",""),"￥","")),0))</f>
        <v/>
      </c>
      <c r="F907">
        <f>IF($F$1=0,0,IFERROR(VALUE(SUBSTITUTE(SUBSTITUTE(SUBSTITUTE(INDEX(貼り付け!$A$1:$BZ$3001,906,$F$1)&amp;"",",",""),"¥",""),"￥","")),0))</f>
        <v/>
      </c>
      <c r="G907">
        <f>IF(ISNUMBER(B907),YEAR(B907),"")</f>
        <v/>
      </c>
      <c r="H907">
        <f>IF(ISNUMBER(B907),MONTH(B907),"")</f>
        <v/>
      </c>
      <c r="I907">
        <f>IFERROR(IF($B$1=0,"",IF(ISNUMBER(INDEX(貼り付け!$A$1:$BZ$3001,906,$B$1)),"",SUBSTITUTE(SUBSTITUTE(SUBSTITUTE(SUBSTITUTE(TRIM(LEFT(INDEX(貼り付け!$A$1:$BZ$3001,906,$B$1)&amp;"",FIND(" ",TRIM(INDEX(貼り付け!$A$1:$BZ$3001,906,$B$1)&amp;"")&amp;" ")-1)),"/","-"),"年","-"),"月","-"),"日",""))),"")</f>
        <v/>
      </c>
      <c r="J907">
        <f>IFERROR(MID(I907,FIND("-",I907)+1,99),"")</f>
        <v/>
      </c>
    </row>
    <row r="908">
      <c r="B908">
        <f>IFERROR(IF($B$1=0,"",IF(INDEX(貼り付け!$A$1:$BZ$3001,907,$B$1)="","",IF(ISNUMBER(INDEX(貼り付け!$A$1:$BZ$3001,907,$B$1)),INT(INDEX(貼り付け!$A$1:$BZ$3001,907,$B$1)),DATE(VALUE(LEFT(I908,FIND("-",I908)-1)),VALUE(LEFT(J908,FIND("-",J908)-1)),VALUE(MID(J908,FIND("-",J908)+1,99)))))),"")</f>
        <v/>
      </c>
      <c r="C908">
        <f>IF($C$1=0,0,IFERROR(VALUE(SUBSTITUTE(SUBSTITUTE(SUBSTITUTE(INDEX(貼り付け!$A$1:$BZ$3001,907,$C$1)&amp;"",",",""),"¥",""),"￥","")),0))</f>
        <v/>
      </c>
      <c r="D908">
        <f>IF($D$1=0,0,IFERROR(VALUE(SUBSTITUTE(SUBSTITUTE(SUBSTITUTE(INDEX(貼り付け!$A$1:$BZ$3001,907,$D$1)&amp;"",",",""),"¥",""),"￥","")),0))</f>
        <v/>
      </c>
      <c r="E908">
        <f>IF($E$1=0,0,IFERROR(VALUE(SUBSTITUTE(SUBSTITUTE(SUBSTITUTE(INDEX(貼り付け!$A$1:$BZ$3001,907,$E$1)&amp;"",",",""),"¥",""),"￥","")),0))</f>
        <v/>
      </c>
      <c r="F908">
        <f>IF($F$1=0,0,IFERROR(VALUE(SUBSTITUTE(SUBSTITUTE(SUBSTITUTE(INDEX(貼り付け!$A$1:$BZ$3001,907,$F$1)&amp;"",",",""),"¥",""),"￥","")),0))</f>
        <v/>
      </c>
      <c r="G908">
        <f>IF(ISNUMBER(B908),YEAR(B908),"")</f>
        <v/>
      </c>
      <c r="H908">
        <f>IF(ISNUMBER(B908),MONTH(B908),"")</f>
        <v/>
      </c>
      <c r="I908">
        <f>IFERROR(IF($B$1=0,"",IF(ISNUMBER(INDEX(貼り付け!$A$1:$BZ$3001,907,$B$1)),"",SUBSTITUTE(SUBSTITUTE(SUBSTITUTE(SUBSTITUTE(TRIM(LEFT(INDEX(貼り付け!$A$1:$BZ$3001,907,$B$1)&amp;"",FIND(" ",TRIM(INDEX(貼り付け!$A$1:$BZ$3001,907,$B$1)&amp;"")&amp;" ")-1)),"/","-"),"年","-"),"月","-"),"日",""))),"")</f>
        <v/>
      </c>
      <c r="J908">
        <f>IFERROR(MID(I908,FIND("-",I908)+1,99),"")</f>
        <v/>
      </c>
    </row>
    <row r="909">
      <c r="B909">
        <f>IFERROR(IF($B$1=0,"",IF(INDEX(貼り付け!$A$1:$BZ$3001,908,$B$1)="","",IF(ISNUMBER(INDEX(貼り付け!$A$1:$BZ$3001,908,$B$1)),INT(INDEX(貼り付け!$A$1:$BZ$3001,908,$B$1)),DATE(VALUE(LEFT(I909,FIND("-",I909)-1)),VALUE(LEFT(J909,FIND("-",J909)-1)),VALUE(MID(J909,FIND("-",J909)+1,99)))))),"")</f>
        <v/>
      </c>
      <c r="C909">
        <f>IF($C$1=0,0,IFERROR(VALUE(SUBSTITUTE(SUBSTITUTE(SUBSTITUTE(INDEX(貼り付け!$A$1:$BZ$3001,908,$C$1)&amp;"",",",""),"¥",""),"￥","")),0))</f>
        <v/>
      </c>
      <c r="D909">
        <f>IF($D$1=0,0,IFERROR(VALUE(SUBSTITUTE(SUBSTITUTE(SUBSTITUTE(INDEX(貼り付け!$A$1:$BZ$3001,908,$D$1)&amp;"",",",""),"¥",""),"￥","")),0))</f>
        <v/>
      </c>
      <c r="E909">
        <f>IF($E$1=0,0,IFERROR(VALUE(SUBSTITUTE(SUBSTITUTE(SUBSTITUTE(INDEX(貼り付け!$A$1:$BZ$3001,908,$E$1)&amp;"",",",""),"¥",""),"￥","")),0))</f>
        <v/>
      </c>
      <c r="F909">
        <f>IF($F$1=0,0,IFERROR(VALUE(SUBSTITUTE(SUBSTITUTE(SUBSTITUTE(INDEX(貼り付け!$A$1:$BZ$3001,908,$F$1)&amp;"",",",""),"¥",""),"￥","")),0))</f>
        <v/>
      </c>
      <c r="G909">
        <f>IF(ISNUMBER(B909),YEAR(B909),"")</f>
        <v/>
      </c>
      <c r="H909">
        <f>IF(ISNUMBER(B909),MONTH(B909),"")</f>
        <v/>
      </c>
      <c r="I909">
        <f>IFERROR(IF($B$1=0,"",IF(ISNUMBER(INDEX(貼り付け!$A$1:$BZ$3001,908,$B$1)),"",SUBSTITUTE(SUBSTITUTE(SUBSTITUTE(SUBSTITUTE(TRIM(LEFT(INDEX(貼り付け!$A$1:$BZ$3001,908,$B$1)&amp;"",FIND(" ",TRIM(INDEX(貼り付け!$A$1:$BZ$3001,908,$B$1)&amp;"")&amp;" ")-1)),"/","-"),"年","-"),"月","-"),"日",""))),"")</f>
        <v/>
      </c>
      <c r="J909">
        <f>IFERROR(MID(I909,FIND("-",I909)+1,99),"")</f>
        <v/>
      </c>
    </row>
    <row r="910">
      <c r="B910">
        <f>IFERROR(IF($B$1=0,"",IF(INDEX(貼り付け!$A$1:$BZ$3001,909,$B$1)="","",IF(ISNUMBER(INDEX(貼り付け!$A$1:$BZ$3001,909,$B$1)),INT(INDEX(貼り付け!$A$1:$BZ$3001,909,$B$1)),DATE(VALUE(LEFT(I910,FIND("-",I910)-1)),VALUE(LEFT(J910,FIND("-",J910)-1)),VALUE(MID(J910,FIND("-",J910)+1,99)))))),"")</f>
        <v/>
      </c>
      <c r="C910">
        <f>IF($C$1=0,0,IFERROR(VALUE(SUBSTITUTE(SUBSTITUTE(SUBSTITUTE(INDEX(貼り付け!$A$1:$BZ$3001,909,$C$1)&amp;"",",",""),"¥",""),"￥","")),0))</f>
        <v/>
      </c>
      <c r="D910">
        <f>IF($D$1=0,0,IFERROR(VALUE(SUBSTITUTE(SUBSTITUTE(SUBSTITUTE(INDEX(貼り付け!$A$1:$BZ$3001,909,$D$1)&amp;"",",",""),"¥",""),"￥","")),0))</f>
        <v/>
      </c>
      <c r="E910">
        <f>IF($E$1=0,0,IFERROR(VALUE(SUBSTITUTE(SUBSTITUTE(SUBSTITUTE(INDEX(貼り付け!$A$1:$BZ$3001,909,$E$1)&amp;"",",",""),"¥",""),"￥","")),0))</f>
        <v/>
      </c>
      <c r="F910">
        <f>IF($F$1=0,0,IFERROR(VALUE(SUBSTITUTE(SUBSTITUTE(SUBSTITUTE(INDEX(貼り付け!$A$1:$BZ$3001,909,$F$1)&amp;"",",",""),"¥",""),"￥","")),0))</f>
        <v/>
      </c>
      <c r="G910">
        <f>IF(ISNUMBER(B910),YEAR(B910),"")</f>
        <v/>
      </c>
      <c r="H910">
        <f>IF(ISNUMBER(B910),MONTH(B910),"")</f>
        <v/>
      </c>
      <c r="I910">
        <f>IFERROR(IF($B$1=0,"",IF(ISNUMBER(INDEX(貼り付け!$A$1:$BZ$3001,909,$B$1)),"",SUBSTITUTE(SUBSTITUTE(SUBSTITUTE(SUBSTITUTE(TRIM(LEFT(INDEX(貼り付け!$A$1:$BZ$3001,909,$B$1)&amp;"",FIND(" ",TRIM(INDEX(貼り付け!$A$1:$BZ$3001,909,$B$1)&amp;"")&amp;" ")-1)),"/","-"),"年","-"),"月","-"),"日",""))),"")</f>
        <v/>
      </c>
      <c r="J910">
        <f>IFERROR(MID(I910,FIND("-",I910)+1,99),"")</f>
        <v/>
      </c>
    </row>
    <row r="911">
      <c r="B911">
        <f>IFERROR(IF($B$1=0,"",IF(INDEX(貼り付け!$A$1:$BZ$3001,910,$B$1)="","",IF(ISNUMBER(INDEX(貼り付け!$A$1:$BZ$3001,910,$B$1)),INT(INDEX(貼り付け!$A$1:$BZ$3001,910,$B$1)),DATE(VALUE(LEFT(I911,FIND("-",I911)-1)),VALUE(LEFT(J911,FIND("-",J911)-1)),VALUE(MID(J911,FIND("-",J911)+1,99)))))),"")</f>
        <v/>
      </c>
      <c r="C911">
        <f>IF($C$1=0,0,IFERROR(VALUE(SUBSTITUTE(SUBSTITUTE(SUBSTITUTE(INDEX(貼り付け!$A$1:$BZ$3001,910,$C$1)&amp;"",",",""),"¥",""),"￥","")),0))</f>
        <v/>
      </c>
      <c r="D911">
        <f>IF($D$1=0,0,IFERROR(VALUE(SUBSTITUTE(SUBSTITUTE(SUBSTITUTE(INDEX(貼り付け!$A$1:$BZ$3001,910,$D$1)&amp;"",",",""),"¥",""),"￥","")),0))</f>
        <v/>
      </c>
      <c r="E911">
        <f>IF($E$1=0,0,IFERROR(VALUE(SUBSTITUTE(SUBSTITUTE(SUBSTITUTE(INDEX(貼り付け!$A$1:$BZ$3001,910,$E$1)&amp;"",",",""),"¥",""),"￥","")),0))</f>
        <v/>
      </c>
      <c r="F911">
        <f>IF($F$1=0,0,IFERROR(VALUE(SUBSTITUTE(SUBSTITUTE(SUBSTITUTE(INDEX(貼り付け!$A$1:$BZ$3001,910,$F$1)&amp;"",",",""),"¥",""),"￥","")),0))</f>
        <v/>
      </c>
      <c r="G911">
        <f>IF(ISNUMBER(B911),YEAR(B911),"")</f>
        <v/>
      </c>
      <c r="H911">
        <f>IF(ISNUMBER(B911),MONTH(B911),"")</f>
        <v/>
      </c>
      <c r="I911">
        <f>IFERROR(IF($B$1=0,"",IF(ISNUMBER(INDEX(貼り付け!$A$1:$BZ$3001,910,$B$1)),"",SUBSTITUTE(SUBSTITUTE(SUBSTITUTE(SUBSTITUTE(TRIM(LEFT(INDEX(貼り付け!$A$1:$BZ$3001,910,$B$1)&amp;"",FIND(" ",TRIM(INDEX(貼り付け!$A$1:$BZ$3001,910,$B$1)&amp;"")&amp;" ")-1)),"/","-"),"年","-"),"月","-"),"日",""))),"")</f>
        <v/>
      </c>
      <c r="J911">
        <f>IFERROR(MID(I911,FIND("-",I911)+1,99),"")</f>
        <v/>
      </c>
    </row>
    <row r="912">
      <c r="B912">
        <f>IFERROR(IF($B$1=0,"",IF(INDEX(貼り付け!$A$1:$BZ$3001,911,$B$1)="","",IF(ISNUMBER(INDEX(貼り付け!$A$1:$BZ$3001,911,$B$1)),INT(INDEX(貼り付け!$A$1:$BZ$3001,911,$B$1)),DATE(VALUE(LEFT(I912,FIND("-",I912)-1)),VALUE(LEFT(J912,FIND("-",J912)-1)),VALUE(MID(J912,FIND("-",J912)+1,99)))))),"")</f>
        <v/>
      </c>
      <c r="C912">
        <f>IF($C$1=0,0,IFERROR(VALUE(SUBSTITUTE(SUBSTITUTE(SUBSTITUTE(INDEX(貼り付け!$A$1:$BZ$3001,911,$C$1)&amp;"",",",""),"¥",""),"￥","")),0))</f>
        <v/>
      </c>
      <c r="D912">
        <f>IF($D$1=0,0,IFERROR(VALUE(SUBSTITUTE(SUBSTITUTE(SUBSTITUTE(INDEX(貼り付け!$A$1:$BZ$3001,911,$D$1)&amp;"",",",""),"¥",""),"￥","")),0))</f>
        <v/>
      </c>
      <c r="E912">
        <f>IF($E$1=0,0,IFERROR(VALUE(SUBSTITUTE(SUBSTITUTE(SUBSTITUTE(INDEX(貼り付け!$A$1:$BZ$3001,911,$E$1)&amp;"",",",""),"¥",""),"￥","")),0))</f>
        <v/>
      </c>
      <c r="F912">
        <f>IF($F$1=0,0,IFERROR(VALUE(SUBSTITUTE(SUBSTITUTE(SUBSTITUTE(INDEX(貼り付け!$A$1:$BZ$3001,911,$F$1)&amp;"",",",""),"¥",""),"￥","")),0))</f>
        <v/>
      </c>
      <c r="G912">
        <f>IF(ISNUMBER(B912),YEAR(B912),"")</f>
        <v/>
      </c>
      <c r="H912">
        <f>IF(ISNUMBER(B912),MONTH(B912),"")</f>
        <v/>
      </c>
      <c r="I912">
        <f>IFERROR(IF($B$1=0,"",IF(ISNUMBER(INDEX(貼り付け!$A$1:$BZ$3001,911,$B$1)),"",SUBSTITUTE(SUBSTITUTE(SUBSTITUTE(SUBSTITUTE(TRIM(LEFT(INDEX(貼り付け!$A$1:$BZ$3001,911,$B$1)&amp;"",FIND(" ",TRIM(INDEX(貼り付け!$A$1:$BZ$3001,911,$B$1)&amp;"")&amp;" ")-1)),"/","-"),"年","-"),"月","-"),"日",""))),"")</f>
        <v/>
      </c>
      <c r="J912">
        <f>IFERROR(MID(I912,FIND("-",I912)+1,99),"")</f>
        <v/>
      </c>
    </row>
    <row r="913">
      <c r="B913">
        <f>IFERROR(IF($B$1=0,"",IF(INDEX(貼り付け!$A$1:$BZ$3001,912,$B$1)="","",IF(ISNUMBER(INDEX(貼り付け!$A$1:$BZ$3001,912,$B$1)),INT(INDEX(貼り付け!$A$1:$BZ$3001,912,$B$1)),DATE(VALUE(LEFT(I913,FIND("-",I913)-1)),VALUE(LEFT(J913,FIND("-",J913)-1)),VALUE(MID(J913,FIND("-",J913)+1,99)))))),"")</f>
        <v/>
      </c>
      <c r="C913">
        <f>IF($C$1=0,0,IFERROR(VALUE(SUBSTITUTE(SUBSTITUTE(SUBSTITUTE(INDEX(貼り付け!$A$1:$BZ$3001,912,$C$1)&amp;"",",",""),"¥",""),"￥","")),0))</f>
        <v/>
      </c>
      <c r="D913">
        <f>IF($D$1=0,0,IFERROR(VALUE(SUBSTITUTE(SUBSTITUTE(SUBSTITUTE(INDEX(貼り付け!$A$1:$BZ$3001,912,$D$1)&amp;"",",",""),"¥",""),"￥","")),0))</f>
        <v/>
      </c>
      <c r="E913">
        <f>IF($E$1=0,0,IFERROR(VALUE(SUBSTITUTE(SUBSTITUTE(SUBSTITUTE(INDEX(貼り付け!$A$1:$BZ$3001,912,$E$1)&amp;"",",",""),"¥",""),"￥","")),0))</f>
        <v/>
      </c>
      <c r="F913">
        <f>IF($F$1=0,0,IFERROR(VALUE(SUBSTITUTE(SUBSTITUTE(SUBSTITUTE(INDEX(貼り付け!$A$1:$BZ$3001,912,$F$1)&amp;"",",",""),"¥",""),"￥","")),0))</f>
        <v/>
      </c>
      <c r="G913">
        <f>IF(ISNUMBER(B913),YEAR(B913),"")</f>
        <v/>
      </c>
      <c r="H913">
        <f>IF(ISNUMBER(B913),MONTH(B913),"")</f>
        <v/>
      </c>
      <c r="I913">
        <f>IFERROR(IF($B$1=0,"",IF(ISNUMBER(INDEX(貼り付け!$A$1:$BZ$3001,912,$B$1)),"",SUBSTITUTE(SUBSTITUTE(SUBSTITUTE(SUBSTITUTE(TRIM(LEFT(INDEX(貼り付け!$A$1:$BZ$3001,912,$B$1)&amp;"",FIND(" ",TRIM(INDEX(貼り付け!$A$1:$BZ$3001,912,$B$1)&amp;"")&amp;" ")-1)),"/","-"),"年","-"),"月","-"),"日",""))),"")</f>
        <v/>
      </c>
      <c r="J913">
        <f>IFERROR(MID(I913,FIND("-",I913)+1,99),"")</f>
        <v/>
      </c>
    </row>
    <row r="914">
      <c r="B914">
        <f>IFERROR(IF($B$1=0,"",IF(INDEX(貼り付け!$A$1:$BZ$3001,913,$B$1)="","",IF(ISNUMBER(INDEX(貼り付け!$A$1:$BZ$3001,913,$B$1)),INT(INDEX(貼り付け!$A$1:$BZ$3001,913,$B$1)),DATE(VALUE(LEFT(I914,FIND("-",I914)-1)),VALUE(LEFT(J914,FIND("-",J914)-1)),VALUE(MID(J914,FIND("-",J914)+1,99)))))),"")</f>
        <v/>
      </c>
      <c r="C914">
        <f>IF($C$1=0,0,IFERROR(VALUE(SUBSTITUTE(SUBSTITUTE(SUBSTITUTE(INDEX(貼り付け!$A$1:$BZ$3001,913,$C$1)&amp;"",",",""),"¥",""),"￥","")),0))</f>
        <v/>
      </c>
      <c r="D914">
        <f>IF($D$1=0,0,IFERROR(VALUE(SUBSTITUTE(SUBSTITUTE(SUBSTITUTE(INDEX(貼り付け!$A$1:$BZ$3001,913,$D$1)&amp;"",",",""),"¥",""),"￥","")),0))</f>
        <v/>
      </c>
      <c r="E914">
        <f>IF($E$1=0,0,IFERROR(VALUE(SUBSTITUTE(SUBSTITUTE(SUBSTITUTE(INDEX(貼り付け!$A$1:$BZ$3001,913,$E$1)&amp;"",",",""),"¥",""),"￥","")),0))</f>
        <v/>
      </c>
      <c r="F914">
        <f>IF($F$1=0,0,IFERROR(VALUE(SUBSTITUTE(SUBSTITUTE(SUBSTITUTE(INDEX(貼り付け!$A$1:$BZ$3001,913,$F$1)&amp;"",",",""),"¥",""),"￥","")),0))</f>
        <v/>
      </c>
      <c r="G914">
        <f>IF(ISNUMBER(B914),YEAR(B914),"")</f>
        <v/>
      </c>
      <c r="H914">
        <f>IF(ISNUMBER(B914),MONTH(B914),"")</f>
        <v/>
      </c>
      <c r="I914">
        <f>IFERROR(IF($B$1=0,"",IF(ISNUMBER(INDEX(貼り付け!$A$1:$BZ$3001,913,$B$1)),"",SUBSTITUTE(SUBSTITUTE(SUBSTITUTE(SUBSTITUTE(TRIM(LEFT(INDEX(貼り付け!$A$1:$BZ$3001,913,$B$1)&amp;"",FIND(" ",TRIM(INDEX(貼り付け!$A$1:$BZ$3001,913,$B$1)&amp;"")&amp;" ")-1)),"/","-"),"年","-"),"月","-"),"日",""))),"")</f>
        <v/>
      </c>
      <c r="J914">
        <f>IFERROR(MID(I914,FIND("-",I914)+1,99),"")</f>
        <v/>
      </c>
    </row>
    <row r="915">
      <c r="B915">
        <f>IFERROR(IF($B$1=0,"",IF(INDEX(貼り付け!$A$1:$BZ$3001,914,$B$1)="","",IF(ISNUMBER(INDEX(貼り付け!$A$1:$BZ$3001,914,$B$1)),INT(INDEX(貼り付け!$A$1:$BZ$3001,914,$B$1)),DATE(VALUE(LEFT(I915,FIND("-",I915)-1)),VALUE(LEFT(J915,FIND("-",J915)-1)),VALUE(MID(J915,FIND("-",J915)+1,99)))))),"")</f>
        <v/>
      </c>
      <c r="C915">
        <f>IF($C$1=0,0,IFERROR(VALUE(SUBSTITUTE(SUBSTITUTE(SUBSTITUTE(INDEX(貼り付け!$A$1:$BZ$3001,914,$C$1)&amp;"",",",""),"¥",""),"￥","")),0))</f>
        <v/>
      </c>
      <c r="D915">
        <f>IF($D$1=0,0,IFERROR(VALUE(SUBSTITUTE(SUBSTITUTE(SUBSTITUTE(INDEX(貼り付け!$A$1:$BZ$3001,914,$D$1)&amp;"",",",""),"¥",""),"￥","")),0))</f>
        <v/>
      </c>
      <c r="E915">
        <f>IF($E$1=0,0,IFERROR(VALUE(SUBSTITUTE(SUBSTITUTE(SUBSTITUTE(INDEX(貼り付け!$A$1:$BZ$3001,914,$E$1)&amp;"",",",""),"¥",""),"￥","")),0))</f>
        <v/>
      </c>
      <c r="F915">
        <f>IF($F$1=0,0,IFERROR(VALUE(SUBSTITUTE(SUBSTITUTE(SUBSTITUTE(INDEX(貼り付け!$A$1:$BZ$3001,914,$F$1)&amp;"",",",""),"¥",""),"￥","")),0))</f>
        <v/>
      </c>
      <c r="G915">
        <f>IF(ISNUMBER(B915),YEAR(B915),"")</f>
        <v/>
      </c>
      <c r="H915">
        <f>IF(ISNUMBER(B915),MONTH(B915),"")</f>
        <v/>
      </c>
      <c r="I915">
        <f>IFERROR(IF($B$1=0,"",IF(ISNUMBER(INDEX(貼り付け!$A$1:$BZ$3001,914,$B$1)),"",SUBSTITUTE(SUBSTITUTE(SUBSTITUTE(SUBSTITUTE(TRIM(LEFT(INDEX(貼り付け!$A$1:$BZ$3001,914,$B$1)&amp;"",FIND(" ",TRIM(INDEX(貼り付け!$A$1:$BZ$3001,914,$B$1)&amp;"")&amp;" ")-1)),"/","-"),"年","-"),"月","-"),"日",""))),"")</f>
        <v/>
      </c>
      <c r="J915">
        <f>IFERROR(MID(I915,FIND("-",I915)+1,99),"")</f>
        <v/>
      </c>
    </row>
    <row r="916">
      <c r="B916">
        <f>IFERROR(IF($B$1=0,"",IF(INDEX(貼り付け!$A$1:$BZ$3001,915,$B$1)="","",IF(ISNUMBER(INDEX(貼り付け!$A$1:$BZ$3001,915,$B$1)),INT(INDEX(貼り付け!$A$1:$BZ$3001,915,$B$1)),DATE(VALUE(LEFT(I916,FIND("-",I916)-1)),VALUE(LEFT(J916,FIND("-",J916)-1)),VALUE(MID(J916,FIND("-",J916)+1,99)))))),"")</f>
        <v/>
      </c>
      <c r="C916">
        <f>IF($C$1=0,0,IFERROR(VALUE(SUBSTITUTE(SUBSTITUTE(SUBSTITUTE(INDEX(貼り付け!$A$1:$BZ$3001,915,$C$1)&amp;"",",",""),"¥",""),"￥","")),0))</f>
        <v/>
      </c>
      <c r="D916">
        <f>IF($D$1=0,0,IFERROR(VALUE(SUBSTITUTE(SUBSTITUTE(SUBSTITUTE(INDEX(貼り付け!$A$1:$BZ$3001,915,$D$1)&amp;"",",",""),"¥",""),"￥","")),0))</f>
        <v/>
      </c>
      <c r="E916">
        <f>IF($E$1=0,0,IFERROR(VALUE(SUBSTITUTE(SUBSTITUTE(SUBSTITUTE(INDEX(貼り付け!$A$1:$BZ$3001,915,$E$1)&amp;"",",",""),"¥",""),"￥","")),0))</f>
        <v/>
      </c>
      <c r="F916">
        <f>IF($F$1=0,0,IFERROR(VALUE(SUBSTITUTE(SUBSTITUTE(SUBSTITUTE(INDEX(貼り付け!$A$1:$BZ$3001,915,$F$1)&amp;"",",",""),"¥",""),"￥","")),0))</f>
        <v/>
      </c>
      <c r="G916">
        <f>IF(ISNUMBER(B916),YEAR(B916),"")</f>
        <v/>
      </c>
      <c r="H916">
        <f>IF(ISNUMBER(B916),MONTH(B916),"")</f>
        <v/>
      </c>
      <c r="I916">
        <f>IFERROR(IF($B$1=0,"",IF(ISNUMBER(INDEX(貼り付け!$A$1:$BZ$3001,915,$B$1)),"",SUBSTITUTE(SUBSTITUTE(SUBSTITUTE(SUBSTITUTE(TRIM(LEFT(INDEX(貼り付け!$A$1:$BZ$3001,915,$B$1)&amp;"",FIND(" ",TRIM(INDEX(貼り付け!$A$1:$BZ$3001,915,$B$1)&amp;"")&amp;" ")-1)),"/","-"),"年","-"),"月","-"),"日",""))),"")</f>
        <v/>
      </c>
      <c r="J916">
        <f>IFERROR(MID(I916,FIND("-",I916)+1,99),"")</f>
        <v/>
      </c>
    </row>
    <row r="917">
      <c r="B917">
        <f>IFERROR(IF($B$1=0,"",IF(INDEX(貼り付け!$A$1:$BZ$3001,916,$B$1)="","",IF(ISNUMBER(INDEX(貼り付け!$A$1:$BZ$3001,916,$B$1)),INT(INDEX(貼り付け!$A$1:$BZ$3001,916,$B$1)),DATE(VALUE(LEFT(I917,FIND("-",I917)-1)),VALUE(LEFT(J917,FIND("-",J917)-1)),VALUE(MID(J917,FIND("-",J917)+1,99)))))),"")</f>
        <v/>
      </c>
      <c r="C917">
        <f>IF($C$1=0,0,IFERROR(VALUE(SUBSTITUTE(SUBSTITUTE(SUBSTITUTE(INDEX(貼り付け!$A$1:$BZ$3001,916,$C$1)&amp;"",",",""),"¥",""),"￥","")),0))</f>
        <v/>
      </c>
      <c r="D917">
        <f>IF($D$1=0,0,IFERROR(VALUE(SUBSTITUTE(SUBSTITUTE(SUBSTITUTE(INDEX(貼り付け!$A$1:$BZ$3001,916,$D$1)&amp;"",",",""),"¥",""),"￥","")),0))</f>
        <v/>
      </c>
      <c r="E917">
        <f>IF($E$1=0,0,IFERROR(VALUE(SUBSTITUTE(SUBSTITUTE(SUBSTITUTE(INDEX(貼り付け!$A$1:$BZ$3001,916,$E$1)&amp;"",",",""),"¥",""),"￥","")),0))</f>
        <v/>
      </c>
      <c r="F917">
        <f>IF($F$1=0,0,IFERROR(VALUE(SUBSTITUTE(SUBSTITUTE(SUBSTITUTE(INDEX(貼り付け!$A$1:$BZ$3001,916,$F$1)&amp;"",",",""),"¥",""),"￥","")),0))</f>
        <v/>
      </c>
      <c r="G917">
        <f>IF(ISNUMBER(B917),YEAR(B917),"")</f>
        <v/>
      </c>
      <c r="H917">
        <f>IF(ISNUMBER(B917),MONTH(B917),"")</f>
        <v/>
      </c>
      <c r="I917">
        <f>IFERROR(IF($B$1=0,"",IF(ISNUMBER(INDEX(貼り付け!$A$1:$BZ$3001,916,$B$1)),"",SUBSTITUTE(SUBSTITUTE(SUBSTITUTE(SUBSTITUTE(TRIM(LEFT(INDEX(貼り付け!$A$1:$BZ$3001,916,$B$1)&amp;"",FIND(" ",TRIM(INDEX(貼り付け!$A$1:$BZ$3001,916,$B$1)&amp;"")&amp;" ")-1)),"/","-"),"年","-"),"月","-"),"日",""))),"")</f>
        <v/>
      </c>
      <c r="J917">
        <f>IFERROR(MID(I917,FIND("-",I917)+1,99),"")</f>
        <v/>
      </c>
    </row>
    <row r="918">
      <c r="B918">
        <f>IFERROR(IF($B$1=0,"",IF(INDEX(貼り付け!$A$1:$BZ$3001,917,$B$1)="","",IF(ISNUMBER(INDEX(貼り付け!$A$1:$BZ$3001,917,$B$1)),INT(INDEX(貼り付け!$A$1:$BZ$3001,917,$B$1)),DATE(VALUE(LEFT(I918,FIND("-",I918)-1)),VALUE(LEFT(J918,FIND("-",J918)-1)),VALUE(MID(J918,FIND("-",J918)+1,99)))))),"")</f>
        <v/>
      </c>
      <c r="C918">
        <f>IF($C$1=0,0,IFERROR(VALUE(SUBSTITUTE(SUBSTITUTE(SUBSTITUTE(INDEX(貼り付け!$A$1:$BZ$3001,917,$C$1)&amp;"",",",""),"¥",""),"￥","")),0))</f>
        <v/>
      </c>
      <c r="D918">
        <f>IF($D$1=0,0,IFERROR(VALUE(SUBSTITUTE(SUBSTITUTE(SUBSTITUTE(INDEX(貼り付け!$A$1:$BZ$3001,917,$D$1)&amp;"",",",""),"¥",""),"￥","")),0))</f>
        <v/>
      </c>
      <c r="E918">
        <f>IF($E$1=0,0,IFERROR(VALUE(SUBSTITUTE(SUBSTITUTE(SUBSTITUTE(INDEX(貼り付け!$A$1:$BZ$3001,917,$E$1)&amp;"",",",""),"¥",""),"￥","")),0))</f>
        <v/>
      </c>
      <c r="F918">
        <f>IF($F$1=0,0,IFERROR(VALUE(SUBSTITUTE(SUBSTITUTE(SUBSTITUTE(INDEX(貼り付け!$A$1:$BZ$3001,917,$F$1)&amp;"",",",""),"¥",""),"￥","")),0))</f>
        <v/>
      </c>
      <c r="G918">
        <f>IF(ISNUMBER(B918),YEAR(B918),"")</f>
        <v/>
      </c>
      <c r="H918">
        <f>IF(ISNUMBER(B918),MONTH(B918),"")</f>
        <v/>
      </c>
      <c r="I918">
        <f>IFERROR(IF($B$1=0,"",IF(ISNUMBER(INDEX(貼り付け!$A$1:$BZ$3001,917,$B$1)),"",SUBSTITUTE(SUBSTITUTE(SUBSTITUTE(SUBSTITUTE(TRIM(LEFT(INDEX(貼り付け!$A$1:$BZ$3001,917,$B$1)&amp;"",FIND(" ",TRIM(INDEX(貼り付け!$A$1:$BZ$3001,917,$B$1)&amp;"")&amp;" ")-1)),"/","-"),"年","-"),"月","-"),"日",""))),"")</f>
        <v/>
      </c>
      <c r="J918">
        <f>IFERROR(MID(I918,FIND("-",I918)+1,99),"")</f>
        <v/>
      </c>
    </row>
    <row r="919">
      <c r="B919">
        <f>IFERROR(IF($B$1=0,"",IF(INDEX(貼り付け!$A$1:$BZ$3001,918,$B$1)="","",IF(ISNUMBER(INDEX(貼り付け!$A$1:$BZ$3001,918,$B$1)),INT(INDEX(貼り付け!$A$1:$BZ$3001,918,$B$1)),DATE(VALUE(LEFT(I919,FIND("-",I919)-1)),VALUE(LEFT(J919,FIND("-",J919)-1)),VALUE(MID(J919,FIND("-",J919)+1,99)))))),"")</f>
        <v/>
      </c>
      <c r="C919">
        <f>IF($C$1=0,0,IFERROR(VALUE(SUBSTITUTE(SUBSTITUTE(SUBSTITUTE(INDEX(貼り付け!$A$1:$BZ$3001,918,$C$1)&amp;"",",",""),"¥",""),"￥","")),0))</f>
        <v/>
      </c>
      <c r="D919">
        <f>IF($D$1=0,0,IFERROR(VALUE(SUBSTITUTE(SUBSTITUTE(SUBSTITUTE(INDEX(貼り付け!$A$1:$BZ$3001,918,$D$1)&amp;"",",",""),"¥",""),"￥","")),0))</f>
        <v/>
      </c>
      <c r="E919">
        <f>IF($E$1=0,0,IFERROR(VALUE(SUBSTITUTE(SUBSTITUTE(SUBSTITUTE(INDEX(貼り付け!$A$1:$BZ$3001,918,$E$1)&amp;"",",",""),"¥",""),"￥","")),0))</f>
        <v/>
      </c>
      <c r="F919">
        <f>IF($F$1=0,0,IFERROR(VALUE(SUBSTITUTE(SUBSTITUTE(SUBSTITUTE(INDEX(貼り付け!$A$1:$BZ$3001,918,$F$1)&amp;"",",",""),"¥",""),"￥","")),0))</f>
        <v/>
      </c>
      <c r="G919">
        <f>IF(ISNUMBER(B919),YEAR(B919),"")</f>
        <v/>
      </c>
      <c r="H919">
        <f>IF(ISNUMBER(B919),MONTH(B919),"")</f>
        <v/>
      </c>
      <c r="I919">
        <f>IFERROR(IF($B$1=0,"",IF(ISNUMBER(INDEX(貼り付け!$A$1:$BZ$3001,918,$B$1)),"",SUBSTITUTE(SUBSTITUTE(SUBSTITUTE(SUBSTITUTE(TRIM(LEFT(INDEX(貼り付け!$A$1:$BZ$3001,918,$B$1)&amp;"",FIND(" ",TRIM(INDEX(貼り付け!$A$1:$BZ$3001,918,$B$1)&amp;"")&amp;" ")-1)),"/","-"),"年","-"),"月","-"),"日",""))),"")</f>
        <v/>
      </c>
      <c r="J919">
        <f>IFERROR(MID(I919,FIND("-",I919)+1,99),"")</f>
        <v/>
      </c>
    </row>
    <row r="920">
      <c r="B920">
        <f>IFERROR(IF($B$1=0,"",IF(INDEX(貼り付け!$A$1:$BZ$3001,919,$B$1)="","",IF(ISNUMBER(INDEX(貼り付け!$A$1:$BZ$3001,919,$B$1)),INT(INDEX(貼り付け!$A$1:$BZ$3001,919,$B$1)),DATE(VALUE(LEFT(I920,FIND("-",I920)-1)),VALUE(LEFT(J920,FIND("-",J920)-1)),VALUE(MID(J920,FIND("-",J920)+1,99)))))),"")</f>
        <v/>
      </c>
      <c r="C920">
        <f>IF($C$1=0,0,IFERROR(VALUE(SUBSTITUTE(SUBSTITUTE(SUBSTITUTE(INDEX(貼り付け!$A$1:$BZ$3001,919,$C$1)&amp;"",",",""),"¥",""),"￥","")),0))</f>
        <v/>
      </c>
      <c r="D920">
        <f>IF($D$1=0,0,IFERROR(VALUE(SUBSTITUTE(SUBSTITUTE(SUBSTITUTE(INDEX(貼り付け!$A$1:$BZ$3001,919,$D$1)&amp;"",",",""),"¥",""),"￥","")),0))</f>
        <v/>
      </c>
      <c r="E920">
        <f>IF($E$1=0,0,IFERROR(VALUE(SUBSTITUTE(SUBSTITUTE(SUBSTITUTE(INDEX(貼り付け!$A$1:$BZ$3001,919,$E$1)&amp;"",",",""),"¥",""),"￥","")),0))</f>
        <v/>
      </c>
      <c r="F920">
        <f>IF($F$1=0,0,IFERROR(VALUE(SUBSTITUTE(SUBSTITUTE(SUBSTITUTE(INDEX(貼り付け!$A$1:$BZ$3001,919,$F$1)&amp;"",",",""),"¥",""),"￥","")),0))</f>
        <v/>
      </c>
      <c r="G920">
        <f>IF(ISNUMBER(B920),YEAR(B920),"")</f>
        <v/>
      </c>
      <c r="H920">
        <f>IF(ISNUMBER(B920),MONTH(B920),"")</f>
        <v/>
      </c>
      <c r="I920">
        <f>IFERROR(IF($B$1=0,"",IF(ISNUMBER(INDEX(貼り付け!$A$1:$BZ$3001,919,$B$1)),"",SUBSTITUTE(SUBSTITUTE(SUBSTITUTE(SUBSTITUTE(TRIM(LEFT(INDEX(貼り付け!$A$1:$BZ$3001,919,$B$1)&amp;"",FIND(" ",TRIM(INDEX(貼り付け!$A$1:$BZ$3001,919,$B$1)&amp;"")&amp;" ")-1)),"/","-"),"年","-"),"月","-"),"日",""))),"")</f>
        <v/>
      </c>
      <c r="J920">
        <f>IFERROR(MID(I920,FIND("-",I920)+1,99),"")</f>
        <v/>
      </c>
    </row>
    <row r="921">
      <c r="B921">
        <f>IFERROR(IF($B$1=0,"",IF(INDEX(貼り付け!$A$1:$BZ$3001,920,$B$1)="","",IF(ISNUMBER(INDEX(貼り付け!$A$1:$BZ$3001,920,$B$1)),INT(INDEX(貼り付け!$A$1:$BZ$3001,920,$B$1)),DATE(VALUE(LEFT(I921,FIND("-",I921)-1)),VALUE(LEFT(J921,FIND("-",J921)-1)),VALUE(MID(J921,FIND("-",J921)+1,99)))))),"")</f>
        <v/>
      </c>
      <c r="C921">
        <f>IF($C$1=0,0,IFERROR(VALUE(SUBSTITUTE(SUBSTITUTE(SUBSTITUTE(INDEX(貼り付け!$A$1:$BZ$3001,920,$C$1)&amp;"",",",""),"¥",""),"￥","")),0))</f>
        <v/>
      </c>
      <c r="D921">
        <f>IF($D$1=0,0,IFERROR(VALUE(SUBSTITUTE(SUBSTITUTE(SUBSTITUTE(INDEX(貼り付け!$A$1:$BZ$3001,920,$D$1)&amp;"",",",""),"¥",""),"￥","")),0))</f>
        <v/>
      </c>
      <c r="E921">
        <f>IF($E$1=0,0,IFERROR(VALUE(SUBSTITUTE(SUBSTITUTE(SUBSTITUTE(INDEX(貼り付け!$A$1:$BZ$3001,920,$E$1)&amp;"",",",""),"¥",""),"￥","")),0))</f>
        <v/>
      </c>
      <c r="F921">
        <f>IF($F$1=0,0,IFERROR(VALUE(SUBSTITUTE(SUBSTITUTE(SUBSTITUTE(INDEX(貼り付け!$A$1:$BZ$3001,920,$F$1)&amp;"",",",""),"¥",""),"￥","")),0))</f>
        <v/>
      </c>
      <c r="G921">
        <f>IF(ISNUMBER(B921),YEAR(B921),"")</f>
        <v/>
      </c>
      <c r="H921">
        <f>IF(ISNUMBER(B921),MONTH(B921),"")</f>
        <v/>
      </c>
      <c r="I921">
        <f>IFERROR(IF($B$1=0,"",IF(ISNUMBER(INDEX(貼り付け!$A$1:$BZ$3001,920,$B$1)),"",SUBSTITUTE(SUBSTITUTE(SUBSTITUTE(SUBSTITUTE(TRIM(LEFT(INDEX(貼り付け!$A$1:$BZ$3001,920,$B$1)&amp;"",FIND(" ",TRIM(INDEX(貼り付け!$A$1:$BZ$3001,920,$B$1)&amp;"")&amp;" ")-1)),"/","-"),"年","-"),"月","-"),"日",""))),"")</f>
        <v/>
      </c>
      <c r="J921">
        <f>IFERROR(MID(I921,FIND("-",I921)+1,99),"")</f>
        <v/>
      </c>
    </row>
    <row r="922">
      <c r="B922">
        <f>IFERROR(IF($B$1=0,"",IF(INDEX(貼り付け!$A$1:$BZ$3001,921,$B$1)="","",IF(ISNUMBER(INDEX(貼り付け!$A$1:$BZ$3001,921,$B$1)),INT(INDEX(貼り付け!$A$1:$BZ$3001,921,$B$1)),DATE(VALUE(LEFT(I922,FIND("-",I922)-1)),VALUE(LEFT(J922,FIND("-",J922)-1)),VALUE(MID(J922,FIND("-",J922)+1,99)))))),"")</f>
        <v/>
      </c>
      <c r="C922">
        <f>IF($C$1=0,0,IFERROR(VALUE(SUBSTITUTE(SUBSTITUTE(SUBSTITUTE(INDEX(貼り付け!$A$1:$BZ$3001,921,$C$1)&amp;"",",",""),"¥",""),"￥","")),0))</f>
        <v/>
      </c>
      <c r="D922">
        <f>IF($D$1=0,0,IFERROR(VALUE(SUBSTITUTE(SUBSTITUTE(SUBSTITUTE(INDEX(貼り付け!$A$1:$BZ$3001,921,$D$1)&amp;"",",",""),"¥",""),"￥","")),0))</f>
        <v/>
      </c>
      <c r="E922">
        <f>IF($E$1=0,0,IFERROR(VALUE(SUBSTITUTE(SUBSTITUTE(SUBSTITUTE(INDEX(貼り付け!$A$1:$BZ$3001,921,$E$1)&amp;"",",",""),"¥",""),"￥","")),0))</f>
        <v/>
      </c>
      <c r="F922">
        <f>IF($F$1=0,0,IFERROR(VALUE(SUBSTITUTE(SUBSTITUTE(SUBSTITUTE(INDEX(貼り付け!$A$1:$BZ$3001,921,$F$1)&amp;"",",",""),"¥",""),"￥","")),0))</f>
        <v/>
      </c>
      <c r="G922">
        <f>IF(ISNUMBER(B922),YEAR(B922),"")</f>
        <v/>
      </c>
      <c r="H922">
        <f>IF(ISNUMBER(B922),MONTH(B922),"")</f>
        <v/>
      </c>
      <c r="I922">
        <f>IFERROR(IF($B$1=0,"",IF(ISNUMBER(INDEX(貼り付け!$A$1:$BZ$3001,921,$B$1)),"",SUBSTITUTE(SUBSTITUTE(SUBSTITUTE(SUBSTITUTE(TRIM(LEFT(INDEX(貼り付け!$A$1:$BZ$3001,921,$B$1)&amp;"",FIND(" ",TRIM(INDEX(貼り付け!$A$1:$BZ$3001,921,$B$1)&amp;"")&amp;" ")-1)),"/","-"),"年","-"),"月","-"),"日",""))),"")</f>
        <v/>
      </c>
      <c r="J922">
        <f>IFERROR(MID(I922,FIND("-",I922)+1,99),"")</f>
        <v/>
      </c>
    </row>
    <row r="923">
      <c r="B923">
        <f>IFERROR(IF($B$1=0,"",IF(INDEX(貼り付け!$A$1:$BZ$3001,922,$B$1)="","",IF(ISNUMBER(INDEX(貼り付け!$A$1:$BZ$3001,922,$B$1)),INT(INDEX(貼り付け!$A$1:$BZ$3001,922,$B$1)),DATE(VALUE(LEFT(I923,FIND("-",I923)-1)),VALUE(LEFT(J923,FIND("-",J923)-1)),VALUE(MID(J923,FIND("-",J923)+1,99)))))),"")</f>
        <v/>
      </c>
      <c r="C923">
        <f>IF($C$1=0,0,IFERROR(VALUE(SUBSTITUTE(SUBSTITUTE(SUBSTITUTE(INDEX(貼り付け!$A$1:$BZ$3001,922,$C$1)&amp;"",",",""),"¥",""),"￥","")),0))</f>
        <v/>
      </c>
      <c r="D923">
        <f>IF($D$1=0,0,IFERROR(VALUE(SUBSTITUTE(SUBSTITUTE(SUBSTITUTE(INDEX(貼り付け!$A$1:$BZ$3001,922,$D$1)&amp;"",",",""),"¥",""),"￥","")),0))</f>
        <v/>
      </c>
      <c r="E923">
        <f>IF($E$1=0,0,IFERROR(VALUE(SUBSTITUTE(SUBSTITUTE(SUBSTITUTE(INDEX(貼り付け!$A$1:$BZ$3001,922,$E$1)&amp;"",",",""),"¥",""),"￥","")),0))</f>
        <v/>
      </c>
      <c r="F923">
        <f>IF($F$1=0,0,IFERROR(VALUE(SUBSTITUTE(SUBSTITUTE(SUBSTITUTE(INDEX(貼り付け!$A$1:$BZ$3001,922,$F$1)&amp;"",",",""),"¥",""),"￥","")),0))</f>
        <v/>
      </c>
      <c r="G923">
        <f>IF(ISNUMBER(B923),YEAR(B923),"")</f>
        <v/>
      </c>
      <c r="H923">
        <f>IF(ISNUMBER(B923),MONTH(B923),"")</f>
        <v/>
      </c>
      <c r="I923">
        <f>IFERROR(IF($B$1=0,"",IF(ISNUMBER(INDEX(貼り付け!$A$1:$BZ$3001,922,$B$1)),"",SUBSTITUTE(SUBSTITUTE(SUBSTITUTE(SUBSTITUTE(TRIM(LEFT(INDEX(貼り付け!$A$1:$BZ$3001,922,$B$1)&amp;"",FIND(" ",TRIM(INDEX(貼り付け!$A$1:$BZ$3001,922,$B$1)&amp;"")&amp;" ")-1)),"/","-"),"年","-"),"月","-"),"日",""))),"")</f>
        <v/>
      </c>
      <c r="J923">
        <f>IFERROR(MID(I923,FIND("-",I923)+1,99),"")</f>
        <v/>
      </c>
    </row>
    <row r="924">
      <c r="B924">
        <f>IFERROR(IF($B$1=0,"",IF(INDEX(貼り付け!$A$1:$BZ$3001,923,$B$1)="","",IF(ISNUMBER(INDEX(貼り付け!$A$1:$BZ$3001,923,$B$1)),INT(INDEX(貼り付け!$A$1:$BZ$3001,923,$B$1)),DATE(VALUE(LEFT(I924,FIND("-",I924)-1)),VALUE(LEFT(J924,FIND("-",J924)-1)),VALUE(MID(J924,FIND("-",J924)+1,99)))))),"")</f>
        <v/>
      </c>
      <c r="C924">
        <f>IF($C$1=0,0,IFERROR(VALUE(SUBSTITUTE(SUBSTITUTE(SUBSTITUTE(INDEX(貼り付け!$A$1:$BZ$3001,923,$C$1)&amp;"",",",""),"¥",""),"￥","")),0))</f>
        <v/>
      </c>
      <c r="D924">
        <f>IF($D$1=0,0,IFERROR(VALUE(SUBSTITUTE(SUBSTITUTE(SUBSTITUTE(INDEX(貼り付け!$A$1:$BZ$3001,923,$D$1)&amp;"",",",""),"¥",""),"￥","")),0))</f>
        <v/>
      </c>
      <c r="E924">
        <f>IF($E$1=0,0,IFERROR(VALUE(SUBSTITUTE(SUBSTITUTE(SUBSTITUTE(INDEX(貼り付け!$A$1:$BZ$3001,923,$E$1)&amp;"",",",""),"¥",""),"￥","")),0))</f>
        <v/>
      </c>
      <c r="F924">
        <f>IF($F$1=0,0,IFERROR(VALUE(SUBSTITUTE(SUBSTITUTE(SUBSTITUTE(INDEX(貼り付け!$A$1:$BZ$3001,923,$F$1)&amp;"",",",""),"¥",""),"￥","")),0))</f>
        <v/>
      </c>
      <c r="G924">
        <f>IF(ISNUMBER(B924),YEAR(B924),"")</f>
        <v/>
      </c>
      <c r="H924">
        <f>IF(ISNUMBER(B924),MONTH(B924),"")</f>
        <v/>
      </c>
      <c r="I924">
        <f>IFERROR(IF($B$1=0,"",IF(ISNUMBER(INDEX(貼り付け!$A$1:$BZ$3001,923,$B$1)),"",SUBSTITUTE(SUBSTITUTE(SUBSTITUTE(SUBSTITUTE(TRIM(LEFT(INDEX(貼り付け!$A$1:$BZ$3001,923,$B$1)&amp;"",FIND(" ",TRIM(INDEX(貼り付け!$A$1:$BZ$3001,923,$B$1)&amp;"")&amp;" ")-1)),"/","-"),"年","-"),"月","-"),"日",""))),"")</f>
        <v/>
      </c>
      <c r="J924">
        <f>IFERROR(MID(I924,FIND("-",I924)+1,99),"")</f>
        <v/>
      </c>
    </row>
    <row r="925">
      <c r="B925">
        <f>IFERROR(IF($B$1=0,"",IF(INDEX(貼り付け!$A$1:$BZ$3001,924,$B$1)="","",IF(ISNUMBER(INDEX(貼り付け!$A$1:$BZ$3001,924,$B$1)),INT(INDEX(貼り付け!$A$1:$BZ$3001,924,$B$1)),DATE(VALUE(LEFT(I925,FIND("-",I925)-1)),VALUE(LEFT(J925,FIND("-",J925)-1)),VALUE(MID(J925,FIND("-",J925)+1,99)))))),"")</f>
        <v/>
      </c>
      <c r="C925">
        <f>IF($C$1=0,0,IFERROR(VALUE(SUBSTITUTE(SUBSTITUTE(SUBSTITUTE(INDEX(貼り付け!$A$1:$BZ$3001,924,$C$1)&amp;"",",",""),"¥",""),"￥","")),0))</f>
        <v/>
      </c>
      <c r="D925">
        <f>IF($D$1=0,0,IFERROR(VALUE(SUBSTITUTE(SUBSTITUTE(SUBSTITUTE(INDEX(貼り付け!$A$1:$BZ$3001,924,$D$1)&amp;"",",",""),"¥",""),"￥","")),0))</f>
        <v/>
      </c>
      <c r="E925">
        <f>IF($E$1=0,0,IFERROR(VALUE(SUBSTITUTE(SUBSTITUTE(SUBSTITUTE(INDEX(貼り付け!$A$1:$BZ$3001,924,$E$1)&amp;"",",",""),"¥",""),"￥","")),0))</f>
        <v/>
      </c>
      <c r="F925">
        <f>IF($F$1=0,0,IFERROR(VALUE(SUBSTITUTE(SUBSTITUTE(SUBSTITUTE(INDEX(貼り付け!$A$1:$BZ$3001,924,$F$1)&amp;"",",",""),"¥",""),"￥","")),0))</f>
        <v/>
      </c>
      <c r="G925">
        <f>IF(ISNUMBER(B925),YEAR(B925),"")</f>
        <v/>
      </c>
      <c r="H925">
        <f>IF(ISNUMBER(B925),MONTH(B925),"")</f>
        <v/>
      </c>
      <c r="I925">
        <f>IFERROR(IF($B$1=0,"",IF(ISNUMBER(INDEX(貼り付け!$A$1:$BZ$3001,924,$B$1)),"",SUBSTITUTE(SUBSTITUTE(SUBSTITUTE(SUBSTITUTE(TRIM(LEFT(INDEX(貼り付け!$A$1:$BZ$3001,924,$B$1)&amp;"",FIND(" ",TRIM(INDEX(貼り付け!$A$1:$BZ$3001,924,$B$1)&amp;"")&amp;" ")-1)),"/","-"),"年","-"),"月","-"),"日",""))),"")</f>
        <v/>
      </c>
      <c r="J925">
        <f>IFERROR(MID(I925,FIND("-",I925)+1,99),"")</f>
        <v/>
      </c>
    </row>
    <row r="926">
      <c r="B926">
        <f>IFERROR(IF($B$1=0,"",IF(INDEX(貼り付け!$A$1:$BZ$3001,925,$B$1)="","",IF(ISNUMBER(INDEX(貼り付け!$A$1:$BZ$3001,925,$B$1)),INT(INDEX(貼り付け!$A$1:$BZ$3001,925,$B$1)),DATE(VALUE(LEFT(I926,FIND("-",I926)-1)),VALUE(LEFT(J926,FIND("-",J926)-1)),VALUE(MID(J926,FIND("-",J926)+1,99)))))),"")</f>
        <v/>
      </c>
      <c r="C926">
        <f>IF($C$1=0,0,IFERROR(VALUE(SUBSTITUTE(SUBSTITUTE(SUBSTITUTE(INDEX(貼り付け!$A$1:$BZ$3001,925,$C$1)&amp;"",",",""),"¥",""),"￥","")),0))</f>
        <v/>
      </c>
      <c r="D926">
        <f>IF($D$1=0,0,IFERROR(VALUE(SUBSTITUTE(SUBSTITUTE(SUBSTITUTE(INDEX(貼り付け!$A$1:$BZ$3001,925,$D$1)&amp;"",",",""),"¥",""),"￥","")),0))</f>
        <v/>
      </c>
      <c r="E926">
        <f>IF($E$1=0,0,IFERROR(VALUE(SUBSTITUTE(SUBSTITUTE(SUBSTITUTE(INDEX(貼り付け!$A$1:$BZ$3001,925,$E$1)&amp;"",",",""),"¥",""),"￥","")),0))</f>
        <v/>
      </c>
      <c r="F926">
        <f>IF($F$1=0,0,IFERROR(VALUE(SUBSTITUTE(SUBSTITUTE(SUBSTITUTE(INDEX(貼り付け!$A$1:$BZ$3001,925,$F$1)&amp;"",",",""),"¥",""),"￥","")),0))</f>
        <v/>
      </c>
      <c r="G926">
        <f>IF(ISNUMBER(B926),YEAR(B926),"")</f>
        <v/>
      </c>
      <c r="H926">
        <f>IF(ISNUMBER(B926),MONTH(B926),"")</f>
        <v/>
      </c>
      <c r="I926">
        <f>IFERROR(IF($B$1=0,"",IF(ISNUMBER(INDEX(貼り付け!$A$1:$BZ$3001,925,$B$1)),"",SUBSTITUTE(SUBSTITUTE(SUBSTITUTE(SUBSTITUTE(TRIM(LEFT(INDEX(貼り付け!$A$1:$BZ$3001,925,$B$1)&amp;"",FIND(" ",TRIM(INDEX(貼り付け!$A$1:$BZ$3001,925,$B$1)&amp;"")&amp;" ")-1)),"/","-"),"年","-"),"月","-"),"日",""))),"")</f>
        <v/>
      </c>
      <c r="J926">
        <f>IFERROR(MID(I926,FIND("-",I926)+1,99),"")</f>
        <v/>
      </c>
    </row>
    <row r="927">
      <c r="B927">
        <f>IFERROR(IF($B$1=0,"",IF(INDEX(貼り付け!$A$1:$BZ$3001,926,$B$1)="","",IF(ISNUMBER(INDEX(貼り付け!$A$1:$BZ$3001,926,$B$1)),INT(INDEX(貼り付け!$A$1:$BZ$3001,926,$B$1)),DATE(VALUE(LEFT(I927,FIND("-",I927)-1)),VALUE(LEFT(J927,FIND("-",J927)-1)),VALUE(MID(J927,FIND("-",J927)+1,99)))))),"")</f>
        <v/>
      </c>
      <c r="C927">
        <f>IF($C$1=0,0,IFERROR(VALUE(SUBSTITUTE(SUBSTITUTE(SUBSTITUTE(INDEX(貼り付け!$A$1:$BZ$3001,926,$C$1)&amp;"",",",""),"¥",""),"￥","")),0))</f>
        <v/>
      </c>
      <c r="D927">
        <f>IF($D$1=0,0,IFERROR(VALUE(SUBSTITUTE(SUBSTITUTE(SUBSTITUTE(INDEX(貼り付け!$A$1:$BZ$3001,926,$D$1)&amp;"",",",""),"¥",""),"￥","")),0))</f>
        <v/>
      </c>
      <c r="E927">
        <f>IF($E$1=0,0,IFERROR(VALUE(SUBSTITUTE(SUBSTITUTE(SUBSTITUTE(INDEX(貼り付け!$A$1:$BZ$3001,926,$E$1)&amp;"",",",""),"¥",""),"￥","")),0))</f>
        <v/>
      </c>
      <c r="F927">
        <f>IF($F$1=0,0,IFERROR(VALUE(SUBSTITUTE(SUBSTITUTE(SUBSTITUTE(INDEX(貼り付け!$A$1:$BZ$3001,926,$F$1)&amp;"",",",""),"¥",""),"￥","")),0))</f>
        <v/>
      </c>
      <c r="G927">
        <f>IF(ISNUMBER(B927),YEAR(B927),"")</f>
        <v/>
      </c>
      <c r="H927">
        <f>IF(ISNUMBER(B927),MONTH(B927),"")</f>
        <v/>
      </c>
      <c r="I927">
        <f>IFERROR(IF($B$1=0,"",IF(ISNUMBER(INDEX(貼り付け!$A$1:$BZ$3001,926,$B$1)),"",SUBSTITUTE(SUBSTITUTE(SUBSTITUTE(SUBSTITUTE(TRIM(LEFT(INDEX(貼り付け!$A$1:$BZ$3001,926,$B$1)&amp;"",FIND(" ",TRIM(INDEX(貼り付け!$A$1:$BZ$3001,926,$B$1)&amp;"")&amp;" ")-1)),"/","-"),"年","-"),"月","-"),"日",""))),"")</f>
        <v/>
      </c>
      <c r="J927">
        <f>IFERROR(MID(I927,FIND("-",I927)+1,99),"")</f>
        <v/>
      </c>
    </row>
    <row r="928">
      <c r="B928">
        <f>IFERROR(IF($B$1=0,"",IF(INDEX(貼り付け!$A$1:$BZ$3001,927,$B$1)="","",IF(ISNUMBER(INDEX(貼り付け!$A$1:$BZ$3001,927,$B$1)),INT(INDEX(貼り付け!$A$1:$BZ$3001,927,$B$1)),DATE(VALUE(LEFT(I928,FIND("-",I928)-1)),VALUE(LEFT(J928,FIND("-",J928)-1)),VALUE(MID(J928,FIND("-",J928)+1,99)))))),"")</f>
        <v/>
      </c>
      <c r="C928">
        <f>IF($C$1=0,0,IFERROR(VALUE(SUBSTITUTE(SUBSTITUTE(SUBSTITUTE(INDEX(貼り付け!$A$1:$BZ$3001,927,$C$1)&amp;"",",",""),"¥",""),"￥","")),0))</f>
        <v/>
      </c>
      <c r="D928">
        <f>IF($D$1=0,0,IFERROR(VALUE(SUBSTITUTE(SUBSTITUTE(SUBSTITUTE(INDEX(貼り付け!$A$1:$BZ$3001,927,$D$1)&amp;"",",",""),"¥",""),"￥","")),0))</f>
        <v/>
      </c>
      <c r="E928">
        <f>IF($E$1=0,0,IFERROR(VALUE(SUBSTITUTE(SUBSTITUTE(SUBSTITUTE(INDEX(貼り付け!$A$1:$BZ$3001,927,$E$1)&amp;"",",",""),"¥",""),"￥","")),0))</f>
        <v/>
      </c>
      <c r="F928">
        <f>IF($F$1=0,0,IFERROR(VALUE(SUBSTITUTE(SUBSTITUTE(SUBSTITUTE(INDEX(貼り付け!$A$1:$BZ$3001,927,$F$1)&amp;"",",",""),"¥",""),"￥","")),0))</f>
        <v/>
      </c>
      <c r="G928">
        <f>IF(ISNUMBER(B928),YEAR(B928),"")</f>
        <v/>
      </c>
      <c r="H928">
        <f>IF(ISNUMBER(B928),MONTH(B928),"")</f>
        <v/>
      </c>
      <c r="I928">
        <f>IFERROR(IF($B$1=0,"",IF(ISNUMBER(INDEX(貼り付け!$A$1:$BZ$3001,927,$B$1)),"",SUBSTITUTE(SUBSTITUTE(SUBSTITUTE(SUBSTITUTE(TRIM(LEFT(INDEX(貼り付け!$A$1:$BZ$3001,927,$B$1)&amp;"",FIND(" ",TRIM(INDEX(貼り付け!$A$1:$BZ$3001,927,$B$1)&amp;"")&amp;" ")-1)),"/","-"),"年","-"),"月","-"),"日",""))),"")</f>
        <v/>
      </c>
      <c r="J928">
        <f>IFERROR(MID(I928,FIND("-",I928)+1,99),"")</f>
        <v/>
      </c>
    </row>
    <row r="929">
      <c r="B929">
        <f>IFERROR(IF($B$1=0,"",IF(INDEX(貼り付け!$A$1:$BZ$3001,928,$B$1)="","",IF(ISNUMBER(INDEX(貼り付け!$A$1:$BZ$3001,928,$B$1)),INT(INDEX(貼り付け!$A$1:$BZ$3001,928,$B$1)),DATE(VALUE(LEFT(I929,FIND("-",I929)-1)),VALUE(LEFT(J929,FIND("-",J929)-1)),VALUE(MID(J929,FIND("-",J929)+1,99)))))),"")</f>
        <v/>
      </c>
      <c r="C929">
        <f>IF($C$1=0,0,IFERROR(VALUE(SUBSTITUTE(SUBSTITUTE(SUBSTITUTE(INDEX(貼り付け!$A$1:$BZ$3001,928,$C$1)&amp;"",",",""),"¥",""),"￥","")),0))</f>
        <v/>
      </c>
      <c r="D929">
        <f>IF($D$1=0,0,IFERROR(VALUE(SUBSTITUTE(SUBSTITUTE(SUBSTITUTE(INDEX(貼り付け!$A$1:$BZ$3001,928,$D$1)&amp;"",",",""),"¥",""),"￥","")),0))</f>
        <v/>
      </c>
      <c r="E929">
        <f>IF($E$1=0,0,IFERROR(VALUE(SUBSTITUTE(SUBSTITUTE(SUBSTITUTE(INDEX(貼り付け!$A$1:$BZ$3001,928,$E$1)&amp;"",",",""),"¥",""),"￥","")),0))</f>
        <v/>
      </c>
      <c r="F929">
        <f>IF($F$1=0,0,IFERROR(VALUE(SUBSTITUTE(SUBSTITUTE(SUBSTITUTE(INDEX(貼り付け!$A$1:$BZ$3001,928,$F$1)&amp;"",",",""),"¥",""),"￥","")),0))</f>
        <v/>
      </c>
      <c r="G929">
        <f>IF(ISNUMBER(B929),YEAR(B929),"")</f>
        <v/>
      </c>
      <c r="H929">
        <f>IF(ISNUMBER(B929),MONTH(B929),"")</f>
        <v/>
      </c>
      <c r="I929">
        <f>IFERROR(IF($B$1=0,"",IF(ISNUMBER(INDEX(貼り付け!$A$1:$BZ$3001,928,$B$1)),"",SUBSTITUTE(SUBSTITUTE(SUBSTITUTE(SUBSTITUTE(TRIM(LEFT(INDEX(貼り付け!$A$1:$BZ$3001,928,$B$1)&amp;"",FIND(" ",TRIM(INDEX(貼り付け!$A$1:$BZ$3001,928,$B$1)&amp;"")&amp;" ")-1)),"/","-"),"年","-"),"月","-"),"日",""))),"")</f>
        <v/>
      </c>
      <c r="J929">
        <f>IFERROR(MID(I929,FIND("-",I929)+1,99),"")</f>
        <v/>
      </c>
    </row>
    <row r="930">
      <c r="B930">
        <f>IFERROR(IF($B$1=0,"",IF(INDEX(貼り付け!$A$1:$BZ$3001,929,$B$1)="","",IF(ISNUMBER(INDEX(貼り付け!$A$1:$BZ$3001,929,$B$1)),INT(INDEX(貼り付け!$A$1:$BZ$3001,929,$B$1)),DATE(VALUE(LEFT(I930,FIND("-",I930)-1)),VALUE(LEFT(J930,FIND("-",J930)-1)),VALUE(MID(J930,FIND("-",J930)+1,99)))))),"")</f>
        <v/>
      </c>
      <c r="C930">
        <f>IF($C$1=0,0,IFERROR(VALUE(SUBSTITUTE(SUBSTITUTE(SUBSTITUTE(INDEX(貼り付け!$A$1:$BZ$3001,929,$C$1)&amp;"",",",""),"¥",""),"￥","")),0))</f>
        <v/>
      </c>
      <c r="D930">
        <f>IF($D$1=0,0,IFERROR(VALUE(SUBSTITUTE(SUBSTITUTE(SUBSTITUTE(INDEX(貼り付け!$A$1:$BZ$3001,929,$D$1)&amp;"",",",""),"¥",""),"￥","")),0))</f>
        <v/>
      </c>
      <c r="E930">
        <f>IF($E$1=0,0,IFERROR(VALUE(SUBSTITUTE(SUBSTITUTE(SUBSTITUTE(INDEX(貼り付け!$A$1:$BZ$3001,929,$E$1)&amp;"",",",""),"¥",""),"￥","")),0))</f>
        <v/>
      </c>
      <c r="F930">
        <f>IF($F$1=0,0,IFERROR(VALUE(SUBSTITUTE(SUBSTITUTE(SUBSTITUTE(INDEX(貼り付け!$A$1:$BZ$3001,929,$F$1)&amp;"",",",""),"¥",""),"￥","")),0))</f>
        <v/>
      </c>
      <c r="G930">
        <f>IF(ISNUMBER(B930),YEAR(B930),"")</f>
        <v/>
      </c>
      <c r="H930">
        <f>IF(ISNUMBER(B930),MONTH(B930),"")</f>
        <v/>
      </c>
      <c r="I930">
        <f>IFERROR(IF($B$1=0,"",IF(ISNUMBER(INDEX(貼り付け!$A$1:$BZ$3001,929,$B$1)),"",SUBSTITUTE(SUBSTITUTE(SUBSTITUTE(SUBSTITUTE(TRIM(LEFT(INDEX(貼り付け!$A$1:$BZ$3001,929,$B$1)&amp;"",FIND(" ",TRIM(INDEX(貼り付け!$A$1:$BZ$3001,929,$B$1)&amp;"")&amp;" ")-1)),"/","-"),"年","-"),"月","-"),"日",""))),"")</f>
        <v/>
      </c>
      <c r="J930">
        <f>IFERROR(MID(I930,FIND("-",I930)+1,99),"")</f>
        <v/>
      </c>
    </row>
    <row r="931">
      <c r="B931">
        <f>IFERROR(IF($B$1=0,"",IF(INDEX(貼り付け!$A$1:$BZ$3001,930,$B$1)="","",IF(ISNUMBER(INDEX(貼り付け!$A$1:$BZ$3001,930,$B$1)),INT(INDEX(貼り付け!$A$1:$BZ$3001,930,$B$1)),DATE(VALUE(LEFT(I931,FIND("-",I931)-1)),VALUE(LEFT(J931,FIND("-",J931)-1)),VALUE(MID(J931,FIND("-",J931)+1,99)))))),"")</f>
        <v/>
      </c>
      <c r="C931">
        <f>IF($C$1=0,0,IFERROR(VALUE(SUBSTITUTE(SUBSTITUTE(SUBSTITUTE(INDEX(貼り付け!$A$1:$BZ$3001,930,$C$1)&amp;"",",",""),"¥",""),"￥","")),0))</f>
        <v/>
      </c>
      <c r="D931">
        <f>IF($D$1=0,0,IFERROR(VALUE(SUBSTITUTE(SUBSTITUTE(SUBSTITUTE(INDEX(貼り付け!$A$1:$BZ$3001,930,$D$1)&amp;"",",",""),"¥",""),"￥","")),0))</f>
        <v/>
      </c>
      <c r="E931">
        <f>IF($E$1=0,0,IFERROR(VALUE(SUBSTITUTE(SUBSTITUTE(SUBSTITUTE(INDEX(貼り付け!$A$1:$BZ$3001,930,$E$1)&amp;"",",",""),"¥",""),"￥","")),0))</f>
        <v/>
      </c>
      <c r="F931">
        <f>IF($F$1=0,0,IFERROR(VALUE(SUBSTITUTE(SUBSTITUTE(SUBSTITUTE(INDEX(貼り付け!$A$1:$BZ$3001,930,$F$1)&amp;"",",",""),"¥",""),"￥","")),0))</f>
        <v/>
      </c>
      <c r="G931">
        <f>IF(ISNUMBER(B931),YEAR(B931),"")</f>
        <v/>
      </c>
      <c r="H931">
        <f>IF(ISNUMBER(B931),MONTH(B931),"")</f>
        <v/>
      </c>
      <c r="I931">
        <f>IFERROR(IF($B$1=0,"",IF(ISNUMBER(INDEX(貼り付け!$A$1:$BZ$3001,930,$B$1)),"",SUBSTITUTE(SUBSTITUTE(SUBSTITUTE(SUBSTITUTE(TRIM(LEFT(INDEX(貼り付け!$A$1:$BZ$3001,930,$B$1)&amp;"",FIND(" ",TRIM(INDEX(貼り付け!$A$1:$BZ$3001,930,$B$1)&amp;"")&amp;" ")-1)),"/","-"),"年","-"),"月","-"),"日",""))),"")</f>
        <v/>
      </c>
      <c r="J931">
        <f>IFERROR(MID(I931,FIND("-",I931)+1,99),"")</f>
        <v/>
      </c>
    </row>
    <row r="932">
      <c r="B932">
        <f>IFERROR(IF($B$1=0,"",IF(INDEX(貼り付け!$A$1:$BZ$3001,931,$B$1)="","",IF(ISNUMBER(INDEX(貼り付け!$A$1:$BZ$3001,931,$B$1)),INT(INDEX(貼り付け!$A$1:$BZ$3001,931,$B$1)),DATE(VALUE(LEFT(I932,FIND("-",I932)-1)),VALUE(LEFT(J932,FIND("-",J932)-1)),VALUE(MID(J932,FIND("-",J932)+1,99)))))),"")</f>
        <v/>
      </c>
      <c r="C932">
        <f>IF($C$1=0,0,IFERROR(VALUE(SUBSTITUTE(SUBSTITUTE(SUBSTITUTE(INDEX(貼り付け!$A$1:$BZ$3001,931,$C$1)&amp;"",",",""),"¥",""),"￥","")),0))</f>
        <v/>
      </c>
      <c r="D932">
        <f>IF($D$1=0,0,IFERROR(VALUE(SUBSTITUTE(SUBSTITUTE(SUBSTITUTE(INDEX(貼り付け!$A$1:$BZ$3001,931,$D$1)&amp;"",",",""),"¥",""),"￥","")),0))</f>
        <v/>
      </c>
      <c r="E932">
        <f>IF($E$1=0,0,IFERROR(VALUE(SUBSTITUTE(SUBSTITUTE(SUBSTITUTE(INDEX(貼り付け!$A$1:$BZ$3001,931,$E$1)&amp;"",",",""),"¥",""),"￥","")),0))</f>
        <v/>
      </c>
      <c r="F932">
        <f>IF($F$1=0,0,IFERROR(VALUE(SUBSTITUTE(SUBSTITUTE(SUBSTITUTE(INDEX(貼り付け!$A$1:$BZ$3001,931,$F$1)&amp;"",",",""),"¥",""),"￥","")),0))</f>
        <v/>
      </c>
      <c r="G932">
        <f>IF(ISNUMBER(B932),YEAR(B932),"")</f>
        <v/>
      </c>
      <c r="H932">
        <f>IF(ISNUMBER(B932),MONTH(B932),"")</f>
        <v/>
      </c>
      <c r="I932">
        <f>IFERROR(IF($B$1=0,"",IF(ISNUMBER(INDEX(貼り付け!$A$1:$BZ$3001,931,$B$1)),"",SUBSTITUTE(SUBSTITUTE(SUBSTITUTE(SUBSTITUTE(TRIM(LEFT(INDEX(貼り付け!$A$1:$BZ$3001,931,$B$1)&amp;"",FIND(" ",TRIM(INDEX(貼り付け!$A$1:$BZ$3001,931,$B$1)&amp;"")&amp;" ")-1)),"/","-"),"年","-"),"月","-"),"日",""))),"")</f>
        <v/>
      </c>
      <c r="J932">
        <f>IFERROR(MID(I932,FIND("-",I932)+1,99),"")</f>
        <v/>
      </c>
    </row>
    <row r="933">
      <c r="B933">
        <f>IFERROR(IF($B$1=0,"",IF(INDEX(貼り付け!$A$1:$BZ$3001,932,$B$1)="","",IF(ISNUMBER(INDEX(貼り付け!$A$1:$BZ$3001,932,$B$1)),INT(INDEX(貼り付け!$A$1:$BZ$3001,932,$B$1)),DATE(VALUE(LEFT(I933,FIND("-",I933)-1)),VALUE(LEFT(J933,FIND("-",J933)-1)),VALUE(MID(J933,FIND("-",J933)+1,99)))))),"")</f>
        <v/>
      </c>
      <c r="C933">
        <f>IF($C$1=0,0,IFERROR(VALUE(SUBSTITUTE(SUBSTITUTE(SUBSTITUTE(INDEX(貼り付け!$A$1:$BZ$3001,932,$C$1)&amp;"",",",""),"¥",""),"￥","")),0))</f>
        <v/>
      </c>
      <c r="D933">
        <f>IF($D$1=0,0,IFERROR(VALUE(SUBSTITUTE(SUBSTITUTE(SUBSTITUTE(INDEX(貼り付け!$A$1:$BZ$3001,932,$D$1)&amp;"",",",""),"¥",""),"￥","")),0))</f>
        <v/>
      </c>
      <c r="E933">
        <f>IF($E$1=0,0,IFERROR(VALUE(SUBSTITUTE(SUBSTITUTE(SUBSTITUTE(INDEX(貼り付け!$A$1:$BZ$3001,932,$E$1)&amp;"",",",""),"¥",""),"￥","")),0))</f>
        <v/>
      </c>
      <c r="F933">
        <f>IF($F$1=0,0,IFERROR(VALUE(SUBSTITUTE(SUBSTITUTE(SUBSTITUTE(INDEX(貼り付け!$A$1:$BZ$3001,932,$F$1)&amp;"",",",""),"¥",""),"￥","")),0))</f>
        <v/>
      </c>
      <c r="G933">
        <f>IF(ISNUMBER(B933),YEAR(B933),"")</f>
        <v/>
      </c>
      <c r="H933">
        <f>IF(ISNUMBER(B933),MONTH(B933),"")</f>
        <v/>
      </c>
      <c r="I933">
        <f>IFERROR(IF($B$1=0,"",IF(ISNUMBER(INDEX(貼り付け!$A$1:$BZ$3001,932,$B$1)),"",SUBSTITUTE(SUBSTITUTE(SUBSTITUTE(SUBSTITUTE(TRIM(LEFT(INDEX(貼り付け!$A$1:$BZ$3001,932,$B$1)&amp;"",FIND(" ",TRIM(INDEX(貼り付け!$A$1:$BZ$3001,932,$B$1)&amp;"")&amp;" ")-1)),"/","-"),"年","-"),"月","-"),"日",""))),"")</f>
        <v/>
      </c>
      <c r="J933">
        <f>IFERROR(MID(I933,FIND("-",I933)+1,99),"")</f>
        <v/>
      </c>
    </row>
    <row r="934">
      <c r="B934">
        <f>IFERROR(IF($B$1=0,"",IF(INDEX(貼り付け!$A$1:$BZ$3001,933,$B$1)="","",IF(ISNUMBER(INDEX(貼り付け!$A$1:$BZ$3001,933,$B$1)),INT(INDEX(貼り付け!$A$1:$BZ$3001,933,$B$1)),DATE(VALUE(LEFT(I934,FIND("-",I934)-1)),VALUE(LEFT(J934,FIND("-",J934)-1)),VALUE(MID(J934,FIND("-",J934)+1,99)))))),"")</f>
        <v/>
      </c>
      <c r="C934">
        <f>IF($C$1=0,0,IFERROR(VALUE(SUBSTITUTE(SUBSTITUTE(SUBSTITUTE(INDEX(貼り付け!$A$1:$BZ$3001,933,$C$1)&amp;"",",",""),"¥",""),"￥","")),0))</f>
        <v/>
      </c>
      <c r="D934">
        <f>IF($D$1=0,0,IFERROR(VALUE(SUBSTITUTE(SUBSTITUTE(SUBSTITUTE(INDEX(貼り付け!$A$1:$BZ$3001,933,$D$1)&amp;"",",",""),"¥",""),"￥","")),0))</f>
        <v/>
      </c>
      <c r="E934">
        <f>IF($E$1=0,0,IFERROR(VALUE(SUBSTITUTE(SUBSTITUTE(SUBSTITUTE(INDEX(貼り付け!$A$1:$BZ$3001,933,$E$1)&amp;"",",",""),"¥",""),"￥","")),0))</f>
        <v/>
      </c>
      <c r="F934">
        <f>IF($F$1=0,0,IFERROR(VALUE(SUBSTITUTE(SUBSTITUTE(SUBSTITUTE(INDEX(貼り付け!$A$1:$BZ$3001,933,$F$1)&amp;"",",",""),"¥",""),"￥","")),0))</f>
        <v/>
      </c>
      <c r="G934">
        <f>IF(ISNUMBER(B934),YEAR(B934),"")</f>
        <v/>
      </c>
      <c r="H934">
        <f>IF(ISNUMBER(B934),MONTH(B934),"")</f>
        <v/>
      </c>
      <c r="I934">
        <f>IFERROR(IF($B$1=0,"",IF(ISNUMBER(INDEX(貼り付け!$A$1:$BZ$3001,933,$B$1)),"",SUBSTITUTE(SUBSTITUTE(SUBSTITUTE(SUBSTITUTE(TRIM(LEFT(INDEX(貼り付け!$A$1:$BZ$3001,933,$B$1)&amp;"",FIND(" ",TRIM(INDEX(貼り付け!$A$1:$BZ$3001,933,$B$1)&amp;"")&amp;" ")-1)),"/","-"),"年","-"),"月","-"),"日",""))),"")</f>
        <v/>
      </c>
      <c r="J934">
        <f>IFERROR(MID(I934,FIND("-",I934)+1,99),"")</f>
        <v/>
      </c>
    </row>
    <row r="935">
      <c r="B935">
        <f>IFERROR(IF($B$1=0,"",IF(INDEX(貼り付け!$A$1:$BZ$3001,934,$B$1)="","",IF(ISNUMBER(INDEX(貼り付け!$A$1:$BZ$3001,934,$B$1)),INT(INDEX(貼り付け!$A$1:$BZ$3001,934,$B$1)),DATE(VALUE(LEFT(I935,FIND("-",I935)-1)),VALUE(LEFT(J935,FIND("-",J935)-1)),VALUE(MID(J935,FIND("-",J935)+1,99)))))),"")</f>
        <v/>
      </c>
      <c r="C935">
        <f>IF($C$1=0,0,IFERROR(VALUE(SUBSTITUTE(SUBSTITUTE(SUBSTITUTE(INDEX(貼り付け!$A$1:$BZ$3001,934,$C$1)&amp;"",",",""),"¥",""),"￥","")),0))</f>
        <v/>
      </c>
      <c r="D935">
        <f>IF($D$1=0,0,IFERROR(VALUE(SUBSTITUTE(SUBSTITUTE(SUBSTITUTE(INDEX(貼り付け!$A$1:$BZ$3001,934,$D$1)&amp;"",",",""),"¥",""),"￥","")),0))</f>
        <v/>
      </c>
      <c r="E935">
        <f>IF($E$1=0,0,IFERROR(VALUE(SUBSTITUTE(SUBSTITUTE(SUBSTITUTE(INDEX(貼り付け!$A$1:$BZ$3001,934,$E$1)&amp;"",",",""),"¥",""),"￥","")),0))</f>
        <v/>
      </c>
      <c r="F935">
        <f>IF($F$1=0,0,IFERROR(VALUE(SUBSTITUTE(SUBSTITUTE(SUBSTITUTE(INDEX(貼り付け!$A$1:$BZ$3001,934,$F$1)&amp;"",",",""),"¥",""),"￥","")),0))</f>
        <v/>
      </c>
      <c r="G935">
        <f>IF(ISNUMBER(B935),YEAR(B935),"")</f>
        <v/>
      </c>
      <c r="H935">
        <f>IF(ISNUMBER(B935),MONTH(B935),"")</f>
        <v/>
      </c>
      <c r="I935">
        <f>IFERROR(IF($B$1=0,"",IF(ISNUMBER(INDEX(貼り付け!$A$1:$BZ$3001,934,$B$1)),"",SUBSTITUTE(SUBSTITUTE(SUBSTITUTE(SUBSTITUTE(TRIM(LEFT(INDEX(貼り付け!$A$1:$BZ$3001,934,$B$1)&amp;"",FIND(" ",TRIM(INDEX(貼り付け!$A$1:$BZ$3001,934,$B$1)&amp;"")&amp;" ")-1)),"/","-"),"年","-"),"月","-"),"日",""))),"")</f>
        <v/>
      </c>
      <c r="J935">
        <f>IFERROR(MID(I935,FIND("-",I935)+1,99),"")</f>
        <v/>
      </c>
    </row>
    <row r="936">
      <c r="B936">
        <f>IFERROR(IF($B$1=0,"",IF(INDEX(貼り付け!$A$1:$BZ$3001,935,$B$1)="","",IF(ISNUMBER(INDEX(貼り付け!$A$1:$BZ$3001,935,$B$1)),INT(INDEX(貼り付け!$A$1:$BZ$3001,935,$B$1)),DATE(VALUE(LEFT(I936,FIND("-",I936)-1)),VALUE(LEFT(J936,FIND("-",J936)-1)),VALUE(MID(J936,FIND("-",J936)+1,99)))))),"")</f>
        <v/>
      </c>
      <c r="C936">
        <f>IF($C$1=0,0,IFERROR(VALUE(SUBSTITUTE(SUBSTITUTE(SUBSTITUTE(INDEX(貼り付け!$A$1:$BZ$3001,935,$C$1)&amp;"",",",""),"¥",""),"￥","")),0))</f>
        <v/>
      </c>
      <c r="D936">
        <f>IF($D$1=0,0,IFERROR(VALUE(SUBSTITUTE(SUBSTITUTE(SUBSTITUTE(INDEX(貼り付け!$A$1:$BZ$3001,935,$D$1)&amp;"",",",""),"¥",""),"￥","")),0))</f>
        <v/>
      </c>
      <c r="E936">
        <f>IF($E$1=0,0,IFERROR(VALUE(SUBSTITUTE(SUBSTITUTE(SUBSTITUTE(INDEX(貼り付け!$A$1:$BZ$3001,935,$E$1)&amp;"",",",""),"¥",""),"￥","")),0))</f>
        <v/>
      </c>
      <c r="F936">
        <f>IF($F$1=0,0,IFERROR(VALUE(SUBSTITUTE(SUBSTITUTE(SUBSTITUTE(INDEX(貼り付け!$A$1:$BZ$3001,935,$F$1)&amp;"",",",""),"¥",""),"￥","")),0))</f>
        <v/>
      </c>
      <c r="G936">
        <f>IF(ISNUMBER(B936),YEAR(B936),"")</f>
        <v/>
      </c>
      <c r="H936">
        <f>IF(ISNUMBER(B936),MONTH(B936),"")</f>
        <v/>
      </c>
      <c r="I936">
        <f>IFERROR(IF($B$1=0,"",IF(ISNUMBER(INDEX(貼り付け!$A$1:$BZ$3001,935,$B$1)),"",SUBSTITUTE(SUBSTITUTE(SUBSTITUTE(SUBSTITUTE(TRIM(LEFT(INDEX(貼り付け!$A$1:$BZ$3001,935,$B$1)&amp;"",FIND(" ",TRIM(INDEX(貼り付け!$A$1:$BZ$3001,935,$B$1)&amp;"")&amp;" ")-1)),"/","-"),"年","-"),"月","-"),"日",""))),"")</f>
        <v/>
      </c>
      <c r="J936">
        <f>IFERROR(MID(I936,FIND("-",I936)+1,99),"")</f>
        <v/>
      </c>
    </row>
    <row r="937">
      <c r="B937">
        <f>IFERROR(IF($B$1=0,"",IF(INDEX(貼り付け!$A$1:$BZ$3001,936,$B$1)="","",IF(ISNUMBER(INDEX(貼り付け!$A$1:$BZ$3001,936,$B$1)),INT(INDEX(貼り付け!$A$1:$BZ$3001,936,$B$1)),DATE(VALUE(LEFT(I937,FIND("-",I937)-1)),VALUE(LEFT(J937,FIND("-",J937)-1)),VALUE(MID(J937,FIND("-",J937)+1,99)))))),"")</f>
        <v/>
      </c>
      <c r="C937">
        <f>IF($C$1=0,0,IFERROR(VALUE(SUBSTITUTE(SUBSTITUTE(SUBSTITUTE(INDEX(貼り付け!$A$1:$BZ$3001,936,$C$1)&amp;"",",",""),"¥",""),"￥","")),0))</f>
        <v/>
      </c>
      <c r="D937">
        <f>IF($D$1=0,0,IFERROR(VALUE(SUBSTITUTE(SUBSTITUTE(SUBSTITUTE(INDEX(貼り付け!$A$1:$BZ$3001,936,$D$1)&amp;"",",",""),"¥",""),"￥","")),0))</f>
        <v/>
      </c>
      <c r="E937">
        <f>IF($E$1=0,0,IFERROR(VALUE(SUBSTITUTE(SUBSTITUTE(SUBSTITUTE(INDEX(貼り付け!$A$1:$BZ$3001,936,$E$1)&amp;"",",",""),"¥",""),"￥","")),0))</f>
        <v/>
      </c>
      <c r="F937">
        <f>IF($F$1=0,0,IFERROR(VALUE(SUBSTITUTE(SUBSTITUTE(SUBSTITUTE(INDEX(貼り付け!$A$1:$BZ$3001,936,$F$1)&amp;"",",",""),"¥",""),"￥","")),0))</f>
        <v/>
      </c>
      <c r="G937">
        <f>IF(ISNUMBER(B937),YEAR(B937),"")</f>
        <v/>
      </c>
      <c r="H937">
        <f>IF(ISNUMBER(B937),MONTH(B937),"")</f>
        <v/>
      </c>
      <c r="I937">
        <f>IFERROR(IF($B$1=0,"",IF(ISNUMBER(INDEX(貼り付け!$A$1:$BZ$3001,936,$B$1)),"",SUBSTITUTE(SUBSTITUTE(SUBSTITUTE(SUBSTITUTE(TRIM(LEFT(INDEX(貼り付け!$A$1:$BZ$3001,936,$B$1)&amp;"",FIND(" ",TRIM(INDEX(貼り付け!$A$1:$BZ$3001,936,$B$1)&amp;"")&amp;" ")-1)),"/","-"),"年","-"),"月","-"),"日",""))),"")</f>
        <v/>
      </c>
      <c r="J937">
        <f>IFERROR(MID(I937,FIND("-",I937)+1,99),"")</f>
        <v/>
      </c>
    </row>
    <row r="938">
      <c r="B938">
        <f>IFERROR(IF($B$1=0,"",IF(INDEX(貼り付け!$A$1:$BZ$3001,937,$B$1)="","",IF(ISNUMBER(INDEX(貼り付け!$A$1:$BZ$3001,937,$B$1)),INT(INDEX(貼り付け!$A$1:$BZ$3001,937,$B$1)),DATE(VALUE(LEFT(I938,FIND("-",I938)-1)),VALUE(LEFT(J938,FIND("-",J938)-1)),VALUE(MID(J938,FIND("-",J938)+1,99)))))),"")</f>
        <v/>
      </c>
      <c r="C938">
        <f>IF($C$1=0,0,IFERROR(VALUE(SUBSTITUTE(SUBSTITUTE(SUBSTITUTE(INDEX(貼り付け!$A$1:$BZ$3001,937,$C$1)&amp;"",",",""),"¥",""),"￥","")),0))</f>
        <v/>
      </c>
      <c r="D938">
        <f>IF($D$1=0,0,IFERROR(VALUE(SUBSTITUTE(SUBSTITUTE(SUBSTITUTE(INDEX(貼り付け!$A$1:$BZ$3001,937,$D$1)&amp;"",",",""),"¥",""),"￥","")),0))</f>
        <v/>
      </c>
      <c r="E938">
        <f>IF($E$1=0,0,IFERROR(VALUE(SUBSTITUTE(SUBSTITUTE(SUBSTITUTE(INDEX(貼り付け!$A$1:$BZ$3001,937,$E$1)&amp;"",",",""),"¥",""),"￥","")),0))</f>
        <v/>
      </c>
      <c r="F938">
        <f>IF($F$1=0,0,IFERROR(VALUE(SUBSTITUTE(SUBSTITUTE(SUBSTITUTE(INDEX(貼り付け!$A$1:$BZ$3001,937,$F$1)&amp;"",",",""),"¥",""),"￥","")),0))</f>
        <v/>
      </c>
      <c r="G938">
        <f>IF(ISNUMBER(B938),YEAR(B938),"")</f>
        <v/>
      </c>
      <c r="H938">
        <f>IF(ISNUMBER(B938),MONTH(B938),"")</f>
        <v/>
      </c>
      <c r="I938">
        <f>IFERROR(IF($B$1=0,"",IF(ISNUMBER(INDEX(貼り付け!$A$1:$BZ$3001,937,$B$1)),"",SUBSTITUTE(SUBSTITUTE(SUBSTITUTE(SUBSTITUTE(TRIM(LEFT(INDEX(貼り付け!$A$1:$BZ$3001,937,$B$1)&amp;"",FIND(" ",TRIM(INDEX(貼り付け!$A$1:$BZ$3001,937,$B$1)&amp;"")&amp;" ")-1)),"/","-"),"年","-"),"月","-"),"日",""))),"")</f>
        <v/>
      </c>
      <c r="J938">
        <f>IFERROR(MID(I938,FIND("-",I938)+1,99),"")</f>
        <v/>
      </c>
    </row>
    <row r="939">
      <c r="B939">
        <f>IFERROR(IF($B$1=0,"",IF(INDEX(貼り付け!$A$1:$BZ$3001,938,$B$1)="","",IF(ISNUMBER(INDEX(貼り付け!$A$1:$BZ$3001,938,$B$1)),INT(INDEX(貼り付け!$A$1:$BZ$3001,938,$B$1)),DATE(VALUE(LEFT(I939,FIND("-",I939)-1)),VALUE(LEFT(J939,FIND("-",J939)-1)),VALUE(MID(J939,FIND("-",J939)+1,99)))))),"")</f>
        <v/>
      </c>
      <c r="C939">
        <f>IF($C$1=0,0,IFERROR(VALUE(SUBSTITUTE(SUBSTITUTE(SUBSTITUTE(INDEX(貼り付け!$A$1:$BZ$3001,938,$C$1)&amp;"",",",""),"¥",""),"￥","")),0))</f>
        <v/>
      </c>
      <c r="D939">
        <f>IF($D$1=0,0,IFERROR(VALUE(SUBSTITUTE(SUBSTITUTE(SUBSTITUTE(INDEX(貼り付け!$A$1:$BZ$3001,938,$D$1)&amp;"",",",""),"¥",""),"￥","")),0))</f>
        <v/>
      </c>
      <c r="E939">
        <f>IF($E$1=0,0,IFERROR(VALUE(SUBSTITUTE(SUBSTITUTE(SUBSTITUTE(INDEX(貼り付け!$A$1:$BZ$3001,938,$E$1)&amp;"",",",""),"¥",""),"￥","")),0))</f>
        <v/>
      </c>
      <c r="F939">
        <f>IF($F$1=0,0,IFERROR(VALUE(SUBSTITUTE(SUBSTITUTE(SUBSTITUTE(INDEX(貼り付け!$A$1:$BZ$3001,938,$F$1)&amp;"",",",""),"¥",""),"￥","")),0))</f>
        <v/>
      </c>
      <c r="G939">
        <f>IF(ISNUMBER(B939),YEAR(B939),"")</f>
        <v/>
      </c>
      <c r="H939">
        <f>IF(ISNUMBER(B939),MONTH(B939),"")</f>
        <v/>
      </c>
      <c r="I939">
        <f>IFERROR(IF($B$1=0,"",IF(ISNUMBER(INDEX(貼り付け!$A$1:$BZ$3001,938,$B$1)),"",SUBSTITUTE(SUBSTITUTE(SUBSTITUTE(SUBSTITUTE(TRIM(LEFT(INDEX(貼り付け!$A$1:$BZ$3001,938,$B$1)&amp;"",FIND(" ",TRIM(INDEX(貼り付け!$A$1:$BZ$3001,938,$B$1)&amp;"")&amp;" ")-1)),"/","-"),"年","-"),"月","-"),"日",""))),"")</f>
        <v/>
      </c>
      <c r="J939">
        <f>IFERROR(MID(I939,FIND("-",I939)+1,99),"")</f>
        <v/>
      </c>
    </row>
    <row r="940">
      <c r="B940">
        <f>IFERROR(IF($B$1=0,"",IF(INDEX(貼り付け!$A$1:$BZ$3001,939,$B$1)="","",IF(ISNUMBER(INDEX(貼り付け!$A$1:$BZ$3001,939,$B$1)),INT(INDEX(貼り付け!$A$1:$BZ$3001,939,$B$1)),DATE(VALUE(LEFT(I940,FIND("-",I940)-1)),VALUE(LEFT(J940,FIND("-",J940)-1)),VALUE(MID(J940,FIND("-",J940)+1,99)))))),"")</f>
        <v/>
      </c>
      <c r="C940">
        <f>IF($C$1=0,0,IFERROR(VALUE(SUBSTITUTE(SUBSTITUTE(SUBSTITUTE(INDEX(貼り付け!$A$1:$BZ$3001,939,$C$1)&amp;"",",",""),"¥",""),"￥","")),0))</f>
        <v/>
      </c>
      <c r="D940">
        <f>IF($D$1=0,0,IFERROR(VALUE(SUBSTITUTE(SUBSTITUTE(SUBSTITUTE(INDEX(貼り付け!$A$1:$BZ$3001,939,$D$1)&amp;"",",",""),"¥",""),"￥","")),0))</f>
        <v/>
      </c>
      <c r="E940">
        <f>IF($E$1=0,0,IFERROR(VALUE(SUBSTITUTE(SUBSTITUTE(SUBSTITUTE(INDEX(貼り付け!$A$1:$BZ$3001,939,$E$1)&amp;"",",",""),"¥",""),"￥","")),0))</f>
        <v/>
      </c>
      <c r="F940">
        <f>IF($F$1=0,0,IFERROR(VALUE(SUBSTITUTE(SUBSTITUTE(SUBSTITUTE(INDEX(貼り付け!$A$1:$BZ$3001,939,$F$1)&amp;"",",",""),"¥",""),"￥","")),0))</f>
        <v/>
      </c>
      <c r="G940">
        <f>IF(ISNUMBER(B940),YEAR(B940),"")</f>
        <v/>
      </c>
      <c r="H940">
        <f>IF(ISNUMBER(B940),MONTH(B940),"")</f>
        <v/>
      </c>
      <c r="I940">
        <f>IFERROR(IF($B$1=0,"",IF(ISNUMBER(INDEX(貼り付け!$A$1:$BZ$3001,939,$B$1)),"",SUBSTITUTE(SUBSTITUTE(SUBSTITUTE(SUBSTITUTE(TRIM(LEFT(INDEX(貼り付け!$A$1:$BZ$3001,939,$B$1)&amp;"",FIND(" ",TRIM(INDEX(貼り付け!$A$1:$BZ$3001,939,$B$1)&amp;"")&amp;" ")-1)),"/","-"),"年","-"),"月","-"),"日",""))),"")</f>
        <v/>
      </c>
      <c r="J940">
        <f>IFERROR(MID(I940,FIND("-",I940)+1,99),"")</f>
        <v/>
      </c>
    </row>
    <row r="941">
      <c r="B941">
        <f>IFERROR(IF($B$1=0,"",IF(INDEX(貼り付け!$A$1:$BZ$3001,940,$B$1)="","",IF(ISNUMBER(INDEX(貼り付け!$A$1:$BZ$3001,940,$B$1)),INT(INDEX(貼り付け!$A$1:$BZ$3001,940,$B$1)),DATE(VALUE(LEFT(I941,FIND("-",I941)-1)),VALUE(LEFT(J941,FIND("-",J941)-1)),VALUE(MID(J941,FIND("-",J941)+1,99)))))),"")</f>
        <v/>
      </c>
      <c r="C941">
        <f>IF($C$1=0,0,IFERROR(VALUE(SUBSTITUTE(SUBSTITUTE(SUBSTITUTE(INDEX(貼り付け!$A$1:$BZ$3001,940,$C$1)&amp;"",",",""),"¥",""),"￥","")),0))</f>
        <v/>
      </c>
      <c r="D941">
        <f>IF($D$1=0,0,IFERROR(VALUE(SUBSTITUTE(SUBSTITUTE(SUBSTITUTE(INDEX(貼り付け!$A$1:$BZ$3001,940,$D$1)&amp;"",",",""),"¥",""),"￥","")),0))</f>
        <v/>
      </c>
      <c r="E941">
        <f>IF($E$1=0,0,IFERROR(VALUE(SUBSTITUTE(SUBSTITUTE(SUBSTITUTE(INDEX(貼り付け!$A$1:$BZ$3001,940,$E$1)&amp;"",",",""),"¥",""),"￥","")),0))</f>
        <v/>
      </c>
      <c r="F941">
        <f>IF($F$1=0,0,IFERROR(VALUE(SUBSTITUTE(SUBSTITUTE(SUBSTITUTE(INDEX(貼り付け!$A$1:$BZ$3001,940,$F$1)&amp;"",",",""),"¥",""),"￥","")),0))</f>
        <v/>
      </c>
      <c r="G941">
        <f>IF(ISNUMBER(B941),YEAR(B941),"")</f>
        <v/>
      </c>
      <c r="H941">
        <f>IF(ISNUMBER(B941),MONTH(B941),"")</f>
        <v/>
      </c>
      <c r="I941">
        <f>IFERROR(IF($B$1=0,"",IF(ISNUMBER(INDEX(貼り付け!$A$1:$BZ$3001,940,$B$1)),"",SUBSTITUTE(SUBSTITUTE(SUBSTITUTE(SUBSTITUTE(TRIM(LEFT(INDEX(貼り付け!$A$1:$BZ$3001,940,$B$1)&amp;"",FIND(" ",TRIM(INDEX(貼り付け!$A$1:$BZ$3001,940,$B$1)&amp;"")&amp;" ")-1)),"/","-"),"年","-"),"月","-"),"日",""))),"")</f>
        <v/>
      </c>
      <c r="J941">
        <f>IFERROR(MID(I941,FIND("-",I941)+1,99),"")</f>
        <v/>
      </c>
    </row>
    <row r="942">
      <c r="B942">
        <f>IFERROR(IF($B$1=0,"",IF(INDEX(貼り付け!$A$1:$BZ$3001,941,$B$1)="","",IF(ISNUMBER(INDEX(貼り付け!$A$1:$BZ$3001,941,$B$1)),INT(INDEX(貼り付け!$A$1:$BZ$3001,941,$B$1)),DATE(VALUE(LEFT(I942,FIND("-",I942)-1)),VALUE(LEFT(J942,FIND("-",J942)-1)),VALUE(MID(J942,FIND("-",J942)+1,99)))))),"")</f>
        <v/>
      </c>
      <c r="C942">
        <f>IF($C$1=0,0,IFERROR(VALUE(SUBSTITUTE(SUBSTITUTE(SUBSTITUTE(INDEX(貼り付け!$A$1:$BZ$3001,941,$C$1)&amp;"",",",""),"¥",""),"￥","")),0))</f>
        <v/>
      </c>
      <c r="D942">
        <f>IF($D$1=0,0,IFERROR(VALUE(SUBSTITUTE(SUBSTITUTE(SUBSTITUTE(INDEX(貼り付け!$A$1:$BZ$3001,941,$D$1)&amp;"",",",""),"¥",""),"￥","")),0))</f>
        <v/>
      </c>
      <c r="E942">
        <f>IF($E$1=0,0,IFERROR(VALUE(SUBSTITUTE(SUBSTITUTE(SUBSTITUTE(INDEX(貼り付け!$A$1:$BZ$3001,941,$E$1)&amp;"",",",""),"¥",""),"￥","")),0))</f>
        <v/>
      </c>
      <c r="F942">
        <f>IF($F$1=0,0,IFERROR(VALUE(SUBSTITUTE(SUBSTITUTE(SUBSTITUTE(INDEX(貼り付け!$A$1:$BZ$3001,941,$F$1)&amp;"",",",""),"¥",""),"￥","")),0))</f>
        <v/>
      </c>
      <c r="G942">
        <f>IF(ISNUMBER(B942),YEAR(B942),"")</f>
        <v/>
      </c>
      <c r="H942">
        <f>IF(ISNUMBER(B942),MONTH(B942),"")</f>
        <v/>
      </c>
      <c r="I942">
        <f>IFERROR(IF($B$1=0,"",IF(ISNUMBER(INDEX(貼り付け!$A$1:$BZ$3001,941,$B$1)),"",SUBSTITUTE(SUBSTITUTE(SUBSTITUTE(SUBSTITUTE(TRIM(LEFT(INDEX(貼り付け!$A$1:$BZ$3001,941,$B$1)&amp;"",FIND(" ",TRIM(INDEX(貼り付け!$A$1:$BZ$3001,941,$B$1)&amp;"")&amp;" ")-1)),"/","-"),"年","-"),"月","-"),"日",""))),"")</f>
        <v/>
      </c>
      <c r="J942">
        <f>IFERROR(MID(I942,FIND("-",I942)+1,99),"")</f>
        <v/>
      </c>
    </row>
    <row r="943">
      <c r="B943">
        <f>IFERROR(IF($B$1=0,"",IF(INDEX(貼り付け!$A$1:$BZ$3001,942,$B$1)="","",IF(ISNUMBER(INDEX(貼り付け!$A$1:$BZ$3001,942,$B$1)),INT(INDEX(貼り付け!$A$1:$BZ$3001,942,$B$1)),DATE(VALUE(LEFT(I943,FIND("-",I943)-1)),VALUE(LEFT(J943,FIND("-",J943)-1)),VALUE(MID(J943,FIND("-",J943)+1,99)))))),"")</f>
        <v/>
      </c>
      <c r="C943">
        <f>IF($C$1=0,0,IFERROR(VALUE(SUBSTITUTE(SUBSTITUTE(SUBSTITUTE(INDEX(貼り付け!$A$1:$BZ$3001,942,$C$1)&amp;"",",",""),"¥",""),"￥","")),0))</f>
        <v/>
      </c>
      <c r="D943">
        <f>IF($D$1=0,0,IFERROR(VALUE(SUBSTITUTE(SUBSTITUTE(SUBSTITUTE(INDEX(貼り付け!$A$1:$BZ$3001,942,$D$1)&amp;"",",",""),"¥",""),"￥","")),0))</f>
        <v/>
      </c>
      <c r="E943">
        <f>IF($E$1=0,0,IFERROR(VALUE(SUBSTITUTE(SUBSTITUTE(SUBSTITUTE(INDEX(貼り付け!$A$1:$BZ$3001,942,$E$1)&amp;"",",",""),"¥",""),"￥","")),0))</f>
        <v/>
      </c>
      <c r="F943">
        <f>IF($F$1=0,0,IFERROR(VALUE(SUBSTITUTE(SUBSTITUTE(SUBSTITUTE(INDEX(貼り付け!$A$1:$BZ$3001,942,$F$1)&amp;"",",",""),"¥",""),"￥","")),0))</f>
        <v/>
      </c>
      <c r="G943">
        <f>IF(ISNUMBER(B943),YEAR(B943),"")</f>
        <v/>
      </c>
      <c r="H943">
        <f>IF(ISNUMBER(B943),MONTH(B943),"")</f>
        <v/>
      </c>
      <c r="I943">
        <f>IFERROR(IF($B$1=0,"",IF(ISNUMBER(INDEX(貼り付け!$A$1:$BZ$3001,942,$B$1)),"",SUBSTITUTE(SUBSTITUTE(SUBSTITUTE(SUBSTITUTE(TRIM(LEFT(INDEX(貼り付け!$A$1:$BZ$3001,942,$B$1)&amp;"",FIND(" ",TRIM(INDEX(貼り付け!$A$1:$BZ$3001,942,$B$1)&amp;"")&amp;" ")-1)),"/","-"),"年","-"),"月","-"),"日",""))),"")</f>
        <v/>
      </c>
      <c r="J943">
        <f>IFERROR(MID(I943,FIND("-",I943)+1,99),"")</f>
        <v/>
      </c>
    </row>
    <row r="944">
      <c r="B944">
        <f>IFERROR(IF($B$1=0,"",IF(INDEX(貼り付け!$A$1:$BZ$3001,943,$B$1)="","",IF(ISNUMBER(INDEX(貼り付け!$A$1:$BZ$3001,943,$B$1)),INT(INDEX(貼り付け!$A$1:$BZ$3001,943,$B$1)),DATE(VALUE(LEFT(I944,FIND("-",I944)-1)),VALUE(LEFT(J944,FIND("-",J944)-1)),VALUE(MID(J944,FIND("-",J944)+1,99)))))),"")</f>
        <v/>
      </c>
      <c r="C944">
        <f>IF($C$1=0,0,IFERROR(VALUE(SUBSTITUTE(SUBSTITUTE(SUBSTITUTE(INDEX(貼り付け!$A$1:$BZ$3001,943,$C$1)&amp;"",",",""),"¥",""),"￥","")),0))</f>
        <v/>
      </c>
      <c r="D944">
        <f>IF($D$1=0,0,IFERROR(VALUE(SUBSTITUTE(SUBSTITUTE(SUBSTITUTE(INDEX(貼り付け!$A$1:$BZ$3001,943,$D$1)&amp;"",",",""),"¥",""),"￥","")),0))</f>
        <v/>
      </c>
      <c r="E944">
        <f>IF($E$1=0,0,IFERROR(VALUE(SUBSTITUTE(SUBSTITUTE(SUBSTITUTE(INDEX(貼り付け!$A$1:$BZ$3001,943,$E$1)&amp;"",",",""),"¥",""),"￥","")),0))</f>
        <v/>
      </c>
      <c r="F944">
        <f>IF($F$1=0,0,IFERROR(VALUE(SUBSTITUTE(SUBSTITUTE(SUBSTITUTE(INDEX(貼り付け!$A$1:$BZ$3001,943,$F$1)&amp;"",",",""),"¥",""),"￥","")),0))</f>
        <v/>
      </c>
      <c r="G944">
        <f>IF(ISNUMBER(B944),YEAR(B944),"")</f>
        <v/>
      </c>
      <c r="H944">
        <f>IF(ISNUMBER(B944),MONTH(B944),"")</f>
        <v/>
      </c>
      <c r="I944">
        <f>IFERROR(IF($B$1=0,"",IF(ISNUMBER(INDEX(貼り付け!$A$1:$BZ$3001,943,$B$1)),"",SUBSTITUTE(SUBSTITUTE(SUBSTITUTE(SUBSTITUTE(TRIM(LEFT(INDEX(貼り付け!$A$1:$BZ$3001,943,$B$1)&amp;"",FIND(" ",TRIM(INDEX(貼り付け!$A$1:$BZ$3001,943,$B$1)&amp;"")&amp;" ")-1)),"/","-"),"年","-"),"月","-"),"日",""))),"")</f>
        <v/>
      </c>
      <c r="J944">
        <f>IFERROR(MID(I944,FIND("-",I944)+1,99),"")</f>
        <v/>
      </c>
    </row>
    <row r="945">
      <c r="B945">
        <f>IFERROR(IF($B$1=0,"",IF(INDEX(貼り付け!$A$1:$BZ$3001,944,$B$1)="","",IF(ISNUMBER(INDEX(貼り付け!$A$1:$BZ$3001,944,$B$1)),INT(INDEX(貼り付け!$A$1:$BZ$3001,944,$B$1)),DATE(VALUE(LEFT(I945,FIND("-",I945)-1)),VALUE(LEFT(J945,FIND("-",J945)-1)),VALUE(MID(J945,FIND("-",J945)+1,99)))))),"")</f>
        <v/>
      </c>
      <c r="C945">
        <f>IF($C$1=0,0,IFERROR(VALUE(SUBSTITUTE(SUBSTITUTE(SUBSTITUTE(INDEX(貼り付け!$A$1:$BZ$3001,944,$C$1)&amp;"",",",""),"¥",""),"￥","")),0))</f>
        <v/>
      </c>
      <c r="D945">
        <f>IF($D$1=0,0,IFERROR(VALUE(SUBSTITUTE(SUBSTITUTE(SUBSTITUTE(INDEX(貼り付け!$A$1:$BZ$3001,944,$D$1)&amp;"",",",""),"¥",""),"￥","")),0))</f>
        <v/>
      </c>
      <c r="E945">
        <f>IF($E$1=0,0,IFERROR(VALUE(SUBSTITUTE(SUBSTITUTE(SUBSTITUTE(INDEX(貼り付け!$A$1:$BZ$3001,944,$E$1)&amp;"",",",""),"¥",""),"￥","")),0))</f>
        <v/>
      </c>
      <c r="F945">
        <f>IF($F$1=0,0,IFERROR(VALUE(SUBSTITUTE(SUBSTITUTE(SUBSTITUTE(INDEX(貼り付け!$A$1:$BZ$3001,944,$F$1)&amp;"",",",""),"¥",""),"￥","")),0))</f>
        <v/>
      </c>
      <c r="G945">
        <f>IF(ISNUMBER(B945),YEAR(B945),"")</f>
        <v/>
      </c>
      <c r="H945">
        <f>IF(ISNUMBER(B945),MONTH(B945),"")</f>
        <v/>
      </c>
      <c r="I945">
        <f>IFERROR(IF($B$1=0,"",IF(ISNUMBER(INDEX(貼り付け!$A$1:$BZ$3001,944,$B$1)),"",SUBSTITUTE(SUBSTITUTE(SUBSTITUTE(SUBSTITUTE(TRIM(LEFT(INDEX(貼り付け!$A$1:$BZ$3001,944,$B$1)&amp;"",FIND(" ",TRIM(INDEX(貼り付け!$A$1:$BZ$3001,944,$B$1)&amp;"")&amp;" ")-1)),"/","-"),"年","-"),"月","-"),"日",""))),"")</f>
        <v/>
      </c>
      <c r="J945">
        <f>IFERROR(MID(I945,FIND("-",I945)+1,99),"")</f>
        <v/>
      </c>
    </row>
    <row r="946">
      <c r="B946">
        <f>IFERROR(IF($B$1=0,"",IF(INDEX(貼り付け!$A$1:$BZ$3001,945,$B$1)="","",IF(ISNUMBER(INDEX(貼り付け!$A$1:$BZ$3001,945,$B$1)),INT(INDEX(貼り付け!$A$1:$BZ$3001,945,$B$1)),DATE(VALUE(LEFT(I946,FIND("-",I946)-1)),VALUE(LEFT(J946,FIND("-",J946)-1)),VALUE(MID(J946,FIND("-",J946)+1,99)))))),"")</f>
        <v/>
      </c>
      <c r="C946">
        <f>IF($C$1=0,0,IFERROR(VALUE(SUBSTITUTE(SUBSTITUTE(SUBSTITUTE(INDEX(貼り付け!$A$1:$BZ$3001,945,$C$1)&amp;"",",",""),"¥",""),"￥","")),0))</f>
        <v/>
      </c>
      <c r="D946">
        <f>IF($D$1=0,0,IFERROR(VALUE(SUBSTITUTE(SUBSTITUTE(SUBSTITUTE(INDEX(貼り付け!$A$1:$BZ$3001,945,$D$1)&amp;"",",",""),"¥",""),"￥","")),0))</f>
        <v/>
      </c>
      <c r="E946">
        <f>IF($E$1=0,0,IFERROR(VALUE(SUBSTITUTE(SUBSTITUTE(SUBSTITUTE(INDEX(貼り付け!$A$1:$BZ$3001,945,$E$1)&amp;"",",",""),"¥",""),"￥","")),0))</f>
        <v/>
      </c>
      <c r="F946">
        <f>IF($F$1=0,0,IFERROR(VALUE(SUBSTITUTE(SUBSTITUTE(SUBSTITUTE(INDEX(貼り付け!$A$1:$BZ$3001,945,$F$1)&amp;"",",",""),"¥",""),"￥","")),0))</f>
        <v/>
      </c>
      <c r="G946">
        <f>IF(ISNUMBER(B946),YEAR(B946),"")</f>
        <v/>
      </c>
      <c r="H946">
        <f>IF(ISNUMBER(B946),MONTH(B946),"")</f>
        <v/>
      </c>
      <c r="I946">
        <f>IFERROR(IF($B$1=0,"",IF(ISNUMBER(INDEX(貼り付け!$A$1:$BZ$3001,945,$B$1)),"",SUBSTITUTE(SUBSTITUTE(SUBSTITUTE(SUBSTITUTE(TRIM(LEFT(INDEX(貼り付け!$A$1:$BZ$3001,945,$B$1)&amp;"",FIND(" ",TRIM(INDEX(貼り付け!$A$1:$BZ$3001,945,$B$1)&amp;"")&amp;" ")-1)),"/","-"),"年","-"),"月","-"),"日",""))),"")</f>
        <v/>
      </c>
      <c r="J946">
        <f>IFERROR(MID(I946,FIND("-",I946)+1,99),"")</f>
        <v/>
      </c>
    </row>
    <row r="947">
      <c r="B947">
        <f>IFERROR(IF($B$1=0,"",IF(INDEX(貼り付け!$A$1:$BZ$3001,946,$B$1)="","",IF(ISNUMBER(INDEX(貼り付け!$A$1:$BZ$3001,946,$B$1)),INT(INDEX(貼り付け!$A$1:$BZ$3001,946,$B$1)),DATE(VALUE(LEFT(I947,FIND("-",I947)-1)),VALUE(LEFT(J947,FIND("-",J947)-1)),VALUE(MID(J947,FIND("-",J947)+1,99)))))),"")</f>
        <v/>
      </c>
      <c r="C947">
        <f>IF($C$1=0,0,IFERROR(VALUE(SUBSTITUTE(SUBSTITUTE(SUBSTITUTE(INDEX(貼り付け!$A$1:$BZ$3001,946,$C$1)&amp;"",",",""),"¥",""),"￥","")),0))</f>
        <v/>
      </c>
      <c r="D947">
        <f>IF($D$1=0,0,IFERROR(VALUE(SUBSTITUTE(SUBSTITUTE(SUBSTITUTE(INDEX(貼り付け!$A$1:$BZ$3001,946,$D$1)&amp;"",",",""),"¥",""),"￥","")),0))</f>
        <v/>
      </c>
      <c r="E947">
        <f>IF($E$1=0,0,IFERROR(VALUE(SUBSTITUTE(SUBSTITUTE(SUBSTITUTE(INDEX(貼り付け!$A$1:$BZ$3001,946,$E$1)&amp;"",",",""),"¥",""),"￥","")),0))</f>
        <v/>
      </c>
      <c r="F947">
        <f>IF($F$1=0,0,IFERROR(VALUE(SUBSTITUTE(SUBSTITUTE(SUBSTITUTE(INDEX(貼り付け!$A$1:$BZ$3001,946,$F$1)&amp;"",",",""),"¥",""),"￥","")),0))</f>
        <v/>
      </c>
      <c r="G947">
        <f>IF(ISNUMBER(B947),YEAR(B947),"")</f>
        <v/>
      </c>
      <c r="H947">
        <f>IF(ISNUMBER(B947),MONTH(B947),"")</f>
        <v/>
      </c>
      <c r="I947">
        <f>IFERROR(IF($B$1=0,"",IF(ISNUMBER(INDEX(貼り付け!$A$1:$BZ$3001,946,$B$1)),"",SUBSTITUTE(SUBSTITUTE(SUBSTITUTE(SUBSTITUTE(TRIM(LEFT(INDEX(貼り付け!$A$1:$BZ$3001,946,$B$1)&amp;"",FIND(" ",TRIM(INDEX(貼り付け!$A$1:$BZ$3001,946,$B$1)&amp;"")&amp;" ")-1)),"/","-"),"年","-"),"月","-"),"日",""))),"")</f>
        <v/>
      </c>
      <c r="J947">
        <f>IFERROR(MID(I947,FIND("-",I947)+1,99),"")</f>
        <v/>
      </c>
    </row>
    <row r="948">
      <c r="B948">
        <f>IFERROR(IF($B$1=0,"",IF(INDEX(貼り付け!$A$1:$BZ$3001,947,$B$1)="","",IF(ISNUMBER(INDEX(貼り付け!$A$1:$BZ$3001,947,$B$1)),INT(INDEX(貼り付け!$A$1:$BZ$3001,947,$B$1)),DATE(VALUE(LEFT(I948,FIND("-",I948)-1)),VALUE(LEFT(J948,FIND("-",J948)-1)),VALUE(MID(J948,FIND("-",J948)+1,99)))))),"")</f>
        <v/>
      </c>
      <c r="C948">
        <f>IF($C$1=0,0,IFERROR(VALUE(SUBSTITUTE(SUBSTITUTE(SUBSTITUTE(INDEX(貼り付け!$A$1:$BZ$3001,947,$C$1)&amp;"",",",""),"¥",""),"￥","")),0))</f>
        <v/>
      </c>
      <c r="D948">
        <f>IF($D$1=0,0,IFERROR(VALUE(SUBSTITUTE(SUBSTITUTE(SUBSTITUTE(INDEX(貼り付け!$A$1:$BZ$3001,947,$D$1)&amp;"",",",""),"¥",""),"￥","")),0))</f>
        <v/>
      </c>
      <c r="E948">
        <f>IF($E$1=0,0,IFERROR(VALUE(SUBSTITUTE(SUBSTITUTE(SUBSTITUTE(INDEX(貼り付け!$A$1:$BZ$3001,947,$E$1)&amp;"",",",""),"¥",""),"￥","")),0))</f>
        <v/>
      </c>
      <c r="F948">
        <f>IF($F$1=0,0,IFERROR(VALUE(SUBSTITUTE(SUBSTITUTE(SUBSTITUTE(INDEX(貼り付け!$A$1:$BZ$3001,947,$F$1)&amp;"",",",""),"¥",""),"￥","")),0))</f>
        <v/>
      </c>
      <c r="G948">
        <f>IF(ISNUMBER(B948),YEAR(B948),"")</f>
        <v/>
      </c>
      <c r="H948">
        <f>IF(ISNUMBER(B948),MONTH(B948),"")</f>
        <v/>
      </c>
      <c r="I948">
        <f>IFERROR(IF($B$1=0,"",IF(ISNUMBER(INDEX(貼り付け!$A$1:$BZ$3001,947,$B$1)),"",SUBSTITUTE(SUBSTITUTE(SUBSTITUTE(SUBSTITUTE(TRIM(LEFT(INDEX(貼り付け!$A$1:$BZ$3001,947,$B$1)&amp;"",FIND(" ",TRIM(INDEX(貼り付け!$A$1:$BZ$3001,947,$B$1)&amp;"")&amp;" ")-1)),"/","-"),"年","-"),"月","-"),"日",""))),"")</f>
        <v/>
      </c>
      <c r="J948">
        <f>IFERROR(MID(I948,FIND("-",I948)+1,99),"")</f>
        <v/>
      </c>
    </row>
    <row r="949">
      <c r="B949">
        <f>IFERROR(IF($B$1=0,"",IF(INDEX(貼り付け!$A$1:$BZ$3001,948,$B$1)="","",IF(ISNUMBER(INDEX(貼り付け!$A$1:$BZ$3001,948,$B$1)),INT(INDEX(貼り付け!$A$1:$BZ$3001,948,$B$1)),DATE(VALUE(LEFT(I949,FIND("-",I949)-1)),VALUE(LEFT(J949,FIND("-",J949)-1)),VALUE(MID(J949,FIND("-",J949)+1,99)))))),"")</f>
        <v/>
      </c>
      <c r="C949">
        <f>IF($C$1=0,0,IFERROR(VALUE(SUBSTITUTE(SUBSTITUTE(SUBSTITUTE(INDEX(貼り付け!$A$1:$BZ$3001,948,$C$1)&amp;"",",",""),"¥",""),"￥","")),0))</f>
        <v/>
      </c>
      <c r="D949">
        <f>IF($D$1=0,0,IFERROR(VALUE(SUBSTITUTE(SUBSTITUTE(SUBSTITUTE(INDEX(貼り付け!$A$1:$BZ$3001,948,$D$1)&amp;"",",",""),"¥",""),"￥","")),0))</f>
        <v/>
      </c>
      <c r="E949">
        <f>IF($E$1=0,0,IFERROR(VALUE(SUBSTITUTE(SUBSTITUTE(SUBSTITUTE(INDEX(貼り付け!$A$1:$BZ$3001,948,$E$1)&amp;"",",",""),"¥",""),"￥","")),0))</f>
        <v/>
      </c>
      <c r="F949">
        <f>IF($F$1=0,0,IFERROR(VALUE(SUBSTITUTE(SUBSTITUTE(SUBSTITUTE(INDEX(貼り付け!$A$1:$BZ$3001,948,$F$1)&amp;"",",",""),"¥",""),"￥","")),0))</f>
        <v/>
      </c>
      <c r="G949">
        <f>IF(ISNUMBER(B949),YEAR(B949),"")</f>
        <v/>
      </c>
      <c r="H949">
        <f>IF(ISNUMBER(B949),MONTH(B949),"")</f>
        <v/>
      </c>
      <c r="I949">
        <f>IFERROR(IF($B$1=0,"",IF(ISNUMBER(INDEX(貼り付け!$A$1:$BZ$3001,948,$B$1)),"",SUBSTITUTE(SUBSTITUTE(SUBSTITUTE(SUBSTITUTE(TRIM(LEFT(INDEX(貼り付け!$A$1:$BZ$3001,948,$B$1)&amp;"",FIND(" ",TRIM(INDEX(貼り付け!$A$1:$BZ$3001,948,$B$1)&amp;"")&amp;" ")-1)),"/","-"),"年","-"),"月","-"),"日",""))),"")</f>
        <v/>
      </c>
      <c r="J949">
        <f>IFERROR(MID(I949,FIND("-",I949)+1,99),"")</f>
        <v/>
      </c>
    </row>
    <row r="950">
      <c r="B950">
        <f>IFERROR(IF($B$1=0,"",IF(INDEX(貼り付け!$A$1:$BZ$3001,949,$B$1)="","",IF(ISNUMBER(INDEX(貼り付け!$A$1:$BZ$3001,949,$B$1)),INT(INDEX(貼り付け!$A$1:$BZ$3001,949,$B$1)),DATE(VALUE(LEFT(I950,FIND("-",I950)-1)),VALUE(LEFT(J950,FIND("-",J950)-1)),VALUE(MID(J950,FIND("-",J950)+1,99)))))),"")</f>
        <v/>
      </c>
      <c r="C950">
        <f>IF($C$1=0,0,IFERROR(VALUE(SUBSTITUTE(SUBSTITUTE(SUBSTITUTE(INDEX(貼り付け!$A$1:$BZ$3001,949,$C$1)&amp;"",",",""),"¥",""),"￥","")),0))</f>
        <v/>
      </c>
      <c r="D950">
        <f>IF($D$1=0,0,IFERROR(VALUE(SUBSTITUTE(SUBSTITUTE(SUBSTITUTE(INDEX(貼り付け!$A$1:$BZ$3001,949,$D$1)&amp;"",",",""),"¥",""),"￥","")),0))</f>
        <v/>
      </c>
      <c r="E950">
        <f>IF($E$1=0,0,IFERROR(VALUE(SUBSTITUTE(SUBSTITUTE(SUBSTITUTE(INDEX(貼り付け!$A$1:$BZ$3001,949,$E$1)&amp;"",",",""),"¥",""),"￥","")),0))</f>
        <v/>
      </c>
      <c r="F950">
        <f>IF($F$1=0,0,IFERROR(VALUE(SUBSTITUTE(SUBSTITUTE(SUBSTITUTE(INDEX(貼り付け!$A$1:$BZ$3001,949,$F$1)&amp;"",",",""),"¥",""),"￥","")),0))</f>
        <v/>
      </c>
      <c r="G950">
        <f>IF(ISNUMBER(B950),YEAR(B950),"")</f>
        <v/>
      </c>
      <c r="H950">
        <f>IF(ISNUMBER(B950),MONTH(B950),"")</f>
        <v/>
      </c>
      <c r="I950">
        <f>IFERROR(IF($B$1=0,"",IF(ISNUMBER(INDEX(貼り付け!$A$1:$BZ$3001,949,$B$1)),"",SUBSTITUTE(SUBSTITUTE(SUBSTITUTE(SUBSTITUTE(TRIM(LEFT(INDEX(貼り付け!$A$1:$BZ$3001,949,$B$1)&amp;"",FIND(" ",TRIM(INDEX(貼り付け!$A$1:$BZ$3001,949,$B$1)&amp;"")&amp;" ")-1)),"/","-"),"年","-"),"月","-"),"日",""))),"")</f>
        <v/>
      </c>
      <c r="J950">
        <f>IFERROR(MID(I950,FIND("-",I950)+1,99),"")</f>
        <v/>
      </c>
    </row>
    <row r="951">
      <c r="B951">
        <f>IFERROR(IF($B$1=0,"",IF(INDEX(貼り付け!$A$1:$BZ$3001,950,$B$1)="","",IF(ISNUMBER(INDEX(貼り付け!$A$1:$BZ$3001,950,$B$1)),INT(INDEX(貼り付け!$A$1:$BZ$3001,950,$B$1)),DATE(VALUE(LEFT(I951,FIND("-",I951)-1)),VALUE(LEFT(J951,FIND("-",J951)-1)),VALUE(MID(J951,FIND("-",J951)+1,99)))))),"")</f>
        <v/>
      </c>
      <c r="C951">
        <f>IF($C$1=0,0,IFERROR(VALUE(SUBSTITUTE(SUBSTITUTE(SUBSTITUTE(INDEX(貼り付け!$A$1:$BZ$3001,950,$C$1)&amp;"",",",""),"¥",""),"￥","")),0))</f>
        <v/>
      </c>
      <c r="D951">
        <f>IF($D$1=0,0,IFERROR(VALUE(SUBSTITUTE(SUBSTITUTE(SUBSTITUTE(INDEX(貼り付け!$A$1:$BZ$3001,950,$D$1)&amp;"",",",""),"¥",""),"￥","")),0))</f>
        <v/>
      </c>
      <c r="E951">
        <f>IF($E$1=0,0,IFERROR(VALUE(SUBSTITUTE(SUBSTITUTE(SUBSTITUTE(INDEX(貼り付け!$A$1:$BZ$3001,950,$E$1)&amp;"",",",""),"¥",""),"￥","")),0))</f>
        <v/>
      </c>
      <c r="F951">
        <f>IF($F$1=0,0,IFERROR(VALUE(SUBSTITUTE(SUBSTITUTE(SUBSTITUTE(INDEX(貼り付け!$A$1:$BZ$3001,950,$F$1)&amp;"",",",""),"¥",""),"￥","")),0))</f>
        <v/>
      </c>
      <c r="G951">
        <f>IF(ISNUMBER(B951),YEAR(B951),"")</f>
        <v/>
      </c>
      <c r="H951">
        <f>IF(ISNUMBER(B951),MONTH(B951),"")</f>
        <v/>
      </c>
      <c r="I951">
        <f>IFERROR(IF($B$1=0,"",IF(ISNUMBER(INDEX(貼り付け!$A$1:$BZ$3001,950,$B$1)),"",SUBSTITUTE(SUBSTITUTE(SUBSTITUTE(SUBSTITUTE(TRIM(LEFT(INDEX(貼り付け!$A$1:$BZ$3001,950,$B$1)&amp;"",FIND(" ",TRIM(INDEX(貼り付け!$A$1:$BZ$3001,950,$B$1)&amp;"")&amp;" ")-1)),"/","-"),"年","-"),"月","-"),"日",""))),"")</f>
        <v/>
      </c>
      <c r="J951">
        <f>IFERROR(MID(I951,FIND("-",I951)+1,99),"")</f>
        <v/>
      </c>
    </row>
    <row r="952">
      <c r="B952">
        <f>IFERROR(IF($B$1=0,"",IF(INDEX(貼り付け!$A$1:$BZ$3001,951,$B$1)="","",IF(ISNUMBER(INDEX(貼り付け!$A$1:$BZ$3001,951,$B$1)),INT(INDEX(貼り付け!$A$1:$BZ$3001,951,$B$1)),DATE(VALUE(LEFT(I952,FIND("-",I952)-1)),VALUE(LEFT(J952,FIND("-",J952)-1)),VALUE(MID(J952,FIND("-",J952)+1,99)))))),"")</f>
        <v/>
      </c>
      <c r="C952">
        <f>IF($C$1=0,0,IFERROR(VALUE(SUBSTITUTE(SUBSTITUTE(SUBSTITUTE(INDEX(貼り付け!$A$1:$BZ$3001,951,$C$1)&amp;"",",",""),"¥",""),"￥","")),0))</f>
        <v/>
      </c>
      <c r="D952">
        <f>IF($D$1=0,0,IFERROR(VALUE(SUBSTITUTE(SUBSTITUTE(SUBSTITUTE(INDEX(貼り付け!$A$1:$BZ$3001,951,$D$1)&amp;"",",",""),"¥",""),"￥","")),0))</f>
        <v/>
      </c>
      <c r="E952">
        <f>IF($E$1=0,0,IFERROR(VALUE(SUBSTITUTE(SUBSTITUTE(SUBSTITUTE(INDEX(貼り付け!$A$1:$BZ$3001,951,$E$1)&amp;"",",",""),"¥",""),"￥","")),0))</f>
        <v/>
      </c>
      <c r="F952">
        <f>IF($F$1=0,0,IFERROR(VALUE(SUBSTITUTE(SUBSTITUTE(SUBSTITUTE(INDEX(貼り付け!$A$1:$BZ$3001,951,$F$1)&amp;"",",",""),"¥",""),"￥","")),0))</f>
        <v/>
      </c>
      <c r="G952">
        <f>IF(ISNUMBER(B952),YEAR(B952),"")</f>
        <v/>
      </c>
      <c r="H952">
        <f>IF(ISNUMBER(B952),MONTH(B952),"")</f>
        <v/>
      </c>
      <c r="I952">
        <f>IFERROR(IF($B$1=0,"",IF(ISNUMBER(INDEX(貼り付け!$A$1:$BZ$3001,951,$B$1)),"",SUBSTITUTE(SUBSTITUTE(SUBSTITUTE(SUBSTITUTE(TRIM(LEFT(INDEX(貼り付け!$A$1:$BZ$3001,951,$B$1)&amp;"",FIND(" ",TRIM(INDEX(貼り付け!$A$1:$BZ$3001,951,$B$1)&amp;"")&amp;" ")-1)),"/","-"),"年","-"),"月","-"),"日",""))),"")</f>
        <v/>
      </c>
      <c r="J952">
        <f>IFERROR(MID(I952,FIND("-",I952)+1,99),"")</f>
        <v/>
      </c>
    </row>
    <row r="953">
      <c r="B953">
        <f>IFERROR(IF($B$1=0,"",IF(INDEX(貼り付け!$A$1:$BZ$3001,952,$B$1)="","",IF(ISNUMBER(INDEX(貼り付け!$A$1:$BZ$3001,952,$B$1)),INT(INDEX(貼り付け!$A$1:$BZ$3001,952,$B$1)),DATE(VALUE(LEFT(I953,FIND("-",I953)-1)),VALUE(LEFT(J953,FIND("-",J953)-1)),VALUE(MID(J953,FIND("-",J953)+1,99)))))),"")</f>
        <v/>
      </c>
      <c r="C953">
        <f>IF($C$1=0,0,IFERROR(VALUE(SUBSTITUTE(SUBSTITUTE(SUBSTITUTE(INDEX(貼り付け!$A$1:$BZ$3001,952,$C$1)&amp;"",",",""),"¥",""),"￥","")),0))</f>
        <v/>
      </c>
      <c r="D953">
        <f>IF($D$1=0,0,IFERROR(VALUE(SUBSTITUTE(SUBSTITUTE(SUBSTITUTE(INDEX(貼り付け!$A$1:$BZ$3001,952,$D$1)&amp;"",",",""),"¥",""),"￥","")),0))</f>
        <v/>
      </c>
      <c r="E953">
        <f>IF($E$1=0,0,IFERROR(VALUE(SUBSTITUTE(SUBSTITUTE(SUBSTITUTE(INDEX(貼り付け!$A$1:$BZ$3001,952,$E$1)&amp;"",",",""),"¥",""),"￥","")),0))</f>
        <v/>
      </c>
      <c r="F953">
        <f>IF($F$1=0,0,IFERROR(VALUE(SUBSTITUTE(SUBSTITUTE(SUBSTITUTE(INDEX(貼り付け!$A$1:$BZ$3001,952,$F$1)&amp;"",",",""),"¥",""),"￥","")),0))</f>
        <v/>
      </c>
      <c r="G953">
        <f>IF(ISNUMBER(B953),YEAR(B953),"")</f>
        <v/>
      </c>
      <c r="H953">
        <f>IF(ISNUMBER(B953),MONTH(B953),"")</f>
        <v/>
      </c>
      <c r="I953">
        <f>IFERROR(IF($B$1=0,"",IF(ISNUMBER(INDEX(貼り付け!$A$1:$BZ$3001,952,$B$1)),"",SUBSTITUTE(SUBSTITUTE(SUBSTITUTE(SUBSTITUTE(TRIM(LEFT(INDEX(貼り付け!$A$1:$BZ$3001,952,$B$1)&amp;"",FIND(" ",TRIM(INDEX(貼り付け!$A$1:$BZ$3001,952,$B$1)&amp;"")&amp;" ")-1)),"/","-"),"年","-"),"月","-"),"日",""))),"")</f>
        <v/>
      </c>
      <c r="J953">
        <f>IFERROR(MID(I953,FIND("-",I953)+1,99),"")</f>
        <v/>
      </c>
    </row>
    <row r="954">
      <c r="B954">
        <f>IFERROR(IF($B$1=0,"",IF(INDEX(貼り付け!$A$1:$BZ$3001,953,$B$1)="","",IF(ISNUMBER(INDEX(貼り付け!$A$1:$BZ$3001,953,$B$1)),INT(INDEX(貼り付け!$A$1:$BZ$3001,953,$B$1)),DATE(VALUE(LEFT(I954,FIND("-",I954)-1)),VALUE(LEFT(J954,FIND("-",J954)-1)),VALUE(MID(J954,FIND("-",J954)+1,99)))))),"")</f>
        <v/>
      </c>
      <c r="C954">
        <f>IF($C$1=0,0,IFERROR(VALUE(SUBSTITUTE(SUBSTITUTE(SUBSTITUTE(INDEX(貼り付け!$A$1:$BZ$3001,953,$C$1)&amp;"",",",""),"¥",""),"￥","")),0))</f>
        <v/>
      </c>
      <c r="D954">
        <f>IF($D$1=0,0,IFERROR(VALUE(SUBSTITUTE(SUBSTITUTE(SUBSTITUTE(INDEX(貼り付け!$A$1:$BZ$3001,953,$D$1)&amp;"",",",""),"¥",""),"￥","")),0))</f>
        <v/>
      </c>
      <c r="E954">
        <f>IF($E$1=0,0,IFERROR(VALUE(SUBSTITUTE(SUBSTITUTE(SUBSTITUTE(INDEX(貼り付け!$A$1:$BZ$3001,953,$E$1)&amp;"",",",""),"¥",""),"￥","")),0))</f>
        <v/>
      </c>
      <c r="F954">
        <f>IF($F$1=0,0,IFERROR(VALUE(SUBSTITUTE(SUBSTITUTE(SUBSTITUTE(INDEX(貼り付け!$A$1:$BZ$3001,953,$F$1)&amp;"",",",""),"¥",""),"￥","")),0))</f>
        <v/>
      </c>
      <c r="G954">
        <f>IF(ISNUMBER(B954),YEAR(B954),"")</f>
        <v/>
      </c>
      <c r="H954">
        <f>IF(ISNUMBER(B954),MONTH(B954),"")</f>
        <v/>
      </c>
      <c r="I954">
        <f>IFERROR(IF($B$1=0,"",IF(ISNUMBER(INDEX(貼り付け!$A$1:$BZ$3001,953,$B$1)),"",SUBSTITUTE(SUBSTITUTE(SUBSTITUTE(SUBSTITUTE(TRIM(LEFT(INDEX(貼り付け!$A$1:$BZ$3001,953,$B$1)&amp;"",FIND(" ",TRIM(INDEX(貼り付け!$A$1:$BZ$3001,953,$B$1)&amp;"")&amp;" ")-1)),"/","-"),"年","-"),"月","-"),"日",""))),"")</f>
        <v/>
      </c>
      <c r="J954">
        <f>IFERROR(MID(I954,FIND("-",I954)+1,99),"")</f>
        <v/>
      </c>
    </row>
    <row r="955">
      <c r="B955">
        <f>IFERROR(IF($B$1=0,"",IF(INDEX(貼り付け!$A$1:$BZ$3001,954,$B$1)="","",IF(ISNUMBER(INDEX(貼り付け!$A$1:$BZ$3001,954,$B$1)),INT(INDEX(貼り付け!$A$1:$BZ$3001,954,$B$1)),DATE(VALUE(LEFT(I955,FIND("-",I955)-1)),VALUE(LEFT(J955,FIND("-",J955)-1)),VALUE(MID(J955,FIND("-",J955)+1,99)))))),"")</f>
        <v/>
      </c>
      <c r="C955">
        <f>IF($C$1=0,0,IFERROR(VALUE(SUBSTITUTE(SUBSTITUTE(SUBSTITUTE(INDEX(貼り付け!$A$1:$BZ$3001,954,$C$1)&amp;"",",",""),"¥",""),"￥","")),0))</f>
        <v/>
      </c>
      <c r="D955">
        <f>IF($D$1=0,0,IFERROR(VALUE(SUBSTITUTE(SUBSTITUTE(SUBSTITUTE(INDEX(貼り付け!$A$1:$BZ$3001,954,$D$1)&amp;"",",",""),"¥",""),"￥","")),0))</f>
        <v/>
      </c>
      <c r="E955">
        <f>IF($E$1=0,0,IFERROR(VALUE(SUBSTITUTE(SUBSTITUTE(SUBSTITUTE(INDEX(貼り付け!$A$1:$BZ$3001,954,$E$1)&amp;"",",",""),"¥",""),"￥","")),0))</f>
        <v/>
      </c>
      <c r="F955">
        <f>IF($F$1=0,0,IFERROR(VALUE(SUBSTITUTE(SUBSTITUTE(SUBSTITUTE(INDEX(貼り付け!$A$1:$BZ$3001,954,$F$1)&amp;"",",",""),"¥",""),"￥","")),0))</f>
        <v/>
      </c>
      <c r="G955">
        <f>IF(ISNUMBER(B955),YEAR(B955),"")</f>
        <v/>
      </c>
      <c r="H955">
        <f>IF(ISNUMBER(B955),MONTH(B955),"")</f>
        <v/>
      </c>
      <c r="I955">
        <f>IFERROR(IF($B$1=0,"",IF(ISNUMBER(INDEX(貼り付け!$A$1:$BZ$3001,954,$B$1)),"",SUBSTITUTE(SUBSTITUTE(SUBSTITUTE(SUBSTITUTE(TRIM(LEFT(INDEX(貼り付け!$A$1:$BZ$3001,954,$B$1)&amp;"",FIND(" ",TRIM(INDEX(貼り付け!$A$1:$BZ$3001,954,$B$1)&amp;"")&amp;" ")-1)),"/","-"),"年","-"),"月","-"),"日",""))),"")</f>
        <v/>
      </c>
      <c r="J955">
        <f>IFERROR(MID(I955,FIND("-",I955)+1,99),"")</f>
        <v/>
      </c>
    </row>
    <row r="956">
      <c r="B956">
        <f>IFERROR(IF($B$1=0,"",IF(INDEX(貼り付け!$A$1:$BZ$3001,955,$B$1)="","",IF(ISNUMBER(INDEX(貼り付け!$A$1:$BZ$3001,955,$B$1)),INT(INDEX(貼り付け!$A$1:$BZ$3001,955,$B$1)),DATE(VALUE(LEFT(I956,FIND("-",I956)-1)),VALUE(LEFT(J956,FIND("-",J956)-1)),VALUE(MID(J956,FIND("-",J956)+1,99)))))),"")</f>
        <v/>
      </c>
      <c r="C956">
        <f>IF($C$1=0,0,IFERROR(VALUE(SUBSTITUTE(SUBSTITUTE(SUBSTITUTE(INDEX(貼り付け!$A$1:$BZ$3001,955,$C$1)&amp;"",",",""),"¥",""),"￥","")),0))</f>
        <v/>
      </c>
      <c r="D956">
        <f>IF($D$1=0,0,IFERROR(VALUE(SUBSTITUTE(SUBSTITUTE(SUBSTITUTE(INDEX(貼り付け!$A$1:$BZ$3001,955,$D$1)&amp;"",",",""),"¥",""),"￥","")),0))</f>
        <v/>
      </c>
      <c r="E956">
        <f>IF($E$1=0,0,IFERROR(VALUE(SUBSTITUTE(SUBSTITUTE(SUBSTITUTE(INDEX(貼り付け!$A$1:$BZ$3001,955,$E$1)&amp;"",",",""),"¥",""),"￥","")),0))</f>
        <v/>
      </c>
      <c r="F956">
        <f>IF($F$1=0,0,IFERROR(VALUE(SUBSTITUTE(SUBSTITUTE(SUBSTITUTE(INDEX(貼り付け!$A$1:$BZ$3001,955,$F$1)&amp;"",",",""),"¥",""),"￥","")),0))</f>
        <v/>
      </c>
      <c r="G956">
        <f>IF(ISNUMBER(B956),YEAR(B956),"")</f>
        <v/>
      </c>
      <c r="H956">
        <f>IF(ISNUMBER(B956),MONTH(B956),"")</f>
        <v/>
      </c>
      <c r="I956">
        <f>IFERROR(IF($B$1=0,"",IF(ISNUMBER(INDEX(貼り付け!$A$1:$BZ$3001,955,$B$1)),"",SUBSTITUTE(SUBSTITUTE(SUBSTITUTE(SUBSTITUTE(TRIM(LEFT(INDEX(貼り付け!$A$1:$BZ$3001,955,$B$1)&amp;"",FIND(" ",TRIM(INDEX(貼り付け!$A$1:$BZ$3001,955,$B$1)&amp;"")&amp;" ")-1)),"/","-"),"年","-"),"月","-"),"日",""))),"")</f>
        <v/>
      </c>
      <c r="J956">
        <f>IFERROR(MID(I956,FIND("-",I956)+1,99),"")</f>
        <v/>
      </c>
    </row>
    <row r="957">
      <c r="B957">
        <f>IFERROR(IF($B$1=0,"",IF(INDEX(貼り付け!$A$1:$BZ$3001,956,$B$1)="","",IF(ISNUMBER(INDEX(貼り付け!$A$1:$BZ$3001,956,$B$1)),INT(INDEX(貼り付け!$A$1:$BZ$3001,956,$B$1)),DATE(VALUE(LEFT(I957,FIND("-",I957)-1)),VALUE(LEFT(J957,FIND("-",J957)-1)),VALUE(MID(J957,FIND("-",J957)+1,99)))))),"")</f>
        <v/>
      </c>
      <c r="C957">
        <f>IF($C$1=0,0,IFERROR(VALUE(SUBSTITUTE(SUBSTITUTE(SUBSTITUTE(INDEX(貼り付け!$A$1:$BZ$3001,956,$C$1)&amp;"",",",""),"¥",""),"￥","")),0))</f>
        <v/>
      </c>
      <c r="D957">
        <f>IF($D$1=0,0,IFERROR(VALUE(SUBSTITUTE(SUBSTITUTE(SUBSTITUTE(INDEX(貼り付け!$A$1:$BZ$3001,956,$D$1)&amp;"",",",""),"¥",""),"￥","")),0))</f>
        <v/>
      </c>
      <c r="E957">
        <f>IF($E$1=0,0,IFERROR(VALUE(SUBSTITUTE(SUBSTITUTE(SUBSTITUTE(INDEX(貼り付け!$A$1:$BZ$3001,956,$E$1)&amp;"",",",""),"¥",""),"￥","")),0))</f>
        <v/>
      </c>
      <c r="F957">
        <f>IF($F$1=0,0,IFERROR(VALUE(SUBSTITUTE(SUBSTITUTE(SUBSTITUTE(INDEX(貼り付け!$A$1:$BZ$3001,956,$F$1)&amp;"",",",""),"¥",""),"￥","")),0))</f>
        <v/>
      </c>
      <c r="G957">
        <f>IF(ISNUMBER(B957),YEAR(B957),"")</f>
        <v/>
      </c>
      <c r="H957">
        <f>IF(ISNUMBER(B957),MONTH(B957),"")</f>
        <v/>
      </c>
      <c r="I957">
        <f>IFERROR(IF($B$1=0,"",IF(ISNUMBER(INDEX(貼り付け!$A$1:$BZ$3001,956,$B$1)),"",SUBSTITUTE(SUBSTITUTE(SUBSTITUTE(SUBSTITUTE(TRIM(LEFT(INDEX(貼り付け!$A$1:$BZ$3001,956,$B$1)&amp;"",FIND(" ",TRIM(INDEX(貼り付け!$A$1:$BZ$3001,956,$B$1)&amp;"")&amp;" ")-1)),"/","-"),"年","-"),"月","-"),"日",""))),"")</f>
        <v/>
      </c>
      <c r="J957">
        <f>IFERROR(MID(I957,FIND("-",I957)+1,99),"")</f>
        <v/>
      </c>
    </row>
    <row r="958">
      <c r="B958">
        <f>IFERROR(IF($B$1=0,"",IF(INDEX(貼り付け!$A$1:$BZ$3001,957,$B$1)="","",IF(ISNUMBER(INDEX(貼り付け!$A$1:$BZ$3001,957,$B$1)),INT(INDEX(貼り付け!$A$1:$BZ$3001,957,$B$1)),DATE(VALUE(LEFT(I958,FIND("-",I958)-1)),VALUE(LEFT(J958,FIND("-",J958)-1)),VALUE(MID(J958,FIND("-",J958)+1,99)))))),"")</f>
        <v/>
      </c>
      <c r="C958">
        <f>IF($C$1=0,0,IFERROR(VALUE(SUBSTITUTE(SUBSTITUTE(SUBSTITUTE(INDEX(貼り付け!$A$1:$BZ$3001,957,$C$1)&amp;"",",",""),"¥",""),"￥","")),0))</f>
        <v/>
      </c>
      <c r="D958">
        <f>IF($D$1=0,0,IFERROR(VALUE(SUBSTITUTE(SUBSTITUTE(SUBSTITUTE(INDEX(貼り付け!$A$1:$BZ$3001,957,$D$1)&amp;"",",",""),"¥",""),"￥","")),0))</f>
        <v/>
      </c>
      <c r="E958">
        <f>IF($E$1=0,0,IFERROR(VALUE(SUBSTITUTE(SUBSTITUTE(SUBSTITUTE(INDEX(貼り付け!$A$1:$BZ$3001,957,$E$1)&amp;"",",",""),"¥",""),"￥","")),0))</f>
        <v/>
      </c>
      <c r="F958">
        <f>IF($F$1=0,0,IFERROR(VALUE(SUBSTITUTE(SUBSTITUTE(SUBSTITUTE(INDEX(貼り付け!$A$1:$BZ$3001,957,$F$1)&amp;"",",",""),"¥",""),"￥","")),0))</f>
        <v/>
      </c>
      <c r="G958">
        <f>IF(ISNUMBER(B958),YEAR(B958),"")</f>
        <v/>
      </c>
      <c r="H958">
        <f>IF(ISNUMBER(B958),MONTH(B958),"")</f>
        <v/>
      </c>
      <c r="I958">
        <f>IFERROR(IF($B$1=0,"",IF(ISNUMBER(INDEX(貼り付け!$A$1:$BZ$3001,957,$B$1)),"",SUBSTITUTE(SUBSTITUTE(SUBSTITUTE(SUBSTITUTE(TRIM(LEFT(INDEX(貼り付け!$A$1:$BZ$3001,957,$B$1)&amp;"",FIND(" ",TRIM(INDEX(貼り付け!$A$1:$BZ$3001,957,$B$1)&amp;"")&amp;" ")-1)),"/","-"),"年","-"),"月","-"),"日",""))),"")</f>
        <v/>
      </c>
      <c r="J958">
        <f>IFERROR(MID(I958,FIND("-",I958)+1,99),"")</f>
        <v/>
      </c>
    </row>
    <row r="959">
      <c r="B959">
        <f>IFERROR(IF($B$1=0,"",IF(INDEX(貼り付け!$A$1:$BZ$3001,958,$B$1)="","",IF(ISNUMBER(INDEX(貼り付け!$A$1:$BZ$3001,958,$B$1)),INT(INDEX(貼り付け!$A$1:$BZ$3001,958,$B$1)),DATE(VALUE(LEFT(I959,FIND("-",I959)-1)),VALUE(LEFT(J959,FIND("-",J959)-1)),VALUE(MID(J959,FIND("-",J959)+1,99)))))),"")</f>
        <v/>
      </c>
      <c r="C959">
        <f>IF($C$1=0,0,IFERROR(VALUE(SUBSTITUTE(SUBSTITUTE(SUBSTITUTE(INDEX(貼り付け!$A$1:$BZ$3001,958,$C$1)&amp;"",",",""),"¥",""),"￥","")),0))</f>
        <v/>
      </c>
      <c r="D959">
        <f>IF($D$1=0,0,IFERROR(VALUE(SUBSTITUTE(SUBSTITUTE(SUBSTITUTE(INDEX(貼り付け!$A$1:$BZ$3001,958,$D$1)&amp;"",",",""),"¥",""),"￥","")),0))</f>
        <v/>
      </c>
      <c r="E959">
        <f>IF($E$1=0,0,IFERROR(VALUE(SUBSTITUTE(SUBSTITUTE(SUBSTITUTE(INDEX(貼り付け!$A$1:$BZ$3001,958,$E$1)&amp;"",",",""),"¥",""),"￥","")),0))</f>
        <v/>
      </c>
      <c r="F959">
        <f>IF($F$1=0,0,IFERROR(VALUE(SUBSTITUTE(SUBSTITUTE(SUBSTITUTE(INDEX(貼り付け!$A$1:$BZ$3001,958,$F$1)&amp;"",",",""),"¥",""),"￥","")),0))</f>
        <v/>
      </c>
      <c r="G959">
        <f>IF(ISNUMBER(B959),YEAR(B959),"")</f>
        <v/>
      </c>
      <c r="H959">
        <f>IF(ISNUMBER(B959),MONTH(B959),"")</f>
        <v/>
      </c>
      <c r="I959">
        <f>IFERROR(IF($B$1=0,"",IF(ISNUMBER(INDEX(貼り付け!$A$1:$BZ$3001,958,$B$1)),"",SUBSTITUTE(SUBSTITUTE(SUBSTITUTE(SUBSTITUTE(TRIM(LEFT(INDEX(貼り付け!$A$1:$BZ$3001,958,$B$1)&amp;"",FIND(" ",TRIM(INDEX(貼り付け!$A$1:$BZ$3001,958,$B$1)&amp;"")&amp;" ")-1)),"/","-"),"年","-"),"月","-"),"日",""))),"")</f>
        <v/>
      </c>
      <c r="J959">
        <f>IFERROR(MID(I959,FIND("-",I959)+1,99),"")</f>
        <v/>
      </c>
    </row>
    <row r="960">
      <c r="B960">
        <f>IFERROR(IF($B$1=0,"",IF(INDEX(貼り付け!$A$1:$BZ$3001,959,$B$1)="","",IF(ISNUMBER(INDEX(貼り付け!$A$1:$BZ$3001,959,$B$1)),INT(INDEX(貼り付け!$A$1:$BZ$3001,959,$B$1)),DATE(VALUE(LEFT(I960,FIND("-",I960)-1)),VALUE(LEFT(J960,FIND("-",J960)-1)),VALUE(MID(J960,FIND("-",J960)+1,99)))))),"")</f>
        <v/>
      </c>
      <c r="C960">
        <f>IF($C$1=0,0,IFERROR(VALUE(SUBSTITUTE(SUBSTITUTE(SUBSTITUTE(INDEX(貼り付け!$A$1:$BZ$3001,959,$C$1)&amp;"",",",""),"¥",""),"￥","")),0))</f>
        <v/>
      </c>
      <c r="D960">
        <f>IF($D$1=0,0,IFERROR(VALUE(SUBSTITUTE(SUBSTITUTE(SUBSTITUTE(INDEX(貼り付け!$A$1:$BZ$3001,959,$D$1)&amp;"",",",""),"¥",""),"￥","")),0))</f>
        <v/>
      </c>
      <c r="E960">
        <f>IF($E$1=0,0,IFERROR(VALUE(SUBSTITUTE(SUBSTITUTE(SUBSTITUTE(INDEX(貼り付け!$A$1:$BZ$3001,959,$E$1)&amp;"",",",""),"¥",""),"￥","")),0))</f>
        <v/>
      </c>
      <c r="F960">
        <f>IF($F$1=0,0,IFERROR(VALUE(SUBSTITUTE(SUBSTITUTE(SUBSTITUTE(INDEX(貼り付け!$A$1:$BZ$3001,959,$F$1)&amp;"",",",""),"¥",""),"￥","")),0))</f>
        <v/>
      </c>
      <c r="G960">
        <f>IF(ISNUMBER(B960),YEAR(B960),"")</f>
        <v/>
      </c>
      <c r="H960">
        <f>IF(ISNUMBER(B960),MONTH(B960),"")</f>
        <v/>
      </c>
      <c r="I960">
        <f>IFERROR(IF($B$1=0,"",IF(ISNUMBER(INDEX(貼り付け!$A$1:$BZ$3001,959,$B$1)),"",SUBSTITUTE(SUBSTITUTE(SUBSTITUTE(SUBSTITUTE(TRIM(LEFT(INDEX(貼り付け!$A$1:$BZ$3001,959,$B$1)&amp;"",FIND(" ",TRIM(INDEX(貼り付け!$A$1:$BZ$3001,959,$B$1)&amp;"")&amp;" ")-1)),"/","-"),"年","-"),"月","-"),"日",""))),"")</f>
        <v/>
      </c>
      <c r="J960">
        <f>IFERROR(MID(I960,FIND("-",I960)+1,99),"")</f>
        <v/>
      </c>
    </row>
    <row r="961">
      <c r="B961">
        <f>IFERROR(IF($B$1=0,"",IF(INDEX(貼り付け!$A$1:$BZ$3001,960,$B$1)="","",IF(ISNUMBER(INDEX(貼り付け!$A$1:$BZ$3001,960,$B$1)),INT(INDEX(貼り付け!$A$1:$BZ$3001,960,$B$1)),DATE(VALUE(LEFT(I961,FIND("-",I961)-1)),VALUE(LEFT(J961,FIND("-",J961)-1)),VALUE(MID(J961,FIND("-",J961)+1,99)))))),"")</f>
        <v/>
      </c>
      <c r="C961">
        <f>IF($C$1=0,0,IFERROR(VALUE(SUBSTITUTE(SUBSTITUTE(SUBSTITUTE(INDEX(貼り付け!$A$1:$BZ$3001,960,$C$1)&amp;"",",",""),"¥",""),"￥","")),0))</f>
        <v/>
      </c>
      <c r="D961">
        <f>IF($D$1=0,0,IFERROR(VALUE(SUBSTITUTE(SUBSTITUTE(SUBSTITUTE(INDEX(貼り付け!$A$1:$BZ$3001,960,$D$1)&amp;"",",",""),"¥",""),"￥","")),0))</f>
        <v/>
      </c>
      <c r="E961">
        <f>IF($E$1=0,0,IFERROR(VALUE(SUBSTITUTE(SUBSTITUTE(SUBSTITUTE(INDEX(貼り付け!$A$1:$BZ$3001,960,$E$1)&amp;"",",",""),"¥",""),"￥","")),0))</f>
        <v/>
      </c>
      <c r="F961">
        <f>IF($F$1=0,0,IFERROR(VALUE(SUBSTITUTE(SUBSTITUTE(SUBSTITUTE(INDEX(貼り付け!$A$1:$BZ$3001,960,$F$1)&amp;"",",",""),"¥",""),"￥","")),0))</f>
        <v/>
      </c>
      <c r="G961">
        <f>IF(ISNUMBER(B961),YEAR(B961),"")</f>
        <v/>
      </c>
      <c r="H961">
        <f>IF(ISNUMBER(B961),MONTH(B961),"")</f>
        <v/>
      </c>
      <c r="I961">
        <f>IFERROR(IF($B$1=0,"",IF(ISNUMBER(INDEX(貼り付け!$A$1:$BZ$3001,960,$B$1)),"",SUBSTITUTE(SUBSTITUTE(SUBSTITUTE(SUBSTITUTE(TRIM(LEFT(INDEX(貼り付け!$A$1:$BZ$3001,960,$B$1)&amp;"",FIND(" ",TRIM(INDEX(貼り付け!$A$1:$BZ$3001,960,$B$1)&amp;"")&amp;" ")-1)),"/","-"),"年","-"),"月","-"),"日",""))),"")</f>
        <v/>
      </c>
      <c r="J961">
        <f>IFERROR(MID(I961,FIND("-",I961)+1,99),"")</f>
        <v/>
      </c>
    </row>
    <row r="962">
      <c r="B962">
        <f>IFERROR(IF($B$1=0,"",IF(INDEX(貼り付け!$A$1:$BZ$3001,961,$B$1)="","",IF(ISNUMBER(INDEX(貼り付け!$A$1:$BZ$3001,961,$B$1)),INT(INDEX(貼り付け!$A$1:$BZ$3001,961,$B$1)),DATE(VALUE(LEFT(I962,FIND("-",I962)-1)),VALUE(LEFT(J962,FIND("-",J962)-1)),VALUE(MID(J962,FIND("-",J962)+1,99)))))),"")</f>
        <v/>
      </c>
      <c r="C962">
        <f>IF($C$1=0,0,IFERROR(VALUE(SUBSTITUTE(SUBSTITUTE(SUBSTITUTE(INDEX(貼り付け!$A$1:$BZ$3001,961,$C$1)&amp;"",",",""),"¥",""),"￥","")),0))</f>
        <v/>
      </c>
      <c r="D962">
        <f>IF($D$1=0,0,IFERROR(VALUE(SUBSTITUTE(SUBSTITUTE(SUBSTITUTE(INDEX(貼り付け!$A$1:$BZ$3001,961,$D$1)&amp;"",",",""),"¥",""),"￥","")),0))</f>
        <v/>
      </c>
      <c r="E962">
        <f>IF($E$1=0,0,IFERROR(VALUE(SUBSTITUTE(SUBSTITUTE(SUBSTITUTE(INDEX(貼り付け!$A$1:$BZ$3001,961,$E$1)&amp;"",",",""),"¥",""),"￥","")),0))</f>
        <v/>
      </c>
      <c r="F962">
        <f>IF($F$1=0,0,IFERROR(VALUE(SUBSTITUTE(SUBSTITUTE(SUBSTITUTE(INDEX(貼り付け!$A$1:$BZ$3001,961,$F$1)&amp;"",",",""),"¥",""),"￥","")),0))</f>
        <v/>
      </c>
      <c r="G962">
        <f>IF(ISNUMBER(B962),YEAR(B962),"")</f>
        <v/>
      </c>
      <c r="H962">
        <f>IF(ISNUMBER(B962),MONTH(B962),"")</f>
        <v/>
      </c>
      <c r="I962">
        <f>IFERROR(IF($B$1=0,"",IF(ISNUMBER(INDEX(貼り付け!$A$1:$BZ$3001,961,$B$1)),"",SUBSTITUTE(SUBSTITUTE(SUBSTITUTE(SUBSTITUTE(TRIM(LEFT(INDEX(貼り付け!$A$1:$BZ$3001,961,$B$1)&amp;"",FIND(" ",TRIM(INDEX(貼り付け!$A$1:$BZ$3001,961,$B$1)&amp;"")&amp;" ")-1)),"/","-"),"年","-"),"月","-"),"日",""))),"")</f>
        <v/>
      </c>
      <c r="J962">
        <f>IFERROR(MID(I962,FIND("-",I962)+1,99),"")</f>
        <v/>
      </c>
    </row>
    <row r="963">
      <c r="B963">
        <f>IFERROR(IF($B$1=0,"",IF(INDEX(貼り付け!$A$1:$BZ$3001,962,$B$1)="","",IF(ISNUMBER(INDEX(貼り付け!$A$1:$BZ$3001,962,$B$1)),INT(INDEX(貼り付け!$A$1:$BZ$3001,962,$B$1)),DATE(VALUE(LEFT(I963,FIND("-",I963)-1)),VALUE(LEFT(J963,FIND("-",J963)-1)),VALUE(MID(J963,FIND("-",J963)+1,99)))))),"")</f>
        <v/>
      </c>
      <c r="C963">
        <f>IF($C$1=0,0,IFERROR(VALUE(SUBSTITUTE(SUBSTITUTE(SUBSTITUTE(INDEX(貼り付け!$A$1:$BZ$3001,962,$C$1)&amp;"",",",""),"¥",""),"￥","")),0))</f>
        <v/>
      </c>
      <c r="D963">
        <f>IF($D$1=0,0,IFERROR(VALUE(SUBSTITUTE(SUBSTITUTE(SUBSTITUTE(INDEX(貼り付け!$A$1:$BZ$3001,962,$D$1)&amp;"",",",""),"¥",""),"￥","")),0))</f>
        <v/>
      </c>
      <c r="E963">
        <f>IF($E$1=0,0,IFERROR(VALUE(SUBSTITUTE(SUBSTITUTE(SUBSTITUTE(INDEX(貼り付け!$A$1:$BZ$3001,962,$E$1)&amp;"",",",""),"¥",""),"￥","")),0))</f>
        <v/>
      </c>
      <c r="F963">
        <f>IF($F$1=0,0,IFERROR(VALUE(SUBSTITUTE(SUBSTITUTE(SUBSTITUTE(INDEX(貼り付け!$A$1:$BZ$3001,962,$F$1)&amp;"",",",""),"¥",""),"￥","")),0))</f>
        <v/>
      </c>
      <c r="G963">
        <f>IF(ISNUMBER(B963),YEAR(B963),"")</f>
        <v/>
      </c>
      <c r="H963">
        <f>IF(ISNUMBER(B963),MONTH(B963),"")</f>
        <v/>
      </c>
      <c r="I963">
        <f>IFERROR(IF($B$1=0,"",IF(ISNUMBER(INDEX(貼り付け!$A$1:$BZ$3001,962,$B$1)),"",SUBSTITUTE(SUBSTITUTE(SUBSTITUTE(SUBSTITUTE(TRIM(LEFT(INDEX(貼り付け!$A$1:$BZ$3001,962,$B$1)&amp;"",FIND(" ",TRIM(INDEX(貼り付け!$A$1:$BZ$3001,962,$B$1)&amp;"")&amp;" ")-1)),"/","-"),"年","-"),"月","-"),"日",""))),"")</f>
        <v/>
      </c>
      <c r="J963">
        <f>IFERROR(MID(I963,FIND("-",I963)+1,99),"")</f>
        <v/>
      </c>
    </row>
    <row r="964">
      <c r="B964">
        <f>IFERROR(IF($B$1=0,"",IF(INDEX(貼り付け!$A$1:$BZ$3001,963,$B$1)="","",IF(ISNUMBER(INDEX(貼り付け!$A$1:$BZ$3001,963,$B$1)),INT(INDEX(貼り付け!$A$1:$BZ$3001,963,$B$1)),DATE(VALUE(LEFT(I964,FIND("-",I964)-1)),VALUE(LEFT(J964,FIND("-",J964)-1)),VALUE(MID(J964,FIND("-",J964)+1,99)))))),"")</f>
        <v/>
      </c>
      <c r="C964">
        <f>IF($C$1=0,0,IFERROR(VALUE(SUBSTITUTE(SUBSTITUTE(SUBSTITUTE(INDEX(貼り付け!$A$1:$BZ$3001,963,$C$1)&amp;"",",",""),"¥",""),"￥","")),0))</f>
        <v/>
      </c>
      <c r="D964">
        <f>IF($D$1=0,0,IFERROR(VALUE(SUBSTITUTE(SUBSTITUTE(SUBSTITUTE(INDEX(貼り付け!$A$1:$BZ$3001,963,$D$1)&amp;"",",",""),"¥",""),"￥","")),0))</f>
        <v/>
      </c>
      <c r="E964">
        <f>IF($E$1=0,0,IFERROR(VALUE(SUBSTITUTE(SUBSTITUTE(SUBSTITUTE(INDEX(貼り付け!$A$1:$BZ$3001,963,$E$1)&amp;"",",",""),"¥",""),"￥","")),0))</f>
        <v/>
      </c>
      <c r="F964">
        <f>IF($F$1=0,0,IFERROR(VALUE(SUBSTITUTE(SUBSTITUTE(SUBSTITUTE(INDEX(貼り付け!$A$1:$BZ$3001,963,$F$1)&amp;"",",",""),"¥",""),"￥","")),0))</f>
        <v/>
      </c>
      <c r="G964">
        <f>IF(ISNUMBER(B964),YEAR(B964),"")</f>
        <v/>
      </c>
      <c r="H964">
        <f>IF(ISNUMBER(B964),MONTH(B964),"")</f>
        <v/>
      </c>
      <c r="I964">
        <f>IFERROR(IF($B$1=0,"",IF(ISNUMBER(INDEX(貼り付け!$A$1:$BZ$3001,963,$B$1)),"",SUBSTITUTE(SUBSTITUTE(SUBSTITUTE(SUBSTITUTE(TRIM(LEFT(INDEX(貼り付け!$A$1:$BZ$3001,963,$B$1)&amp;"",FIND(" ",TRIM(INDEX(貼り付け!$A$1:$BZ$3001,963,$B$1)&amp;"")&amp;" ")-1)),"/","-"),"年","-"),"月","-"),"日",""))),"")</f>
        <v/>
      </c>
      <c r="J964">
        <f>IFERROR(MID(I964,FIND("-",I964)+1,99),"")</f>
        <v/>
      </c>
    </row>
    <row r="965">
      <c r="B965">
        <f>IFERROR(IF($B$1=0,"",IF(INDEX(貼り付け!$A$1:$BZ$3001,964,$B$1)="","",IF(ISNUMBER(INDEX(貼り付け!$A$1:$BZ$3001,964,$B$1)),INT(INDEX(貼り付け!$A$1:$BZ$3001,964,$B$1)),DATE(VALUE(LEFT(I965,FIND("-",I965)-1)),VALUE(LEFT(J965,FIND("-",J965)-1)),VALUE(MID(J965,FIND("-",J965)+1,99)))))),"")</f>
        <v/>
      </c>
      <c r="C965">
        <f>IF($C$1=0,0,IFERROR(VALUE(SUBSTITUTE(SUBSTITUTE(SUBSTITUTE(INDEX(貼り付け!$A$1:$BZ$3001,964,$C$1)&amp;"",",",""),"¥",""),"￥","")),0))</f>
        <v/>
      </c>
      <c r="D965">
        <f>IF($D$1=0,0,IFERROR(VALUE(SUBSTITUTE(SUBSTITUTE(SUBSTITUTE(INDEX(貼り付け!$A$1:$BZ$3001,964,$D$1)&amp;"",",",""),"¥",""),"￥","")),0))</f>
        <v/>
      </c>
      <c r="E965">
        <f>IF($E$1=0,0,IFERROR(VALUE(SUBSTITUTE(SUBSTITUTE(SUBSTITUTE(INDEX(貼り付け!$A$1:$BZ$3001,964,$E$1)&amp;"",",",""),"¥",""),"￥","")),0))</f>
        <v/>
      </c>
      <c r="F965">
        <f>IF($F$1=0,0,IFERROR(VALUE(SUBSTITUTE(SUBSTITUTE(SUBSTITUTE(INDEX(貼り付け!$A$1:$BZ$3001,964,$F$1)&amp;"",",",""),"¥",""),"￥","")),0))</f>
        <v/>
      </c>
      <c r="G965">
        <f>IF(ISNUMBER(B965),YEAR(B965),"")</f>
        <v/>
      </c>
      <c r="H965">
        <f>IF(ISNUMBER(B965),MONTH(B965),"")</f>
        <v/>
      </c>
      <c r="I965">
        <f>IFERROR(IF($B$1=0,"",IF(ISNUMBER(INDEX(貼り付け!$A$1:$BZ$3001,964,$B$1)),"",SUBSTITUTE(SUBSTITUTE(SUBSTITUTE(SUBSTITUTE(TRIM(LEFT(INDEX(貼り付け!$A$1:$BZ$3001,964,$B$1)&amp;"",FIND(" ",TRIM(INDEX(貼り付け!$A$1:$BZ$3001,964,$B$1)&amp;"")&amp;" ")-1)),"/","-"),"年","-"),"月","-"),"日",""))),"")</f>
        <v/>
      </c>
      <c r="J965">
        <f>IFERROR(MID(I965,FIND("-",I965)+1,99),"")</f>
        <v/>
      </c>
    </row>
    <row r="966">
      <c r="B966">
        <f>IFERROR(IF($B$1=0,"",IF(INDEX(貼り付け!$A$1:$BZ$3001,965,$B$1)="","",IF(ISNUMBER(INDEX(貼り付け!$A$1:$BZ$3001,965,$B$1)),INT(INDEX(貼り付け!$A$1:$BZ$3001,965,$B$1)),DATE(VALUE(LEFT(I966,FIND("-",I966)-1)),VALUE(LEFT(J966,FIND("-",J966)-1)),VALUE(MID(J966,FIND("-",J966)+1,99)))))),"")</f>
        <v/>
      </c>
      <c r="C966">
        <f>IF($C$1=0,0,IFERROR(VALUE(SUBSTITUTE(SUBSTITUTE(SUBSTITUTE(INDEX(貼り付け!$A$1:$BZ$3001,965,$C$1)&amp;"",",",""),"¥",""),"￥","")),0))</f>
        <v/>
      </c>
      <c r="D966">
        <f>IF($D$1=0,0,IFERROR(VALUE(SUBSTITUTE(SUBSTITUTE(SUBSTITUTE(INDEX(貼り付け!$A$1:$BZ$3001,965,$D$1)&amp;"",",",""),"¥",""),"￥","")),0))</f>
        <v/>
      </c>
      <c r="E966">
        <f>IF($E$1=0,0,IFERROR(VALUE(SUBSTITUTE(SUBSTITUTE(SUBSTITUTE(INDEX(貼り付け!$A$1:$BZ$3001,965,$E$1)&amp;"",",",""),"¥",""),"￥","")),0))</f>
        <v/>
      </c>
      <c r="F966">
        <f>IF($F$1=0,0,IFERROR(VALUE(SUBSTITUTE(SUBSTITUTE(SUBSTITUTE(INDEX(貼り付け!$A$1:$BZ$3001,965,$F$1)&amp;"",",",""),"¥",""),"￥","")),0))</f>
        <v/>
      </c>
      <c r="G966">
        <f>IF(ISNUMBER(B966),YEAR(B966),"")</f>
        <v/>
      </c>
      <c r="H966">
        <f>IF(ISNUMBER(B966),MONTH(B966),"")</f>
        <v/>
      </c>
      <c r="I966">
        <f>IFERROR(IF($B$1=0,"",IF(ISNUMBER(INDEX(貼り付け!$A$1:$BZ$3001,965,$B$1)),"",SUBSTITUTE(SUBSTITUTE(SUBSTITUTE(SUBSTITUTE(TRIM(LEFT(INDEX(貼り付け!$A$1:$BZ$3001,965,$B$1)&amp;"",FIND(" ",TRIM(INDEX(貼り付け!$A$1:$BZ$3001,965,$B$1)&amp;"")&amp;" ")-1)),"/","-"),"年","-"),"月","-"),"日",""))),"")</f>
        <v/>
      </c>
      <c r="J966">
        <f>IFERROR(MID(I966,FIND("-",I966)+1,99),"")</f>
        <v/>
      </c>
    </row>
    <row r="967">
      <c r="B967">
        <f>IFERROR(IF($B$1=0,"",IF(INDEX(貼り付け!$A$1:$BZ$3001,966,$B$1)="","",IF(ISNUMBER(INDEX(貼り付け!$A$1:$BZ$3001,966,$B$1)),INT(INDEX(貼り付け!$A$1:$BZ$3001,966,$B$1)),DATE(VALUE(LEFT(I967,FIND("-",I967)-1)),VALUE(LEFT(J967,FIND("-",J967)-1)),VALUE(MID(J967,FIND("-",J967)+1,99)))))),"")</f>
        <v/>
      </c>
      <c r="C967">
        <f>IF($C$1=0,0,IFERROR(VALUE(SUBSTITUTE(SUBSTITUTE(SUBSTITUTE(INDEX(貼り付け!$A$1:$BZ$3001,966,$C$1)&amp;"",",",""),"¥",""),"￥","")),0))</f>
        <v/>
      </c>
      <c r="D967">
        <f>IF($D$1=0,0,IFERROR(VALUE(SUBSTITUTE(SUBSTITUTE(SUBSTITUTE(INDEX(貼り付け!$A$1:$BZ$3001,966,$D$1)&amp;"",",",""),"¥",""),"￥","")),0))</f>
        <v/>
      </c>
      <c r="E967">
        <f>IF($E$1=0,0,IFERROR(VALUE(SUBSTITUTE(SUBSTITUTE(SUBSTITUTE(INDEX(貼り付け!$A$1:$BZ$3001,966,$E$1)&amp;"",",",""),"¥",""),"￥","")),0))</f>
        <v/>
      </c>
      <c r="F967">
        <f>IF($F$1=0,0,IFERROR(VALUE(SUBSTITUTE(SUBSTITUTE(SUBSTITUTE(INDEX(貼り付け!$A$1:$BZ$3001,966,$F$1)&amp;"",",",""),"¥",""),"￥","")),0))</f>
        <v/>
      </c>
      <c r="G967">
        <f>IF(ISNUMBER(B967),YEAR(B967),"")</f>
        <v/>
      </c>
      <c r="H967">
        <f>IF(ISNUMBER(B967),MONTH(B967),"")</f>
        <v/>
      </c>
      <c r="I967">
        <f>IFERROR(IF($B$1=0,"",IF(ISNUMBER(INDEX(貼り付け!$A$1:$BZ$3001,966,$B$1)),"",SUBSTITUTE(SUBSTITUTE(SUBSTITUTE(SUBSTITUTE(TRIM(LEFT(INDEX(貼り付け!$A$1:$BZ$3001,966,$B$1)&amp;"",FIND(" ",TRIM(INDEX(貼り付け!$A$1:$BZ$3001,966,$B$1)&amp;"")&amp;" ")-1)),"/","-"),"年","-"),"月","-"),"日",""))),"")</f>
        <v/>
      </c>
      <c r="J967">
        <f>IFERROR(MID(I967,FIND("-",I967)+1,99),"")</f>
        <v/>
      </c>
    </row>
    <row r="968">
      <c r="B968">
        <f>IFERROR(IF($B$1=0,"",IF(INDEX(貼り付け!$A$1:$BZ$3001,967,$B$1)="","",IF(ISNUMBER(INDEX(貼り付け!$A$1:$BZ$3001,967,$B$1)),INT(INDEX(貼り付け!$A$1:$BZ$3001,967,$B$1)),DATE(VALUE(LEFT(I968,FIND("-",I968)-1)),VALUE(LEFT(J968,FIND("-",J968)-1)),VALUE(MID(J968,FIND("-",J968)+1,99)))))),"")</f>
        <v/>
      </c>
      <c r="C968">
        <f>IF($C$1=0,0,IFERROR(VALUE(SUBSTITUTE(SUBSTITUTE(SUBSTITUTE(INDEX(貼り付け!$A$1:$BZ$3001,967,$C$1)&amp;"",",",""),"¥",""),"￥","")),0))</f>
        <v/>
      </c>
      <c r="D968">
        <f>IF($D$1=0,0,IFERROR(VALUE(SUBSTITUTE(SUBSTITUTE(SUBSTITUTE(INDEX(貼り付け!$A$1:$BZ$3001,967,$D$1)&amp;"",",",""),"¥",""),"￥","")),0))</f>
        <v/>
      </c>
      <c r="E968">
        <f>IF($E$1=0,0,IFERROR(VALUE(SUBSTITUTE(SUBSTITUTE(SUBSTITUTE(INDEX(貼り付け!$A$1:$BZ$3001,967,$E$1)&amp;"",",",""),"¥",""),"￥","")),0))</f>
        <v/>
      </c>
      <c r="F968">
        <f>IF($F$1=0,0,IFERROR(VALUE(SUBSTITUTE(SUBSTITUTE(SUBSTITUTE(INDEX(貼り付け!$A$1:$BZ$3001,967,$F$1)&amp;"",",",""),"¥",""),"￥","")),0))</f>
        <v/>
      </c>
      <c r="G968">
        <f>IF(ISNUMBER(B968),YEAR(B968),"")</f>
        <v/>
      </c>
      <c r="H968">
        <f>IF(ISNUMBER(B968),MONTH(B968),"")</f>
        <v/>
      </c>
      <c r="I968">
        <f>IFERROR(IF($B$1=0,"",IF(ISNUMBER(INDEX(貼り付け!$A$1:$BZ$3001,967,$B$1)),"",SUBSTITUTE(SUBSTITUTE(SUBSTITUTE(SUBSTITUTE(TRIM(LEFT(INDEX(貼り付け!$A$1:$BZ$3001,967,$B$1)&amp;"",FIND(" ",TRIM(INDEX(貼り付け!$A$1:$BZ$3001,967,$B$1)&amp;"")&amp;" ")-1)),"/","-"),"年","-"),"月","-"),"日",""))),"")</f>
        <v/>
      </c>
      <c r="J968">
        <f>IFERROR(MID(I968,FIND("-",I968)+1,99),"")</f>
        <v/>
      </c>
    </row>
    <row r="969">
      <c r="B969">
        <f>IFERROR(IF($B$1=0,"",IF(INDEX(貼り付け!$A$1:$BZ$3001,968,$B$1)="","",IF(ISNUMBER(INDEX(貼り付け!$A$1:$BZ$3001,968,$B$1)),INT(INDEX(貼り付け!$A$1:$BZ$3001,968,$B$1)),DATE(VALUE(LEFT(I969,FIND("-",I969)-1)),VALUE(LEFT(J969,FIND("-",J969)-1)),VALUE(MID(J969,FIND("-",J969)+1,99)))))),"")</f>
        <v/>
      </c>
      <c r="C969">
        <f>IF($C$1=0,0,IFERROR(VALUE(SUBSTITUTE(SUBSTITUTE(SUBSTITUTE(INDEX(貼り付け!$A$1:$BZ$3001,968,$C$1)&amp;"",",",""),"¥",""),"￥","")),0))</f>
        <v/>
      </c>
      <c r="D969">
        <f>IF($D$1=0,0,IFERROR(VALUE(SUBSTITUTE(SUBSTITUTE(SUBSTITUTE(INDEX(貼り付け!$A$1:$BZ$3001,968,$D$1)&amp;"",",",""),"¥",""),"￥","")),0))</f>
        <v/>
      </c>
      <c r="E969">
        <f>IF($E$1=0,0,IFERROR(VALUE(SUBSTITUTE(SUBSTITUTE(SUBSTITUTE(INDEX(貼り付け!$A$1:$BZ$3001,968,$E$1)&amp;"",",",""),"¥",""),"￥","")),0))</f>
        <v/>
      </c>
      <c r="F969">
        <f>IF($F$1=0,0,IFERROR(VALUE(SUBSTITUTE(SUBSTITUTE(SUBSTITUTE(INDEX(貼り付け!$A$1:$BZ$3001,968,$F$1)&amp;"",",",""),"¥",""),"￥","")),0))</f>
        <v/>
      </c>
      <c r="G969">
        <f>IF(ISNUMBER(B969),YEAR(B969),"")</f>
        <v/>
      </c>
      <c r="H969">
        <f>IF(ISNUMBER(B969),MONTH(B969),"")</f>
        <v/>
      </c>
      <c r="I969">
        <f>IFERROR(IF($B$1=0,"",IF(ISNUMBER(INDEX(貼り付け!$A$1:$BZ$3001,968,$B$1)),"",SUBSTITUTE(SUBSTITUTE(SUBSTITUTE(SUBSTITUTE(TRIM(LEFT(INDEX(貼り付け!$A$1:$BZ$3001,968,$B$1)&amp;"",FIND(" ",TRIM(INDEX(貼り付け!$A$1:$BZ$3001,968,$B$1)&amp;"")&amp;" ")-1)),"/","-"),"年","-"),"月","-"),"日",""))),"")</f>
        <v/>
      </c>
      <c r="J969">
        <f>IFERROR(MID(I969,FIND("-",I969)+1,99),"")</f>
        <v/>
      </c>
    </row>
    <row r="970">
      <c r="B970">
        <f>IFERROR(IF($B$1=0,"",IF(INDEX(貼り付け!$A$1:$BZ$3001,969,$B$1)="","",IF(ISNUMBER(INDEX(貼り付け!$A$1:$BZ$3001,969,$B$1)),INT(INDEX(貼り付け!$A$1:$BZ$3001,969,$B$1)),DATE(VALUE(LEFT(I970,FIND("-",I970)-1)),VALUE(LEFT(J970,FIND("-",J970)-1)),VALUE(MID(J970,FIND("-",J970)+1,99)))))),"")</f>
        <v/>
      </c>
      <c r="C970">
        <f>IF($C$1=0,0,IFERROR(VALUE(SUBSTITUTE(SUBSTITUTE(SUBSTITUTE(INDEX(貼り付け!$A$1:$BZ$3001,969,$C$1)&amp;"",",",""),"¥",""),"￥","")),0))</f>
        <v/>
      </c>
      <c r="D970">
        <f>IF($D$1=0,0,IFERROR(VALUE(SUBSTITUTE(SUBSTITUTE(SUBSTITUTE(INDEX(貼り付け!$A$1:$BZ$3001,969,$D$1)&amp;"",",",""),"¥",""),"￥","")),0))</f>
        <v/>
      </c>
      <c r="E970">
        <f>IF($E$1=0,0,IFERROR(VALUE(SUBSTITUTE(SUBSTITUTE(SUBSTITUTE(INDEX(貼り付け!$A$1:$BZ$3001,969,$E$1)&amp;"",",",""),"¥",""),"￥","")),0))</f>
        <v/>
      </c>
      <c r="F970">
        <f>IF($F$1=0,0,IFERROR(VALUE(SUBSTITUTE(SUBSTITUTE(SUBSTITUTE(INDEX(貼り付け!$A$1:$BZ$3001,969,$F$1)&amp;"",",",""),"¥",""),"￥","")),0))</f>
        <v/>
      </c>
      <c r="G970">
        <f>IF(ISNUMBER(B970),YEAR(B970),"")</f>
        <v/>
      </c>
      <c r="H970">
        <f>IF(ISNUMBER(B970),MONTH(B970),"")</f>
        <v/>
      </c>
      <c r="I970">
        <f>IFERROR(IF($B$1=0,"",IF(ISNUMBER(INDEX(貼り付け!$A$1:$BZ$3001,969,$B$1)),"",SUBSTITUTE(SUBSTITUTE(SUBSTITUTE(SUBSTITUTE(TRIM(LEFT(INDEX(貼り付け!$A$1:$BZ$3001,969,$B$1)&amp;"",FIND(" ",TRIM(INDEX(貼り付け!$A$1:$BZ$3001,969,$B$1)&amp;"")&amp;" ")-1)),"/","-"),"年","-"),"月","-"),"日",""))),"")</f>
        <v/>
      </c>
      <c r="J970">
        <f>IFERROR(MID(I970,FIND("-",I970)+1,99),"")</f>
        <v/>
      </c>
    </row>
    <row r="971">
      <c r="B971">
        <f>IFERROR(IF($B$1=0,"",IF(INDEX(貼り付け!$A$1:$BZ$3001,970,$B$1)="","",IF(ISNUMBER(INDEX(貼り付け!$A$1:$BZ$3001,970,$B$1)),INT(INDEX(貼り付け!$A$1:$BZ$3001,970,$B$1)),DATE(VALUE(LEFT(I971,FIND("-",I971)-1)),VALUE(LEFT(J971,FIND("-",J971)-1)),VALUE(MID(J971,FIND("-",J971)+1,99)))))),"")</f>
        <v/>
      </c>
      <c r="C971">
        <f>IF($C$1=0,0,IFERROR(VALUE(SUBSTITUTE(SUBSTITUTE(SUBSTITUTE(INDEX(貼り付け!$A$1:$BZ$3001,970,$C$1)&amp;"",",",""),"¥",""),"￥","")),0))</f>
        <v/>
      </c>
      <c r="D971">
        <f>IF($D$1=0,0,IFERROR(VALUE(SUBSTITUTE(SUBSTITUTE(SUBSTITUTE(INDEX(貼り付け!$A$1:$BZ$3001,970,$D$1)&amp;"",",",""),"¥",""),"￥","")),0))</f>
        <v/>
      </c>
      <c r="E971">
        <f>IF($E$1=0,0,IFERROR(VALUE(SUBSTITUTE(SUBSTITUTE(SUBSTITUTE(INDEX(貼り付け!$A$1:$BZ$3001,970,$E$1)&amp;"",",",""),"¥",""),"￥","")),0))</f>
        <v/>
      </c>
      <c r="F971">
        <f>IF($F$1=0,0,IFERROR(VALUE(SUBSTITUTE(SUBSTITUTE(SUBSTITUTE(INDEX(貼り付け!$A$1:$BZ$3001,970,$F$1)&amp;"",",",""),"¥",""),"￥","")),0))</f>
        <v/>
      </c>
      <c r="G971">
        <f>IF(ISNUMBER(B971),YEAR(B971),"")</f>
        <v/>
      </c>
      <c r="H971">
        <f>IF(ISNUMBER(B971),MONTH(B971),"")</f>
        <v/>
      </c>
      <c r="I971">
        <f>IFERROR(IF($B$1=0,"",IF(ISNUMBER(INDEX(貼り付け!$A$1:$BZ$3001,970,$B$1)),"",SUBSTITUTE(SUBSTITUTE(SUBSTITUTE(SUBSTITUTE(TRIM(LEFT(INDEX(貼り付け!$A$1:$BZ$3001,970,$B$1)&amp;"",FIND(" ",TRIM(INDEX(貼り付け!$A$1:$BZ$3001,970,$B$1)&amp;"")&amp;" ")-1)),"/","-"),"年","-"),"月","-"),"日",""))),"")</f>
        <v/>
      </c>
      <c r="J971">
        <f>IFERROR(MID(I971,FIND("-",I971)+1,99),"")</f>
        <v/>
      </c>
    </row>
    <row r="972">
      <c r="B972">
        <f>IFERROR(IF($B$1=0,"",IF(INDEX(貼り付け!$A$1:$BZ$3001,971,$B$1)="","",IF(ISNUMBER(INDEX(貼り付け!$A$1:$BZ$3001,971,$B$1)),INT(INDEX(貼り付け!$A$1:$BZ$3001,971,$B$1)),DATE(VALUE(LEFT(I972,FIND("-",I972)-1)),VALUE(LEFT(J972,FIND("-",J972)-1)),VALUE(MID(J972,FIND("-",J972)+1,99)))))),"")</f>
        <v/>
      </c>
      <c r="C972">
        <f>IF($C$1=0,0,IFERROR(VALUE(SUBSTITUTE(SUBSTITUTE(SUBSTITUTE(INDEX(貼り付け!$A$1:$BZ$3001,971,$C$1)&amp;"",",",""),"¥",""),"￥","")),0))</f>
        <v/>
      </c>
      <c r="D972">
        <f>IF($D$1=0,0,IFERROR(VALUE(SUBSTITUTE(SUBSTITUTE(SUBSTITUTE(INDEX(貼り付け!$A$1:$BZ$3001,971,$D$1)&amp;"",",",""),"¥",""),"￥","")),0))</f>
        <v/>
      </c>
      <c r="E972">
        <f>IF($E$1=0,0,IFERROR(VALUE(SUBSTITUTE(SUBSTITUTE(SUBSTITUTE(INDEX(貼り付け!$A$1:$BZ$3001,971,$E$1)&amp;"",",",""),"¥",""),"￥","")),0))</f>
        <v/>
      </c>
      <c r="F972">
        <f>IF($F$1=0,0,IFERROR(VALUE(SUBSTITUTE(SUBSTITUTE(SUBSTITUTE(INDEX(貼り付け!$A$1:$BZ$3001,971,$F$1)&amp;"",",",""),"¥",""),"￥","")),0))</f>
        <v/>
      </c>
      <c r="G972">
        <f>IF(ISNUMBER(B972),YEAR(B972),"")</f>
        <v/>
      </c>
      <c r="H972">
        <f>IF(ISNUMBER(B972),MONTH(B972),"")</f>
        <v/>
      </c>
      <c r="I972">
        <f>IFERROR(IF($B$1=0,"",IF(ISNUMBER(INDEX(貼り付け!$A$1:$BZ$3001,971,$B$1)),"",SUBSTITUTE(SUBSTITUTE(SUBSTITUTE(SUBSTITUTE(TRIM(LEFT(INDEX(貼り付け!$A$1:$BZ$3001,971,$B$1)&amp;"",FIND(" ",TRIM(INDEX(貼り付け!$A$1:$BZ$3001,971,$B$1)&amp;"")&amp;" ")-1)),"/","-"),"年","-"),"月","-"),"日",""))),"")</f>
        <v/>
      </c>
      <c r="J972">
        <f>IFERROR(MID(I972,FIND("-",I972)+1,99),"")</f>
        <v/>
      </c>
    </row>
    <row r="973">
      <c r="B973">
        <f>IFERROR(IF($B$1=0,"",IF(INDEX(貼り付け!$A$1:$BZ$3001,972,$B$1)="","",IF(ISNUMBER(INDEX(貼り付け!$A$1:$BZ$3001,972,$B$1)),INT(INDEX(貼り付け!$A$1:$BZ$3001,972,$B$1)),DATE(VALUE(LEFT(I973,FIND("-",I973)-1)),VALUE(LEFT(J973,FIND("-",J973)-1)),VALUE(MID(J973,FIND("-",J973)+1,99)))))),"")</f>
        <v/>
      </c>
      <c r="C973">
        <f>IF($C$1=0,0,IFERROR(VALUE(SUBSTITUTE(SUBSTITUTE(SUBSTITUTE(INDEX(貼り付け!$A$1:$BZ$3001,972,$C$1)&amp;"",",",""),"¥",""),"￥","")),0))</f>
        <v/>
      </c>
      <c r="D973">
        <f>IF($D$1=0,0,IFERROR(VALUE(SUBSTITUTE(SUBSTITUTE(SUBSTITUTE(INDEX(貼り付け!$A$1:$BZ$3001,972,$D$1)&amp;"",",",""),"¥",""),"￥","")),0))</f>
        <v/>
      </c>
      <c r="E973">
        <f>IF($E$1=0,0,IFERROR(VALUE(SUBSTITUTE(SUBSTITUTE(SUBSTITUTE(INDEX(貼り付け!$A$1:$BZ$3001,972,$E$1)&amp;"",",",""),"¥",""),"￥","")),0))</f>
        <v/>
      </c>
      <c r="F973">
        <f>IF($F$1=0,0,IFERROR(VALUE(SUBSTITUTE(SUBSTITUTE(SUBSTITUTE(INDEX(貼り付け!$A$1:$BZ$3001,972,$F$1)&amp;"",",",""),"¥",""),"￥","")),0))</f>
        <v/>
      </c>
      <c r="G973">
        <f>IF(ISNUMBER(B973),YEAR(B973),"")</f>
        <v/>
      </c>
      <c r="H973">
        <f>IF(ISNUMBER(B973),MONTH(B973),"")</f>
        <v/>
      </c>
      <c r="I973">
        <f>IFERROR(IF($B$1=0,"",IF(ISNUMBER(INDEX(貼り付け!$A$1:$BZ$3001,972,$B$1)),"",SUBSTITUTE(SUBSTITUTE(SUBSTITUTE(SUBSTITUTE(TRIM(LEFT(INDEX(貼り付け!$A$1:$BZ$3001,972,$B$1)&amp;"",FIND(" ",TRIM(INDEX(貼り付け!$A$1:$BZ$3001,972,$B$1)&amp;"")&amp;" ")-1)),"/","-"),"年","-"),"月","-"),"日",""))),"")</f>
        <v/>
      </c>
      <c r="J973">
        <f>IFERROR(MID(I973,FIND("-",I973)+1,99),"")</f>
        <v/>
      </c>
    </row>
    <row r="974">
      <c r="B974">
        <f>IFERROR(IF($B$1=0,"",IF(INDEX(貼り付け!$A$1:$BZ$3001,973,$B$1)="","",IF(ISNUMBER(INDEX(貼り付け!$A$1:$BZ$3001,973,$B$1)),INT(INDEX(貼り付け!$A$1:$BZ$3001,973,$B$1)),DATE(VALUE(LEFT(I974,FIND("-",I974)-1)),VALUE(LEFT(J974,FIND("-",J974)-1)),VALUE(MID(J974,FIND("-",J974)+1,99)))))),"")</f>
        <v/>
      </c>
      <c r="C974">
        <f>IF($C$1=0,0,IFERROR(VALUE(SUBSTITUTE(SUBSTITUTE(SUBSTITUTE(INDEX(貼り付け!$A$1:$BZ$3001,973,$C$1)&amp;"",",",""),"¥",""),"￥","")),0))</f>
        <v/>
      </c>
      <c r="D974">
        <f>IF($D$1=0,0,IFERROR(VALUE(SUBSTITUTE(SUBSTITUTE(SUBSTITUTE(INDEX(貼り付け!$A$1:$BZ$3001,973,$D$1)&amp;"",",",""),"¥",""),"￥","")),0))</f>
        <v/>
      </c>
      <c r="E974">
        <f>IF($E$1=0,0,IFERROR(VALUE(SUBSTITUTE(SUBSTITUTE(SUBSTITUTE(INDEX(貼り付け!$A$1:$BZ$3001,973,$E$1)&amp;"",",",""),"¥",""),"￥","")),0))</f>
        <v/>
      </c>
      <c r="F974">
        <f>IF($F$1=0,0,IFERROR(VALUE(SUBSTITUTE(SUBSTITUTE(SUBSTITUTE(INDEX(貼り付け!$A$1:$BZ$3001,973,$F$1)&amp;"",",",""),"¥",""),"￥","")),0))</f>
        <v/>
      </c>
      <c r="G974">
        <f>IF(ISNUMBER(B974),YEAR(B974),"")</f>
        <v/>
      </c>
      <c r="H974">
        <f>IF(ISNUMBER(B974),MONTH(B974),"")</f>
        <v/>
      </c>
      <c r="I974">
        <f>IFERROR(IF($B$1=0,"",IF(ISNUMBER(INDEX(貼り付け!$A$1:$BZ$3001,973,$B$1)),"",SUBSTITUTE(SUBSTITUTE(SUBSTITUTE(SUBSTITUTE(TRIM(LEFT(INDEX(貼り付け!$A$1:$BZ$3001,973,$B$1)&amp;"",FIND(" ",TRIM(INDEX(貼り付け!$A$1:$BZ$3001,973,$B$1)&amp;"")&amp;" ")-1)),"/","-"),"年","-"),"月","-"),"日",""))),"")</f>
        <v/>
      </c>
      <c r="J974">
        <f>IFERROR(MID(I974,FIND("-",I974)+1,99),"")</f>
        <v/>
      </c>
    </row>
    <row r="975">
      <c r="B975">
        <f>IFERROR(IF($B$1=0,"",IF(INDEX(貼り付け!$A$1:$BZ$3001,974,$B$1)="","",IF(ISNUMBER(INDEX(貼り付け!$A$1:$BZ$3001,974,$B$1)),INT(INDEX(貼り付け!$A$1:$BZ$3001,974,$B$1)),DATE(VALUE(LEFT(I975,FIND("-",I975)-1)),VALUE(LEFT(J975,FIND("-",J975)-1)),VALUE(MID(J975,FIND("-",J975)+1,99)))))),"")</f>
        <v/>
      </c>
      <c r="C975">
        <f>IF($C$1=0,0,IFERROR(VALUE(SUBSTITUTE(SUBSTITUTE(SUBSTITUTE(INDEX(貼り付け!$A$1:$BZ$3001,974,$C$1)&amp;"",",",""),"¥",""),"￥","")),0))</f>
        <v/>
      </c>
      <c r="D975">
        <f>IF($D$1=0,0,IFERROR(VALUE(SUBSTITUTE(SUBSTITUTE(SUBSTITUTE(INDEX(貼り付け!$A$1:$BZ$3001,974,$D$1)&amp;"",",",""),"¥",""),"￥","")),0))</f>
        <v/>
      </c>
      <c r="E975">
        <f>IF($E$1=0,0,IFERROR(VALUE(SUBSTITUTE(SUBSTITUTE(SUBSTITUTE(INDEX(貼り付け!$A$1:$BZ$3001,974,$E$1)&amp;"",",",""),"¥",""),"￥","")),0))</f>
        <v/>
      </c>
      <c r="F975">
        <f>IF($F$1=0,0,IFERROR(VALUE(SUBSTITUTE(SUBSTITUTE(SUBSTITUTE(INDEX(貼り付け!$A$1:$BZ$3001,974,$F$1)&amp;"",",",""),"¥",""),"￥","")),0))</f>
        <v/>
      </c>
      <c r="G975">
        <f>IF(ISNUMBER(B975),YEAR(B975),"")</f>
        <v/>
      </c>
      <c r="H975">
        <f>IF(ISNUMBER(B975),MONTH(B975),"")</f>
        <v/>
      </c>
      <c r="I975">
        <f>IFERROR(IF($B$1=0,"",IF(ISNUMBER(INDEX(貼り付け!$A$1:$BZ$3001,974,$B$1)),"",SUBSTITUTE(SUBSTITUTE(SUBSTITUTE(SUBSTITUTE(TRIM(LEFT(INDEX(貼り付け!$A$1:$BZ$3001,974,$B$1)&amp;"",FIND(" ",TRIM(INDEX(貼り付け!$A$1:$BZ$3001,974,$B$1)&amp;"")&amp;" ")-1)),"/","-"),"年","-"),"月","-"),"日",""))),"")</f>
        <v/>
      </c>
      <c r="J975">
        <f>IFERROR(MID(I975,FIND("-",I975)+1,99),"")</f>
        <v/>
      </c>
    </row>
    <row r="976">
      <c r="B976">
        <f>IFERROR(IF($B$1=0,"",IF(INDEX(貼り付け!$A$1:$BZ$3001,975,$B$1)="","",IF(ISNUMBER(INDEX(貼り付け!$A$1:$BZ$3001,975,$B$1)),INT(INDEX(貼り付け!$A$1:$BZ$3001,975,$B$1)),DATE(VALUE(LEFT(I976,FIND("-",I976)-1)),VALUE(LEFT(J976,FIND("-",J976)-1)),VALUE(MID(J976,FIND("-",J976)+1,99)))))),"")</f>
        <v/>
      </c>
      <c r="C976">
        <f>IF($C$1=0,0,IFERROR(VALUE(SUBSTITUTE(SUBSTITUTE(SUBSTITUTE(INDEX(貼り付け!$A$1:$BZ$3001,975,$C$1)&amp;"",",",""),"¥",""),"￥","")),0))</f>
        <v/>
      </c>
      <c r="D976">
        <f>IF($D$1=0,0,IFERROR(VALUE(SUBSTITUTE(SUBSTITUTE(SUBSTITUTE(INDEX(貼り付け!$A$1:$BZ$3001,975,$D$1)&amp;"",",",""),"¥",""),"￥","")),0))</f>
        <v/>
      </c>
      <c r="E976">
        <f>IF($E$1=0,0,IFERROR(VALUE(SUBSTITUTE(SUBSTITUTE(SUBSTITUTE(INDEX(貼り付け!$A$1:$BZ$3001,975,$E$1)&amp;"",",",""),"¥",""),"￥","")),0))</f>
        <v/>
      </c>
      <c r="F976">
        <f>IF($F$1=0,0,IFERROR(VALUE(SUBSTITUTE(SUBSTITUTE(SUBSTITUTE(INDEX(貼り付け!$A$1:$BZ$3001,975,$F$1)&amp;"",",",""),"¥",""),"￥","")),0))</f>
        <v/>
      </c>
      <c r="G976">
        <f>IF(ISNUMBER(B976),YEAR(B976),"")</f>
        <v/>
      </c>
      <c r="H976">
        <f>IF(ISNUMBER(B976),MONTH(B976),"")</f>
        <v/>
      </c>
      <c r="I976">
        <f>IFERROR(IF($B$1=0,"",IF(ISNUMBER(INDEX(貼り付け!$A$1:$BZ$3001,975,$B$1)),"",SUBSTITUTE(SUBSTITUTE(SUBSTITUTE(SUBSTITUTE(TRIM(LEFT(INDEX(貼り付け!$A$1:$BZ$3001,975,$B$1)&amp;"",FIND(" ",TRIM(INDEX(貼り付け!$A$1:$BZ$3001,975,$B$1)&amp;"")&amp;" ")-1)),"/","-"),"年","-"),"月","-"),"日",""))),"")</f>
        <v/>
      </c>
      <c r="J976">
        <f>IFERROR(MID(I976,FIND("-",I976)+1,99),"")</f>
        <v/>
      </c>
    </row>
    <row r="977">
      <c r="B977">
        <f>IFERROR(IF($B$1=0,"",IF(INDEX(貼り付け!$A$1:$BZ$3001,976,$B$1)="","",IF(ISNUMBER(INDEX(貼り付け!$A$1:$BZ$3001,976,$B$1)),INT(INDEX(貼り付け!$A$1:$BZ$3001,976,$B$1)),DATE(VALUE(LEFT(I977,FIND("-",I977)-1)),VALUE(LEFT(J977,FIND("-",J977)-1)),VALUE(MID(J977,FIND("-",J977)+1,99)))))),"")</f>
        <v/>
      </c>
      <c r="C977">
        <f>IF($C$1=0,0,IFERROR(VALUE(SUBSTITUTE(SUBSTITUTE(SUBSTITUTE(INDEX(貼り付け!$A$1:$BZ$3001,976,$C$1)&amp;"",",",""),"¥",""),"￥","")),0))</f>
        <v/>
      </c>
      <c r="D977">
        <f>IF($D$1=0,0,IFERROR(VALUE(SUBSTITUTE(SUBSTITUTE(SUBSTITUTE(INDEX(貼り付け!$A$1:$BZ$3001,976,$D$1)&amp;"",",",""),"¥",""),"￥","")),0))</f>
        <v/>
      </c>
      <c r="E977">
        <f>IF($E$1=0,0,IFERROR(VALUE(SUBSTITUTE(SUBSTITUTE(SUBSTITUTE(INDEX(貼り付け!$A$1:$BZ$3001,976,$E$1)&amp;"",",",""),"¥",""),"￥","")),0))</f>
        <v/>
      </c>
      <c r="F977">
        <f>IF($F$1=0,0,IFERROR(VALUE(SUBSTITUTE(SUBSTITUTE(SUBSTITUTE(INDEX(貼り付け!$A$1:$BZ$3001,976,$F$1)&amp;"",",",""),"¥",""),"￥","")),0))</f>
        <v/>
      </c>
      <c r="G977">
        <f>IF(ISNUMBER(B977),YEAR(B977),"")</f>
        <v/>
      </c>
      <c r="H977">
        <f>IF(ISNUMBER(B977),MONTH(B977),"")</f>
        <v/>
      </c>
      <c r="I977">
        <f>IFERROR(IF($B$1=0,"",IF(ISNUMBER(INDEX(貼り付け!$A$1:$BZ$3001,976,$B$1)),"",SUBSTITUTE(SUBSTITUTE(SUBSTITUTE(SUBSTITUTE(TRIM(LEFT(INDEX(貼り付け!$A$1:$BZ$3001,976,$B$1)&amp;"",FIND(" ",TRIM(INDEX(貼り付け!$A$1:$BZ$3001,976,$B$1)&amp;"")&amp;" ")-1)),"/","-"),"年","-"),"月","-"),"日",""))),"")</f>
        <v/>
      </c>
      <c r="J977">
        <f>IFERROR(MID(I977,FIND("-",I977)+1,99),"")</f>
        <v/>
      </c>
    </row>
    <row r="978">
      <c r="B978">
        <f>IFERROR(IF($B$1=0,"",IF(INDEX(貼り付け!$A$1:$BZ$3001,977,$B$1)="","",IF(ISNUMBER(INDEX(貼り付け!$A$1:$BZ$3001,977,$B$1)),INT(INDEX(貼り付け!$A$1:$BZ$3001,977,$B$1)),DATE(VALUE(LEFT(I978,FIND("-",I978)-1)),VALUE(LEFT(J978,FIND("-",J978)-1)),VALUE(MID(J978,FIND("-",J978)+1,99)))))),"")</f>
        <v/>
      </c>
      <c r="C978">
        <f>IF($C$1=0,0,IFERROR(VALUE(SUBSTITUTE(SUBSTITUTE(SUBSTITUTE(INDEX(貼り付け!$A$1:$BZ$3001,977,$C$1)&amp;"",",",""),"¥",""),"￥","")),0))</f>
        <v/>
      </c>
      <c r="D978">
        <f>IF($D$1=0,0,IFERROR(VALUE(SUBSTITUTE(SUBSTITUTE(SUBSTITUTE(INDEX(貼り付け!$A$1:$BZ$3001,977,$D$1)&amp;"",",",""),"¥",""),"￥","")),0))</f>
        <v/>
      </c>
      <c r="E978">
        <f>IF($E$1=0,0,IFERROR(VALUE(SUBSTITUTE(SUBSTITUTE(SUBSTITUTE(INDEX(貼り付け!$A$1:$BZ$3001,977,$E$1)&amp;"",",",""),"¥",""),"￥","")),0))</f>
        <v/>
      </c>
      <c r="F978">
        <f>IF($F$1=0,0,IFERROR(VALUE(SUBSTITUTE(SUBSTITUTE(SUBSTITUTE(INDEX(貼り付け!$A$1:$BZ$3001,977,$F$1)&amp;"",",",""),"¥",""),"￥","")),0))</f>
        <v/>
      </c>
      <c r="G978">
        <f>IF(ISNUMBER(B978),YEAR(B978),"")</f>
        <v/>
      </c>
      <c r="H978">
        <f>IF(ISNUMBER(B978),MONTH(B978),"")</f>
        <v/>
      </c>
      <c r="I978">
        <f>IFERROR(IF($B$1=0,"",IF(ISNUMBER(INDEX(貼り付け!$A$1:$BZ$3001,977,$B$1)),"",SUBSTITUTE(SUBSTITUTE(SUBSTITUTE(SUBSTITUTE(TRIM(LEFT(INDEX(貼り付け!$A$1:$BZ$3001,977,$B$1)&amp;"",FIND(" ",TRIM(INDEX(貼り付け!$A$1:$BZ$3001,977,$B$1)&amp;"")&amp;" ")-1)),"/","-"),"年","-"),"月","-"),"日",""))),"")</f>
        <v/>
      </c>
      <c r="J978">
        <f>IFERROR(MID(I978,FIND("-",I978)+1,99),"")</f>
        <v/>
      </c>
    </row>
    <row r="979">
      <c r="B979">
        <f>IFERROR(IF($B$1=0,"",IF(INDEX(貼り付け!$A$1:$BZ$3001,978,$B$1)="","",IF(ISNUMBER(INDEX(貼り付け!$A$1:$BZ$3001,978,$B$1)),INT(INDEX(貼り付け!$A$1:$BZ$3001,978,$B$1)),DATE(VALUE(LEFT(I979,FIND("-",I979)-1)),VALUE(LEFT(J979,FIND("-",J979)-1)),VALUE(MID(J979,FIND("-",J979)+1,99)))))),"")</f>
        <v/>
      </c>
      <c r="C979">
        <f>IF($C$1=0,0,IFERROR(VALUE(SUBSTITUTE(SUBSTITUTE(SUBSTITUTE(INDEX(貼り付け!$A$1:$BZ$3001,978,$C$1)&amp;"",",",""),"¥",""),"￥","")),0))</f>
        <v/>
      </c>
      <c r="D979">
        <f>IF($D$1=0,0,IFERROR(VALUE(SUBSTITUTE(SUBSTITUTE(SUBSTITUTE(INDEX(貼り付け!$A$1:$BZ$3001,978,$D$1)&amp;"",",",""),"¥",""),"￥","")),0))</f>
        <v/>
      </c>
      <c r="E979">
        <f>IF($E$1=0,0,IFERROR(VALUE(SUBSTITUTE(SUBSTITUTE(SUBSTITUTE(INDEX(貼り付け!$A$1:$BZ$3001,978,$E$1)&amp;"",",",""),"¥",""),"￥","")),0))</f>
        <v/>
      </c>
      <c r="F979">
        <f>IF($F$1=0,0,IFERROR(VALUE(SUBSTITUTE(SUBSTITUTE(SUBSTITUTE(INDEX(貼り付け!$A$1:$BZ$3001,978,$F$1)&amp;"",",",""),"¥",""),"￥","")),0))</f>
        <v/>
      </c>
      <c r="G979">
        <f>IF(ISNUMBER(B979),YEAR(B979),"")</f>
        <v/>
      </c>
      <c r="H979">
        <f>IF(ISNUMBER(B979),MONTH(B979),"")</f>
        <v/>
      </c>
      <c r="I979">
        <f>IFERROR(IF($B$1=0,"",IF(ISNUMBER(INDEX(貼り付け!$A$1:$BZ$3001,978,$B$1)),"",SUBSTITUTE(SUBSTITUTE(SUBSTITUTE(SUBSTITUTE(TRIM(LEFT(INDEX(貼り付け!$A$1:$BZ$3001,978,$B$1)&amp;"",FIND(" ",TRIM(INDEX(貼り付け!$A$1:$BZ$3001,978,$B$1)&amp;"")&amp;" ")-1)),"/","-"),"年","-"),"月","-"),"日",""))),"")</f>
        <v/>
      </c>
      <c r="J979">
        <f>IFERROR(MID(I979,FIND("-",I979)+1,99),"")</f>
        <v/>
      </c>
    </row>
    <row r="980">
      <c r="B980">
        <f>IFERROR(IF($B$1=0,"",IF(INDEX(貼り付け!$A$1:$BZ$3001,979,$B$1)="","",IF(ISNUMBER(INDEX(貼り付け!$A$1:$BZ$3001,979,$B$1)),INT(INDEX(貼り付け!$A$1:$BZ$3001,979,$B$1)),DATE(VALUE(LEFT(I980,FIND("-",I980)-1)),VALUE(LEFT(J980,FIND("-",J980)-1)),VALUE(MID(J980,FIND("-",J980)+1,99)))))),"")</f>
        <v/>
      </c>
      <c r="C980">
        <f>IF($C$1=0,0,IFERROR(VALUE(SUBSTITUTE(SUBSTITUTE(SUBSTITUTE(INDEX(貼り付け!$A$1:$BZ$3001,979,$C$1)&amp;"",",",""),"¥",""),"￥","")),0))</f>
        <v/>
      </c>
      <c r="D980">
        <f>IF($D$1=0,0,IFERROR(VALUE(SUBSTITUTE(SUBSTITUTE(SUBSTITUTE(INDEX(貼り付け!$A$1:$BZ$3001,979,$D$1)&amp;"",",",""),"¥",""),"￥","")),0))</f>
        <v/>
      </c>
      <c r="E980">
        <f>IF($E$1=0,0,IFERROR(VALUE(SUBSTITUTE(SUBSTITUTE(SUBSTITUTE(INDEX(貼り付け!$A$1:$BZ$3001,979,$E$1)&amp;"",",",""),"¥",""),"￥","")),0))</f>
        <v/>
      </c>
      <c r="F980">
        <f>IF($F$1=0,0,IFERROR(VALUE(SUBSTITUTE(SUBSTITUTE(SUBSTITUTE(INDEX(貼り付け!$A$1:$BZ$3001,979,$F$1)&amp;"",",",""),"¥",""),"￥","")),0))</f>
        <v/>
      </c>
      <c r="G980">
        <f>IF(ISNUMBER(B980),YEAR(B980),"")</f>
        <v/>
      </c>
      <c r="H980">
        <f>IF(ISNUMBER(B980),MONTH(B980),"")</f>
        <v/>
      </c>
      <c r="I980">
        <f>IFERROR(IF($B$1=0,"",IF(ISNUMBER(INDEX(貼り付け!$A$1:$BZ$3001,979,$B$1)),"",SUBSTITUTE(SUBSTITUTE(SUBSTITUTE(SUBSTITUTE(TRIM(LEFT(INDEX(貼り付け!$A$1:$BZ$3001,979,$B$1)&amp;"",FIND(" ",TRIM(INDEX(貼り付け!$A$1:$BZ$3001,979,$B$1)&amp;"")&amp;" ")-1)),"/","-"),"年","-"),"月","-"),"日",""))),"")</f>
        <v/>
      </c>
      <c r="J980">
        <f>IFERROR(MID(I980,FIND("-",I980)+1,99),"")</f>
        <v/>
      </c>
    </row>
    <row r="981">
      <c r="B981">
        <f>IFERROR(IF($B$1=0,"",IF(INDEX(貼り付け!$A$1:$BZ$3001,980,$B$1)="","",IF(ISNUMBER(INDEX(貼り付け!$A$1:$BZ$3001,980,$B$1)),INT(INDEX(貼り付け!$A$1:$BZ$3001,980,$B$1)),DATE(VALUE(LEFT(I981,FIND("-",I981)-1)),VALUE(LEFT(J981,FIND("-",J981)-1)),VALUE(MID(J981,FIND("-",J981)+1,99)))))),"")</f>
        <v/>
      </c>
      <c r="C981">
        <f>IF($C$1=0,0,IFERROR(VALUE(SUBSTITUTE(SUBSTITUTE(SUBSTITUTE(INDEX(貼り付け!$A$1:$BZ$3001,980,$C$1)&amp;"",",",""),"¥",""),"￥","")),0))</f>
        <v/>
      </c>
      <c r="D981">
        <f>IF($D$1=0,0,IFERROR(VALUE(SUBSTITUTE(SUBSTITUTE(SUBSTITUTE(INDEX(貼り付け!$A$1:$BZ$3001,980,$D$1)&amp;"",",",""),"¥",""),"￥","")),0))</f>
        <v/>
      </c>
      <c r="E981">
        <f>IF($E$1=0,0,IFERROR(VALUE(SUBSTITUTE(SUBSTITUTE(SUBSTITUTE(INDEX(貼り付け!$A$1:$BZ$3001,980,$E$1)&amp;"",",",""),"¥",""),"￥","")),0))</f>
        <v/>
      </c>
      <c r="F981">
        <f>IF($F$1=0,0,IFERROR(VALUE(SUBSTITUTE(SUBSTITUTE(SUBSTITUTE(INDEX(貼り付け!$A$1:$BZ$3001,980,$F$1)&amp;"",",",""),"¥",""),"￥","")),0))</f>
        <v/>
      </c>
      <c r="G981">
        <f>IF(ISNUMBER(B981),YEAR(B981),"")</f>
        <v/>
      </c>
      <c r="H981">
        <f>IF(ISNUMBER(B981),MONTH(B981),"")</f>
        <v/>
      </c>
      <c r="I981">
        <f>IFERROR(IF($B$1=0,"",IF(ISNUMBER(INDEX(貼り付け!$A$1:$BZ$3001,980,$B$1)),"",SUBSTITUTE(SUBSTITUTE(SUBSTITUTE(SUBSTITUTE(TRIM(LEFT(INDEX(貼り付け!$A$1:$BZ$3001,980,$B$1)&amp;"",FIND(" ",TRIM(INDEX(貼り付け!$A$1:$BZ$3001,980,$B$1)&amp;"")&amp;" ")-1)),"/","-"),"年","-"),"月","-"),"日",""))),"")</f>
        <v/>
      </c>
      <c r="J981">
        <f>IFERROR(MID(I981,FIND("-",I981)+1,99),"")</f>
        <v/>
      </c>
    </row>
    <row r="982">
      <c r="B982">
        <f>IFERROR(IF($B$1=0,"",IF(INDEX(貼り付け!$A$1:$BZ$3001,981,$B$1)="","",IF(ISNUMBER(INDEX(貼り付け!$A$1:$BZ$3001,981,$B$1)),INT(INDEX(貼り付け!$A$1:$BZ$3001,981,$B$1)),DATE(VALUE(LEFT(I982,FIND("-",I982)-1)),VALUE(LEFT(J982,FIND("-",J982)-1)),VALUE(MID(J982,FIND("-",J982)+1,99)))))),"")</f>
        <v/>
      </c>
      <c r="C982">
        <f>IF($C$1=0,0,IFERROR(VALUE(SUBSTITUTE(SUBSTITUTE(SUBSTITUTE(INDEX(貼り付け!$A$1:$BZ$3001,981,$C$1)&amp;"",",",""),"¥",""),"￥","")),0))</f>
        <v/>
      </c>
      <c r="D982">
        <f>IF($D$1=0,0,IFERROR(VALUE(SUBSTITUTE(SUBSTITUTE(SUBSTITUTE(INDEX(貼り付け!$A$1:$BZ$3001,981,$D$1)&amp;"",",",""),"¥",""),"￥","")),0))</f>
        <v/>
      </c>
      <c r="E982">
        <f>IF($E$1=0,0,IFERROR(VALUE(SUBSTITUTE(SUBSTITUTE(SUBSTITUTE(INDEX(貼り付け!$A$1:$BZ$3001,981,$E$1)&amp;"",",",""),"¥",""),"￥","")),0))</f>
        <v/>
      </c>
      <c r="F982">
        <f>IF($F$1=0,0,IFERROR(VALUE(SUBSTITUTE(SUBSTITUTE(SUBSTITUTE(INDEX(貼り付け!$A$1:$BZ$3001,981,$F$1)&amp;"",",",""),"¥",""),"￥","")),0))</f>
        <v/>
      </c>
      <c r="G982">
        <f>IF(ISNUMBER(B982),YEAR(B982),"")</f>
        <v/>
      </c>
      <c r="H982">
        <f>IF(ISNUMBER(B982),MONTH(B982),"")</f>
        <v/>
      </c>
      <c r="I982">
        <f>IFERROR(IF($B$1=0,"",IF(ISNUMBER(INDEX(貼り付け!$A$1:$BZ$3001,981,$B$1)),"",SUBSTITUTE(SUBSTITUTE(SUBSTITUTE(SUBSTITUTE(TRIM(LEFT(INDEX(貼り付け!$A$1:$BZ$3001,981,$B$1)&amp;"",FIND(" ",TRIM(INDEX(貼り付け!$A$1:$BZ$3001,981,$B$1)&amp;"")&amp;" ")-1)),"/","-"),"年","-"),"月","-"),"日",""))),"")</f>
        <v/>
      </c>
      <c r="J982">
        <f>IFERROR(MID(I982,FIND("-",I982)+1,99),"")</f>
        <v/>
      </c>
    </row>
    <row r="983">
      <c r="B983">
        <f>IFERROR(IF($B$1=0,"",IF(INDEX(貼り付け!$A$1:$BZ$3001,982,$B$1)="","",IF(ISNUMBER(INDEX(貼り付け!$A$1:$BZ$3001,982,$B$1)),INT(INDEX(貼り付け!$A$1:$BZ$3001,982,$B$1)),DATE(VALUE(LEFT(I983,FIND("-",I983)-1)),VALUE(LEFT(J983,FIND("-",J983)-1)),VALUE(MID(J983,FIND("-",J983)+1,99)))))),"")</f>
        <v/>
      </c>
      <c r="C983">
        <f>IF($C$1=0,0,IFERROR(VALUE(SUBSTITUTE(SUBSTITUTE(SUBSTITUTE(INDEX(貼り付け!$A$1:$BZ$3001,982,$C$1)&amp;"",",",""),"¥",""),"￥","")),0))</f>
        <v/>
      </c>
      <c r="D983">
        <f>IF($D$1=0,0,IFERROR(VALUE(SUBSTITUTE(SUBSTITUTE(SUBSTITUTE(INDEX(貼り付け!$A$1:$BZ$3001,982,$D$1)&amp;"",",",""),"¥",""),"￥","")),0))</f>
        <v/>
      </c>
      <c r="E983">
        <f>IF($E$1=0,0,IFERROR(VALUE(SUBSTITUTE(SUBSTITUTE(SUBSTITUTE(INDEX(貼り付け!$A$1:$BZ$3001,982,$E$1)&amp;"",",",""),"¥",""),"￥","")),0))</f>
        <v/>
      </c>
      <c r="F983">
        <f>IF($F$1=0,0,IFERROR(VALUE(SUBSTITUTE(SUBSTITUTE(SUBSTITUTE(INDEX(貼り付け!$A$1:$BZ$3001,982,$F$1)&amp;"",",",""),"¥",""),"￥","")),0))</f>
        <v/>
      </c>
      <c r="G983">
        <f>IF(ISNUMBER(B983),YEAR(B983),"")</f>
        <v/>
      </c>
      <c r="H983">
        <f>IF(ISNUMBER(B983),MONTH(B983),"")</f>
        <v/>
      </c>
      <c r="I983">
        <f>IFERROR(IF($B$1=0,"",IF(ISNUMBER(INDEX(貼り付け!$A$1:$BZ$3001,982,$B$1)),"",SUBSTITUTE(SUBSTITUTE(SUBSTITUTE(SUBSTITUTE(TRIM(LEFT(INDEX(貼り付け!$A$1:$BZ$3001,982,$B$1)&amp;"",FIND(" ",TRIM(INDEX(貼り付け!$A$1:$BZ$3001,982,$B$1)&amp;"")&amp;" ")-1)),"/","-"),"年","-"),"月","-"),"日",""))),"")</f>
        <v/>
      </c>
      <c r="J983">
        <f>IFERROR(MID(I983,FIND("-",I983)+1,99),"")</f>
        <v/>
      </c>
    </row>
    <row r="984">
      <c r="B984">
        <f>IFERROR(IF($B$1=0,"",IF(INDEX(貼り付け!$A$1:$BZ$3001,983,$B$1)="","",IF(ISNUMBER(INDEX(貼り付け!$A$1:$BZ$3001,983,$B$1)),INT(INDEX(貼り付け!$A$1:$BZ$3001,983,$B$1)),DATE(VALUE(LEFT(I984,FIND("-",I984)-1)),VALUE(LEFT(J984,FIND("-",J984)-1)),VALUE(MID(J984,FIND("-",J984)+1,99)))))),"")</f>
        <v/>
      </c>
      <c r="C984">
        <f>IF($C$1=0,0,IFERROR(VALUE(SUBSTITUTE(SUBSTITUTE(SUBSTITUTE(INDEX(貼り付け!$A$1:$BZ$3001,983,$C$1)&amp;"",",",""),"¥",""),"￥","")),0))</f>
        <v/>
      </c>
      <c r="D984">
        <f>IF($D$1=0,0,IFERROR(VALUE(SUBSTITUTE(SUBSTITUTE(SUBSTITUTE(INDEX(貼り付け!$A$1:$BZ$3001,983,$D$1)&amp;"",",",""),"¥",""),"￥","")),0))</f>
        <v/>
      </c>
      <c r="E984">
        <f>IF($E$1=0,0,IFERROR(VALUE(SUBSTITUTE(SUBSTITUTE(SUBSTITUTE(INDEX(貼り付け!$A$1:$BZ$3001,983,$E$1)&amp;"",",",""),"¥",""),"￥","")),0))</f>
        <v/>
      </c>
      <c r="F984">
        <f>IF($F$1=0,0,IFERROR(VALUE(SUBSTITUTE(SUBSTITUTE(SUBSTITUTE(INDEX(貼り付け!$A$1:$BZ$3001,983,$F$1)&amp;"",",",""),"¥",""),"￥","")),0))</f>
        <v/>
      </c>
      <c r="G984">
        <f>IF(ISNUMBER(B984),YEAR(B984),"")</f>
        <v/>
      </c>
      <c r="H984">
        <f>IF(ISNUMBER(B984),MONTH(B984),"")</f>
        <v/>
      </c>
      <c r="I984">
        <f>IFERROR(IF($B$1=0,"",IF(ISNUMBER(INDEX(貼り付け!$A$1:$BZ$3001,983,$B$1)),"",SUBSTITUTE(SUBSTITUTE(SUBSTITUTE(SUBSTITUTE(TRIM(LEFT(INDEX(貼り付け!$A$1:$BZ$3001,983,$B$1)&amp;"",FIND(" ",TRIM(INDEX(貼り付け!$A$1:$BZ$3001,983,$B$1)&amp;"")&amp;" ")-1)),"/","-"),"年","-"),"月","-"),"日",""))),"")</f>
        <v/>
      </c>
      <c r="J984">
        <f>IFERROR(MID(I984,FIND("-",I984)+1,99),"")</f>
        <v/>
      </c>
    </row>
    <row r="985">
      <c r="B985">
        <f>IFERROR(IF($B$1=0,"",IF(INDEX(貼り付け!$A$1:$BZ$3001,984,$B$1)="","",IF(ISNUMBER(INDEX(貼り付け!$A$1:$BZ$3001,984,$B$1)),INT(INDEX(貼り付け!$A$1:$BZ$3001,984,$B$1)),DATE(VALUE(LEFT(I985,FIND("-",I985)-1)),VALUE(LEFT(J985,FIND("-",J985)-1)),VALUE(MID(J985,FIND("-",J985)+1,99)))))),"")</f>
        <v/>
      </c>
      <c r="C985">
        <f>IF($C$1=0,0,IFERROR(VALUE(SUBSTITUTE(SUBSTITUTE(SUBSTITUTE(INDEX(貼り付け!$A$1:$BZ$3001,984,$C$1)&amp;"",",",""),"¥",""),"￥","")),0))</f>
        <v/>
      </c>
      <c r="D985">
        <f>IF($D$1=0,0,IFERROR(VALUE(SUBSTITUTE(SUBSTITUTE(SUBSTITUTE(INDEX(貼り付け!$A$1:$BZ$3001,984,$D$1)&amp;"",",",""),"¥",""),"￥","")),0))</f>
        <v/>
      </c>
      <c r="E985">
        <f>IF($E$1=0,0,IFERROR(VALUE(SUBSTITUTE(SUBSTITUTE(SUBSTITUTE(INDEX(貼り付け!$A$1:$BZ$3001,984,$E$1)&amp;"",",",""),"¥",""),"￥","")),0))</f>
        <v/>
      </c>
      <c r="F985">
        <f>IF($F$1=0,0,IFERROR(VALUE(SUBSTITUTE(SUBSTITUTE(SUBSTITUTE(INDEX(貼り付け!$A$1:$BZ$3001,984,$F$1)&amp;"",",",""),"¥",""),"￥","")),0))</f>
        <v/>
      </c>
      <c r="G985">
        <f>IF(ISNUMBER(B985),YEAR(B985),"")</f>
        <v/>
      </c>
      <c r="H985">
        <f>IF(ISNUMBER(B985),MONTH(B985),"")</f>
        <v/>
      </c>
      <c r="I985">
        <f>IFERROR(IF($B$1=0,"",IF(ISNUMBER(INDEX(貼り付け!$A$1:$BZ$3001,984,$B$1)),"",SUBSTITUTE(SUBSTITUTE(SUBSTITUTE(SUBSTITUTE(TRIM(LEFT(INDEX(貼り付け!$A$1:$BZ$3001,984,$B$1)&amp;"",FIND(" ",TRIM(INDEX(貼り付け!$A$1:$BZ$3001,984,$B$1)&amp;"")&amp;" ")-1)),"/","-"),"年","-"),"月","-"),"日",""))),"")</f>
        <v/>
      </c>
      <c r="J985">
        <f>IFERROR(MID(I985,FIND("-",I985)+1,99),"")</f>
        <v/>
      </c>
    </row>
    <row r="986">
      <c r="B986">
        <f>IFERROR(IF($B$1=0,"",IF(INDEX(貼り付け!$A$1:$BZ$3001,985,$B$1)="","",IF(ISNUMBER(INDEX(貼り付け!$A$1:$BZ$3001,985,$B$1)),INT(INDEX(貼り付け!$A$1:$BZ$3001,985,$B$1)),DATE(VALUE(LEFT(I986,FIND("-",I986)-1)),VALUE(LEFT(J986,FIND("-",J986)-1)),VALUE(MID(J986,FIND("-",J986)+1,99)))))),"")</f>
        <v/>
      </c>
      <c r="C986">
        <f>IF($C$1=0,0,IFERROR(VALUE(SUBSTITUTE(SUBSTITUTE(SUBSTITUTE(INDEX(貼り付け!$A$1:$BZ$3001,985,$C$1)&amp;"",",",""),"¥",""),"￥","")),0))</f>
        <v/>
      </c>
      <c r="D986">
        <f>IF($D$1=0,0,IFERROR(VALUE(SUBSTITUTE(SUBSTITUTE(SUBSTITUTE(INDEX(貼り付け!$A$1:$BZ$3001,985,$D$1)&amp;"",",",""),"¥",""),"￥","")),0))</f>
        <v/>
      </c>
      <c r="E986">
        <f>IF($E$1=0,0,IFERROR(VALUE(SUBSTITUTE(SUBSTITUTE(SUBSTITUTE(INDEX(貼り付け!$A$1:$BZ$3001,985,$E$1)&amp;"",",",""),"¥",""),"￥","")),0))</f>
        <v/>
      </c>
      <c r="F986">
        <f>IF($F$1=0,0,IFERROR(VALUE(SUBSTITUTE(SUBSTITUTE(SUBSTITUTE(INDEX(貼り付け!$A$1:$BZ$3001,985,$F$1)&amp;"",",",""),"¥",""),"￥","")),0))</f>
        <v/>
      </c>
      <c r="G986">
        <f>IF(ISNUMBER(B986),YEAR(B986),"")</f>
        <v/>
      </c>
      <c r="H986">
        <f>IF(ISNUMBER(B986),MONTH(B986),"")</f>
        <v/>
      </c>
      <c r="I986">
        <f>IFERROR(IF($B$1=0,"",IF(ISNUMBER(INDEX(貼り付け!$A$1:$BZ$3001,985,$B$1)),"",SUBSTITUTE(SUBSTITUTE(SUBSTITUTE(SUBSTITUTE(TRIM(LEFT(INDEX(貼り付け!$A$1:$BZ$3001,985,$B$1)&amp;"",FIND(" ",TRIM(INDEX(貼り付け!$A$1:$BZ$3001,985,$B$1)&amp;"")&amp;" ")-1)),"/","-"),"年","-"),"月","-"),"日",""))),"")</f>
        <v/>
      </c>
      <c r="J986">
        <f>IFERROR(MID(I986,FIND("-",I986)+1,99),"")</f>
        <v/>
      </c>
    </row>
    <row r="987">
      <c r="B987">
        <f>IFERROR(IF($B$1=0,"",IF(INDEX(貼り付け!$A$1:$BZ$3001,986,$B$1)="","",IF(ISNUMBER(INDEX(貼り付け!$A$1:$BZ$3001,986,$B$1)),INT(INDEX(貼り付け!$A$1:$BZ$3001,986,$B$1)),DATE(VALUE(LEFT(I987,FIND("-",I987)-1)),VALUE(LEFT(J987,FIND("-",J987)-1)),VALUE(MID(J987,FIND("-",J987)+1,99)))))),"")</f>
        <v/>
      </c>
      <c r="C987">
        <f>IF($C$1=0,0,IFERROR(VALUE(SUBSTITUTE(SUBSTITUTE(SUBSTITUTE(INDEX(貼り付け!$A$1:$BZ$3001,986,$C$1)&amp;"",",",""),"¥",""),"￥","")),0))</f>
        <v/>
      </c>
      <c r="D987">
        <f>IF($D$1=0,0,IFERROR(VALUE(SUBSTITUTE(SUBSTITUTE(SUBSTITUTE(INDEX(貼り付け!$A$1:$BZ$3001,986,$D$1)&amp;"",",",""),"¥",""),"￥","")),0))</f>
        <v/>
      </c>
      <c r="E987">
        <f>IF($E$1=0,0,IFERROR(VALUE(SUBSTITUTE(SUBSTITUTE(SUBSTITUTE(INDEX(貼り付け!$A$1:$BZ$3001,986,$E$1)&amp;"",",",""),"¥",""),"￥","")),0))</f>
        <v/>
      </c>
      <c r="F987">
        <f>IF($F$1=0,0,IFERROR(VALUE(SUBSTITUTE(SUBSTITUTE(SUBSTITUTE(INDEX(貼り付け!$A$1:$BZ$3001,986,$F$1)&amp;"",",",""),"¥",""),"￥","")),0))</f>
        <v/>
      </c>
      <c r="G987">
        <f>IF(ISNUMBER(B987),YEAR(B987),"")</f>
        <v/>
      </c>
      <c r="H987">
        <f>IF(ISNUMBER(B987),MONTH(B987),"")</f>
        <v/>
      </c>
      <c r="I987">
        <f>IFERROR(IF($B$1=0,"",IF(ISNUMBER(INDEX(貼り付け!$A$1:$BZ$3001,986,$B$1)),"",SUBSTITUTE(SUBSTITUTE(SUBSTITUTE(SUBSTITUTE(TRIM(LEFT(INDEX(貼り付け!$A$1:$BZ$3001,986,$B$1)&amp;"",FIND(" ",TRIM(INDEX(貼り付け!$A$1:$BZ$3001,986,$B$1)&amp;"")&amp;" ")-1)),"/","-"),"年","-"),"月","-"),"日",""))),"")</f>
        <v/>
      </c>
      <c r="J987">
        <f>IFERROR(MID(I987,FIND("-",I987)+1,99),"")</f>
        <v/>
      </c>
    </row>
    <row r="988">
      <c r="B988">
        <f>IFERROR(IF($B$1=0,"",IF(INDEX(貼り付け!$A$1:$BZ$3001,987,$B$1)="","",IF(ISNUMBER(INDEX(貼り付け!$A$1:$BZ$3001,987,$B$1)),INT(INDEX(貼り付け!$A$1:$BZ$3001,987,$B$1)),DATE(VALUE(LEFT(I988,FIND("-",I988)-1)),VALUE(LEFT(J988,FIND("-",J988)-1)),VALUE(MID(J988,FIND("-",J988)+1,99)))))),"")</f>
        <v/>
      </c>
      <c r="C988">
        <f>IF($C$1=0,0,IFERROR(VALUE(SUBSTITUTE(SUBSTITUTE(SUBSTITUTE(INDEX(貼り付け!$A$1:$BZ$3001,987,$C$1)&amp;"",",",""),"¥",""),"￥","")),0))</f>
        <v/>
      </c>
      <c r="D988">
        <f>IF($D$1=0,0,IFERROR(VALUE(SUBSTITUTE(SUBSTITUTE(SUBSTITUTE(INDEX(貼り付け!$A$1:$BZ$3001,987,$D$1)&amp;"",",",""),"¥",""),"￥","")),0))</f>
        <v/>
      </c>
      <c r="E988">
        <f>IF($E$1=0,0,IFERROR(VALUE(SUBSTITUTE(SUBSTITUTE(SUBSTITUTE(INDEX(貼り付け!$A$1:$BZ$3001,987,$E$1)&amp;"",",",""),"¥",""),"￥","")),0))</f>
        <v/>
      </c>
      <c r="F988">
        <f>IF($F$1=0,0,IFERROR(VALUE(SUBSTITUTE(SUBSTITUTE(SUBSTITUTE(INDEX(貼り付け!$A$1:$BZ$3001,987,$F$1)&amp;"",",",""),"¥",""),"￥","")),0))</f>
        <v/>
      </c>
      <c r="G988">
        <f>IF(ISNUMBER(B988),YEAR(B988),"")</f>
        <v/>
      </c>
      <c r="H988">
        <f>IF(ISNUMBER(B988),MONTH(B988),"")</f>
        <v/>
      </c>
      <c r="I988">
        <f>IFERROR(IF($B$1=0,"",IF(ISNUMBER(INDEX(貼り付け!$A$1:$BZ$3001,987,$B$1)),"",SUBSTITUTE(SUBSTITUTE(SUBSTITUTE(SUBSTITUTE(TRIM(LEFT(INDEX(貼り付け!$A$1:$BZ$3001,987,$B$1)&amp;"",FIND(" ",TRIM(INDEX(貼り付け!$A$1:$BZ$3001,987,$B$1)&amp;"")&amp;" ")-1)),"/","-"),"年","-"),"月","-"),"日",""))),"")</f>
        <v/>
      </c>
      <c r="J988">
        <f>IFERROR(MID(I988,FIND("-",I988)+1,99),"")</f>
        <v/>
      </c>
    </row>
    <row r="989">
      <c r="B989">
        <f>IFERROR(IF($B$1=0,"",IF(INDEX(貼り付け!$A$1:$BZ$3001,988,$B$1)="","",IF(ISNUMBER(INDEX(貼り付け!$A$1:$BZ$3001,988,$B$1)),INT(INDEX(貼り付け!$A$1:$BZ$3001,988,$B$1)),DATE(VALUE(LEFT(I989,FIND("-",I989)-1)),VALUE(LEFT(J989,FIND("-",J989)-1)),VALUE(MID(J989,FIND("-",J989)+1,99)))))),"")</f>
        <v/>
      </c>
      <c r="C989">
        <f>IF($C$1=0,0,IFERROR(VALUE(SUBSTITUTE(SUBSTITUTE(SUBSTITUTE(INDEX(貼り付け!$A$1:$BZ$3001,988,$C$1)&amp;"",",",""),"¥",""),"￥","")),0))</f>
        <v/>
      </c>
      <c r="D989">
        <f>IF($D$1=0,0,IFERROR(VALUE(SUBSTITUTE(SUBSTITUTE(SUBSTITUTE(INDEX(貼り付け!$A$1:$BZ$3001,988,$D$1)&amp;"",",",""),"¥",""),"￥","")),0))</f>
        <v/>
      </c>
      <c r="E989">
        <f>IF($E$1=0,0,IFERROR(VALUE(SUBSTITUTE(SUBSTITUTE(SUBSTITUTE(INDEX(貼り付け!$A$1:$BZ$3001,988,$E$1)&amp;"",",",""),"¥",""),"￥","")),0))</f>
        <v/>
      </c>
      <c r="F989">
        <f>IF($F$1=0,0,IFERROR(VALUE(SUBSTITUTE(SUBSTITUTE(SUBSTITUTE(INDEX(貼り付け!$A$1:$BZ$3001,988,$F$1)&amp;"",",",""),"¥",""),"￥","")),0))</f>
        <v/>
      </c>
      <c r="G989">
        <f>IF(ISNUMBER(B989),YEAR(B989),"")</f>
        <v/>
      </c>
      <c r="H989">
        <f>IF(ISNUMBER(B989),MONTH(B989),"")</f>
        <v/>
      </c>
      <c r="I989">
        <f>IFERROR(IF($B$1=0,"",IF(ISNUMBER(INDEX(貼り付け!$A$1:$BZ$3001,988,$B$1)),"",SUBSTITUTE(SUBSTITUTE(SUBSTITUTE(SUBSTITUTE(TRIM(LEFT(INDEX(貼り付け!$A$1:$BZ$3001,988,$B$1)&amp;"",FIND(" ",TRIM(INDEX(貼り付け!$A$1:$BZ$3001,988,$B$1)&amp;"")&amp;" ")-1)),"/","-"),"年","-"),"月","-"),"日",""))),"")</f>
        <v/>
      </c>
      <c r="J989">
        <f>IFERROR(MID(I989,FIND("-",I989)+1,99),"")</f>
        <v/>
      </c>
    </row>
    <row r="990">
      <c r="B990">
        <f>IFERROR(IF($B$1=0,"",IF(INDEX(貼り付け!$A$1:$BZ$3001,989,$B$1)="","",IF(ISNUMBER(INDEX(貼り付け!$A$1:$BZ$3001,989,$B$1)),INT(INDEX(貼り付け!$A$1:$BZ$3001,989,$B$1)),DATE(VALUE(LEFT(I990,FIND("-",I990)-1)),VALUE(LEFT(J990,FIND("-",J990)-1)),VALUE(MID(J990,FIND("-",J990)+1,99)))))),"")</f>
        <v/>
      </c>
      <c r="C990">
        <f>IF($C$1=0,0,IFERROR(VALUE(SUBSTITUTE(SUBSTITUTE(SUBSTITUTE(INDEX(貼り付け!$A$1:$BZ$3001,989,$C$1)&amp;"",",",""),"¥",""),"￥","")),0))</f>
        <v/>
      </c>
      <c r="D990">
        <f>IF($D$1=0,0,IFERROR(VALUE(SUBSTITUTE(SUBSTITUTE(SUBSTITUTE(INDEX(貼り付け!$A$1:$BZ$3001,989,$D$1)&amp;"",",",""),"¥",""),"￥","")),0))</f>
        <v/>
      </c>
      <c r="E990">
        <f>IF($E$1=0,0,IFERROR(VALUE(SUBSTITUTE(SUBSTITUTE(SUBSTITUTE(INDEX(貼り付け!$A$1:$BZ$3001,989,$E$1)&amp;"",",",""),"¥",""),"￥","")),0))</f>
        <v/>
      </c>
      <c r="F990">
        <f>IF($F$1=0,0,IFERROR(VALUE(SUBSTITUTE(SUBSTITUTE(SUBSTITUTE(INDEX(貼り付け!$A$1:$BZ$3001,989,$F$1)&amp;"",",",""),"¥",""),"￥","")),0))</f>
        <v/>
      </c>
      <c r="G990">
        <f>IF(ISNUMBER(B990),YEAR(B990),"")</f>
        <v/>
      </c>
      <c r="H990">
        <f>IF(ISNUMBER(B990),MONTH(B990),"")</f>
        <v/>
      </c>
      <c r="I990">
        <f>IFERROR(IF($B$1=0,"",IF(ISNUMBER(INDEX(貼り付け!$A$1:$BZ$3001,989,$B$1)),"",SUBSTITUTE(SUBSTITUTE(SUBSTITUTE(SUBSTITUTE(TRIM(LEFT(INDEX(貼り付け!$A$1:$BZ$3001,989,$B$1)&amp;"",FIND(" ",TRIM(INDEX(貼り付け!$A$1:$BZ$3001,989,$B$1)&amp;"")&amp;" ")-1)),"/","-"),"年","-"),"月","-"),"日",""))),"")</f>
        <v/>
      </c>
      <c r="J990">
        <f>IFERROR(MID(I990,FIND("-",I990)+1,99),"")</f>
        <v/>
      </c>
    </row>
    <row r="991">
      <c r="B991">
        <f>IFERROR(IF($B$1=0,"",IF(INDEX(貼り付け!$A$1:$BZ$3001,990,$B$1)="","",IF(ISNUMBER(INDEX(貼り付け!$A$1:$BZ$3001,990,$B$1)),INT(INDEX(貼り付け!$A$1:$BZ$3001,990,$B$1)),DATE(VALUE(LEFT(I991,FIND("-",I991)-1)),VALUE(LEFT(J991,FIND("-",J991)-1)),VALUE(MID(J991,FIND("-",J991)+1,99)))))),"")</f>
        <v/>
      </c>
      <c r="C991">
        <f>IF($C$1=0,0,IFERROR(VALUE(SUBSTITUTE(SUBSTITUTE(SUBSTITUTE(INDEX(貼り付け!$A$1:$BZ$3001,990,$C$1)&amp;"",",",""),"¥",""),"￥","")),0))</f>
        <v/>
      </c>
      <c r="D991">
        <f>IF($D$1=0,0,IFERROR(VALUE(SUBSTITUTE(SUBSTITUTE(SUBSTITUTE(INDEX(貼り付け!$A$1:$BZ$3001,990,$D$1)&amp;"",",",""),"¥",""),"￥","")),0))</f>
        <v/>
      </c>
      <c r="E991">
        <f>IF($E$1=0,0,IFERROR(VALUE(SUBSTITUTE(SUBSTITUTE(SUBSTITUTE(INDEX(貼り付け!$A$1:$BZ$3001,990,$E$1)&amp;"",",",""),"¥",""),"￥","")),0))</f>
        <v/>
      </c>
      <c r="F991">
        <f>IF($F$1=0,0,IFERROR(VALUE(SUBSTITUTE(SUBSTITUTE(SUBSTITUTE(INDEX(貼り付け!$A$1:$BZ$3001,990,$F$1)&amp;"",",",""),"¥",""),"￥","")),0))</f>
        <v/>
      </c>
      <c r="G991">
        <f>IF(ISNUMBER(B991),YEAR(B991),"")</f>
        <v/>
      </c>
      <c r="H991">
        <f>IF(ISNUMBER(B991),MONTH(B991),"")</f>
        <v/>
      </c>
      <c r="I991">
        <f>IFERROR(IF($B$1=0,"",IF(ISNUMBER(INDEX(貼り付け!$A$1:$BZ$3001,990,$B$1)),"",SUBSTITUTE(SUBSTITUTE(SUBSTITUTE(SUBSTITUTE(TRIM(LEFT(INDEX(貼り付け!$A$1:$BZ$3001,990,$B$1)&amp;"",FIND(" ",TRIM(INDEX(貼り付け!$A$1:$BZ$3001,990,$B$1)&amp;"")&amp;" ")-1)),"/","-"),"年","-"),"月","-"),"日",""))),"")</f>
        <v/>
      </c>
      <c r="J991">
        <f>IFERROR(MID(I991,FIND("-",I991)+1,99),"")</f>
        <v/>
      </c>
    </row>
    <row r="992">
      <c r="B992">
        <f>IFERROR(IF($B$1=0,"",IF(INDEX(貼り付け!$A$1:$BZ$3001,991,$B$1)="","",IF(ISNUMBER(INDEX(貼り付け!$A$1:$BZ$3001,991,$B$1)),INT(INDEX(貼り付け!$A$1:$BZ$3001,991,$B$1)),DATE(VALUE(LEFT(I992,FIND("-",I992)-1)),VALUE(LEFT(J992,FIND("-",J992)-1)),VALUE(MID(J992,FIND("-",J992)+1,99)))))),"")</f>
        <v/>
      </c>
      <c r="C992">
        <f>IF($C$1=0,0,IFERROR(VALUE(SUBSTITUTE(SUBSTITUTE(SUBSTITUTE(INDEX(貼り付け!$A$1:$BZ$3001,991,$C$1)&amp;"",",",""),"¥",""),"￥","")),0))</f>
        <v/>
      </c>
      <c r="D992">
        <f>IF($D$1=0,0,IFERROR(VALUE(SUBSTITUTE(SUBSTITUTE(SUBSTITUTE(INDEX(貼り付け!$A$1:$BZ$3001,991,$D$1)&amp;"",",",""),"¥",""),"￥","")),0))</f>
        <v/>
      </c>
      <c r="E992">
        <f>IF($E$1=0,0,IFERROR(VALUE(SUBSTITUTE(SUBSTITUTE(SUBSTITUTE(INDEX(貼り付け!$A$1:$BZ$3001,991,$E$1)&amp;"",",",""),"¥",""),"￥","")),0))</f>
        <v/>
      </c>
      <c r="F992">
        <f>IF($F$1=0,0,IFERROR(VALUE(SUBSTITUTE(SUBSTITUTE(SUBSTITUTE(INDEX(貼り付け!$A$1:$BZ$3001,991,$F$1)&amp;"",",",""),"¥",""),"￥","")),0))</f>
        <v/>
      </c>
      <c r="G992">
        <f>IF(ISNUMBER(B992),YEAR(B992),"")</f>
        <v/>
      </c>
      <c r="H992">
        <f>IF(ISNUMBER(B992),MONTH(B992),"")</f>
        <v/>
      </c>
      <c r="I992">
        <f>IFERROR(IF($B$1=0,"",IF(ISNUMBER(INDEX(貼り付け!$A$1:$BZ$3001,991,$B$1)),"",SUBSTITUTE(SUBSTITUTE(SUBSTITUTE(SUBSTITUTE(TRIM(LEFT(INDEX(貼り付け!$A$1:$BZ$3001,991,$B$1)&amp;"",FIND(" ",TRIM(INDEX(貼り付け!$A$1:$BZ$3001,991,$B$1)&amp;"")&amp;" ")-1)),"/","-"),"年","-"),"月","-"),"日",""))),"")</f>
        <v/>
      </c>
      <c r="J992">
        <f>IFERROR(MID(I992,FIND("-",I992)+1,99),"")</f>
        <v/>
      </c>
    </row>
    <row r="993">
      <c r="B993">
        <f>IFERROR(IF($B$1=0,"",IF(INDEX(貼り付け!$A$1:$BZ$3001,992,$B$1)="","",IF(ISNUMBER(INDEX(貼り付け!$A$1:$BZ$3001,992,$B$1)),INT(INDEX(貼り付け!$A$1:$BZ$3001,992,$B$1)),DATE(VALUE(LEFT(I993,FIND("-",I993)-1)),VALUE(LEFT(J993,FIND("-",J993)-1)),VALUE(MID(J993,FIND("-",J993)+1,99)))))),"")</f>
        <v/>
      </c>
      <c r="C993">
        <f>IF($C$1=0,0,IFERROR(VALUE(SUBSTITUTE(SUBSTITUTE(SUBSTITUTE(INDEX(貼り付け!$A$1:$BZ$3001,992,$C$1)&amp;"",",",""),"¥",""),"￥","")),0))</f>
        <v/>
      </c>
      <c r="D993">
        <f>IF($D$1=0,0,IFERROR(VALUE(SUBSTITUTE(SUBSTITUTE(SUBSTITUTE(INDEX(貼り付け!$A$1:$BZ$3001,992,$D$1)&amp;"",",",""),"¥",""),"￥","")),0))</f>
        <v/>
      </c>
      <c r="E993">
        <f>IF($E$1=0,0,IFERROR(VALUE(SUBSTITUTE(SUBSTITUTE(SUBSTITUTE(INDEX(貼り付け!$A$1:$BZ$3001,992,$E$1)&amp;"",",",""),"¥",""),"￥","")),0))</f>
        <v/>
      </c>
      <c r="F993">
        <f>IF($F$1=0,0,IFERROR(VALUE(SUBSTITUTE(SUBSTITUTE(SUBSTITUTE(INDEX(貼り付け!$A$1:$BZ$3001,992,$F$1)&amp;"",",",""),"¥",""),"￥","")),0))</f>
        <v/>
      </c>
      <c r="G993">
        <f>IF(ISNUMBER(B993),YEAR(B993),"")</f>
        <v/>
      </c>
      <c r="H993">
        <f>IF(ISNUMBER(B993),MONTH(B993),"")</f>
        <v/>
      </c>
      <c r="I993">
        <f>IFERROR(IF($B$1=0,"",IF(ISNUMBER(INDEX(貼り付け!$A$1:$BZ$3001,992,$B$1)),"",SUBSTITUTE(SUBSTITUTE(SUBSTITUTE(SUBSTITUTE(TRIM(LEFT(INDEX(貼り付け!$A$1:$BZ$3001,992,$B$1)&amp;"",FIND(" ",TRIM(INDEX(貼り付け!$A$1:$BZ$3001,992,$B$1)&amp;"")&amp;" ")-1)),"/","-"),"年","-"),"月","-"),"日",""))),"")</f>
        <v/>
      </c>
      <c r="J993">
        <f>IFERROR(MID(I993,FIND("-",I993)+1,99),"")</f>
        <v/>
      </c>
    </row>
    <row r="994">
      <c r="B994">
        <f>IFERROR(IF($B$1=0,"",IF(INDEX(貼り付け!$A$1:$BZ$3001,993,$B$1)="","",IF(ISNUMBER(INDEX(貼り付け!$A$1:$BZ$3001,993,$B$1)),INT(INDEX(貼り付け!$A$1:$BZ$3001,993,$B$1)),DATE(VALUE(LEFT(I994,FIND("-",I994)-1)),VALUE(LEFT(J994,FIND("-",J994)-1)),VALUE(MID(J994,FIND("-",J994)+1,99)))))),"")</f>
        <v/>
      </c>
      <c r="C994">
        <f>IF($C$1=0,0,IFERROR(VALUE(SUBSTITUTE(SUBSTITUTE(SUBSTITUTE(INDEX(貼り付け!$A$1:$BZ$3001,993,$C$1)&amp;"",",",""),"¥",""),"￥","")),0))</f>
        <v/>
      </c>
      <c r="D994">
        <f>IF($D$1=0,0,IFERROR(VALUE(SUBSTITUTE(SUBSTITUTE(SUBSTITUTE(INDEX(貼り付け!$A$1:$BZ$3001,993,$D$1)&amp;"",",",""),"¥",""),"￥","")),0))</f>
        <v/>
      </c>
      <c r="E994">
        <f>IF($E$1=0,0,IFERROR(VALUE(SUBSTITUTE(SUBSTITUTE(SUBSTITUTE(INDEX(貼り付け!$A$1:$BZ$3001,993,$E$1)&amp;"",",",""),"¥",""),"￥","")),0))</f>
        <v/>
      </c>
      <c r="F994">
        <f>IF($F$1=0,0,IFERROR(VALUE(SUBSTITUTE(SUBSTITUTE(SUBSTITUTE(INDEX(貼り付け!$A$1:$BZ$3001,993,$F$1)&amp;"",",",""),"¥",""),"￥","")),0))</f>
        <v/>
      </c>
      <c r="G994">
        <f>IF(ISNUMBER(B994),YEAR(B994),"")</f>
        <v/>
      </c>
      <c r="H994">
        <f>IF(ISNUMBER(B994),MONTH(B994),"")</f>
        <v/>
      </c>
      <c r="I994">
        <f>IFERROR(IF($B$1=0,"",IF(ISNUMBER(INDEX(貼り付け!$A$1:$BZ$3001,993,$B$1)),"",SUBSTITUTE(SUBSTITUTE(SUBSTITUTE(SUBSTITUTE(TRIM(LEFT(INDEX(貼り付け!$A$1:$BZ$3001,993,$B$1)&amp;"",FIND(" ",TRIM(INDEX(貼り付け!$A$1:$BZ$3001,993,$B$1)&amp;"")&amp;" ")-1)),"/","-"),"年","-"),"月","-"),"日",""))),"")</f>
        <v/>
      </c>
      <c r="J994">
        <f>IFERROR(MID(I994,FIND("-",I994)+1,99),"")</f>
        <v/>
      </c>
    </row>
    <row r="995">
      <c r="B995">
        <f>IFERROR(IF($B$1=0,"",IF(INDEX(貼り付け!$A$1:$BZ$3001,994,$B$1)="","",IF(ISNUMBER(INDEX(貼り付け!$A$1:$BZ$3001,994,$B$1)),INT(INDEX(貼り付け!$A$1:$BZ$3001,994,$B$1)),DATE(VALUE(LEFT(I995,FIND("-",I995)-1)),VALUE(LEFT(J995,FIND("-",J995)-1)),VALUE(MID(J995,FIND("-",J995)+1,99)))))),"")</f>
        <v/>
      </c>
      <c r="C995">
        <f>IF($C$1=0,0,IFERROR(VALUE(SUBSTITUTE(SUBSTITUTE(SUBSTITUTE(INDEX(貼り付け!$A$1:$BZ$3001,994,$C$1)&amp;"",",",""),"¥",""),"￥","")),0))</f>
        <v/>
      </c>
      <c r="D995">
        <f>IF($D$1=0,0,IFERROR(VALUE(SUBSTITUTE(SUBSTITUTE(SUBSTITUTE(INDEX(貼り付け!$A$1:$BZ$3001,994,$D$1)&amp;"",",",""),"¥",""),"￥","")),0))</f>
        <v/>
      </c>
      <c r="E995">
        <f>IF($E$1=0,0,IFERROR(VALUE(SUBSTITUTE(SUBSTITUTE(SUBSTITUTE(INDEX(貼り付け!$A$1:$BZ$3001,994,$E$1)&amp;"",",",""),"¥",""),"￥","")),0))</f>
        <v/>
      </c>
      <c r="F995">
        <f>IF($F$1=0,0,IFERROR(VALUE(SUBSTITUTE(SUBSTITUTE(SUBSTITUTE(INDEX(貼り付け!$A$1:$BZ$3001,994,$F$1)&amp;"",",",""),"¥",""),"￥","")),0))</f>
        <v/>
      </c>
      <c r="G995">
        <f>IF(ISNUMBER(B995),YEAR(B995),"")</f>
        <v/>
      </c>
      <c r="H995">
        <f>IF(ISNUMBER(B995),MONTH(B995),"")</f>
        <v/>
      </c>
      <c r="I995">
        <f>IFERROR(IF($B$1=0,"",IF(ISNUMBER(INDEX(貼り付け!$A$1:$BZ$3001,994,$B$1)),"",SUBSTITUTE(SUBSTITUTE(SUBSTITUTE(SUBSTITUTE(TRIM(LEFT(INDEX(貼り付け!$A$1:$BZ$3001,994,$B$1)&amp;"",FIND(" ",TRIM(INDEX(貼り付け!$A$1:$BZ$3001,994,$B$1)&amp;"")&amp;" ")-1)),"/","-"),"年","-"),"月","-"),"日",""))),"")</f>
        <v/>
      </c>
      <c r="J995">
        <f>IFERROR(MID(I995,FIND("-",I995)+1,99),"")</f>
        <v/>
      </c>
    </row>
    <row r="996">
      <c r="B996">
        <f>IFERROR(IF($B$1=0,"",IF(INDEX(貼り付け!$A$1:$BZ$3001,995,$B$1)="","",IF(ISNUMBER(INDEX(貼り付け!$A$1:$BZ$3001,995,$B$1)),INT(INDEX(貼り付け!$A$1:$BZ$3001,995,$B$1)),DATE(VALUE(LEFT(I996,FIND("-",I996)-1)),VALUE(LEFT(J996,FIND("-",J996)-1)),VALUE(MID(J996,FIND("-",J996)+1,99)))))),"")</f>
        <v/>
      </c>
      <c r="C996">
        <f>IF($C$1=0,0,IFERROR(VALUE(SUBSTITUTE(SUBSTITUTE(SUBSTITUTE(INDEX(貼り付け!$A$1:$BZ$3001,995,$C$1)&amp;"",",",""),"¥",""),"￥","")),0))</f>
        <v/>
      </c>
      <c r="D996">
        <f>IF($D$1=0,0,IFERROR(VALUE(SUBSTITUTE(SUBSTITUTE(SUBSTITUTE(INDEX(貼り付け!$A$1:$BZ$3001,995,$D$1)&amp;"",",",""),"¥",""),"￥","")),0))</f>
        <v/>
      </c>
      <c r="E996">
        <f>IF($E$1=0,0,IFERROR(VALUE(SUBSTITUTE(SUBSTITUTE(SUBSTITUTE(INDEX(貼り付け!$A$1:$BZ$3001,995,$E$1)&amp;"",",",""),"¥",""),"￥","")),0))</f>
        <v/>
      </c>
      <c r="F996">
        <f>IF($F$1=0,0,IFERROR(VALUE(SUBSTITUTE(SUBSTITUTE(SUBSTITUTE(INDEX(貼り付け!$A$1:$BZ$3001,995,$F$1)&amp;"",",",""),"¥",""),"￥","")),0))</f>
        <v/>
      </c>
      <c r="G996">
        <f>IF(ISNUMBER(B996),YEAR(B996),"")</f>
        <v/>
      </c>
      <c r="H996">
        <f>IF(ISNUMBER(B996),MONTH(B996),"")</f>
        <v/>
      </c>
      <c r="I996">
        <f>IFERROR(IF($B$1=0,"",IF(ISNUMBER(INDEX(貼り付け!$A$1:$BZ$3001,995,$B$1)),"",SUBSTITUTE(SUBSTITUTE(SUBSTITUTE(SUBSTITUTE(TRIM(LEFT(INDEX(貼り付け!$A$1:$BZ$3001,995,$B$1)&amp;"",FIND(" ",TRIM(INDEX(貼り付け!$A$1:$BZ$3001,995,$B$1)&amp;"")&amp;" ")-1)),"/","-"),"年","-"),"月","-"),"日",""))),"")</f>
        <v/>
      </c>
      <c r="J996">
        <f>IFERROR(MID(I996,FIND("-",I996)+1,99),"")</f>
        <v/>
      </c>
    </row>
    <row r="997">
      <c r="B997">
        <f>IFERROR(IF($B$1=0,"",IF(INDEX(貼り付け!$A$1:$BZ$3001,996,$B$1)="","",IF(ISNUMBER(INDEX(貼り付け!$A$1:$BZ$3001,996,$B$1)),INT(INDEX(貼り付け!$A$1:$BZ$3001,996,$B$1)),DATE(VALUE(LEFT(I997,FIND("-",I997)-1)),VALUE(LEFT(J997,FIND("-",J997)-1)),VALUE(MID(J997,FIND("-",J997)+1,99)))))),"")</f>
        <v/>
      </c>
      <c r="C997">
        <f>IF($C$1=0,0,IFERROR(VALUE(SUBSTITUTE(SUBSTITUTE(SUBSTITUTE(INDEX(貼り付け!$A$1:$BZ$3001,996,$C$1)&amp;"",",",""),"¥",""),"￥","")),0))</f>
        <v/>
      </c>
      <c r="D997">
        <f>IF($D$1=0,0,IFERROR(VALUE(SUBSTITUTE(SUBSTITUTE(SUBSTITUTE(INDEX(貼り付け!$A$1:$BZ$3001,996,$D$1)&amp;"",",",""),"¥",""),"￥","")),0))</f>
        <v/>
      </c>
      <c r="E997">
        <f>IF($E$1=0,0,IFERROR(VALUE(SUBSTITUTE(SUBSTITUTE(SUBSTITUTE(INDEX(貼り付け!$A$1:$BZ$3001,996,$E$1)&amp;"",",",""),"¥",""),"￥","")),0))</f>
        <v/>
      </c>
      <c r="F997">
        <f>IF($F$1=0,0,IFERROR(VALUE(SUBSTITUTE(SUBSTITUTE(SUBSTITUTE(INDEX(貼り付け!$A$1:$BZ$3001,996,$F$1)&amp;"",",",""),"¥",""),"￥","")),0))</f>
        <v/>
      </c>
      <c r="G997">
        <f>IF(ISNUMBER(B997),YEAR(B997),"")</f>
        <v/>
      </c>
      <c r="H997">
        <f>IF(ISNUMBER(B997),MONTH(B997),"")</f>
        <v/>
      </c>
      <c r="I997">
        <f>IFERROR(IF($B$1=0,"",IF(ISNUMBER(INDEX(貼り付け!$A$1:$BZ$3001,996,$B$1)),"",SUBSTITUTE(SUBSTITUTE(SUBSTITUTE(SUBSTITUTE(TRIM(LEFT(INDEX(貼り付け!$A$1:$BZ$3001,996,$B$1)&amp;"",FIND(" ",TRIM(INDEX(貼り付け!$A$1:$BZ$3001,996,$B$1)&amp;"")&amp;" ")-1)),"/","-"),"年","-"),"月","-"),"日",""))),"")</f>
        <v/>
      </c>
      <c r="J997">
        <f>IFERROR(MID(I997,FIND("-",I997)+1,99),"")</f>
        <v/>
      </c>
    </row>
    <row r="998">
      <c r="B998">
        <f>IFERROR(IF($B$1=0,"",IF(INDEX(貼り付け!$A$1:$BZ$3001,997,$B$1)="","",IF(ISNUMBER(INDEX(貼り付け!$A$1:$BZ$3001,997,$B$1)),INT(INDEX(貼り付け!$A$1:$BZ$3001,997,$B$1)),DATE(VALUE(LEFT(I998,FIND("-",I998)-1)),VALUE(LEFT(J998,FIND("-",J998)-1)),VALUE(MID(J998,FIND("-",J998)+1,99)))))),"")</f>
        <v/>
      </c>
      <c r="C998">
        <f>IF($C$1=0,0,IFERROR(VALUE(SUBSTITUTE(SUBSTITUTE(SUBSTITUTE(INDEX(貼り付け!$A$1:$BZ$3001,997,$C$1)&amp;"",",",""),"¥",""),"￥","")),0))</f>
        <v/>
      </c>
      <c r="D998">
        <f>IF($D$1=0,0,IFERROR(VALUE(SUBSTITUTE(SUBSTITUTE(SUBSTITUTE(INDEX(貼り付け!$A$1:$BZ$3001,997,$D$1)&amp;"",",",""),"¥",""),"￥","")),0))</f>
        <v/>
      </c>
      <c r="E998">
        <f>IF($E$1=0,0,IFERROR(VALUE(SUBSTITUTE(SUBSTITUTE(SUBSTITUTE(INDEX(貼り付け!$A$1:$BZ$3001,997,$E$1)&amp;"",",",""),"¥",""),"￥","")),0))</f>
        <v/>
      </c>
      <c r="F998">
        <f>IF($F$1=0,0,IFERROR(VALUE(SUBSTITUTE(SUBSTITUTE(SUBSTITUTE(INDEX(貼り付け!$A$1:$BZ$3001,997,$F$1)&amp;"",",",""),"¥",""),"￥","")),0))</f>
        <v/>
      </c>
      <c r="G998">
        <f>IF(ISNUMBER(B998),YEAR(B998),"")</f>
        <v/>
      </c>
      <c r="H998">
        <f>IF(ISNUMBER(B998),MONTH(B998),"")</f>
        <v/>
      </c>
      <c r="I998">
        <f>IFERROR(IF($B$1=0,"",IF(ISNUMBER(INDEX(貼り付け!$A$1:$BZ$3001,997,$B$1)),"",SUBSTITUTE(SUBSTITUTE(SUBSTITUTE(SUBSTITUTE(TRIM(LEFT(INDEX(貼り付け!$A$1:$BZ$3001,997,$B$1)&amp;"",FIND(" ",TRIM(INDEX(貼り付け!$A$1:$BZ$3001,997,$B$1)&amp;"")&amp;" ")-1)),"/","-"),"年","-"),"月","-"),"日",""))),"")</f>
        <v/>
      </c>
      <c r="J998">
        <f>IFERROR(MID(I998,FIND("-",I998)+1,99),"")</f>
        <v/>
      </c>
    </row>
    <row r="999">
      <c r="B999">
        <f>IFERROR(IF($B$1=0,"",IF(INDEX(貼り付け!$A$1:$BZ$3001,998,$B$1)="","",IF(ISNUMBER(INDEX(貼り付け!$A$1:$BZ$3001,998,$B$1)),INT(INDEX(貼り付け!$A$1:$BZ$3001,998,$B$1)),DATE(VALUE(LEFT(I999,FIND("-",I999)-1)),VALUE(LEFT(J999,FIND("-",J999)-1)),VALUE(MID(J999,FIND("-",J999)+1,99)))))),"")</f>
        <v/>
      </c>
      <c r="C999">
        <f>IF($C$1=0,0,IFERROR(VALUE(SUBSTITUTE(SUBSTITUTE(SUBSTITUTE(INDEX(貼り付け!$A$1:$BZ$3001,998,$C$1)&amp;"",",",""),"¥",""),"￥","")),0))</f>
        <v/>
      </c>
      <c r="D999">
        <f>IF($D$1=0,0,IFERROR(VALUE(SUBSTITUTE(SUBSTITUTE(SUBSTITUTE(INDEX(貼り付け!$A$1:$BZ$3001,998,$D$1)&amp;"",",",""),"¥",""),"￥","")),0))</f>
        <v/>
      </c>
      <c r="E999">
        <f>IF($E$1=0,0,IFERROR(VALUE(SUBSTITUTE(SUBSTITUTE(SUBSTITUTE(INDEX(貼り付け!$A$1:$BZ$3001,998,$E$1)&amp;"",",",""),"¥",""),"￥","")),0))</f>
        <v/>
      </c>
      <c r="F999">
        <f>IF($F$1=0,0,IFERROR(VALUE(SUBSTITUTE(SUBSTITUTE(SUBSTITUTE(INDEX(貼り付け!$A$1:$BZ$3001,998,$F$1)&amp;"",",",""),"¥",""),"￥","")),0))</f>
        <v/>
      </c>
      <c r="G999">
        <f>IF(ISNUMBER(B999),YEAR(B999),"")</f>
        <v/>
      </c>
      <c r="H999">
        <f>IF(ISNUMBER(B999),MONTH(B999),"")</f>
        <v/>
      </c>
      <c r="I999">
        <f>IFERROR(IF($B$1=0,"",IF(ISNUMBER(INDEX(貼り付け!$A$1:$BZ$3001,998,$B$1)),"",SUBSTITUTE(SUBSTITUTE(SUBSTITUTE(SUBSTITUTE(TRIM(LEFT(INDEX(貼り付け!$A$1:$BZ$3001,998,$B$1)&amp;"",FIND(" ",TRIM(INDEX(貼り付け!$A$1:$BZ$3001,998,$B$1)&amp;"")&amp;" ")-1)),"/","-"),"年","-"),"月","-"),"日",""))),"")</f>
        <v/>
      </c>
      <c r="J999">
        <f>IFERROR(MID(I999,FIND("-",I999)+1,99),"")</f>
        <v/>
      </c>
    </row>
    <row r="1000">
      <c r="B1000">
        <f>IFERROR(IF($B$1=0,"",IF(INDEX(貼り付け!$A$1:$BZ$3001,999,$B$1)="","",IF(ISNUMBER(INDEX(貼り付け!$A$1:$BZ$3001,999,$B$1)),INT(INDEX(貼り付け!$A$1:$BZ$3001,999,$B$1)),DATE(VALUE(LEFT(I1000,FIND("-",I1000)-1)),VALUE(LEFT(J1000,FIND("-",J1000)-1)),VALUE(MID(J1000,FIND("-",J1000)+1,99)))))),"")</f>
        <v/>
      </c>
      <c r="C1000">
        <f>IF($C$1=0,0,IFERROR(VALUE(SUBSTITUTE(SUBSTITUTE(SUBSTITUTE(INDEX(貼り付け!$A$1:$BZ$3001,999,$C$1)&amp;"",",",""),"¥",""),"￥","")),0))</f>
        <v/>
      </c>
      <c r="D1000">
        <f>IF($D$1=0,0,IFERROR(VALUE(SUBSTITUTE(SUBSTITUTE(SUBSTITUTE(INDEX(貼り付け!$A$1:$BZ$3001,999,$D$1)&amp;"",",",""),"¥",""),"￥","")),0))</f>
        <v/>
      </c>
      <c r="E1000">
        <f>IF($E$1=0,0,IFERROR(VALUE(SUBSTITUTE(SUBSTITUTE(SUBSTITUTE(INDEX(貼り付け!$A$1:$BZ$3001,999,$E$1)&amp;"",",",""),"¥",""),"￥","")),0))</f>
        <v/>
      </c>
      <c r="F1000">
        <f>IF($F$1=0,0,IFERROR(VALUE(SUBSTITUTE(SUBSTITUTE(SUBSTITUTE(INDEX(貼り付け!$A$1:$BZ$3001,999,$F$1)&amp;"",",",""),"¥",""),"￥","")),0))</f>
        <v/>
      </c>
      <c r="G1000">
        <f>IF(ISNUMBER(B1000),YEAR(B1000),"")</f>
        <v/>
      </c>
      <c r="H1000">
        <f>IF(ISNUMBER(B1000),MONTH(B1000),"")</f>
        <v/>
      </c>
      <c r="I1000">
        <f>IFERROR(IF($B$1=0,"",IF(ISNUMBER(INDEX(貼り付け!$A$1:$BZ$3001,999,$B$1)),"",SUBSTITUTE(SUBSTITUTE(SUBSTITUTE(SUBSTITUTE(TRIM(LEFT(INDEX(貼り付け!$A$1:$BZ$3001,999,$B$1)&amp;"",FIND(" ",TRIM(INDEX(貼り付け!$A$1:$BZ$3001,999,$B$1)&amp;"")&amp;" ")-1)),"/","-"),"年","-"),"月","-"),"日",""))),"")</f>
        <v/>
      </c>
      <c r="J1000">
        <f>IFERROR(MID(I1000,FIND("-",I1000)+1,99),"")</f>
        <v/>
      </c>
    </row>
    <row r="1001">
      <c r="B1001">
        <f>IFERROR(IF($B$1=0,"",IF(INDEX(貼り付け!$A$1:$BZ$3001,1000,$B$1)="","",IF(ISNUMBER(INDEX(貼り付け!$A$1:$BZ$3001,1000,$B$1)),INT(INDEX(貼り付け!$A$1:$BZ$3001,1000,$B$1)),DATE(VALUE(LEFT(I1001,FIND("-",I1001)-1)),VALUE(LEFT(J1001,FIND("-",J1001)-1)),VALUE(MID(J1001,FIND("-",J1001)+1,99)))))),"")</f>
        <v/>
      </c>
      <c r="C1001">
        <f>IF($C$1=0,0,IFERROR(VALUE(SUBSTITUTE(SUBSTITUTE(SUBSTITUTE(INDEX(貼り付け!$A$1:$BZ$3001,1000,$C$1)&amp;"",",",""),"¥",""),"￥","")),0))</f>
        <v/>
      </c>
      <c r="D1001">
        <f>IF($D$1=0,0,IFERROR(VALUE(SUBSTITUTE(SUBSTITUTE(SUBSTITUTE(INDEX(貼り付け!$A$1:$BZ$3001,1000,$D$1)&amp;"",",",""),"¥",""),"￥","")),0))</f>
        <v/>
      </c>
      <c r="E1001">
        <f>IF($E$1=0,0,IFERROR(VALUE(SUBSTITUTE(SUBSTITUTE(SUBSTITUTE(INDEX(貼り付け!$A$1:$BZ$3001,1000,$E$1)&amp;"",",",""),"¥",""),"￥","")),0))</f>
        <v/>
      </c>
      <c r="F1001">
        <f>IF($F$1=0,0,IFERROR(VALUE(SUBSTITUTE(SUBSTITUTE(SUBSTITUTE(INDEX(貼り付け!$A$1:$BZ$3001,1000,$F$1)&amp;"",",",""),"¥",""),"￥","")),0))</f>
        <v/>
      </c>
      <c r="G1001">
        <f>IF(ISNUMBER(B1001),YEAR(B1001),"")</f>
        <v/>
      </c>
      <c r="H1001">
        <f>IF(ISNUMBER(B1001),MONTH(B1001),"")</f>
        <v/>
      </c>
      <c r="I1001">
        <f>IFERROR(IF($B$1=0,"",IF(ISNUMBER(INDEX(貼り付け!$A$1:$BZ$3001,1000,$B$1)),"",SUBSTITUTE(SUBSTITUTE(SUBSTITUTE(SUBSTITUTE(TRIM(LEFT(INDEX(貼り付け!$A$1:$BZ$3001,1000,$B$1)&amp;"",FIND(" ",TRIM(INDEX(貼り付け!$A$1:$BZ$3001,1000,$B$1)&amp;"")&amp;" ")-1)),"/","-"),"年","-"),"月","-"),"日",""))),"")</f>
        <v/>
      </c>
      <c r="J1001">
        <f>IFERROR(MID(I1001,FIND("-",I1001)+1,99),"")</f>
        <v/>
      </c>
    </row>
    <row r="1002">
      <c r="B1002">
        <f>IFERROR(IF($B$1=0,"",IF(INDEX(貼り付け!$A$1:$BZ$3001,1001,$B$1)="","",IF(ISNUMBER(INDEX(貼り付け!$A$1:$BZ$3001,1001,$B$1)),INT(INDEX(貼り付け!$A$1:$BZ$3001,1001,$B$1)),DATE(VALUE(LEFT(I1002,FIND("-",I1002)-1)),VALUE(LEFT(J1002,FIND("-",J1002)-1)),VALUE(MID(J1002,FIND("-",J1002)+1,99)))))),"")</f>
        <v/>
      </c>
      <c r="C1002">
        <f>IF($C$1=0,0,IFERROR(VALUE(SUBSTITUTE(SUBSTITUTE(SUBSTITUTE(INDEX(貼り付け!$A$1:$BZ$3001,1001,$C$1)&amp;"",",",""),"¥",""),"￥","")),0))</f>
        <v/>
      </c>
      <c r="D1002">
        <f>IF($D$1=0,0,IFERROR(VALUE(SUBSTITUTE(SUBSTITUTE(SUBSTITUTE(INDEX(貼り付け!$A$1:$BZ$3001,1001,$D$1)&amp;"",",",""),"¥",""),"￥","")),0))</f>
        <v/>
      </c>
      <c r="E1002">
        <f>IF($E$1=0,0,IFERROR(VALUE(SUBSTITUTE(SUBSTITUTE(SUBSTITUTE(INDEX(貼り付け!$A$1:$BZ$3001,1001,$E$1)&amp;"",",",""),"¥",""),"￥","")),0))</f>
        <v/>
      </c>
      <c r="F1002">
        <f>IF($F$1=0,0,IFERROR(VALUE(SUBSTITUTE(SUBSTITUTE(SUBSTITUTE(INDEX(貼り付け!$A$1:$BZ$3001,1001,$F$1)&amp;"",",",""),"¥",""),"￥","")),0))</f>
        <v/>
      </c>
      <c r="G1002">
        <f>IF(ISNUMBER(B1002),YEAR(B1002),"")</f>
        <v/>
      </c>
      <c r="H1002">
        <f>IF(ISNUMBER(B1002),MONTH(B1002),"")</f>
        <v/>
      </c>
      <c r="I1002">
        <f>IFERROR(IF($B$1=0,"",IF(ISNUMBER(INDEX(貼り付け!$A$1:$BZ$3001,1001,$B$1)),"",SUBSTITUTE(SUBSTITUTE(SUBSTITUTE(SUBSTITUTE(TRIM(LEFT(INDEX(貼り付け!$A$1:$BZ$3001,1001,$B$1)&amp;"",FIND(" ",TRIM(INDEX(貼り付け!$A$1:$BZ$3001,1001,$B$1)&amp;"")&amp;" ")-1)),"/","-"),"年","-"),"月","-"),"日",""))),"")</f>
        <v/>
      </c>
      <c r="J1002">
        <f>IFERROR(MID(I1002,FIND("-",I1002)+1,99),"")</f>
        <v/>
      </c>
    </row>
    <row r="1003">
      <c r="B1003">
        <f>IFERROR(IF($B$1=0,"",IF(INDEX(貼り付け!$A$1:$BZ$3001,1002,$B$1)="","",IF(ISNUMBER(INDEX(貼り付け!$A$1:$BZ$3001,1002,$B$1)),INT(INDEX(貼り付け!$A$1:$BZ$3001,1002,$B$1)),DATE(VALUE(LEFT(I1003,FIND("-",I1003)-1)),VALUE(LEFT(J1003,FIND("-",J1003)-1)),VALUE(MID(J1003,FIND("-",J1003)+1,99)))))),"")</f>
        <v/>
      </c>
      <c r="C1003">
        <f>IF($C$1=0,0,IFERROR(VALUE(SUBSTITUTE(SUBSTITUTE(SUBSTITUTE(INDEX(貼り付け!$A$1:$BZ$3001,1002,$C$1)&amp;"",",",""),"¥",""),"￥","")),0))</f>
        <v/>
      </c>
      <c r="D1003">
        <f>IF($D$1=0,0,IFERROR(VALUE(SUBSTITUTE(SUBSTITUTE(SUBSTITUTE(INDEX(貼り付け!$A$1:$BZ$3001,1002,$D$1)&amp;"",",",""),"¥",""),"￥","")),0))</f>
        <v/>
      </c>
      <c r="E1003">
        <f>IF($E$1=0,0,IFERROR(VALUE(SUBSTITUTE(SUBSTITUTE(SUBSTITUTE(INDEX(貼り付け!$A$1:$BZ$3001,1002,$E$1)&amp;"",",",""),"¥",""),"￥","")),0))</f>
        <v/>
      </c>
      <c r="F1003">
        <f>IF($F$1=0,0,IFERROR(VALUE(SUBSTITUTE(SUBSTITUTE(SUBSTITUTE(INDEX(貼り付け!$A$1:$BZ$3001,1002,$F$1)&amp;"",",",""),"¥",""),"￥","")),0))</f>
        <v/>
      </c>
      <c r="G1003">
        <f>IF(ISNUMBER(B1003),YEAR(B1003),"")</f>
        <v/>
      </c>
      <c r="H1003">
        <f>IF(ISNUMBER(B1003),MONTH(B1003),"")</f>
        <v/>
      </c>
      <c r="I1003">
        <f>IFERROR(IF($B$1=0,"",IF(ISNUMBER(INDEX(貼り付け!$A$1:$BZ$3001,1002,$B$1)),"",SUBSTITUTE(SUBSTITUTE(SUBSTITUTE(SUBSTITUTE(TRIM(LEFT(INDEX(貼り付け!$A$1:$BZ$3001,1002,$B$1)&amp;"",FIND(" ",TRIM(INDEX(貼り付け!$A$1:$BZ$3001,1002,$B$1)&amp;"")&amp;" ")-1)),"/","-"),"年","-"),"月","-"),"日",""))),"")</f>
        <v/>
      </c>
      <c r="J1003">
        <f>IFERROR(MID(I1003,FIND("-",I1003)+1,99),"")</f>
        <v/>
      </c>
    </row>
    <row r="1004">
      <c r="B1004">
        <f>IFERROR(IF($B$1=0,"",IF(INDEX(貼り付け!$A$1:$BZ$3001,1003,$B$1)="","",IF(ISNUMBER(INDEX(貼り付け!$A$1:$BZ$3001,1003,$B$1)),INT(INDEX(貼り付け!$A$1:$BZ$3001,1003,$B$1)),DATE(VALUE(LEFT(I1004,FIND("-",I1004)-1)),VALUE(LEFT(J1004,FIND("-",J1004)-1)),VALUE(MID(J1004,FIND("-",J1004)+1,99)))))),"")</f>
        <v/>
      </c>
      <c r="C1004">
        <f>IF($C$1=0,0,IFERROR(VALUE(SUBSTITUTE(SUBSTITUTE(SUBSTITUTE(INDEX(貼り付け!$A$1:$BZ$3001,1003,$C$1)&amp;"",",",""),"¥",""),"￥","")),0))</f>
        <v/>
      </c>
      <c r="D1004">
        <f>IF($D$1=0,0,IFERROR(VALUE(SUBSTITUTE(SUBSTITUTE(SUBSTITUTE(INDEX(貼り付け!$A$1:$BZ$3001,1003,$D$1)&amp;"",",",""),"¥",""),"￥","")),0))</f>
        <v/>
      </c>
      <c r="E1004">
        <f>IF($E$1=0,0,IFERROR(VALUE(SUBSTITUTE(SUBSTITUTE(SUBSTITUTE(INDEX(貼り付け!$A$1:$BZ$3001,1003,$E$1)&amp;"",",",""),"¥",""),"￥","")),0))</f>
        <v/>
      </c>
      <c r="F1004">
        <f>IF($F$1=0,0,IFERROR(VALUE(SUBSTITUTE(SUBSTITUTE(SUBSTITUTE(INDEX(貼り付け!$A$1:$BZ$3001,1003,$F$1)&amp;"",",",""),"¥",""),"￥","")),0))</f>
        <v/>
      </c>
      <c r="G1004">
        <f>IF(ISNUMBER(B1004),YEAR(B1004),"")</f>
        <v/>
      </c>
      <c r="H1004">
        <f>IF(ISNUMBER(B1004),MONTH(B1004),"")</f>
        <v/>
      </c>
      <c r="I1004">
        <f>IFERROR(IF($B$1=0,"",IF(ISNUMBER(INDEX(貼り付け!$A$1:$BZ$3001,1003,$B$1)),"",SUBSTITUTE(SUBSTITUTE(SUBSTITUTE(SUBSTITUTE(TRIM(LEFT(INDEX(貼り付け!$A$1:$BZ$3001,1003,$B$1)&amp;"",FIND(" ",TRIM(INDEX(貼り付け!$A$1:$BZ$3001,1003,$B$1)&amp;"")&amp;" ")-1)),"/","-"),"年","-"),"月","-"),"日",""))),"")</f>
        <v/>
      </c>
      <c r="J1004">
        <f>IFERROR(MID(I1004,FIND("-",I1004)+1,99),"")</f>
        <v/>
      </c>
    </row>
    <row r="1005">
      <c r="B1005">
        <f>IFERROR(IF($B$1=0,"",IF(INDEX(貼り付け!$A$1:$BZ$3001,1004,$B$1)="","",IF(ISNUMBER(INDEX(貼り付け!$A$1:$BZ$3001,1004,$B$1)),INT(INDEX(貼り付け!$A$1:$BZ$3001,1004,$B$1)),DATE(VALUE(LEFT(I1005,FIND("-",I1005)-1)),VALUE(LEFT(J1005,FIND("-",J1005)-1)),VALUE(MID(J1005,FIND("-",J1005)+1,99)))))),"")</f>
        <v/>
      </c>
      <c r="C1005">
        <f>IF($C$1=0,0,IFERROR(VALUE(SUBSTITUTE(SUBSTITUTE(SUBSTITUTE(INDEX(貼り付け!$A$1:$BZ$3001,1004,$C$1)&amp;"",",",""),"¥",""),"￥","")),0))</f>
        <v/>
      </c>
      <c r="D1005">
        <f>IF($D$1=0,0,IFERROR(VALUE(SUBSTITUTE(SUBSTITUTE(SUBSTITUTE(INDEX(貼り付け!$A$1:$BZ$3001,1004,$D$1)&amp;"",",",""),"¥",""),"￥","")),0))</f>
        <v/>
      </c>
      <c r="E1005">
        <f>IF($E$1=0,0,IFERROR(VALUE(SUBSTITUTE(SUBSTITUTE(SUBSTITUTE(INDEX(貼り付け!$A$1:$BZ$3001,1004,$E$1)&amp;"",",",""),"¥",""),"￥","")),0))</f>
        <v/>
      </c>
      <c r="F1005">
        <f>IF($F$1=0,0,IFERROR(VALUE(SUBSTITUTE(SUBSTITUTE(SUBSTITUTE(INDEX(貼り付け!$A$1:$BZ$3001,1004,$F$1)&amp;"",",",""),"¥",""),"￥","")),0))</f>
        <v/>
      </c>
      <c r="G1005">
        <f>IF(ISNUMBER(B1005),YEAR(B1005),"")</f>
        <v/>
      </c>
      <c r="H1005">
        <f>IF(ISNUMBER(B1005),MONTH(B1005),"")</f>
        <v/>
      </c>
      <c r="I1005">
        <f>IFERROR(IF($B$1=0,"",IF(ISNUMBER(INDEX(貼り付け!$A$1:$BZ$3001,1004,$B$1)),"",SUBSTITUTE(SUBSTITUTE(SUBSTITUTE(SUBSTITUTE(TRIM(LEFT(INDEX(貼り付け!$A$1:$BZ$3001,1004,$B$1)&amp;"",FIND(" ",TRIM(INDEX(貼り付け!$A$1:$BZ$3001,1004,$B$1)&amp;"")&amp;" ")-1)),"/","-"),"年","-"),"月","-"),"日",""))),"")</f>
        <v/>
      </c>
      <c r="J1005">
        <f>IFERROR(MID(I1005,FIND("-",I1005)+1,99),"")</f>
        <v/>
      </c>
    </row>
    <row r="1006">
      <c r="B1006">
        <f>IFERROR(IF($B$1=0,"",IF(INDEX(貼り付け!$A$1:$BZ$3001,1005,$B$1)="","",IF(ISNUMBER(INDEX(貼り付け!$A$1:$BZ$3001,1005,$B$1)),INT(INDEX(貼り付け!$A$1:$BZ$3001,1005,$B$1)),DATE(VALUE(LEFT(I1006,FIND("-",I1006)-1)),VALUE(LEFT(J1006,FIND("-",J1006)-1)),VALUE(MID(J1006,FIND("-",J1006)+1,99)))))),"")</f>
        <v/>
      </c>
      <c r="C1006">
        <f>IF($C$1=0,0,IFERROR(VALUE(SUBSTITUTE(SUBSTITUTE(SUBSTITUTE(INDEX(貼り付け!$A$1:$BZ$3001,1005,$C$1)&amp;"",",",""),"¥",""),"￥","")),0))</f>
        <v/>
      </c>
      <c r="D1006">
        <f>IF($D$1=0,0,IFERROR(VALUE(SUBSTITUTE(SUBSTITUTE(SUBSTITUTE(INDEX(貼り付け!$A$1:$BZ$3001,1005,$D$1)&amp;"",",",""),"¥",""),"￥","")),0))</f>
        <v/>
      </c>
      <c r="E1006">
        <f>IF($E$1=0,0,IFERROR(VALUE(SUBSTITUTE(SUBSTITUTE(SUBSTITUTE(INDEX(貼り付け!$A$1:$BZ$3001,1005,$E$1)&amp;"",",",""),"¥",""),"￥","")),0))</f>
        <v/>
      </c>
      <c r="F1006">
        <f>IF($F$1=0,0,IFERROR(VALUE(SUBSTITUTE(SUBSTITUTE(SUBSTITUTE(INDEX(貼り付け!$A$1:$BZ$3001,1005,$F$1)&amp;"",",",""),"¥",""),"￥","")),0))</f>
        <v/>
      </c>
      <c r="G1006">
        <f>IF(ISNUMBER(B1006),YEAR(B1006),"")</f>
        <v/>
      </c>
      <c r="H1006">
        <f>IF(ISNUMBER(B1006),MONTH(B1006),"")</f>
        <v/>
      </c>
      <c r="I1006">
        <f>IFERROR(IF($B$1=0,"",IF(ISNUMBER(INDEX(貼り付け!$A$1:$BZ$3001,1005,$B$1)),"",SUBSTITUTE(SUBSTITUTE(SUBSTITUTE(SUBSTITUTE(TRIM(LEFT(INDEX(貼り付け!$A$1:$BZ$3001,1005,$B$1)&amp;"",FIND(" ",TRIM(INDEX(貼り付け!$A$1:$BZ$3001,1005,$B$1)&amp;"")&amp;" ")-1)),"/","-"),"年","-"),"月","-"),"日",""))),"")</f>
        <v/>
      </c>
      <c r="J1006">
        <f>IFERROR(MID(I1006,FIND("-",I1006)+1,99),"")</f>
        <v/>
      </c>
    </row>
    <row r="1007">
      <c r="B1007">
        <f>IFERROR(IF($B$1=0,"",IF(INDEX(貼り付け!$A$1:$BZ$3001,1006,$B$1)="","",IF(ISNUMBER(INDEX(貼り付け!$A$1:$BZ$3001,1006,$B$1)),INT(INDEX(貼り付け!$A$1:$BZ$3001,1006,$B$1)),DATE(VALUE(LEFT(I1007,FIND("-",I1007)-1)),VALUE(LEFT(J1007,FIND("-",J1007)-1)),VALUE(MID(J1007,FIND("-",J1007)+1,99)))))),"")</f>
        <v/>
      </c>
      <c r="C1007">
        <f>IF($C$1=0,0,IFERROR(VALUE(SUBSTITUTE(SUBSTITUTE(SUBSTITUTE(INDEX(貼り付け!$A$1:$BZ$3001,1006,$C$1)&amp;"",",",""),"¥",""),"￥","")),0))</f>
        <v/>
      </c>
      <c r="D1007">
        <f>IF($D$1=0,0,IFERROR(VALUE(SUBSTITUTE(SUBSTITUTE(SUBSTITUTE(INDEX(貼り付け!$A$1:$BZ$3001,1006,$D$1)&amp;"",",",""),"¥",""),"￥","")),0))</f>
        <v/>
      </c>
      <c r="E1007">
        <f>IF($E$1=0,0,IFERROR(VALUE(SUBSTITUTE(SUBSTITUTE(SUBSTITUTE(INDEX(貼り付け!$A$1:$BZ$3001,1006,$E$1)&amp;"",",",""),"¥",""),"￥","")),0))</f>
        <v/>
      </c>
      <c r="F1007">
        <f>IF($F$1=0,0,IFERROR(VALUE(SUBSTITUTE(SUBSTITUTE(SUBSTITUTE(INDEX(貼り付け!$A$1:$BZ$3001,1006,$F$1)&amp;"",",",""),"¥",""),"￥","")),0))</f>
        <v/>
      </c>
      <c r="G1007">
        <f>IF(ISNUMBER(B1007),YEAR(B1007),"")</f>
        <v/>
      </c>
      <c r="H1007">
        <f>IF(ISNUMBER(B1007),MONTH(B1007),"")</f>
        <v/>
      </c>
      <c r="I1007">
        <f>IFERROR(IF($B$1=0,"",IF(ISNUMBER(INDEX(貼り付け!$A$1:$BZ$3001,1006,$B$1)),"",SUBSTITUTE(SUBSTITUTE(SUBSTITUTE(SUBSTITUTE(TRIM(LEFT(INDEX(貼り付け!$A$1:$BZ$3001,1006,$B$1)&amp;"",FIND(" ",TRIM(INDEX(貼り付け!$A$1:$BZ$3001,1006,$B$1)&amp;"")&amp;" ")-1)),"/","-"),"年","-"),"月","-"),"日",""))),"")</f>
        <v/>
      </c>
      <c r="J1007">
        <f>IFERROR(MID(I1007,FIND("-",I1007)+1,99),"")</f>
        <v/>
      </c>
    </row>
    <row r="1008">
      <c r="B1008">
        <f>IFERROR(IF($B$1=0,"",IF(INDEX(貼り付け!$A$1:$BZ$3001,1007,$B$1)="","",IF(ISNUMBER(INDEX(貼り付け!$A$1:$BZ$3001,1007,$B$1)),INT(INDEX(貼り付け!$A$1:$BZ$3001,1007,$B$1)),DATE(VALUE(LEFT(I1008,FIND("-",I1008)-1)),VALUE(LEFT(J1008,FIND("-",J1008)-1)),VALUE(MID(J1008,FIND("-",J1008)+1,99)))))),"")</f>
        <v/>
      </c>
      <c r="C1008">
        <f>IF($C$1=0,0,IFERROR(VALUE(SUBSTITUTE(SUBSTITUTE(SUBSTITUTE(INDEX(貼り付け!$A$1:$BZ$3001,1007,$C$1)&amp;"",",",""),"¥",""),"￥","")),0))</f>
        <v/>
      </c>
      <c r="D1008">
        <f>IF($D$1=0,0,IFERROR(VALUE(SUBSTITUTE(SUBSTITUTE(SUBSTITUTE(INDEX(貼り付け!$A$1:$BZ$3001,1007,$D$1)&amp;"",",",""),"¥",""),"￥","")),0))</f>
        <v/>
      </c>
      <c r="E1008">
        <f>IF($E$1=0,0,IFERROR(VALUE(SUBSTITUTE(SUBSTITUTE(SUBSTITUTE(INDEX(貼り付け!$A$1:$BZ$3001,1007,$E$1)&amp;"",",",""),"¥",""),"￥","")),0))</f>
        <v/>
      </c>
      <c r="F1008">
        <f>IF($F$1=0,0,IFERROR(VALUE(SUBSTITUTE(SUBSTITUTE(SUBSTITUTE(INDEX(貼り付け!$A$1:$BZ$3001,1007,$F$1)&amp;"",",",""),"¥",""),"￥","")),0))</f>
        <v/>
      </c>
      <c r="G1008">
        <f>IF(ISNUMBER(B1008),YEAR(B1008),"")</f>
        <v/>
      </c>
      <c r="H1008">
        <f>IF(ISNUMBER(B1008),MONTH(B1008),"")</f>
        <v/>
      </c>
      <c r="I1008">
        <f>IFERROR(IF($B$1=0,"",IF(ISNUMBER(INDEX(貼り付け!$A$1:$BZ$3001,1007,$B$1)),"",SUBSTITUTE(SUBSTITUTE(SUBSTITUTE(SUBSTITUTE(TRIM(LEFT(INDEX(貼り付け!$A$1:$BZ$3001,1007,$B$1)&amp;"",FIND(" ",TRIM(INDEX(貼り付け!$A$1:$BZ$3001,1007,$B$1)&amp;"")&amp;" ")-1)),"/","-"),"年","-"),"月","-"),"日",""))),"")</f>
        <v/>
      </c>
      <c r="J1008">
        <f>IFERROR(MID(I1008,FIND("-",I1008)+1,99),"")</f>
        <v/>
      </c>
    </row>
    <row r="1009">
      <c r="B1009">
        <f>IFERROR(IF($B$1=0,"",IF(INDEX(貼り付け!$A$1:$BZ$3001,1008,$B$1)="","",IF(ISNUMBER(INDEX(貼り付け!$A$1:$BZ$3001,1008,$B$1)),INT(INDEX(貼り付け!$A$1:$BZ$3001,1008,$B$1)),DATE(VALUE(LEFT(I1009,FIND("-",I1009)-1)),VALUE(LEFT(J1009,FIND("-",J1009)-1)),VALUE(MID(J1009,FIND("-",J1009)+1,99)))))),"")</f>
        <v/>
      </c>
      <c r="C1009">
        <f>IF($C$1=0,0,IFERROR(VALUE(SUBSTITUTE(SUBSTITUTE(SUBSTITUTE(INDEX(貼り付け!$A$1:$BZ$3001,1008,$C$1)&amp;"",",",""),"¥",""),"￥","")),0))</f>
        <v/>
      </c>
      <c r="D1009">
        <f>IF($D$1=0,0,IFERROR(VALUE(SUBSTITUTE(SUBSTITUTE(SUBSTITUTE(INDEX(貼り付け!$A$1:$BZ$3001,1008,$D$1)&amp;"",",",""),"¥",""),"￥","")),0))</f>
        <v/>
      </c>
      <c r="E1009">
        <f>IF($E$1=0,0,IFERROR(VALUE(SUBSTITUTE(SUBSTITUTE(SUBSTITUTE(INDEX(貼り付け!$A$1:$BZ$3001,1008,$E$1)&amp;"",",",""),"¥",""),"￥","")),0))</f>
        <v/>
      </c>
      <c r="F1009">
        <f>IF($F$1=0,0,IFERROR(VALUE(SUBSTITUTE(SUBSTITUTE(SUBSTITUTE(INDEX(貼り付け!$A$1:$BZ$3001,1008,$F$1)&amp;"",",",""),"¥",""),"￥","")),0))</f>
        <v/>
      </c>
      <c r="G1009">
        <f>IF(ISNUMBER(B1009),YEAR(B1009),"")</f>
        <v/>
      </c>
      <c r="H1009">
        <f>IF(ISNUMBER(B1009),MONTH(B1009),"")</f>
        <v/>
      </c>
      <c r="I1009">
        <f>IFERROR(IF($B$1=0,"",IF(ISNUMBER(INDEX(貼り付け!$A$1:$BZ$3001,1008,$B$1)),"",SUBSTITUTE(SUBSTITUTE(SUBSTITUTE(SUBSTITUTE(TRIM(LEFT(INDEX(貼り付け!$A$1:$BZ$3001,1008,$B$1)&amp;"",FIND(" ",TRIM(INDEX(貼り付け!$A$1:$BZ$3001,1008,$B$1)&amp;"")&amp;" ")-1)),"/","-"),"年","-"),"月","-"),"日",""))),"")</f>
        <v/>
      </c>
      <c r="J1009">
        <f>IFERROR(MID(I1009,FIND("-",I1009)+1,99),"")</f>
        <v/>
      </c>
    </row>
    <row r="1010">
      <c r="B1010">
        <f>IFERROR(IF($B$1=0,"",IF(INDEX(貼り付け!$A$1:$BZ$3001,1009,$B$1)="","",IF(ISNUMBER(INDEX(貼り付け!$A$1:$BZ$3001,1009,$B$1)),INT(INDEX(貼り付け!$A$1:$BZ$3001,1009,$B$1)),DATE(VALUE(LEFT(I1010,FIND("-",I1010)-1)),VALUE(LEFT(J1010,FIND("-",J1010)-1)),VALUE(MID(J1010,FIND("-",J1010)+1,99)))))),"")</f>
        <v/>
      </c>
      <c r="C1010">
        <f>IF($C$1=0,0,IFERROR(VALUE(SUBSTITUTE(SUBSTITUTE(SUBSTITUTE(INDEX(貼り付け!$A$1:$BZ$3001,1009,$C$1)&amp;"",",",""),"¥",""),"￥","")),0))</f>
        <v/>
      </c>
      <c r="D1010">
        <f>IF($D$1=0,0,IFERROR(VALUE(SUBSTITUTE(SUBSTITUTE(SUBSTITUTE(INDEX(貼り付け!$A$1:$BZ$3001,1009,$D$1)&amp;"",",",""),"¥",""),"￥","")),0))</f>
        <v/>
      </c>
      <c r="E1010">
        <f>IF($E$1=0,0,IFERROR(VALUE(SUBSTITUTE(SUBSTITUTE(SUBSTITUTE(INDEX(貼り付け!$A$1:$BZ$3001,1009,$E$1)&amp;"",",",""),"¥",""),"￥","")),0))</f>
        <v/>
      </c>
      <c r="F1010">
        <f>IF($F$1=0,0,IFERROR(VALUE(SUBSTITUTE(SUBSTITUTE(SUBSTITUTE(INDEX(貼り付け!$A$1:$BZ$3001,1009,$F$1)&amp;"",",",""),"¥",""),"￥","")),0))</f>
        <v/>
      </c>
      <c r="G1010">
        <f>IF(ISNUMBER(B1010),YEAR(B1010),"")</f>
        <v/>
      </c>
      <c r="H1010">
        <f>IF(ISNUMBER(B1010),MONTH(B1010),"")</f>
        <v/>
      </c>
      <c r="I1010">
        <f>IFERROR(IF($B$1=0,"",IF(ISNUMBER(INDEX(貼り付け!$A$1:$BZ$3001,1009,$B$1)),"",SUBSTITUTE(SUBSTITUTE(SUBSTITUTE(SUBSTITUTE(TRIM(LEFT(INDEX(貼り付け!$A$1:$BZ$3001,1009,$B$1)&amp;"",FIND(" ",TRIM(INDEX(貼り付け!$A$1:$BZ$3001,1009,$B$1)&amp;"")&amp;" ")-1)),"/","-"),"年","-"),"月","-"),"日",""))),"")</f>
        <v/>
      </c>
      <c r="J1010">
        <f>IFERROR(MID(I1010,FIND("-",I1010)+1,99),"")</f>
        <v/>
      </c>
    </row>
    <row r="1011">
      <c r="B1011">
        <f>IFERROR(IF($B$1=0,"",IF(INDEX(貼り付け!$A$1:$BZ$3001,1010,$B$1)="","",IF(ISNUMBER(INDEX(貼り付け!$A$1:$BZ$3001,1010,$B$1)),INT(INDEX(貼り付け!$A$1:$BZ$3001,1010,$B$1)),DATE(VALUE(LEFT(I1011,FIND("-",I1011)-1)),VALUE(LEFT(J1011,FIND("-",J1011)-1)),VALUE(MID(J1011,FIND("-",J1011)+1,99)))))),"")</f>
        <v/>
      </c>
      <c r="C1011">
        <f>IF($C$1=0,0,IFERROR(VALUE(SUBSTITUTE(SUBSTITUTE(SUBSTITUTE(INDEX(貼り付け!$A$1:$BZ$3001,1010,$C$1)&amp;"",",",""),"¥",""),"￥","")),0))</f>
        <v/>
      </c>
      <c r="D1011">
        <f>IF($D$1=0,0,IFERROR(VALUE(SUBSTITUTE(SUBSTITUTE(SUBSTITUTE(INDEX(貼り付け!$A$1:$BZ$3001,1010,$D$1)&amp;"",",",""),"¥",""),"￥","")),0))</f>
        <v/>
      </c>
      <c r="E1011">
        <f>IF($E$1=0,0,IFERROR(VALUE(SUBSTITUTE(SUBSTITUTE(SUBSTITUTE(INDEX(貼り付け!$A$1:$BZ$3001,1010,$E$1)&amp;"",",",""),"¥",""),"￥","")),0))</f>
        <v/>
      </c>
      <c r="F1011">
        <f>IF($F$1=0,0,IFERROR(VALUE(SUBSTITUTE(SUBSTITUTE(SUBSTITUTE(INDEX(貼り付け!$A$1:$BZ$3001,1010,$F$1)&amp;"",",",""),"¥",""),"￥","")),0))</f>
        <v/>
      </c>
      <c r="G1011">
        <f>IF(ISNUMBER(B1011),YEAR(B1011),"")</f>
        <v/>
      </c>
      <c r="H1011">
        <f>IF(ISNUMBER(B1011),MONTH(B1011),"")</f>
        <v/>
      </c>
      <c r="I1011">
        <f>IFERROR(IF($B$1=0,"",IF(ISNUMBER(INDEX(貼り付け!$A$1:$BZ$3001,1010,$B$1)),"",SUBSTITUTE(SUBSTITUTE(SUBSTITUTE(SUBSTITUTE(TRIM(LEFT(INDEX(貼り付け!$A$1:$BZ$3001,1010,$B$1)&amp;"",FIND(" ",TRIM(INDEX(貼り付け!$A$1:$BZ$3001,1010,$B$1)&amp;"")&amp;" ")-1)),"/","-"),"年","-"),"月","-"),"日",""))),"")</f>
        <v/>
      </c>
      <c r="J1011">
        <f>IFERROR(MID(I1011,FIND("-",I1011)+1,99),"")</f>
        <v/>
      </c>
    </row>
    <row r="1012">
      <c r="B1012">
        <f>IFERROR(IF($B$1=0,"",IF(INDEX(貼り付け!$A$1:$BZ$3001,1011,$B$1)="","",IF(ISNUMBER(INDEX(貼り付け!$A$1:$BZ$3001,1011,$B$1)),INT(INDEX(貼り付け!$A$1:$BZ$3001,1011,$B$1)),DATE(VALUE(LEFT(I1012,FIND("-",I1012)-1)),VALUE(LEFT(J1012,FIND("-",J1012)-1)),VALUE(MID(J1012,FIND("-",J1012)+1,99)))))),"")</f>
        <v/>
      </c>
      <c r="C1012">
        <f>IF($C$1=0,0,IFERROR(VALUE(SUBSTITUTE(SUBSTITUTE(SUBSTITUTE(INDEX(貼り付け!$A$1:$BZ$3001,1011,$C$1)&amp;"",",",""),"¥",""),"￥","")),0))</f>
        <v/>
      </c>
      <c r="D1012">
        <f>IF($D$1=0,0,IFERROR(VALUE(SUBSTITUTE(SUBSTITUTE(SUBSTITUTE(INDEX(貼り付け!$A$1:$BZ$3001,1011,$D$1)&amp;"",",",""),"¥",""),"￥","")),0))</f>
        <v/>
      </c>
      <c r="E1012">
        <f>IF($E$1=0,0,IFERROR(VALUE(SUBSTITUTE(SUBSTITUTE(SUBSTITUTE(INDEX(貼り付け!$A$1:$BZ$3001,1011,$E$1)&amp;"",",",""),"¥",""),"￥","")),0))</f>
        <v/>
      </c>
      <c r="F1012">
        <f>IF($F$1=0,0,IFERROR(VALUE(SUBSTITUTE(SUBSTITUTE(SUBSTITUTE(INDEX(貼り付け!$A$1:$BZ$3001,1011,$F$1)&amp;"",",",""),"¥",""),"￥","")),0))</f>
        <v/>
      </c>
      <c r="G1012">
        <f>IF(ISNUMBER(B1012),YEAR(B1012),"")</f>
        <v/>
      </c>
      <c r="H1012">
        <f>IF(ISNUMBER(B1012),MONTH(B1012),"")</f>
        <v/>
      </c>
      <c r="I1012">
        <f>IFERROR(IF($B$1=0,"",IF(ISNUMBER(INDEX(貼り付け!$A$1:$BZ$3001,1011,$B$1)),"",SUBSTITUTE(SUBSTITUTE(SUBSTITUTE(SUBSTITUTE(TRIM(LEFT(INDEX(貼り付け!$A$1:$BZ$3001,1011,$B$1)&amp;"",FIND(" ",TRIM(INDEX(貼り付け!$A$1:$BZ$3001,1011,$B$1)&amp;"")&amp;" ")-1)),"/","-"),"年","-"),"月","-"),"日",""))),"")</f>
        <v/>
      </c>
      <c r="J1012">
        <f>IFERROR(MID(I1012,FIND("-",I1012)+1,99),"")</f>
        <v/>
      </c>
    </row>
    <row r="1013">
      <c r="B1013">
        <f>IFERROR(IF($B$1=0,"",IF(INDEX(貼り付け!$A$1:$BZ$3001,1012,$B$1)="","",IF(ISNUMBER(INDEX(貼り付け!$A$1:$BZ$3001,1012,$B$1)),INT(INDEX(貼り付け!$A$1:$BZ$3001,1012,$B$1)),DATE(VALUE(LEFT(I1013,FIND("-",I1013)-1)),VALUE(LEFT(J1013,FIND("-",J1013)-1)),VALUE(MID(J1013,FIND("-",J1013)+1,99)))))),"")</f>
        <v/>
      </c>
      <c r="C1013">
        <f>IF($C$1=0,0,IFERROR(VALUE(SUBSTITUTE(SUBSTITUTE(SUBSTITUTE(INDEX(貼り付け!$A$1:$BZ$3001,1012,$C$1)&amp;"",",",""),"¥",""),"￥","")),0))</f>
        <v/>
      </c>
      <c r="D1013">
        <f>IF($D$1=0,0,IFERROR(VALUE(SUBSTITUTE(SUBSTITUTE(SUBSTITUTE(INDEX(貼り付け!$A$1:$BZ$3001,1012,$D$1)&amp;"",",",""),"¥",""),"￥","")),0))</f>
        <v/>
      </c>
      <c r="E1013">
        <f>IF($E$1=0,0,IFERROR(VALUE(SUBSTITUTE(SUBSTITUTE(SUBSTITUTE(INDEX(貼り付け!$A$1:$BZ$3001,1012,$E$1)&amp;"",",",""),"¥",""),"￥","")),0))</f>
        <v/>
      </c>
      <c r="F1013">
        <f>IF($F$1=0,0,IFERROR(VALUE(SUBSTITUTE(SUBSTITUTE(SUBSTITUTE(INDEX(貼り付け!$A$1:$BZ$3001,1012,$F$1)&amp;"",",",""),"¥",""),"￥","")),0))</f>
        <v/>
      </c>
      <c r="G1013">
        <f>IF(ISNUMBER(B1013),YEAR(B1013),"")</f>
        <v/>
      </c>
      <c r="H1013">
        <f>IF(ISNUMBER(B1013),MONTH(B1013),"")</f>
        <v/>
      </c>
      <c r="I1013">
        <f>IFERROR(IF($B$1=0,"",IF(ISNUMBER(INDEX(貼り付け!$A$1:$BZ$3001,1012,$B$1)),"",SUBSTITUTE(SUBSTITUTE(SUBSTITUTE(SUBSTITUTE(TRIM(LEFT(INDEX(貼り付け!$A$1:$BZ$3001,1012,$B$1)&amp;"",FIND(" ",TRIM(INDEX(貼り付け!$A$1:$BZ$3001,1012,$B$1)&amp;"")&amp;" ")-1)),"/","-"),"年","-"),"月","-"),"日",""))),"")</f>
        <v/>
      </c>
      <c r="J1013">
        <f>IFERROR(MID(I1013,FIND("-",I1013)+1,99),"")</f>
        <v/>
      </c>
    </row>
    <row r="1014">
      <c r="B1014">
        <f>IFERROR(IF($B$1=0,"",IF(INDEX(貼り付け!$A$1:$BZ$3001,1013,$B$1)="","",IF(ISNUMBER(INDEX(貼り付け!$A$1:$BZ$3001,1013,$B$1)),INT(INDEX(貼り付け!$A$1:$BZ$3001,1013,$B$1)),DATE(VALUE(LEFT(I1014,FIND("-",I1014)-1)),VALUE(LEFT(J1014,FIND("-",J1014)-1)),VALUE(MID(J1014,FIND("-",J1014)+1,99)))))),"")</f>
        <v/>
      </c>
      <c r="C1014">
        <f>IF($C$1=0,0,IFERROR(VALUE(SUBSTITUTE(SUBSTITUTE(SUBSTITUTE(INDEX(貼り付け!$A$1:$BZ$3001,1013,$C$1)&amp;"",",",""),"¥",""),"￥","")),0))</f>
        <v/>
      </c>
      <c r="D1014">
        <f>IF($D$1=0,0,IFERROR(VALUE(SUBSTITUTE(SUBSTITUTE(SUBSTITUTE(INDEX(貼り付け!$A$1:$BZ$3001,1013,$D$1)&amp;"",",",""),"¥",""),"￥","")),0))</f>
        <v/>
      </c>
      <c r="E1014">
        <f>IF($E$1=0,0,IFERROR(VALUE(SUBSTITUTE(SUBSTITUTE(SUBSTITUTE(INDEX(貼り付け!$A$1:$BZ$3001,1013,$E$1)&amp;"",",",""),"¥",""),"￥","")),0))</f>
        <v/>
      </c>
      <c r="F1014">
        <f>IF($F$1=0,0,IFERROR(VALUE(SUBSTITUTE(SUBSTITUTE(SUBSTITUTE(INDEX(貼り付け!$A$1:$BZ$3001,1013,$F$1)&amp;"",",",""),"¥",""),"￥","")),0))</f>
        <v/>
      </c>
      <c r="G1014">
        <f>IF(ISNUMBER(B1014),YEAR(B1014),"")</f>
        <v/>
      </c>
      <c r="H1014">
        <f>IF(ISNUMBER(B1014),MONTH(B1014),"")</f>
        <v/>
      </c>
      <c r="I1014">
        <f>IFERROR(IF($B$1=0,"",IF(ISNUMBER(INDEX(貼り付け!$A$1:$BZ$3001,1013,$B$1)),"",SUBSTITUTE(SUBSTITUTE(SUBSTITUTE(SUBSTITUTE(TRIM(LEFT(INDEX(貼り付け!$A$1:$BZ$3001,1013,$B$1)&amp;"",FIND(" ",TRIM(INDEX(貼り付け!$A$1:$BZ$3001,1013,$B$1)&amp;"")&amp;" ")-1)),"/","-"),"年","-"),"月","-"),"日",""))),"")</f>
        <v/>
      </c>
      <c r="J1014">
        <f>IFERROR(MID(I1014,FIND("-",I1014)+1,99),"")</f>
        <v/>
      </c>
    </row>
    <row r="1015">
      <c r="B1015">
        <f>IFERROR(IF($B$1=0,"",IF(INDEX(貼り付け!$A$1:$BZ$3001,1014,$B$1)="","",IF(ISNUMBER(INDEX(貼り付け!$A$1:$BZ$3001,1014,$B$1)),INT(INDEX(貼り付け!$A$1:$BZ$3001,1014,$B$1)),DATE(VALUE(LEFT(I1015,FIND("-",I1015)-1)),VALUE(LEFT(J1015,FIND("-",J1015)-1)),VALUE(MID(J1015,FIND("-",J1015)+1,99)))))),"")</f>
        <v/>
      </c>
      <c r="C1015">
        <f>IF($C$1=0,0,IFERROR(VALUE(SUBSTITUTE(SUBSTITUTE(SUBSTITUTE(INDEX(貼り付け!$A$1:$BZ$3001,1014,$C$1)&amp;"",",",""),"¥",""),"￥","")),0))</f>
        <v/>
      </c>
      <c r="D1015">
        <f>IF($D$1=0,0,IFERROR(VALUE(SUBSTITUTE(SUBSTITUTE(SUBSTITUTE(INDEX(貼り付け!$A$1:$BZ$3001,1014,$D$1)&amp;"",",",""),"¥",""),"￥","")),0))</f>
        <v/>
      </c>
      <c r="E1015">
        <f>IF($E$1=0,0,IFERROR(VALUE(SUBSTITUTE(SUBSTITUTE(SUBSTITUTE(INDEX(貼り付け!$A$1:$BZ$3001,1014,$E$1)&amp;"",",",""),"¥",""),"￥","")),0))</f>
        <v/>
      </c>
      <c r="F1015">
        <f>IF($F$1=0,0,IFERROR(VALUE(SUBSTITUTE(SUBSTITUTE(SUBSTITUTE(INDEX(貼り付け!$A$1:$BZ$3001,1014,$F$1)&amp;"",",",""),"¥",""),"￥","")),0))</f>
        <v/>
      </c>
      <c r="G1015">
        <f>IF(ISNUMBER(B1015),YEAR(B1015),"")</f>
        <v/>
      </c>
      <c r="H1015">
        <f>IF(ISNUMBER(B1015),MONTH(B1015),"")</f>
        <v/>
      </c>
      <c r="I1015">
        <f>IFERROR(IF($B$1=0,"",IF(ISNUMBER(INDEX(貼り付け!$A$1:$BZ$3001,1014,$B$1)),"",SUBSTITUTE(SUBSTITUTE(SUBSTITUTE(SUBSTITUTE(TRIM(LEFT(INDEX(貼り付け!$A$1:$BZ$3001,1014,$B$1)&amp;"",FIND(" ",TRIM(INDEX(貼り付け!$A$1:$BZ$3001,1014,$B$1)&amp;"")&amp;" ")-1)),"/","-"),"年","-"),"月","-"),"日",""))),"")</f>
        <v/>
      </c>
      <c r="J1015">
        <f>IFERROR(MID(I1015,FIND("-",I1015)+1,99),"")</f>
        <v/>
      </c>
    </row>
    <row r="1016">
      <c r="B1016">
        <f>IFERROR(IF($B$1=0,"",IF(INDEX(貼り付け!$A$1:$BZ$3001,1015,$B$1)="","",IF(ISNUMBER(INDEX(貼り付け!$A$1:$BZ$3001,1015,$B$1)),INT(INDEX(貼り付け!$A$1:$BZ$3001,1015,$B$1)),DATE(VALUE(LEFT(I1016,FIND("-",I1016)-1)),VALUE(LEFT(J1016,FIND("-",J1016)-1)),VALUE(MID(J1016,FIND("-",J1016)+1,99)))))),"")</f>
        <v/>
      </c>
      <c r="C1016">
        <f>IF($C$1=0,0,IFERROR(VALUE(SUBSTITUTE(SUBSTITUTE(SUBSTITUTE(INDEX(貼り付け!$A$1:$BZ$3001,1015,$C$1)&amp;"",",",""),"¥",""),"￥","")),0))</f>
        <v/>
      </c>
      <c r="D1016">
        <f>IF($D$1=0,0,IFERROR(VALUE(SUBSTITUTE(SUBSTITUTE(SUBSTITUTE(INDEX(貼り付け!$A$1:$BZ$3001,1015,$D$1)&amp;"",",",""),"¥",""),"￥","")),0))</f>
        <v/>
      </c>
      <c r="E1016">
        <f>IF($E$1=0,0,IFERROR(VALUE(SUBSTITUTE(SUBSTITUTE(SUBSTITUTE(INDEX(貼り付け!$A$1:$BZ$3001,1015,$E$1)&amp;"",",",""),"¥",""),"￥","")),0))</f>
        <v/>
      </c>
      <c r="F1016">
        <f>IF($F$1=0,0,IFERROR(VALUE(SUBSTITUTE(SUBSTITUTE(SUBSTITUTE(INDEX(貼り付け!$A$1:$BZ$3001,1015,$F$1)&amp;"",",",""),"¥",""),"￥","")),0))</f>
        <v/>
      </c>
      <c r="G1016">
        <f>IF(ISNUMBER(B1016),YEAR(B1016),"")</f>
        <v/>
      </c>
      <c r="H1016">
        <f>IF(ISNUMBER(B1016),MONTH(B1016),"")</f>
        <v/>
      </c>
      <c r="I1016">
        <f>IFERROR(IF($B$1=0,"",IF(ISNUMBER(INDEX(貼り付け!$A$1:$BZ$3001,1015,$B$1)),"",SUBSTITUTE(SUBSTITUTE(SUBSTITUTE(SUBSTITUTE(TRIM(LEFT(INDEX(貼り付け!$A$1:$BZ$3001,1015,$B$1)&amp;"",FIND(" ",TRIM(INDEX(貼り付け!$A$1:$BZ$3001,1015,$B$1)&amp;"")&amp;" ")-1)),"/","-"),"年","-"),"月","-"),"日",""))),"")</f>
        <v/>
      </c>
      <c r="J1016">
        <f>IFERROR(MID(I1016,FIND("-",I1016)+1,99),"")</f>
        <v/>
      </c>
    </row>
    <row r="1017">
      <c r="B1017">
        <f>IFERROR(IF($B$1=0,"",IF(INDEX(貼り付け!$A$1:$BZ$3001,1016,$B$1)="","",IF(ISNUMBER(INDEX(貼り付け!$A$1:$BZ$3001,1016,$B$1)),INT(INDEX(貼り付け!$A$1:$BZ$3001,1016,$B$1)),DATE(VALUE(LEFT(I1017,FIND("-",I1017)-1)),VALUE(LEFT(J1017,FIND("-",J1017)-1)),VALUE(MID(J1017,FIND("-",J1017)+1,99)))))),"")</f>
        <v/>
      </c>
      <c r="C1017">
        <f>IF($C$1=0,0,IFERROR(VALUE(SUBSTITUTE(SUBSTITUTE(SUBSTITUTE(INDEX(貼り付け!$A$1:$BZ$3001,1016,$C$1)&amp;"",",",""),"¥",""),"￥","")),0))</f>
        <v/>
      </c>
      <c r="D1017">
        <f>IF($D$1=0,0,IFERROR(VALUE(SUBSTITUTE(SUBSTITUTE(SUBSTITUTE(INDEX(貼り付け!$A$1:$BZ$3001,1016,$D$1)&amp;"",",",""),"¥",""),"￥","")),0))</f>
        <v/>
      </c>
      <c r="E1017">
        <f>IF($E$1=0,0,IFERROR(VALUE(SUBSTITUTE(SUBSTITUTE(SUBSTITUTE(INDEX(貼り付け!$A$1:$BZ$3001,1016,$E$1)&amp;"",",",""),"¥",""),"￥","")),0))</f>
        <v/>
      </c>
      <c r="F1017">
        <f>IF($F$1=0,0,IFERROR(VALUE(SUBSTITUTE(SUBSTITUTE(SUBSTITUTE(INDEX(貼り付け!$A$1:$BZ$3001,1016,$F$1)&amp;"",",",""),"¥",""),"￥","")),0))</f>
        <v/>
      </c>
      <c r="G1017">
        <f>IF(ISNUMBER(B1017),YEAR(B1017),"")</f>
        <v/>
      </c>
      <c r="H1017">
        <f>IF(ISNUMBER(B1017),MONTH(B1017),"")</f>
        <v/>
      </c>
      <c r="I1017">
        <f>IFERROR(IF($B$1=0,"",IF(ISNUMBER(INDEX(貼り付け!$A$1:$BZ$3001,1016,$B$1)),"",SUBSTITUTE(SUBSTITUTE(SUBSTITUTE(SUBSTITUTE(TRIM(LEFT(INDEX(貼り付け!$A$1:$BZ$3001,1016,$B$1)&amp;"",FIND(" ",TRIM(INDEX(貼り付け!$A$1:$BZ$3001,1016,$B$1)&amp;"")&amp;" ")-1)),"/","-"),"年","-"),"月","-"),"日",""))),"")</f>
        <v/>
      </c>
      <c r="J1017">
        <f>IFERROR(MID(I1017,FIND("-",I1017)+1,99),"")</f>
        <v/>
      </c>
    </row>
    <row r="1018">
      <c r="B1018">
        <f>IFERROR(IF($B$1=0,"",IF(INDEX(貼り付け!$A$1:$BZ$3001,1017,$B$1)="","",IF(ISNUMBER(INDEX(貼り付け!$A$1:$BZ$3001,1017,$B$1)),INT(INDEX(貼り付け!$A$1:$BZ$3001,1017,$B$1)),DATE(VALUE(LEFT(I1018,FIND("-",I1018)-1)),VALUE(LEFT(J1018,FIND("-",J1018)-1)),VALUE(MID(J1018,FIND("-",J1018)+1,99)))))),"")</f>
        <v/>
      </c>
      <c r="C1018">
        <f>IF($C$1=0,0,IFERROR(VALUE(SUBSTITUTE(SUBSTITUTE(SUBSTITUTE(INDEX(貼り付け!$A$1:$BZ$3001,1017,$C$1)&amp;"",",",""),"¥",""),"￥","")),0))</f>
        <v/>
      </c>
      <c r="D1018">
        <f>IF($D$1=0,0,IFERROR(VALUE(SUBSTITUTE(SUBSTITUTE(SUBSTITUTE(INDEX(貼り付け!$A$1:$BZ$3001,1017,$D$1)&amp;"",",",""),"¥",""),"￥","")),0))</f>
        <v/>
      </c>
      <c r="E1018">
        <f>IF($E$1=0,0,IFERROR(VALUE(SUBSTITUTE(SUBSTITUTE(SUBSTITUTE(INDEX(貼り付け!$A$1:$BZ$3001,1017,$E$1)&amp;"",",",""),"¥",""),"￥","")),0))</f>
        <v/>
      </c>
      <c r="F1018">
        <f>IF($F$1=0,0,IFERROR(VALUE(SUBSTITUTE(SUBSTITUTE(SUBSTITUTE(INDEX(貼り付け!$A$1:$BZ$3001,1017,$F$1)&amp;"",",",""),"¥",""),"￥","")),0))</f>
        <v/>
      </c>
      <c r="G1018">
        <f>IF(ISNUMBER(B1018),YEAR(B1018),"")</f>
        <v/>
      </c>
      <c r="H1018">
        <f>IF(ISNUMBER(B1018),MONTH(B1018),"")</f>
        <v/>
      </c>
      <c r="I1018">
        <f>IFERROR(IF($B$1=0,"",IF(ISNUMBER(INDEX(貼り付け!$A$1:$BZ$3001,1017,$B$1)),"",SUBSTITUTE(SUBSTITUTE(SUBSTITUTE(SUBSTITUTE(TRIM(LEFT(INDEX(貼り付け!$A$1:$BZ$3001,1017,$B$1)&amp;"",FIND(" ",TRIM(INDEX(貼り付け!$A$1:$BZ$3001,1017,$B$1)&amp;"")&amp;" ")-1)),"/","-"),"年","-"),"月","-"),"日",""))),"")</f>
        <v/>
      </c>
      <c r="J1018">
        <f>IFERROR(MID(I1018,FIND("-",I1018)+1,99),"")</f>
        <v/>
      </c>
    </row>
    <row r="1019">
      <c r="B1019">
        <f>IFERROR(IF($B$1=0,"",IF(INDEX(貼り付け!$A$1:$BZ$3001,1018,$B$1)="","",IF(ISNUMBER(INDEX(貼り付け!$A$1:$BZ$3001,1018,$B$1)),INT(INDEX(貼り付け!$A$1:$BZ$3001,1018,$B$1)),DATE(VALUE(LEFT(I1019,FIND("-",I1019)-1)),VALUE(LEFT(J1019,FIND("-",J1019)-1)),VALUE(MID(J1019,FIND("-",J1019)+1,99)))))),"")</f>
        <v/>
      </c>
      <c r="C1019">
        <f>IF($C$1=0,0,IFERROR(VALUE(SUBSTITUTE(SUBSTITUTE(SUBSTITUTE(INDEX(貼り付け!$A$1:$BZ$3001,1018,$C$1)&amp;"",",",""),"¥",""),"￥","")),0))</f>
        <v/>
      </c>
      <c r="D1019">
        <f>IF($D$1=0,0,IFERROR(VALUE(SUBSTITUTE(SUBSTITUTE(SUBSTITUTE(INDEX(貼り付け!$A$1:$BZ$3001,1018,$D$1)&amp;"",",",""),"¥",""),"￥","")),0))</f>
        <v/>
      </c>
      <c r="E1019">
        <f>IF($E$1=0,0,IFERROR(VALUE(SUBSTITUTE(SUBSTITUTE(SUBSTITUTE(INDEX(貼り付け!$A$1:$BZ$3001,1018,$E$1)&amp;"",",",""),"¥",""),"￥","")),0))</f>
        <v/>
      </c>
      <c r="F1019">
        <f>IF($F$1=0,0,IFERROR(VALUE(SUBSTITUTE(SUBSTITUTE(SUBSTITUTE(INDEX(貼り付け!$A$1:$BZ$3001,1018,$F$1)&amp;"",",",""),"¥",""),"￥","")),0))</f>
        <v/>
      </c>
      <c r="G1019">
        <f>IF(ISNUMBER(B1019),YEAR(B1019),"")</f>
        <v/>
      </c>
      <c r="H1019">
        <f>IF(ISNUMBER(B1019),MONTH(B1019),"")</f>
        <v/>
      </c>
      <c r="I1019">
        <f>IFERROR(IF($B$1=0,"",IF(ISNUMBER(INDEX(貼り付け!$A$1:$BZ$3001,1018,$B$1)),"",SUBSTITUTE(SUBSTITUTE(SUBSTITUTE(SUBSTITUTE(TRIM(LEFT(INDEX(貼り付け!$A$1:$BZ$3001,1018,$B$1)&amp;"",FIND(" ",TRIM(INDEX(貼り付け!$A$1:$BZ$3001,1018,$B$1)&amp;"")&amp;" ")-1)),"/","-"),"年","-"),"月","-"),"日",""))),"")</f>
        <v/>
      </c>
      <c r="J1019">
        <f>IFERROR(MID(I1019,FIND("-",I1019)+1,99),"")</f>
        <v/>
      </c>
    </row>
    <row r="1020">
      <c r="B1020">
        <f>IFERROR(IF($B$1=0,"",IF(INDEX(貼り付け!$A$1:$BZ$3001,1019,$B$1)="","",IF(ISNUMBER(INDEX(貼り付け!$A$1:$BZ$3001,1019,$B$1)),INT(INDEX(貼り付け!$A$1:$BZ$3001,1019,$B$1)),DATE(VALUE(LEFT(I1020,FIND("-",I1020)-1)),VALUE(LEFT(J1020,FIND("-",J1020)-1)),VALUE(MID(J1020,FIND("-",J1020)+1,99)))))),"")</f>
        <v/>
      </c>
      <c r="C1020">
        <f>IF($C$1=0,0,IFERROR(VALUE(SUBSTITUTE(SUBSTITUTE(SUBSTITUTE(INDEX(貼り付け!$A$1:$BZ$3001,1019,$C$1)&amp;"",",",""),"¥",""),"￥","")),0))</f>
        <v/>
      </c>
      <c r="D1020">
        <f>IF($D$1=0,0,IFERROR(VALUE(SUBSTITUTE(SUBSTITUTE(SUBSTITUTE(INDEX(貼り付け!$A$1:$BZ$3001,1019,$D$1)&amp;"",",",""),"¥",""),"￥","")),0))</f>
        <v/>
      </c>
      <c r="E1020">
        <f>IF($E$1=0,0,IFERROR(VALUE(SUBSTITUTE(SUBSTITUTE(SUBSTITUTE(INDEX(貼り付け!$A$1:$BZ$3001,1019,$E$1)&amp;"",",",""),"¥",""),"￥","")),0))</f>
        <v/>
      </c>
      <c r="F1020">
        <f>IF($F$1=0,0,IFERROR(VALUE(SUBSTITUTE(SUBSTITUTE(SUBSTITUTE(INDEX(貼り付け!$A$1:$BZ$3001,1019,$F$1)&amp;"",",",""),"¥",""),"￥","")),0))</f>
        <v/>
      </c>
      <c r="G1020">
        <f>IF(ISNUMBER(B1020),YEAR(B1020),"")</f>
        <v/>
      </c>
      <c r="H1020">
        <f>IF(ISNUMBER(B1020),MONTH(B1020),"")</f>
        <v/>
      </c>
      <c r="I1020">
        <f>IFERROR(IF($B$1=0,"",IF(ISNUMBER(INDEX(貼り付け!$A$1:$BZ$3001,1019,$B$1)),"",SUBSTITUTE(SUBSTITUTE(SUBSTITUTE(SUBSTITUTE(TRIM(LEFT(INDEX(貼り付け!$A$1:$BZ$3001,1019,$B$1)&amp;"",FIND(" ",TRIM(INDEX(貼り付け!$A$1:$BZ$3001,1019,$B$1)&amp;"")&amp;" ")-1)),"/","-"),"年","-"),"月","-"),"日",""))),"")</f>
        <v/>
      </c>
      <c r="J1020">
        <f>IFERROR(MID(I1020,FIND("-",I1020)+1,99),"")</f>
        <v/>
      </c>
    </row>
    <row r="1021">
      <c r="B1021">
        <f>IFERROR(IF($B$1=0,"",IF(INDEX(貼り付け!$A$1:$BZ$3001,1020,$B$1)="","",IF(ISNUMBER(INDEX(貼り付け!$A$1:$BZ$3001,1020,$B$1)),INT(INDEX(貼り付け!$A$1:$BZ$3001,1020,$B$1)),DATE(VALUE(LEFT(I1021,FIND("-",I1021)-1)),VALUE(LEFT(J1021,FIND("-",J1021)-1)),VALUE(MID(J1021,FIND("-",J1021)+1,99)))))),"")</f>
        <v/>
      </c>
      <c r="C1021">
        <f>IF($C$1=0,0,IFERROR(VALUE(SUBSTITUTE(SUBSTITUTE(SUBSTITUTE(INDEX(貼り付け!$A$1:$BZ$3001,1020,$C$1)&amp;"",",",""),"¥",""),"￥","")),0))</f>
        <v/>
      </c>
      <c r="D1021">
        <f>IF($D$1=0,0,IFERROR(VALUE(SUBSTITUTE(SUBSTITUTE(SUBSTITUTE(INDEX(貼り付け!$A$1:$BZ$3001,1020,$D$1)&amp;"",",",""),"¥",""),"￥","")),0))</f>
        <v/>
      </c>
      <c r="E1021">
        <f>IF($E$1=0,0,IFERROR(VALUE(SUBSTITUTE(SUBSTITUTE(SUBSTITUTE(INDEX(貼り付け!$A$1:$BZ$3001,1020,$E$1)&amp;"",",",""),"¥",""),"￥","")),0))</f>
        <v/>
      </c>
      <c r="F1021">
        <f>IF($F$1=0,0,IFERROR(VALUE(SUBSTITUTE(SUBSTITUTE(SUBSTITUTE(INDEX(貼り付け!$A$1:$BZ$3001,1020,$F$1)&amp;"",",",""),"¥",""),"￥","")),0))</f>
        <v/>
      </c>
      <c r="G1021">
        <f>IF(ISNUMBER(B1021),YEAR(B1021),"")</f>
        <v/>
      </c>
      <c r="H1021">
        <f>IF(ISNUMBER(B1021),MONTH(B1021),"")</f>
        <v/>
      </c>
      <c r="I1021">
        <f>IFERROR(IF($B$1=0,"",IF(ISNUMBER(INDEX(貼り付け!$A$1:$BZ$3001,1020,$B$1)),"",SUBSTITUTE(SUBSTITUTE(SUBSTITUTE(SUBSTITUTE(TRIM(LEFT(INDEX(貼り付け!$A$1:$BZ$3001,1020,$B$1)&amp;"",FIND(" ",TRIM(INDEX(貼り付け!$A$1:$BZ$3001,1020,$B$1)&amp;"")&amp;" ")-1)),"/","-"),"年","-"),"月","-"),"日",""))),"")</f>
        <v/>
      </c>
      <c r="J1021">
        <f>IFERROR(MID(I1021,FIND("-",I1021)+1,99),"")</f>
        <v/>
      </c>
    </row>
    <row r="1022">
      <c r="B1022">
        <f>IFERROR(IF($B$1=0,"",IF(INDEX(貼り付け!$A$1:$BZ$3001,1021,$B$1)="","",IF(ISNUMBER(INDEX(貼り付け!$A$1:$BZ$3001,1021,$B$1)),INT(INDEX(貼り付け!$A$1:$BZ$3001,1021,$B$1)),DATE(VALUE(LEFT(I1022,FIND("-",I1022)-1)),VALUE(LEFT(J1022,FIND("-",J1022)-1)),VALUE(MID(J1022,FIND("-",J1022)+1,99)))))),"")</f>
        <v/>
      </c>
      <c r="C1022">
        <f>IF($C$1=0,0,IFERROR(VALUE(SUBSTITUTE(SUBSTITUTE(SUBSTITUTE(INDEX(貼り付け!$A$1:$BZ$3001,1021,$C$1)&amp;"",",",""),"¥",""),"￥","")),0))</f>
        <v/>
      </c>
      <c r="D1022">
        <f>IF($D$1=0,0,IFERROR(VALUE(SUBSTITUTE(SUBSTITUTE(SUBSTITUTE(INDEX(貼り付け!$A$1:$BZ$3001,1021,$D$1)&amp;"",",",""),"¥",""),"￥","")),0))</f>
        <v/>
      </c>
      <c r="E1022">
        <f>IF($E$1=0,0,IFERROR(VALUE(SUBSTITUTE(SUBSTITUTE(SUBSTITUTE(INDEX(貼り付け!$A$1:$BZ$3001,1021,$E$1)&amp;"",",",""),"¥",""),"￥","")),0))</f>
        <v/>
      </c>
      <c r="F1022">
        <f>IF($F$1=0,0,IFERROR(VALUE(SUBSTITUTE(SUBSTITUTE(SUBSTITUTE(INDEX(貼り付け!$A$1:$BZ$3001,1021,$F$1)&amp;"",",",""),"¥",""),"￥","")),0))</f>
        <v/>
      </c>
      <c r="G1022">
        <f>IF(ISNUMBER(B1022),YEAR(B1022),"")</f>
        <v/>
      </c>
      <c r="H1022">
        <f>IF(ISNUMBER(B1022),MONTH(B1022),"")</f>
        <v/>
      </c>
      <c r="I1022">
        <f>IFERROR(IF($B$1=0,"",IF(ISNUMBER(INDEX(貼り付け!$A$1:$BZ$3001,1021,$B$1)),"",SUBSTITUTE(SUBSTITUTE(SUBSTITUTE(SUBSTITUTE(TRIM(LEFT(INDEX(貼り付け!$A$1:$BZ$3001,1021,$B$1)&amp;"",FIND(" ",TRIM(INDEX(貼り付け!$A$1:$BZ$3001,1021,$B$1)&amp;"")&amp;" ")-1)),"/","-"),"年","-"),"月","-"),"日",""))),"")</f>
        <v/>
      </c>
      <c r="J1022">
        <f>IFERROR(MID(I1022,FIND("-",I1022)+1,99),"")</f>
        <v/>
      </c>
    </row>
    <row r="1023">
      <c r="B1023">
        <f>IFERROR(IF($B$1=0,"",IF(INDEX(貼り付け!$A$1:$BZ$3001,1022,$B$1)="","",IF(ISNUMBER(INDEX(貼り付け!$A$1:$BZ$3001,1022,$B$1)),INT(INDEX(貼り付け!$A$1:$BZ$3001,1022,$B$1)),DATE(VALUE(LEFT(I1023,FIND("-",I1023)-1)),VALUE(LEFT(J1023,FIND("-",J1023)-1)),VALUE(MID(J1023,FIND("-",J1023)+1,99)))))),"")</f>
        <v/>
      </c>
      <c r="C1023">
        <f>IF($C$1=0,0,IFERROR(VALUE(SUBSTITUTE(SUBSTITUTE(SUBSTITUTE(INDEX(貼り付け!$A$1:$BZ$3001,1022,$C$1)&amp;"",",",""),"¥",""),"￥","")),0))</f>
        <v/>
      </c>
      <c r="D1023">
        <f>IF($D$1=0,0,IFERROR(VALUE(SUBSTITUTE(SUBSTITUTE(SUBSTITUTE(INDEX(貼り付け!$A$1:$BZ$3001,1022,$D$1)&amp;"",",",""),"¥",""),"￥","")),0))</f>
        <v/>
      </c>
      <c r="E1023">
        <f>IF($E$1=0,0,IFERROR(VALUE(SUBSTITUTE(SUBSTITUTE(SUBSTITUTE(INDEX(貼り付け!$A$1:$BZ$3001,1022,$E$1)&amp;"",",",""),"¥",""),"￥","")),0))</f>
        <v/>
      </c>
      <c r="F1023">
        <f>IF($F$1=0,0,IFERROR(VALUE(SUBSTITUTE(SUBSTITUTE(SUBSTITUTE(INDEX(貼り付け!$A$1:$BZ$3001,1022,$F$1)&amp;"",",",""),"¥",""),"￥","")),0))</f>
        <v/>
      </c>
      <c r="G1023">
        <f>IF(ISNUMBER(B1023),YEAR(B1023),"")</f>
        <v/>
      </c>
      <c r="H1023">
        <f>IF(ISNUMBER(B1023),MONTH(B1023),"")</f>
        <v/>
      </c>
      <c r="I1023">
        <f>IFERROR(IF($B$1=0,"",IF(ISNUMBER(INDEX(貼り付け!$A$1:$BZ$3001,1022,$B$1)),"",SUBSTITUTE(SUBSTITUTE(SUBSTITUTE(SUBSTITUTE(TRIM(LEFT(INDEX(貼り付け!$A$1:$BZ$3001,1022,$B$1)&amp;"",FIND(" ",TRIM(INDEX(貼り付け!$A$1:$BZ$3001,1022,$B$1)&amp;"")&amp;" ")-1)),"/","-"),"年","-"),"月","-"),"日",""))),"")</f>
        <v/>
      </c>
      <c r="J1023">
        <f>IFERROR(MID(I1023,FIND("-",I1023)+1,99),"")</f>
        <v/>
      </c>
    </row>
    <row r="1024">
      <c r="B1024">
        <f>IFERROR(IF($B$1=0,"",IF(INDEX(貼り付け!$A$1:$BZ$3001,1023,$B$1)="","",IF(ISNUMBER(INDEX(貼り付け!$A$1:$BZ$3001,1023,$B$1)),INT(INDEX(貼り付け!$A$1:$BZ$3001,1023,$B$1)),DATE(VALUE(LEFT(I1024,FIND("-",I1024)-1)),VALUE(LEFT(J1024,FIND("-",J1024)-1)),VALUE(MID(J1024,FIND("-",J1024)+1,99)))))),"")</f>
        <v/>
      </c>
      <c r="C1024">
        <f>IF($C$1=0,0,IFERROR(VALUE(SUBSTITUTE(SUBSTITUTE(SUBSTITUTE(INDEX(貼り付け!$A$1:$BZ$3001,1023,$C$1)&amp;"",",",""),"¥",""),"￥","")),0))</f>
        <v/>
      </c>
      <c r="D1024">
        <f>IF($D$1=0,0,IFERROR(VALUE(SUBSTITUTE(SUBSTITUTE(SUBSTITUTE(INDEX(貼り付け!$A$1:$BZ$3001,1023,$D$1)&amp;"",",",""),"¥",""),"￥","")),0))</f>
        <v/>
      </c>
      <c r="E1024">
        <f>IF($E$1=0,0,IFERROR(VALUE(SUBSTITUTE(SUBSTITUTE(SUBSTITUTE(INDEX(貼り付け!$A$1:$BZ$3001,1023,$E$1)&amp;"",",",""),"¥",""),"￥","")),0))</f>
        <v/>
      </c>
      <c r="F1024">
        <f>IF($F$1=0,0,IFERROR(VALUE(SUBSTITUTE(SUBSTITUTE(SUBSTITUTE(INDEX(貼り付け!$A$1:$BZ$3001,1023,$F$1)&amp;"",",",""),"¥",""),"￥","")),0))</f>
        <v/>
      </c>
      <c r="G1024">
        <f>IF(ISNUMBER(B1024),YEAR(B1024),"")</f>
        <v/>
      </c>
      <c r="H1024">
        <f>IF(ISNUMBER(B1024),MONTH(B1024),"")</f>
        <v/>
      </c>
      <c r="I1024">
        <f>IFERROR(IF($B$1=0,"",IF(ISNUMBER(INDEX(貼り付け!$A$1:$BZ$3001,1023,$B$1)),"",SUBSTITUTE(SUBSTITUTE(SUBSTITUTE(SUBSTITUTE(TRIM(LEFT(INDEX(貼り付け!$A$1:$BZ$3001,1023,$B$1)&amp;"",FIND(" ",TRIM(INDEX(貼り付け!$A$1:$BZ$3001,1023,$B$1)&amp;"")&amp;" ")-1)),"/","-"),"年","-"),"月","-"),"日",""))),"")</f>
        <v/>
      </c>
      <c r="J1024">
        <f>IFERROR(MID(I1024,FIND("-",I1024)+1,99),"")</f>
        <v/>
      </c>
    </row>
    <row r="1025">
      <c r="B1025">
        <f>IFERROR(IF($B$1=0,"",IF(INDEX(貼り付け!$A$1:$BZ$3001,1024,$B$1)="","",IF(ISNUMBER(INDEX(貼り付け!$A$1:$BZ$3001,1024,$B$1)),INT(INDEX(貼り付け!$A$1:$BZ$3001,1024,$B$1)),DATE(VALUE(LEFT(I1025,FIND("-",I1025)-1)),VALUE(LEFT(J1025,FIND("-",J1025)-1)),VALUE(MID(J1025,FIND("-",J1025)+1,99)))))),"")</f>
        <v/>
      </c>
      <c r="C1025">
        <f>IF($C$1=0,0,IFERROR(VALUE(SUBSTITUTE(SUBSTITUTE(SUBSTITUTE(INDEX(貼り付け!$A$1:$BZ$3001,1024,$C$1)&amp;"",",",""),"¥",""),"￥","")),0))</f>
        <v/>
      </c>
      <c r="D1025">
        <f>IF($D$1=0,0,IFERROR(VALUE(SUBSTITUTE(SUBSTITUTE(SUBSTITUTE(INDEX(貼り付け!$A$1:$BZ$3001,1024,$D$1)&amp;"",",",""),"¥",""),"￥","")),0))</f>
        <v/>
      </c>
      <c r="E1025">
        <f>IF($E$1=0,0,IFERROR(VALUE(SUBSTITUTE(SUBSTITUTE(SUBSTITUTE(INDEX(貼り付け!$A$1:$BZ$3001,1024,$E$1)&amp;"",",",""),"¥",""),"￥","")),0))</f>
        <v/>
      </c>
      <c r="F1025">
        <f>IF($F$1=0,0,IFERROR(VALUE(SUBSTITUTE(SUBSTITUTE(SUBSTITUTE(INDEX(貼り付け!$A$1:$BZ$3001,1024,$F$1)&amp;"",",",""),"¥",""),"￥","")),0))</f>
        <v/>
      </c>
      <c r="G1025">
        <f>IF(ISNUMBER(B1025),YEAR(B1025),"")</f>
        <v/>
      </c>
      <c r="H1025">
        <f>IF(ISNUMBER(B1025),MONTH(B1025),"")</f>
        <v/>
      </c>
      <c r="I1025">
        <f>IFERROR(IF($B$1=0,"",IF(ISNUMBER(INDEX(貼り付け!$A$1:$BZ$3001,1024,$B$1)),"",SUBSTITUTE(SUBSTITUTE(SUBSTITUTE(SUBSTITUTE(TRIM(LEFT(INDEX(貼り付け!$A$1:$BZ$3001,1024,$B$1)&amp;"",FIND(" ",TRIM(INDEX(貼り付け!$A$1:$BZ$3001,1024,$B$1)&amp;"")&amp;" ")-1)),"/","-"),"年","-"),"月","-"),"日",""))),"")</f>
        <v/>
      </c>
      <c r="J1025">
        <f>IFERROR(MID(I1025,FIND("-",I1025)+1,99),"")</f>
        <v/>
      </c>
    </row>
    <row r="1026">
      <c r="B1026">
        <f>IFERROR(IF($B$1=0,"",IF(INDEX(貼り付け!$A$1:$BZ$3001,1025,$B$1)="","",IF(ISNUMBER(INDEX(貼り付け!$A$1:$BZ$3001,1025,$B$1)),INT(INDEX(貼り付け!$A$1:$BZ$3001,1025,$B$1)),DATE(VALUE(LEFT(I1026,FIND("-",I1026)-1)),VALUE(LEFT(J1026,FIND("-",J1026)-1)),VALUE(MID(J1026,FIND("-",J1026)+1,99)))))),"")</f>
        <v/>
      </c>
      <c r="C1026">
        <f>IF($C$1=0,0,IFERROR(VALUE(SUBSTITUTE(SUBSTITUTE(SUBSTITUTE(INDEX(貼り付け!$A$1:$BZ$3001,1025,$C$1)&amp;"",",",""),"¥",""),"￥","")),0))</f>
        <v/>
      </c>
      <c r="D1026">
        <f>IF($D$1=0,0,IFERROR(VALUE(SUBSTITUTE(SUBSTITUTE(SUBSTITUTE(INDEX(貼り付け!$A$1:$BZ$3001,1025,$D$1)&amp;"",",",""),"¥",""),"￥","")),0))</f>
        <v/>
      </c>
      <c r="E1026">
        <f>IF($E$1=0,0,IFERROR(VALUE(SUBSTITUTE(SUBSTITUTE(SUBSTITUTE(INDEX(貼り付け!$A$1:$BZ$3001,1025,$E$1)&amp;"",",",""),"¥",""),"￥","")),0))</f>
        <v/>
      </c>
      <c r="F1026">
        <f>IF($F$1=0,0,IFERROR(VALUE(SUBSTITUTE(SUBSTITUTE(SUBSTITUTE(INDEX(貼り付け!$A$1:$BZ$3001,1025,$F$1)&amp;"",",",""),"¥",""),"￥","")),0))</f>
        <v/>
      </c>
      <c r="G1026">
        <f>IF(ISNUMBER(B1026),YEAR(B1026),"")</f>
        <v/>
      </c>
      <c r="H1026">
        <f>IF(ISNUMBER(B1026),MONTH(B1026),"")</f>
        <v/>
      </c>
      <c r="I1026">
        <f>IFERROR(IF($B$1=0,"",IF(ISNUMBER(INDEX(貼り付け!$A$1:$BZ$3001,1025,$B$1)),"",SUBSTITUTE(SUBSTITUTE(SUBSTITUTE(SUBSTITUTE(TRIM(LEFT(INDEX(貼り付け!$A$1:$BZ$3001,1025,$B$1)&amp;"",FIND(" ",TRIM(INDEX(貼り付け!$A$1:$BZ$3001,1025,$B$1)&amp;"")&amp;" ")-1)),"/","-"),"年","-"),"月","-"),"日",""))),"")</f>
        <v/>
      </c>
      <c r="J1026">
        <f>IFERROR(MID(I1026,FIND("-",I1026)+1,99),"")</f>
        <v/>
      </c>
    </row>
    <row r="1027">
      <c r="B1027">
        <f>IFERROR(IF($B$1=0,"",IF(INDEX(貼り付け!$A$1:$BZ$3001,1026,$B$1)="","",IF(ISNUMBER(INDEX(貼り付け!$A$1:$BZ$3001,1026,$B$1)),INT(INDEX(貼り付け!$A$1:$BZ$3001,1026,$B$1)),DATE(VALUE(LEFT(I1027,FIND("-",I1027)-1)),VALUE(LEFT(J1027,FIND("-",J1027)-1)),VALUE(MID(J1027,FIND("-",J1027)+1,99)))))),"")</f>
        <v/>
      </c>
      <c r="C1027">
        <f>IF($C$1=0,0,IFERROR(VALUE(SUBSTITUTE(SUBSTITUTE(SUBSTITUTE(INDEX(貼り付け!$A$1:$BZ$3001,1026,$C$1)&amp;"",",",""),"¥",""),"￥","")),0))</f>
        <v/>
      </c>
      <c r="D1027">
        <f>IF($D$1=0,0,IFERROR(VALUE(SUBSTITUTE(SUBSTITUTE(SUBSTITUTE(INDEX(貼り付け!$A$1:$BZ$3001,1026,$D$1)&amp;"",",",""),"¥",""),"￥","")),0))</f>
        <v/>
      </c>
      <c r="E1027">
        <f>IF($E$1=0,0,IFERROR(VALUE(SUBSTITUTE(SUBSTITUTE(SUBSTITUTE(INDEX(貼り付け!$A$1:$BZ$3001,1026,$E$1)&amp;"",",",""),"¥",""),"￥","")),0))</f>
        <v/>
      </c>
      <c r="F1027">
        <f>IF($F$1=0,0,IFERROR(VALUE(SUBSTITUTE(SUBSTITUTE(SUBSTITUTE(INDEX(貼り付け!$A$1:$BZ$3001,1026,$F$1)&amp;"",",",""),"¥",""),"￥","")),0))</f>
        <v/>
      </c>
      <c r="G1027">
        <f>IF(ISNUMBER(B1027),YEAR(B1027),"")</f>
        <v/>
      </c>
      <c r="H1027">
        <f>IF(ISNUMBER(B1027),MONTH(B1027),"")</f>
        <v/>
      </c>
      <c r="I1027">
        <f>IFERROR(IF($B$1=0,"",IF(ISNUMBER(INDEX(貼り付け!$A$1:$BZ$3001,1026,$B$1)),"",SUBSTITUTE(SUBSTITUTE(SUBSTITUTE(SUBSTITUTE(TRIM(LEFT(INDEX(貼り付け!$A$1:$BZ$3001,1026,$B$1)&amp;"",FIND(" ",TRIM(INDEX(貼り付け!$A$1:$BZ$3001,1026,$B$1)&amp;"")&amp;" ")-1)),"/","-"),"年","-"),"月","-"),"日",""))),"")</f>
        <v/>
      </c>
      <c r="J1027">
        <f>IFERROR(MID(I1027,FIND("-",I1027)+1,99),"")</f>
        <v/>
      </c>
    </row>
    <row r="1028">
      <c r="B1028">
        <f>IFERROR(IF($B$1=0,"",IF(INDEX(貼り付け!$A$1:$BZ$3001,1027,$B$1)="","",IF(ISNUMBER(INDEX(貼り付け!$A$1:$BZ$3001,1027,$B$1)),INT(INDEX(貼り付け!$A$1:$BZ$3001,1027,$B$1)),DATE(VALUE(LEFT(I1028,FIND("-",I1028)-1)),VALUE(LEFT(J1028,FIND("-",J1028)-1)),VALUE(MID(J1028,FIND("-",J1028)+1,99)))))),"")</f>
        <v/>
      </c>
      <c r="C1028">
        <f>IF($C$1=0,0,IFERROR(VALUE(SUBSTITUTE(SUBSTITUTE(SUBSTITUTE(INDEX(貼り付け!$A$1:$BZ$3001,1027,$C$1)&amp;"",",",""),"¥",""),"￥","")),0))</f>
        <v/>
      </c>
      <c r="D1028">
        <f>IF($D$1=0,0,IFERROR(VALUE(SUBSTITUTE(SUBSTITUTE(SUBSTITUTE(INDEX(貼り付け!$A$1:$BZ$3001,1027,$D$1)&amp;"",",",""),"¥",""),"￥","")),0))</f>
        <v/>
      </c>
      <c r="E1028">
        <f>IF($E$1=0,0,IFERROR(VALUE(SUBSTITUTE(SUBSTITUTE(SUBSTITUTE(INDEX(貼り付け!$A$1:$BZ$3001,1027,$E$1)&amp;"",",",""),"¥",""),"￥","")),0))</f>
        <v/>
      </c>
      <c r="F1028">
        <f>IF($F$1=0,0,IFERROR(VALUE(SUBSTITUTE(SUBSTITUTE(SUBSTITUTE(INDEX(貼り付け!$A$1:$BZ$3001,1027,$F$1)&amp;"",",",""),"¥",""),"￥","")),0))</f>
        <v/>
      </c>
      <c r="G1028">
        <f>IF(ISNUMBER(B1028),YEAR(B1028),"")</f>
        <v/>
      </c>
      <c r="H1028">
        <f>IF(ISNUMBER(B1028),MONTH(B1028),"")</f>
        <v/>
      </c>
      <c r="I1028">
        <f>IFERROR(IF($B$1=0,"",IF(ISNUMBER(INDEX(貼り付け!$A$1:$BZ$3001,1027,$B$1)),"",SUBSTITUTE(SUBSTITUTE(SUBSTITUTE(SUBSTITUTE(TRIM(LEFT(INDEX(貼り付け!$A$1:$BZ$3001,1027,$B$1)&amp;"",FIND(" ",TRIM(INDEX(貼り付け!$A$1:$BZ$3001,1027,$B$1)&amp;"")&amp;" ")-1)),"/","-"),"年","-"),"月","-"),"日",""))),"")</f>
        <v/>
      </c>
      <c r="J1028">
        <f>IFERROR(MID(I1028,FIND("-",I1028)+1,99),"")</f>
        <v/>
      </c>
    </row>
    <row r="1029">
      <c r="B1029">
        <f>IFERROR(IF($B$1=0,"",IF(INDEX(貼り付け!$A$1:$BZ$3001,1028,$B$1)="","",IF(ISNUMBER(INDEX(貼り付け!$A$1:$BZ$3001,1028,$B$1)),INT(INDEX(貼り付け!$A$1:$BZ$3001,1028,$B$1)),DATE(VALUE(LEFT(I1029,FIND("-",I1029)-1)),VALUE(LEFT(J1029,FIND("-",J1029)-1)),VALUE(MID(J1029,FIND("-",J1029)+1,99)))))),"")</f>
        <v/>
      </c>
      <c r="C1029">
        <f>IF($C$1=0,0,IFERROR(VALUE(SUBSTITUTE(SUBSTITUTE(SUBSTITUTE(INDEX(貼り付け!$A$1:$BZ$3001,1028,$C$1)&amp;"",",",""),"¥",""),"￥","")),0))</f>
        <v/>
      </c>
      <c r="D1029">
        <f>IF($D$1=0,0,IFERROR(VALUE(SUBSTITUTE(SUBSTITUTE(SUBSTITUTE(INDEX(貼り付け!$A$1:$BZ$3001,1028,$D$1)&amp;"",",",""),"¥",""),"￥","")),0))</f>
        <v/>
      </c>
      <c r="E1029">
        <f>IF($E$1=0,0,IFERROR(VALUE(SUBSTITUTE(SUBSTITUTE(SUBSTITUTE(INDEX(貼り付け!$A$1:$BZ$3001,1028,$E$1)&amp;"",",",""),"¥",""),"￥","")),0))</f>
        <v/>
      </c>
      <c r="F1029">
        <f>IF($F$1=0,0,IFERROR(VALUE(SUBSTITUTE(SUBSTITUTE(SUBSTITUTE(INDEX(貼り付け!$A$1:$BZ$3001,1028,$F$1)&amp;"",",",""),"¥",""),"￥","")),0))</f>
        <v/>
      </c>
      <c r="G1029">
        <f>IF(ISNUMBER(B1029),YEAR(B1029),"")</f>
        <v/>
      </c>
      <c r="H1029">
        <f>IF(ISNUMBER(B1029),MONTH(B1029),"")</f>
        <v/>
      </c>
      <c r="I1029">
        <f>IFERROR(IF($B$1=0,"",IF(ISNUMBER(INDEX(貼り付け!$A$1:$BZ$3001,1028,$B$1)),"",SUBSTITUTE(SUBSTITUTE(SUBSTITUTE(SUBSTITUTE(TRIM(LEFT(INDEX(貼り付け!$A$1:$BZ$3001,1028,$B$1)&amp;"",FIND(" ",TRIM(INDEX(貼り付け!$A$1:$BZ$3001,1028,$B$1)&amp;"")&amp;" ")-1)),"/","-"),"年","-"),"月","-"),"日",""))),"")</f>
        <v/>
      </c>
      <c r="J1029">
        <f>IFERROR(MID(I1029,FIND("-",I1029)+1,99),"")</f>
        <v/>
      </c>
    </row>
    <row r="1030">
      <c r="B1030">
        <f>IFERROR(IF($B$1=0,"",IF(INDEX(貼り付け!$A$1:$BZ$3001,1029,$B$1)="","",IF(ISNUMBER(INDEX(貼り付け!$A$1:$BZ$3001,1029,$B$1)),INT(INDEX(貼り付け!$A$1:$BZ$3001,1029,$B$1)),DATE(VALUE(LEFT(I1030,FIND("-",I1030)-1)),VALUE(LEFT(J1030,FIND("-",J1030)-1)),VALUE(MID(J1030,FIND("-",J1030)+1,99)))))),"")</f>
        <v/>
      </c>
      <c r="C1030">
        <f>IF($C$1=0,0,IFERROR(VALUE(SUBSTITUTE(SUBSTITUTE(SUBSTITUTE(INDEX(貼り付け!$A$1:$BZ$3001,1029,$C$1)&amp;"",",",""),"¥",""),"￥","")),0))</f>
        <v/>
      </c>
      <c r="D1030">
        <f>IF($D$1=0,0,IFERROR(VALUE(SUBSTITUTE(SUBSTITUTE(SUBSTITUTE(INDEX(貼り付け!$A$1:$BZ$3001,1029,$D$1)&amp;"",",",""),"¥",""),"￥","")),0))</f>
        <v/>
      </c>
      <c r="E1030">
        <f>IF($E$1=0,0,IFERROR(VALUE(SUBSTITUTE(SUBSTITUTE(SUBSTITUTE(INDEX(貼り付け!$A$1:$BZ$3001,1029,$E$1)&amp;"",",",""),"¥",""),"￥","")),0))</f>
        <v/>
      </c>
      <c r="F1030">
        <f>IF($F$1=0,0,IFERROR(VALUE(SUBSTITUTE(SUBSTITUTE(SUBSTITUTE(INDEX(貼り付け!$A$1:$BZ$3001,1029,$F$1)&amp;"",",",""),"¥",""),"￥","")),0))</f>
        <v/>
      </c>
      <c r="G1030">
        <f>IF(ISNUMBER(B1030),YEAR(B1030),"")</f>
        <v/>
      </c>
      <c r="H1030">
        <f>IF(ISNUMBER(B1030),MONTH(B1030),"")</f>
        <v/>
      </c>
      <c r="I1030">
        <f>IFERROR(IF($B$1=0,"",IF(ISNUMBER(INDEX(貼り付け!$A$1:$BZ$3001,1029,$B$1)),"",SUBSTITUTE(SUBSTITUTE(SUBSTITUTE(SUBSTITUTE(TRIM(LEFT(INDEX(貼り付け!$A$1:$BZ$3001,1029,$B$1)&amp;"",FIND(" ",TRIM(INDEX(貼り付け!$A$1:$BZ$3001,1029,$B$1)&amp;"")&amp;" ")-1)),"/","-"),"年","-"),"月","-"),"日",""))),"")</f>
        <v/>
      </c>
      <c r="J1030">
        <f>IFERROR(MID(I1030,FIND("-",I1030)+1,99),"")</f>
        <v/>
      </c>
    </row>
    <row r="1031">
      <c r="B1031">
        <f>IFERROR(IF($B$1=0,"",IF(INDEX(貼り付け!$A$1:$BZ$3001,1030,$B$1)="","",IF(ISNUMBER(INDEX(貼り付け!$A$1:$BZ$3001,1030,$B$1)),INT(INDEX(貼り付け!$A$1:$BZ$3001,1030,$B$1)),DATE(VALUE(LEFT(I1031,FIND("-",I1031)-1)),VALUE(LEFT(J1031,FIND("-",J1031)-1)),VALUE(MID(J1031,FIND("-",J1031)+1,99)))))),"")</f>
        <v/>
      </c>
      <c r="C1031">
        <f>IF($C$1=0,0,IFERROR(VALUE(SUBSTITUTE(SUBSTITUTE(SUBSTITUTE(INDEX(貼り付け!$A$1:$BZ$3001,1030,$C$1)&amp;"",",",""),"¥",""),"￥","")),0))</f>
        <v/>
      </c>
      <c r="D1031">
        <f>IF($D$1=0,0,IFERROR(VALUE(SUBSTITUTE(SUBSTITUTE(SUBSTITUTE(INDEX(貼り付け!$A$1:$BZ$3001,1030,$D$1)&amp;"",",",""),"¥",""),"￥","")),0))</f>
        <v/>
      </c>
      <c r="E1031">
        <f>IF($E$1=0,0,IFERROR(VALUE(SUBSTITUTE(SUBSTITUTE(SUBSTITUTE(INDEX(貼り付け!$A$1:$BZ$3001,1030,$E$1)&amp;"",",",""),"¥",""),"￥","")),0))</f>
        <v/>
      </c>
      <c r="F1031">
        <f>IF($F$1=0,0,IFERROR(VALUE(SUBSTITUTE(SUBSTITUTE(SUBSTITUTE(INDEX(貼り付け!$A$1:$BZ$3001,1030,$F$1)&amp;"",",",""),"¥",""),"￥","")),0))</f>
        <v/>
      </c>
      <c r="G1031">
        <f>IF(ISNUMBER(B1031),YEAR(B1031),"")</f>
        <v/>
      </c>
      <c r="H1031">
        <f>IF(ISNUMBER(B1031),MONTH(B1031),"")</f>
        <v/>
      </c>
      <c r="I1031">
        <f>IFERROR(IF($B$1=0,"",IF(ISNUMBER(INDEX(貼り付け!$A$1:$BZ$3001,1030,$B$1)),"",SUBSTITUTE(SUBSTITUTE(SUBSTITUTE(SUBSTITUTE(TRIM(LEFT(INDEX(貼り付け!$A$1:$BZ$3001,1030,$B$1)&amp;"",FIND(" ",TRIM(INDEX(貼り付け!$A$1:$BZ$3001,1030,$B$1)&amp;"")&amp;" ")-1)),"/","-"),"年","-"),"月","-"),"日",""))),"")</f>
        <v/>
      </c>
      <c r="J1031">
        <f>IFERROR(MID(I1031,FIND("-",I1031)+1,99),"")</f>
        <v/>
      </c>
    </row>
    <row r="1032">
      <c r="B1032">
        <f>IFERROR(IF($B$1=0,"",IF(INDEX(貼り付け!$A$1:$BZ$3001,1031,$B$1)="","",IF(ISNUMBER(INDEX(貼り付け!$A$1:$BZ$3001,1031,$B$1)),INT(INDEX(貼り付け!$A$1:$BZ$3001,1031,$B$1)),DATE(VALUE(LEFT(I1032,FIND("-",I1032)-1)),VALUE(LEFT(J1032,FIND("-",J1032)-1)),VALUE(MID(J1032,FIND("-",J1032)+1,99)))))),"")</f>
        <v/>
      </c>
      <c r="C1032">
        <f>IF($C$1=0,0,IFERROR(VALUE(SUBSTITUTE(SUBSTITUTE(SUBSTITUTE(INDEX(貼り付け!$A$1:$BZ$3001,1031,$C$1)&amp;"",",",""),"¥",""),"￥","")),0))</f>
        <v/>
      </c>
      <c r="D1032">
        <f>IF($D$1=0,0,IFERROR(VALUE(SUBSTITUTE(SUBSTITUTE(SUBSTITUTE(INDEX(貼り付け!$A$1:$BZ$3001,1031,$D$1)&amp;"",",",""),"¥",""),"￥","")),0))</f>
        <v/>
      </c>
      <c r="E1032">
        <f>IF($E$1=0,0,IFERROR(VALUE(SUBSTITUTE(SUBSTITUTE(SUBSTITUTE(INDEX(貼り付け!$A$1:$BZ$3001,1031,$E$1)&amp;"",",",""),"¥",""),"￥","")),0))</f>
        <v/>
      </c>
      <c r="F1032">
        <f>IF($F$1=0,0,IFERROR(VALUE(SUBSTITUTE(SUBSTITUTE(SUBSTITUTE(INDEX(貼り付け!$A$1:$BZ$3001,1031,$F$1)&amp;"",",",""),"¥",""),"￥","")),0))</f>
        <v/>
      </c>
      <c r="G1032">
        <f>IF(ISNUMBER(B1032),YEAR(B1032),"")</f>
        <v/>
      </c>
      <c r="H1032">
        <f>IF(ISNUMBER(B1032),MONTH(B1032),"")</f>
        <v/>
      </c>
      <c r="I1032">
        <f>IFERROR(IF($B$1=0,"",IF(ISNUMBER(INDEX(貼り付け!$A$1:$BZ$3001,1031,$B$1)),"",SUBSTITUTE(SUBSTITUTE(SUBSTITUTE(SUBSTITUTE(TRIM(LEFT(INDEX(貼り付け!$A$1:$BZ$3001,1031,$B$1)&amp;"",FIND(" ",TRIM(INDEX(貼り付け!$A$1:$BZ$3001,1031,$B$1)&amp;"")&amp;" ")-1)),"/","-"),"年","-"),"月","-"),"日",""))),"")</f>
        <v/>
      </c>
      <c r="J1032">
        <f>IFERROR(MID(I1032,FIND("-",I1032)+1,99),"")</f>
        <v/>
      </c>
    </row>
    <row r="1033">
      <c r="B1033">
        <f>IFERROR(IF($B$1=0,"",IF(INDEX(貼り付け!$A$1:$BZ$3001,1032,$B$1)="","",IF(ISNUMBER(INDEX(貼り付け!$A$1:$BZ$3001,1032,$B$1)),INT(INDEX(貼り付け!$A$1:$BZ$3001,1032,$B$1)),DATE(VALUE(LEFT(I1033,FIND("-",I1033)-1)),VALUE(LEFT(J1033,FIND("-",J1033)-1)),VALUE(MID(J1033,FIND("-",J1033)+1,99)))))),"")</f>
        <v/>
      </c>
      <c r="C1033">
        <f>IF($C$1=0,0,IFERROR(VALUE(SUBSTITUTE(SUBSTITUTE(SUBSTITUTE(INDEX(貼り付け!$A$1:$BZ$3001,1032,$C$1)&amp;"",",",""),"¥",""),"￥","")),0))</f>
        <v/>
      </c>
      <c r="D1033">
        <f>IF($D$1=0,0,IFERROR(VALUE(SUBSTITUTE(SUBSTITUTE(SUBSTITUTE(INDEX(貼り付け!$A$1:$BZ$3001,1032,$D$1)&amp;"",",",""),"¥",""),"￥","")),0))</f>
        <v/>
      </c>
      <c r="E1033">
        <f>IF($E$1=0,0,IFERROR(VALUE(SUBSTITUTE(SUBSTITUTE(SUBSTITUTE(INDEX(貼り付け!$A$1:$BZ$3001,1032,$E$1)&amp;"",",",""),"¥",""),"￥","")),0))</f>
        <v/>
      </c>
      <c r="F1033">
        <f>IF($F$1=0,0,IFERROR(VALUE(SUBSTITUTE(SUBSTITUTE(SUBSTITUTE(INDEX(貼り付け!$A$1:$BZ$3001,1032,$F$1)&amp;"",",",""),"¥",""),"￥","")),0))</f>
        <v/>
      </c>
      <c r="G1033">
        <f>IF(ISNUMBER(B1033),YEAR(B1033),"")</f>
        <v/>
      </c>
      <c r="H1033">
        <f>IF(ISNUMBER(B1033),MONTH(B1033),"")</f>
        <v/>
      </c>
      <c r="I1033">
        <f>IFERROR(IF($B$1=0,"",IF(ISNUMBER(INDEX(貼り付け!$A$1:$BZ$3001,1032,$B$1)),"",SUBSTITUTE(SUBSTITUTE(SUBSTITUTE(SUBSTITUTE(TRIM(LEFT(INDEX(貼り付け!$A$1:$BZ$3001,1032,$B$1)&amp;"",FIND(" ",TRIM(INDEX(貼り付け!$A$1:$BZ$3001,1032,$B$1)&amp;"")&amp;" ")-1)),"/","-"),"年","-"),"月","-"),"日",""))),"")</f>
        <v/>
      </c>
      <c r="J1033">
        <f>IFERROR(MID(I1033,FIND("-",I1033)+1,99),"")</f>
        <v/>
      </c>
    </row>
    <row r="1034">
      <c r="B1034">
        <f>IFERROR(IF($B$1=0,"",IF(INDEX(貼り付け!$A$1:$BZ$3001,1033,$B$1)="","",IF(ISNUMBER(INDEX(貼り付け!$A$1:$BZ$3001,1033,$B$1)),INT(INDEX(貼り付け!$A$1:$BZ$3001,1033,$B$1)),DATE(VALUE(LEFT(I1034,FIND("-",I1034)-1)),VALUE(LEFT(J1034,FIND("-",J1034)-1)),VALUE(MID(J1034,FIND("-",J1034)+1,99)))))),"")</f>
        <v/>
      </c>
      <c r="C1034">
        <f>IF($C$1=0,0,IFERROR(VALUE(SUBSTITUTE(SUBSTITUTE(SUBSTITUTE(INDEX(貼り付け!$A$1:$BZ$3001,1033,$C$1)&amp;"",",",""),"¥",""),"￥","")),0))</f>
        <v/>
      </c>
      <c r="D1034">
        <f>IF($D$1=0,0,IFERROR(VALUE(SUBSTITUTE(SUBSTITUTE(SUBSTITUTE(INDEX(貼り付け!$A$1:$BZ$3001,1033,$D$1)&amp;"",",",""),"¥",""),"￥","")),0))</f>
        <v/>
      </c>
      <c r="E1034">
        <f>IF($E$1=0,0,IFERROR(VALUE(SUBSTITUTE(SUBSTITUTE(SUBSTITUTE(INDEX(貼り付け!$A$1:$BZ$3001,1033,$E$1)&amp;"",",",""),"¥",""),"￥","")),0))</f>
        <v/>
      </c>
      <c r="F1034">
        <f>IF($F$1=0,0,IFERROR(VALUE(SUBSTITUTE(SUBSTITUTE(SUBSTITUTE(INDEX(貼り付け!$A$1:$BZ$3001,1033,$F$1)&amp;"",",",""),"¥",""),"￥","")),0))</f>
        <v/>
      </c>
      <c r="G1034">
        <f>IF(ISNUMBER(B1034),YEAR(B1034),"")</f>
        <v/>
      </c>
      <c r="H1034">
        <f>IF(ISNUMBER(B1034),MONTH(B1034),"")</f>
        <v/>
      </c>
      <c r="I1034">
        <f>IFERROR(IF($B$1=0,"",IF(ISNUMBER(INDEX(貼り付け!$A$1:$BZ$3001,1033,$B$1)),"",SUBSTITUTE(SUBSTITUTE(SUBSTITUTE(SUBSTITUTE(TRIM(LEFT(INDEX(貼り付け!$A$1:$BZ$3001,1033,$B$1)&amp;"",FIND(" ",TRIM(INDEX(貼り付け!$A$1:$BZ$3001,1033,$B$1)&amp;"")&amp;" ")-1)),"/","-"),"年","-"),"月","-"),"日",""))),"")</f>
        <v/>
      </c>
      <c r="J1034">
        <f>IFERROR(MID(I1034,FIND("-",I1034)+1,99),"")</f>
        <v/>
      </c>
    </row>
    <row r="1035">
      <c r="B1035">
        <f>IFERROR(IF($B$1=0,"",IF(INDEX(貼り付け!$A$1:$BZ$3001,1034,$B$1)="","",IF(ISNUMBER(INDEX(貼り付け!$A$1:$BZ$3001,1034,$B$1)),INT(INDEX(貼り付け!$A$1:$BZ$3001,1034,$B$1)),DATE(VALUE(LEFT(I1035,FIND("-",I1035)-1)),VALUE(LEFT(J1035,FIND("-",J1035)-1)),VALUE(MID(J1035,FIND("-",J1035)+1,99)))))),"")</f>
        <v/>
      </c>
      <c r="C1035">
        <f>IF($C$1=0,0,IFERROR(VALUE(SUBSTITUTE(SUBSTITUTE(SUBSTITUTE(INDEX(貼り付け!$A$1:$BZ$3001,1034,$C$1)&amp;"",",",""),"¥",""),"￥","")),0))</f>
        <v/>
      </c>
      <c r="D1035">
        <f>IF($D$1=0,0,IFERROR(VALUE(SUBSTITUTE(SUBSTITUTE(SUBSTITUTE(INDEX(貼り付け!$A$1:$BZ$3001,1034,$D$1)&amp;"",",",""),"¥",""),"￥","")),0))</f>
        <v/>
      </c>
      <c r="E1035">
        <f>IF($E$1=0,0,IFERROR(VALUE(SUBSTITUTE(SUBSTITUTE(SUBSTITUTE(INDEX(貼り付け!$A$1:$BZ$3001,1034,$E$1)&amp;"",",",""),"¥",""),"￥","")),0))</f>
        <v/>
      </c>
      <c r="F1035">
        <f>IF($F$1=0,0,IFERROR(VALUE(SUBSTITUTE(SUBSTITUTE(SUBSTITUTE(INDEX(貼り付け!$A$1:$BZ$3001,1034,$F$1)&amp;"",",",""),"¥",""),"￥","")),0))</f>
        <v/>
      </c>
      <c r="G1035">
        <f>IF(ISNUMBER(B1035),YEAR(B1035),"")</f>
        <v/>
      </c>
      <c r="H1035">
        <f>IF(ISNUMBER(B1035),MONTH(B1035),"")</f>
        <v/>
      </c>
      <c r="I1035">
        <f>IFERROR(IF($B$1=0,"",IF(ISNUMBER(INDEX(貼り付け!$A$1:$BZ$3001,1034,$B$1)),"",SUBSTITUTE(SUBSTITUTE(SUBSTITUTE(SUBSTITUTE(TRIM(LEFT(INDEX(貼り付け!$A$1:$BZ$3001,1034,$B$1)&amp;"",FIND(" ",TRIM(INDEX(貼り付け!$A$1:$BZ$3001,1034,$B$1)&amp;"")&amp;" ")-1)),"/","-"),"年","-"),"月","-"),"日",""))),"")</f>
        <v/>
      </c>
      <c r="J1035">
        <f>IFERROR(MID(I1035,FIND("-",I1035)+1,99),"")</f>
        <v/>
      </c>
    </row>
    <row r="1036">
      <c r="B1036">
        <f>IFERROR(IF($B$1=0,"",IF(INDEX(貼り付け!$A$1:$BZ$3001,1035,$B$1)="","",IF(ISNUMBER(INDEX(貼り付け!$A$1:$BZ$3001,1035,$B$1)),INT(INDEX(貼り付け!$A$1:$BZ$3001,1035,$B$1)),DATE(VALUE(LEFT(I1036,FIND("-",I1036)-1)),VALUE(LEFT(J1036,FIND("-",J1036)-1)),VALUE(MID(J1036,FIND("-",J1036)+1,99)))))),"")</f>
        <v/>
      </c>
      <c r="C1036">
        <f>IF($C$1=0,0,IFERROR(VALUE(SUBSTITUTE(SUBSTITUTE(SUBSTITUTE(INDEX(貼り付け!$A$1:$BZ$3001,1035,$C$1)&amp;"",",",""),"¥",""),"￥","")),0))</f>
        <v/>
      </c>
      <c r="D1036">
        <f>IF($D$1=0,0,IFERROR(VALUE(SUBSTITUTE(SUBSTITUTE(SUBSTITUTE(INDEX(貼り付け!$A$1:$BZ$3001,1035,$D$1)&amp;"",",",""),"¥",""),"￥","")),0))</f>
        <v/>
      </c>
      <c r="E1036">
        <f>IF($E$1=0,0,IFERROR(VALUE(SUBSTITUTE(SUBSTITUTE(SUBSTITUTE(INDEX(貼り付け!$A$1:$BZ$3001,1035,$E$1)&amp;"",",",""),"¥",""),"￥","")),0))</f>
        <v/>
      </c>
      <c r="F1036">
        <f>IF($F$1=0,0,IFERROR(VALUE(SUBSTITUTE(SUBSTITUTE(SUBSTITUTE(INDEX(貼り付け!$A$1:$BZ$3001,1035,$F$1)&amp;"",",",""),"¥",""),"￥","")),0))</f>
        <v/>
      </c>
      <c r="G1036">
        <f>IF(ISNUMBER(B1036),YEAR(B1036),"")</f>
        <v/>
      </c>
      <c r="H1036">
        <f>IF(ISNUMBER(B1036),MONTH(B1036),"")</f>
        <v/>
      </c>
      <c r="I1036">
        <f>IFERROR(IF($B$1=0,"",IF(ISNUMBER(INDEX(貼り付け!$A$1:$BZ$3001,1035,$B$1)),"",SUBSTITUTE(SUBSTITUTE(SUBSTITUTE(SUBSTITUTE(TRIM(LEFT(INDEX(貼り付け!$A$1:$BZ$3001,1035,$B$1)&amp;"",FIND(" ",TRIM(INDEX(貼り付け!$A$1:$BZ$3001,1035,$B$1)&amp;"")&amp;" ")-1)),"/","-"),"年","-"),"月","-"),"日",""))),"")</f>
        <v/>
      </c>
      <c r="J1036">
        <f>IFERROR(MID(I1036,FIND("-",I1036)+1,99),"")</f>
        <v/>
      </c>
    </row>
    <row r="1037">
      <c r="B1037">
        <f>IFERROR(IF($B$1=0,"",IF(INDEX(貼り付け!$A$1:$BZ$3001,1036,$B$1)="","",IF(ISNUMBER(INDEX(貼り付け!$A$1:$BZ$3001,1036,$B$1)),INT(INDEX(貼り付け!$A$1:$BZ$3001,1036,$B$1)),DATE(VALUE(LEFT(I1037,FIND("-",I1037)-1)),VALUE(LEFT(J1037,FIND("-",J1037)-1)),VALUE(MID(J1037,FIND("-",J1037)+1,99)))))),"")</f>
        <v/>
      </c>
      <c r="C1037">
        <f>IF($C$1=0,0,IFERROR(VALUE(SUBSTITUTE(SUBSTITUTE(SUBSTITUTE(INDEX(貼り付け!$A$1:$BZ$3001,1036,$C$1)&amp;"",",",""),"¥",""),"￥","")),0))</f>
        <v/>
      </c>
      <c r="D1037">
        <f>IF($D$1=0,0,IFERROR(VALUE(SUBSTITUTE(SUBSTITUTE(SUBSTITUTE(INDEX(貼り付け!$A$1:$BZ$3001,1036,$D$1)&amp;"",",",""),"¥",""),"￥","")),0))</f>
        <v/>
      </c>
      <c r="E1037">
        <f>IF($E$1=0,0,IFERROR(VALUE(SUBSTITUTE(SUBSTITUTE(SUBSTITUTE(INDEX(貼り付け!$A$1:$BZ$3001,1036,$E$1)&amp;"",",",""),"¥",""),"￥","")),0))</f>
        <v/>
      </c>
      <c r="F1037">
        <f>IF($F$1=0,0,IFERROR(VALUE(SUBSTITUTE(SUBSTITUTE(SUBSTITUTE(INDEX(貼り付け!$A$1:$BZ$3001,1036,$F$1)&amp;"",",",""),"¥",""),"￥","")),0))</f>
        <v/>
      </c>
      <c r="G1037">
        <f>IF(ISNUMBER(B1037),YEAR(B1037),"")</f>
        <v/>
      </c>
      <c r="H1037">
        <f>IF(ISNUMBER(B1037),MONTH(B1037),"")</f>
        <v/>
      </c>
      <c r="I1037">
        <f>IFERROR(IF($B$1=0,"",IF(ISNUMBER(INDEX(貼り付け!$A$1:$BZ$3001,1036,$B$1)),"",SUBSTITUTE(SUBSTITUTE(SUBSTITUTE(SUBSTITUTE(TRIM(LEFT(INDEX(貼り付け!$A$1:$BZ$3001,1036,$B$1)&amp;"",FIND(" ",TRIM(INDEX(貼り付け!$A$1:$BZ$3001,1036,$B$1)&amp;"")&amp;" ")-1)),"/","-"),"年","-"),"月","-"),"日",""))),"")</f>
        <v/>
      </c>
      <c r="J1037">
        <f>IFERROR(MID(I1037,FIND("-",I1037)+1,99),"")</f>
        <v/>
      </c>
    </row>
    <row r="1038">
      <c r="B1038">
        <f>IFERROR(IF($B$1=0,"",IF(INDEX(貼り付け!$A$1:$BZ$3001,1037,$B$1)="","",IF(ISNUMBER(INDEX(貼り付け!$A$1:$BZ$3001,1037,$B$1)),INT(INDEX(貼り付け!$A$1:$BZ$3001,1037,$B$1)),DATE(VALUE(LEFT(I1038,FIND("-",I1038)-1)),VALUE(LEFT(J1038,FIND("-",J1038)-1)),VALUE(MID(J1038,FIND("-",J1038)+1,99)))))),"")</f>
        <v/>
      </c>
      <c r="C1038">
        <f>IF($C$1=0,0,IFERROR(VALUE(SUBSTITUTE(SUBSTITUTE(SUBSTITUTE(INDEX(貼り付け!$A$1:$BZ$3001,1037,$C$1)&amp;"",",",""),"¥",""),"￥","")),0))</f>
        <v/>
      </c>
      <c r="D1038">
        <f>IF($D$1=0,0,IFERROR(VALUE(SUBSTITUTE(SUBSTITUTE(SUBSTITUTE(INDEX(貼り付け!$A$1:$BZ$3001,1037,$D$1)&amp;"",",",""),"¥",""),"￥","")),0))</f>
        <v/>
      </c>
      <c r="E1038">
        <f>IF($E$1=0,0,IFERROR(VALUE(SUBSTITUTE(SUBSTITUTE(SUBSTITUTE(INDEX(貼り付け!$A$1:$BZ$3001,1037,$E$1)&amp;"",",",""),"¥",""),"￥","")),0))</f>
        <v/>
      </c>
      <c r="F1038">
        <f>IF($F$1=0,0,IFERROR(VALUE(SUBSTITUTE(SUBSTITUTE(SUBSTITUTE(INDEX(貼り付け!$A$1:$BZ$3001,1037,$F$1)&amp;"",",",""),"¥",""),"￥","")),0))</f>
        <v/>
      </c>
      <c r="G1038">
        <f>IF(ISNUMBER(B1038),YEAR(B1038),"")</f>
        <v/>
      </c>
      <c r="H1038">
        <f>IF(ISNUMBER(B1038),MONTH(B1038),"")</f>
        <v/>
      </c>
      <c r="I1038">
        <f>IFERROR(IF($B$1=0,"",IF(ISNUMBER(INDEX(貼り付け!$A$1:$BZ$3001,1037,$B$1)),"",SUBSTITUTE(SUBSTITUTE(SUBSTITUTE(SUBSTITUTE(TRIM(LEFT(INDEX(貼り付け!$A$1:$BZ$3001,1037,$B$1)&amp;"",FIND(" ",TRIM(INDEX(貼り付け!$A$1:$BZ$3001,1037,$B$1)&amp;"")&amp;" ")-1)),"/","-"),"年","-"),"月","-"),"日",""))),"")</f>
        <v/>
      </c>
      <c r="J1038">
        <f>IFERROR(MID(I1038,FIND("-",I1038)+1,99),"")</f>
        <v/>
      </c>
    </row>
    <row r="1039">
      <c r="B1039">
        <f>IFERROR(IF($B$1=0,"",IF(INDEX(貼り付け!$A$1:$BZ$3001,1038,$B$1)="","",IF(ISNUMBER(INDEX(貼り付け!$A$1:$BZ$3001,1038,$B$1)),INT(INDEX(貼り付け!$A$1:$BZ$3001,1038,$B$1)),DATE(VALUE(LEFT(I1039,FIND("-",I1039)-1)),VALUE(LEFT(J1039,FIND("-",J1039)-1)),VALUE(MID(J1039,FIND("-",J1039)+1,99)))))),"")</f>
        <v/>
      </c>
      <c r="C1039">
        <f>IF($C$1=0,0,IFERROR(VALUE(SUBSTITUTE(SUBSTITUTE(SUBSTITUTE(INDEX(貼り付け!$A$1:$BZ$3001,1038,$C$1)&amp;"",",",""),"¥",""),"￥","")),0))</f>
        <v/>
      </c>
      <c r="D1039">
        <f>IF($D$1=0,0,IFERROR(VALUE(SUBSTITUTE(SUBSTITUTE(SUBSTITUTE(INDEX(貼り付け!$A$1:$BZ$3001,1038,$D$1)&amp;"",",",""),"¥",""),"￥","")),0))</f>
        <v/>
      </c>
      <c r="E1039">
        <f>IF($E$1=0,0,IFERROR(VALUE(SUBSTITUTE(SUBSTITUTE(SUBSTITUTE(INDEX(貼り付け!$A$1:$BZ$3001,1038,$E$1)&amp;"",",",""),"¥",""),"￥","")),0))</f>
        <v/>
      </c>
      <c r="F1039">
        <f>IF($F$1=0,0,IFERROR(VALUE(SUBSTITUTE(SUBSTITUTE(SUBSTITUTE(INDEX(貼り付け!$A$1:$BZ$3001,1038,$F$1)&amp;"",",",""),"¥",""),"￥","")),0))</f>
        <v/>
      </c>
      <c r="G1039">
        <f>IF(ISNUMBER(B1039),YEAR(B1039),"")</f>
        <v/>
      </c>
      <c r="H1039">
        <f>IF(ISNUMBER(B1039),MONTH(B1039),"")</f>
        <v/>
      </c>
      <c r="I1039">
        <f>IFERROR(IF($B$1=0,"",IF(ISNUMBER(INDEX(貼り付け!$A$1:$BZ$3001,1038,$B$1)),"",SUBSTITUTE(SUBSTITUTE(SUBSTITUTE(SUBSTITUTE(TRIM(LEFT(INDEX(貼り付け!$A$1:$BZ$3001,1038,$B$1)&amp;"",FIND(" ",TRIM(INDEX(貼り付け!$A$1:$BZ$3001,1038,$B$1)&amp;"")&amp;" ")-1)),"/","-"),"年","-"),"月","-"),"日",""))),"")</f>
        <v/>
      </c>
      <c r="J1039">
        <f>IFERROR(MID(I1039,FIND("-",I1039)+1,99),"")</f>
        <v/>
      </c>
    </row>
    <row r="1040">
      <c r="B1040">
        <f>IFERROR(IF($B$1=0,"",IF(INDEX(貼り付け!$A$1:$BZ$3001,1039,$B$1)="","",IF(ISNUMBER(INDEX(貼り付け!$A$1:$BZ$3001,1039,$B$1)),INT(INDEX(貼り付け!$A$1:$BZ$3001,1039,$B$1)),DATE(VALUE(LEFT(I1040,FIND("-",I1040)-1)),VALUE(LEFT(J1040,FIND("-",J1040)-1)),VALUE(MID(J1040,FIND("-",J1040)+1,99)))))),"")</f>
        <v/>
      </c>
      <c r="C1040">
        <f>IF($C$1=0,0,IFERROR(VALUE(SUBSTITUTE(SUBSTITUTE(SUBSTITUTE(INDEX(貼り付け!$A$1:$BZ$3001,1039,$C$1)&amp;"",",",""),"¥",""),"￥","")),0))</f>
        <v/>
      </c>
      <c r="D1040">
        <f>IF($D$1=0,0,IFERROR(VALUE(SUBSTITUTE(SUBSTITUTE(SUBSTITUTE(INDEX(貼り付け!$A$1:$BZ$3001,1039,$D$1)&amp;"",",",""),"¥",""),"￥","")),0))</f>
        <v/>
      </c>
      <c r="E1040">
        <f>IF($E$1=0,0,IFERROR(VALUE(SUBSTITUTE(SUBSTITUTE(SUBSTITUTE(INDEX(貼り付け!$A$1:$BZ$3001,1039,$E$1)&amp;"",",",""),"¥",""),"￥","")),0))</f>
        <v/>
      </c>
      <c r="F1040">
        <f>IF($F$1=0,0,IFERROR(VALUE(SUBSTITUTE(SUBSTITUTE(SUBSTITUTE(INDEX(貼り付け!$A$1:$BZ$3001,1039,$F$1)&amp;"",",",""),"¥",""),"￥","")),0))</f>
        <v/>
      </c>
      <c r="G1040">
        <f>IF(ISNUMBER(B1040),YEAR(B1040),"")</f>
        <v/>
      </c>
      <c r="H1040">
        <f>IF(ISNUMBER(B1040),MONTH(B1040),"")</f>
        <v/>
      </c>
      <c r="I1040">
        <f>IFERROR(IF($B$1=0,"",IF(ISNUMBER(INDEX(貼り付け!$A$1:$BZ$3001,1039,$B$1)),"",SUBSTITUTE(SUBSTITUTE(SUBSTITUTE(SUBSTITUTE(TRIM(LEFT(INDEX(貼り付け!$A$1:$BZ$3001,1039,$B$1)&amp;"",FIND(" ",TRIM(INDEX(貼り付け!$A$1:$BZ$3001,1039,$B$1)&amp;"")&amp;" ")-1)),"/","-"),"年","-"),"月","-"),"日",""))),"")</f>
        <v/>
      </c>
      <c r="J1040">
        <f>IFERROR(MID(I1040,FIND("-",I1040)+1,99),"")</f>
        <v/>
      </c>
    </row>
    <row r="1041">
      <c r="B1041">
        <f>IFERROR(IF($B$1=0,"",IF(INDEX(貼り付け!$A$1:$BZ$3001,1040,$B$1)="","",IF(ISNUMBER(INDEX(貼り付け!$A$1:$BZ$3001,1040,$B$1)),INT(INDEX(貼り付け!$A$1:$BZ$3001,1040,$B$1)),DATE(VALUE(LEFT(I1041,FIND("-",I1041)-1)),VALUE(LEFT(J1041,FIND("-",J1041)-1)),VALUE(MID(J1041,FIND("-",J1041)+1,99)))))),"")</f>
        <v/>
      </c>
      <c r="C1041">
        <f>IF($C$1=0,0,IFERROR(VALUE(SUBSTITUTE(SUBSTITUTE(SUBSTITUTE(INDEX(貼り付け!$A$1:$BZ$3001,1040,$C$1)&amp;"",",",""),"¥",""),"￥","")),0))</f>
        <v/>
      </c>
      <c r="D1041">
        <f>IF($D$1=0,0,IFERROR(VALUE(SUBSTITUTE(SUBSTITUTE(SUBSTITUTE(INDEX(貼り付け!$A$1:$BZ$3001,1040,$D$1)&amp;"",",",""),"¥",""),"￥","")),0))</f>
        <v/>
      </c>
      <c r="E1041">
        <f>IF($E$1=0,0,IFERROR(VALUE(SUBSTITUTE(SUBSTITUTE(SUBSTITUTE(INDEX(貼り付け!$A$1:$BZ$3001,1040,$E$1)&amp;"",",",""),"¥",""),"￥","")),0))</f>
        <v/>
      </c>
      <c r="F1041">
        <f>IF($F$1=0,0,IFERROR(VALUE(SUBSTITUTE(SUBSTITUTE(SUBSTITUTE(INDEX(貼り付け!$A$1:$BZ$3001,1040,$F$1)&amp;"",",",""),"¥",""),"￥","")),0))</f>
        <v/>
      </c>
      <c r="G1041">
        <f>IF(ISNUMBER(B1041),YEAR(B1041),"")</f>
        <v/>
      </c>
      <c r="H1041">
        <f>IF(ISNUMBER(B1041),MONTH(B1041),"")</f>
        <v/>
      </c>
      <c r="I1041">
        <f>IFERROR(IF($B$1=0,"",IF(ISNUMBER(INDEX(貼り付け!$A$1:$BZ$3001,1040,$B$1)),"",SUBSTITUTE(SUBSTITUTE(SUBSTITUTE(SUBSTITUTE(TRIM(LEFT(INDEX(貼り付け!$A$1:$BZ$3001,1040,$B$1)&amp;"",FIND(" ",TRIM(INDEX(貼り付け!$A$1:$BZ$3001,1040,$B$1)&amp;"")&amp;" ")-1)),"/","-"),"年","-"),"月","-"),"日",""))),"")</f>
        <v/>
      </c>
      <c r="J1041">
        <f>IFERROR(MID(I1041,FIND("-",I1041)+1,99),"")</f>
        <v/>
      </c>
    </row>
    <row r="1042">
      <c r="B1042">
        <f>IFERROR(IF($B$1=0,"",IF(INDEX(貼り付け!$A$1:$BZ$3001,1041,$B$1)="","",IF(ISNUMBER(INDEX(貼り付け!$A$1:$BZ$3001,1041,$B$1)),INT(INDEX(貼り付け!$A$1:$BZ$3001,1041,$B$1)),DATE(VALUE(LEFT(I1042,FIND("-",I1042)-1)),VALUE(LEFT(J1042,FIND("-",J1042)-1)),VALUE(MID(J1042,FIND("-",J1042)+1,99)))))),"")</f>
        <v/>
      </c>
      <c r="C1042">
        <f>IF($C$1=0,0,IFERROR(VALUE(SUBSTITUTE(SUBSTITUTE(SUBSTITUTE(INDEX(貼り付け!$A$1:$BZ$3001,1041,$C$1)&amp;"",",",""),"¥",""),"￥","")),0))</f>
        <v/>
      </c>
      <c r="D1042">
        <f>IF($D$1=0,0,IFERROR(VALUE(SUBSTITUTE(SUBSTITUTE(SUBSTITUTE(INDEX(貼り付け!$A$1:$BZ$3001,1041,$D$1)&amp;"",",",""),"¥",""),"￥","")),0))</f>
        <v/>
      </c>
      <c r="E1042">
        <f>IF($E$1=0,0,IFERROR(VALUE(SUBSTITUTE(SUBSTITUTE(SUBSTITUTE(INDEX(貼り付け!$A$1:$BZ$3001,1041,$E$1)&amp;"",",",""),"¥",""),"￥","")),0))</f>
        <v/>
      </c>
      <c r="F1042">
        <f>IF($F$1=0,0,IFERROR(VALUE(SUBSTITUTE(SUBSTITUTE(SUBSTITUTE(INDEX(貼り付け!$A$1:$BZ$3001,1041,$F$1)&amp;"",",",""),"¥",""),"￥","")),0))</f>
        <v/>
      </c>
      <c r="G1042">
        <f>IF(ISNUMBER(B1042),YEAR(B1042),"")</f>
        <v/>
      </c>
      <c r="H1042">
        <f>IF(ISNUMBER(B1042),MONTH(B1042),"")</f>
        <v/>
      </c>
      <c r="I1042">
        <f>IFERROR(IF($B$1=0,"",IF(ISNUMBER(INDEX(貼り付け!$A$1:$BZ$3001,1041,$B$1)),"",SUBSTITUTE(SUBSTITUTE(SUBSTITUTE(SUBSTITUTE(TRIM(LEFT(INDEX(貼り付け!$A$1:$BZ$3001,1041,$B$1)&amp;"",FIND(" ",TRIM(INDEX(貼り付け!$A$1:$BZ$3001,1041,$B$1)&amp;"")&amp;" ")-1)),"/","-"),"年","-"),"月","-"),"日",""))),"")</f>
        <v/>
      </c>
      <c r="J1042">
        <f>IFERROR(MID(I1042,FIND("-",I1042)+1,99),"")</f>
        <v/>
      </c>
    </row>
    <row r="1043">
      <c r="B1043">
        <f>IFERROR(IF($B$1=0,"",IF(INDEX(貼り付け!$A$1:$BZ$3001,1042,$B$1)="","",IF(ISNUMBER(INDEX(貼り付け!$A$1:$BZ$3001,1042,$B$1)),INT(INDEX(貼り付け!$A$1:$BZ$3001,1042,$B$1)),DATE(VALUE(LEFT(I1043,FIND("-",I1043)-1)),VALUE(LEFT(J1043,FIND("-",J1043)-1)),VALUE(MID(J1043,FIND("-",J1043)+1,99)))))),"")</f>
        <v/>
      </c>
      <c r="C1043">
        <f>IF($C$1=0,0,IFERROR(VALUE(SUBSTITUTE(SUBSTITUTE(SUBSTITUTE(INDEX(貼り付け!$A$1:$BZ$3001,1042,$C$1)&amp;"",",",""),"¥",""),"￥","")),0))</f>
        <v/>
      </c>
      <c r="D1043">
        <f>IF($D$1=0,0,IFERROR(VALUE(SUBSTITUTE(SUBSTITUTE(SUBSTITUTE(INDEX(貼り付け!$A$1:$BZ$3001,1042,$D$1)&amp;"",",",""),"¥",""),"￥","")),0))</f>
        <v/>
      </c>
      <c r="E1043">
        <f>IF($E$1=0,0,IFERROR(VALUE(SUBSTITUTE(SUBSTITUTE(SUBSTITUTE(INDEX(貼り付け!$A$1:$BZ$3001,1042,$E$1)&amp;"",",",""),"¥",""),"￥","")),0))</f>
        <v/>
      </c>
      <c r="F1043">
        <f>IF($F$1=0,0,IFERROR(VALUE(SUBSTITUTE(SUBSTITUTE(SUBSTITUTE(INDEX(貼り付け!$A$1:$BZ$3001,1042,$F$1)&amp;"",",",""),"¥",""),"￥","")),0))</f>
        <v/>
      </c>
      <c r="G1043">
        <f>IF(ISNUMBER(B1043),YEAR(B1043),"")</f>
        <v/>
      </c>
      <c r="H1043">
        <f>IF(ISNUMBER(B1043),MONTH(B1043),"")</f>
        <v/>
      </c>
      <c r="I1043">
        <f>IFERROR(IF($B$1=0,"",IF(ISNUMBER(INDEX(貼り付け!$A$1:$BZ$3001,1042,$B$1)),"",SUBSTITUTE(SUBSTITUTE(SUBSTITUTE(SUBSTITUTE(TRIM(LEFT(INDEX(貼り付け!$A$1:$BZ$3001,1042,$B$1)&amp;"",FIND(" ",TRIM(INDEX(貼り付け!$A$1:$BZ$3001,1042,$B$1)&amp;"")&amp;" ")-1)),"/","-"),"年","-"),"月","-"),"日",""))),"")</f>
        <v/>
      </c>
      <c r="J1043">
        <f>IFERROR(MID(I1043,FIND("-",I1043)+1,99),"")</f>
        <v/>
      </c>
    </row>
    <row r="1044">
      <c r="B1044">
        <f>IFERROR(IF($B$1=0,"",IF(INDEX(貼り付け!$A$1:$BZ$3001,1043,$B$1)="","",IF(ISNUMBER(INDEX(貼り付け!$A$1:$BZ$3001,1043,$B$1)),INT(INDEX(貼り付け!$A$1:$BZ$3001,1043,$B$1)),DATE(VALUE(LEFT(I1044,FIND("-",I1044)-1)),VALUE(LEFT(J1044,FIND("-",J1044)-1)),VALUE(MID(J1044,FIND("-",J1044)+1,99)))))),"")</f>
        <v/>
      </c>
      <c r="C1044">
        <f>IF($C$1=0,0,IFERROR(VALUE(SUBSTITUTE(SUBSTITUTE(SUBSTITUTE(INDEX(貼り付け!$A$1:$BZ$3001,1043,$C$1)&amp;"",",",""),"¥",""),"￥","")),0))</f>
        <v/>
      </c>
      <c r="D1044">
        <f>IF($D$1=0,0,IFERROR(VALUE(SUBSTITUTE(SUBSTITUTE(SUBSTITUTE(INDEX(貼り付け!$A$1:$BZ$3001,1043,$D$1)&amp;"",",",""),"¥",""),"￥","")),0))</f>
        <v/>
      </c>
      <c r="E1044">
        <f>IF($E$1=0,0,IFERROR(VALUE(SUBSTITUTE(SUBSTITUTE(SUBSTITUTE(INDEX(貼り付け!$A$1:$BZ$3001,1043,$E$1)&amp;"",",",""),"¥",""),"￥","")),0))</f>
        <v/>
      </c>
      <c r="F1044">
        <f>IF($F$1=0,0,IFERROR(VALUE(SUBSTITUTE(SUBSTITUTE(SUBSTITUTE(INDEX(貼り付け!$A$1:$BZ$3001,1043,$F$1)&amp;"",",",""),"¥",""),"￥","")),0))</f>
        <v/>
      </c>
      <c r="G1044">
        <f>IF(ISNUMBER(B1044),YEAR(B1044),"")</f>
        <v/>
      </c>
      <c r="H1044">
        <f>IF(ISNUMBER(B1044),MONTH(B1044),"")</f>
        <v/>
      </c>
      <c r="I1044">
        <f>IFERROR(IF($B$1=0,"",IF(ISNUMBER(INDEX(貼り付け!$A$1:$BZ$3001,1043,$B$1)),"",SUBSTITUTE(SUBSTITUTE(SUBSTITUTE(SUBSTITUTE(TRIM(LEFT(INDEX(貼り付け!$A$1:$BZ$3001,1043,$B$1)&amp;"",FIND(" ",TRIM(INDEX(貼り付け!$A$1:$BZ$3001,1043,$B$1)&amp;"")&amp;" ")-1)),"/","-"),"年","-"),"月","-"),"日",""))),"")</f>
        <v/>
      </c>
      <c r="J1044">
        <f>IFERROR(MID(I1044,FIND("-",I1044)+1,99),"")</f>
        <v/>
      </c>
    </row>
    <row r="1045">
      <c r="B1045">
        <f>IFERROR(IF($B$1=0,"",IF(INDEX(貼り付け!$A$1:$BZ$3001,1044,$B$1)="","",IF(ISNUMBER(INDEX(貼り付け!$A$1:$BZ$3001,1044,$B$1)),INT(INDEX(貼り付け!$A$1:$BZ$3001,1044,$B$1)),DATE(VALUE(LEFT(I1045,FIND("-",I1045)-1)),VALUE(LEFT(J1045,FIND("-",J1045)-1)),VALUE(MID(J1045,FIND("-",J1045)+1,99)))))),"")</f>
        <v/>
      </c>
      <c r="C1045">
        <f>IF($C$1=0,0,IFERROR(VALUE(SUBSTITUTE(SUBSTITUTE(SUBSTITUTE(INDEX(貼り付け!$A$1:$BZ$3001,1044,$C$1)&amp;"",",",""),"¥",""),"￥","")),0))</f>
        <v/>
      </c>
      <c r="D1045">
        <f>IF($D$1=0,0,IFERROR(VALUE(SUBSTITUTE(SUBSTITUTE(SUBSTITUTE(INDEX(貼り付け!$A$1:$BZ$3001,1044,$D$1)&amp;"",",",""),"¥",""),"￥","")),0))</f>
        <v/>
      </c>
      <c r="E1045">
        <f>IF($E$1=0,0,IFERROR(VALUE(SUBSTITUTE(SUBSTITUTE(SUBSTITUTE(INDEX(貼り付け!$A$1:$BZ$3001,1044,$E$1)&amp;"",",",""),"¥",""),"￥","")),0))</f>
        <v/>
      </c>
      <c r="F1045">
        <f>IF($F$1=0,0,IFERROR(VALUE(SUBSTITUTE(SUBSTITUTE(SUBSTITUTE(INDEX(貼り付け!$A$1:$BZ$3001,1044,$F$1)&amp;"",",",""),"¥",""),"￥","")),0))</f>
        <v/>
      </c>
      <c r="G1045">
        <f>IF(ISNUMBER(B1045),YEAR(B1045),"")</f>
        <v/>
      </c>
      <c r="H1045">
        <f>IF(ISNUMBER(B1045),MONTH(B1045),"")</f>
        <v/>
      </c>
      <c r="I1045">
        <f>IFERROR(IF($B$1=0,"",IF(ISNUMBER(INDEX(貼り付け!$A$1:$BZ$3001,1044,$B$1)),"",SUBSTITUTE(SUBSTITUTE(SUBSTITUTE(SUBSTITUTE(TRIM(LEFT(INDEX(貼り付け!$A$1:$BZ$3001,1044,$B$1)&amp;"",FIND(" ",TRIM(INDEX(貼り付け!$A$1:$BZ$3001,1044,$B$1)&amp;"")&amp;" ")-1)),"/","-"),"年","-"),"月","-"),"日",""))),"")</f>
        <v/>
      </c>
      <c r="J1045">
        <f>IFERROR(MID(I1045,FIND("-",I1045)+1,99),"")</f>
        <v/>
      </c>
    </row>
    <row r="1046">
      <c r="B1046">
        <f>IFERROR(IF($B$1=0,"",IF(INDEX(貼り付け!$A$1:$BZ$3001,1045,$B$1)="","",IF(ISNUMBER(INDEX(貼り付け!$A$1:$BZ$3001,1045,$B$1)),INT(INDEX(貼り付け!$A$1:$BZ$3001,1045,$B$1)),DATE(VALUE(LEFT(I1046,FIND("-",I1046)-1)),VALUE(LEFT(J1046,FIND("-",J1046)-1)),VALUE(MID(J1046,FIND("-",J1046)+1,99)))))),"")</f>
        <v/>
      </c>
      <c r="C1046">
        <f>IF($C$1=0,0,IFERROR(VALUE(SUBSTITUTE(SUBSTITUTE(SUBSTITUTE(INDEX(貼り付け!$A$1:$BZ$3001,1045,$C$1)&amp;"",",",""),"¥",""),"￥","")),0))</f>
        <v/>
      </c>
      <c r="D1046">
        <f>IF($D$1=0,0,IFERROR(VALUE(SUBSTITUTE(SUBSTITUTE(SUBSTITUTE(INDEX(貼り付け!$A$1:$BZ$3001,1045,$D$1)&amp;"",",",""),"¥",""),"￥","")),0))</f>
        <v/>
      </c>
      <c r="E1046">
        <f>IF($E$1=0,0,IFERROR(VALUE(SUBSTITUTE(SUBSTITUTE(SUBSTITUTE(INDEX(貼り付け!$A$1:$BZ$3001,1045,$E$1)&amp;"",",",""),"¥",""),"￥","")),0))</f>
        <v/>
      </c>
      <c r="F1046">
        <f>IF($F$1=0,0,IFERROR(VALUE(SUBSTITUTE(SUBSTITUTE(SUBSTITUTE(INDEX(貼り付け!$A$1:$BZ$3001,1045,$F$1)&amp;"",",",""),"¥",""),"￥","")),0))</f>
        <v/>
      </c>
      <c r="G1046">
        <f>IF(ISNUMBER(B1046),YEAR(B1046),"")</f>
        <v/>
      </c>
      <c r="H1046">
        <f>IF(ISNUMBER(B1046),MONTH(B1046),"")</f>
        <v/>
      </c>
      <c r="I1046">
        <f>IFERROR(IF($B$1=0,"",IF(ISNUMBER(INDEX(貼り付け!$A$1:$BZ$3001,1045,$B$1)),"",SUBSTITUTE(SUBSTITUTE(SUBSTITUTE(SUBSTITUTE(TRIM(LEFT(INDEX(貼り付け!$A$1:$BZ$3001,1045,$B$1)&amp;"",FIND(" ",TRIM(INDEX(貼り付け!$A$1:$BZ$3001,1045,$B$1)&amp;"")&amp;" ")-1)),"/","-"),"年","-"),"月","-"),"日",""))),"")</f>
        <v/>
      </c>
      <c r="J1046">
        <f>IFERROR(MID(I1046,FIND("-",I1046)+1,99),"")</f>
        <v/>
      </c>
    </row>
    <row r="1047">
      <c r="B1047">
        <f>IFERROR(IF($B$1=0,"",IF(INDEX(貼り付け!$A$1:$BZ$3001,1046,$B$1)="","",IF(ISNUMBER(INDEX(貼り付け!$A$1:$BZ$3001,1046,$B$1)),INT(INDEX(貼り付け!$A$1:$BZ$3001,1046,$B$1)),DATE(VALUE(LEFT(I1047,FIND("-",I1047)-1)),VALUE(LEFT(J1047,FIND("-",J1047)-1)),VALUE(MID(J1047,FIND("-",J1047)+1,99)))))),"")</f>
        <v/>
      </c>
      <c r="C1047">
        <f>IF($C$1=0,0,IFERROR(VALUE(SUBSTITUTE(SUBSTITUTE(SUBSTITUTE(INDEX(貼り付け!$A$1:$BZ$3001,1046,$C$1)&amp;"",",",""),"¥",""),"￥","")),0))</f>
        <v/>
      </c>
      <c r="D1047">
        <f>IF($D$1=0,0,IFERROR(VALUE(SUBSTITUTE(SUBSTITUTE(SUBSTITUTE(INDEX(貼り付け!$A$1:$BZ$3001,1046,$D$1)&amp;"",",",""),"¥",""),"￥","")),0))</f>
        <v/>
      </c>
      <c r="E1047">
        <f>IF($E$1=0,0,IFERROR(VALUE(SUBSTITUTE(SUBSTITUTE(SUBSTITUTE(INDEX(貼り付け!$A$1:$BZ$3001,1046,$E$1)&amp;"",",",""),"¥",""),"￥","")),0))</f>
        <v/>
      </c>
      <c r="F1047">
        <f>IF($F$1=0,0,IFERROR(VALUE(SUBSTITUTE(SUBSTITUTE(SUBSTITUTE(INDEX(貼り付け!$A$1:$BZ$3001,1046,$F$1)&amp;"",",",""),"¥",""),"￥","")),0))</f>
        <v/>
      </c>
      <c r="G1047">
        <f>IF(ISNUMBER(B1047),YEAR(B1047),"")</f>
        <v/>
      </c>
      <c r="H1047">
        <f>IF(ISNUMBER(B1047),MONTH(B1047),"")</f>
        <v/>
      </c>
      <c r="I1047">
        <f>IFERROR(IF($B$1=0,"",IF(ISNUMBER(INDEX(貼り付け!$A$1:$BZ$3001,1046,$B$1)),"",SUBSTITUTE(SUBSTITUTE(SUBSTITUTE(SUBSTITUTE(TRIM(LEFT(INDEX(貼り付け!$A$1:$BZ$3001,1046,$B$1)&amp;"",FIND(" ",TRIM(INDEX(貼り付け!$A$1:$BZ$3001,1046,$B$1)&amp;"")&amp;" ")-1)),"/","-"),"年","-"),"月","-"),"日",""))),"")</f>
        <v/>
      </c>
      <c r="J1047">
        <f>IFERROR(MID(I1047,FIND("-",I1047)+1,99),"")</f>
        <v/>
      </c>
    </row>
    <row r="1048">
      <c r="B1048">
        <f>IFERROR(IF($B$1=0,"",IF(INDEX(貼り付け!$A$1:$BZ$3001,1047,$B$1)="","",IF(ISNUMBER(INDEX(貼り付け!$A$1:$BZ$3001,1047,$B$1)),INT(INDEX(貼り付け!$A$1:$BZ$3001,1047,$B$1)),DATE(VALUE(LEFT(I1048,FIND("-",I1048)-1)),VALUE(LEFT(J1048,FIND("-",J1048)-1)),VALUE(MID(J1048,FIND("-",J1048)+1,99)))))),"")</f>
        <v/>
      </c>
      <c r="C1048">
        <f>IF($C$1=0,0,IFERROR(VALUE(SUBSTITUTE(SUBSTITUTE(SUBSTITUTE(INDEX(貼り付け!$A$1:$BZ$3001,1047,$C$1)&amp;"",",",""),"¥",""),"￥","")),0))</f>
        <v/>
      </c>
      <c r="D1048">
        <f>IF($D$1=0,0,IFERROR(VALUE(SUBSTITUTE(SUBSTITUTE(SUBSTITUTE(INDEX(貼り付け!$A$1:$BZ$3001,1047,$D$1)&amp;"",",",""),"¥",""),"￥","")),0))</f>
        <v/>
      </c>
      <c r="E1048">
        <f>IF($E$1=0,0,IFERROR(VALUE(SUBSTITUTE(SUBSTITUTE(SUBSTITUTE(INDEX(貼り付け!$A$1:$BZ$3001,1047,$E$1)&amp;"",",",""),"¥",""),"￥","")),0))</f>
        <v/>
      </c>
      <c r="F1048">
        <f>IF($F$1=0,0,IFERROR(VALUE(SUBSTITUTE(SUBSTITUTE(SUBSTITUTE(INDEX(貼り付け!$A$1:$BZ$3001,1047,$F$1)&amp;"",",",""),"¥",""),"￥","")),0))</f>
        <v/>
      </c>
      <c r="G1048">
        <f>IF(ISNUMBER(B1048),YEAR(B1048),"")</f>
        <v/>
      </c>
      <c r="H1048">
        <f>IF(ISNUMBER(B1048),MONTH(B1048),"")</f>
        <v/>
      </c>
      <c r="I1048">
        <f>IFERROR(IF($B$1=0,"",IF(ISNUMBER(INDEX(貼り付け!$A$1:$BZ$3001,1047,$B$1)),"",SUBSTITUTE(SUBSTITUTE(SUBSTITUTE(SUBSTITUTE(TRIM(LEFT(INDEX(貼り付け!$A$1:$BZ$3001,1047,$B$1)&amp;"",FIND(" ",TRIM(INDEX(貼り付け!$A$1:$BZ$3001,1047,$B$1)&amp;"")&amp;" ")-1)),"/","-"),"年","-"),"月","-"),"日",""))),"")</f>
        <v/>
      </c>
      <c r="J1048">
        <f>IFERROR(MID(I1048,FIND("-",I1048)+1,99),"")</f>
        <v/>
      </c>
    </row>
    <row r="1049">
      <c r="B1049">
        <f>IFERROR(IF($B$1=0,"",IF(INDEX(貼り付け!$A$1:$BZ$3001,1048,$B$1)="","",IF(ISNUMBER(INDEX(貼り付け!$A$1:$BZ$3001,1048,$B$1)),INT(INDEX(貼り付け!$A$1:$BZ$3001,1048,$B$1)),DATE(VALUE(LEFT(I1049,FIND("-",I1049)-1)),VALUE(LEFT(J1049,FIND("-",J1049)-1)),VALUE(MID(J1049,FIND("-",J1049)+1,99)))))),"")</f>
        <v/>
      </c>
      <c r="C1049">
        <f>IF($C$1=0,0,IFERROR(VALUE(SUBSTITUTE(SUBSTITUTE(SUBSTITUTE(INDEX(貼り付け!$A$1:$BZ$3001,1048,$C$1)&amp;"",",",""),"¥",""),"￥","")),0))</f>
        <v/>
      </c>
      <c r="D1049">
        <f>IF($D$1=0,0,IFERROR(VALUE(SUBSTITUTE(SUBSTITUTE(SUBSTITUTE(INDEX(貼り付け!$A$1:$BZ$3001,1048,$D$1)&amp;"",",",""),"¥",""),"￥","")),0))</f>
        <v/>
      </c>
      <c r="E1049">
        <f>IF($E$1=0,0,IFERROR(VALUE(SUBSTITUTE(SUBSTITUTE(SUBSTITUTE(INDEX(貼り付け!$A$1:$BZ$3001,1048,$E$1)&amp;"",",",""),"¥",""),"￥","")),0))</f>
        <v/>
      </c>
      <c r="F1049">
        <f>IF($F$1=0,0,IFERROR(VALUE(SUBSTITUTE(SUBSTITUTE(SUBSTITUTE(INDEX(貼り付け!$A$1:$BZ$3001,1048,$F$1)&amp;"",",",""),"¥",""),"￥","")),0))</f>
        <v/>
      </c>
      <c r="G1049">
        <f>IF(ISNUMBER(B1049),YEAR(B1049),"")</f>
        <v/>
      </c>
      <c r="H1049">
        <f>IF(ISNUMBER(B1049),MONTH(B1049),"")</f>
        <v/>
      </c>
      <c r="I1049">
        <f>IFERROR(IF($B$1=0,"",IF(ISNUMBER(INDEX(貼り付け!$A$1:$BZ$3001,1048,$B$1)),"",SUBSTITUTE(SUBSTITUTE(SUBSTITUTE(SUBSTITUTE(TRIM(LEFT(INDEX(貼り付け!$A$1:$BZ$3001,1048,$B$1)&amp;"",FIND(" ",TRIM(INDEX(貼り付け!$A$1:$BZ$3001,1048,$B$1)&amp;"")&amp;" ")-1)),"/","-"),"年","-"),"月","-"),"日",""))),"")</f>
        <v/>
      </c>
      <c r="J1049">
        <f>IFERROR(MID(I1049,FIND("-",I1049)+1,99),"")</f>
        <v/>
      </c>
    </row>
    <row r="1050">
      <c r="B1050">
        <f>IFERROR(IF($B$1=0,"",IF(INDEX(貼り付け!$A$1:$BZ$3001,1049,$B$1)="","",IF(ISNUMBER(INDEX(貼り付け!$A$1:$BZ$3001,1049,$B$1)),INT(INDEX(貼り付け!$A$1:$BZ$3001,1049,$B$1)),DATE(VALUE(LEFT(I1050,FIND("-",I1050)-1)),VALUE(LEFT(J1050,FIND("-",J1050)-1)),VALUE(MID(J1050,FIND("-",J1050)+1,99)))))),"")</f>
        <v/>
      </c>
      <c r="C1050">
        <f>IF($C$1=0,0,IFERROR(VALUE(SUBSTITUTE(SUBSTITUTE(SUBSTITUTE(INDEX(貼り付け!$A$1:$BZ$3001,1049,$C$1)&amp;"",",",""),"¥",""),"￥","")),0))</f>
        <v/>
      </c>
      <c r="D1050">
        <f>IF($D$1=0,0,IFERROR(VALUE(SUBSTITUTE(SUBSTITUTE(SUBSTITUTE(INDEX(貼り付け!$A$1:$BZ$3001,1049,$D$1)&amp;"",",",""),"¥",""),"￥","")),0))</f>
        <v/>
      </c>
      <c r="E1050">
        <f>IF($E$1=0,0,IFERROR(VALUE(SUBSTITUTE(SUBSTITUTE(SUBSTITUTE(INDEX(貼り付け!$A$1:$BZ$3001,1049,$E$1)&amp;"",",",""),"¥",""),"￥","")),0))</f>
        <v/>
      </c>
      <c r="F1050">
        <f>IF($F$1=0,0,IFERROR(VALUE(SUBSTITUTE(SUBSTITUTE(SUBSTITUTE(INDEX(貼り付け!$A$1:$BZ$3001,1049,$F$1)&amp;"",",",""),"¥",""),"￥","")),0))</f>
        <v/>
      </c>
      <c r="G1050">
        <f>IF(ISNUMBER(B1050),YEAR(B1050),"")</f>
        <v/>
      </c>
      <c r="H1050">
        <f>IF(ISNUMBER(B1050),MONTH(B1050),"")</f>
        <v/>
      </c>
      <c r="I1050">
        <f>IFERROR(IF($B$1=0,"",IF(ISNUMBER(INDEX(貼り付け!$A$1:$BZ$3001,1049,$B$1)),"",SUBSTITUTE(SUBSTITUTE(SUBSTITUTE(SUBSTITUTE(TRIM(LEFT(INDEX(貼り付け!$A$1:$BZ$3001,1049,$B$1)&amp;"",FIND(" ",TRIM(INDEX(貼り付け!$A$1:$BZ$3001,1049,$B$1)&amp;"")&amp;" ")-1)),"/","-"),"年","-"),"月","-"),"日",""))),"")</f>
        <v/>
      </c>
      <c r="J1050">
        <f>IFERROR(MID(I1050,FIND("-",I1050)+1,99),"")</f>
        <v/>
      </c>
    </row>
    <row r="1051">
      <c r="B1051">
        <f>IFERROR(IF($B$1=0,"",IF(INDEX(貼り付け!$A$1:$BZ$3001,1050,$B$1)="","",IF(ISNUMBER(INDEX(貼り付け!$A$1:$BZ$3001,1050,$B$1)),INT(INDEX(貼り付け!$A$1:$BZ$3001,1050,$B$1)),DATE(VALUE(LEFT(I1051,FIND("-",I1051)-1)),VALUE(LEFT(J1051,FIND("-",J1051)-1)),VALUE(MID(J1051,FIND("-",J1051)+1,99)))))),"")</f>
        <v/>
      </c>
      <c r="C1051">
        <f>IF($C$1=0,0,IFERROR(VALUE(SUBSTITUTE(SUBSTITUTE(SUBSTITUTE(INDEX(貼り付け!$A$1:$BZ$3001,1050,$C$1)&amp;"",",",""),"¥",""),"￥","")),0))</f>
        <v/>
      </c>
      <c r="D1051">
        <f>IF($D$1=0,0,IFERROR(VALUE(SUBSTITUTE(SUBSTITUTE(SUBSTITUTE(INDEX(貼り付け!$A$1:$BZ$3001,1050,$D$1)&amp;"",",",""),"¥",""),"￥","")),0))</f>
        <v/>
      </c>
      <c r="E1051">
        <f>IF($E$1=0,0,IFERROR(VALUE(SUBSTITUTE(SUBSTITUTE(SUBSTITUTE(INDEX(貼り付け!$A$1:$BZ$3001,1050,$E$1)&amp;"",",",""),"¥",""),"￥","")),0))</f>
        <v/>
      </c>
      <c r="F1051">
        <f>IF($F$1=0,0,IFERROR(VALUE(SUBSTITUTE(SUBSTITUTE(SUBSTITUTE(INDEX(貼り付け!$A$1:$BZ$3001,1050,$F$1)&amp;"",",",""),"¥",""),"￥","")),0))</f>
        <v/>
      </c>
      <c r="G1051">
        <f>IF(ISNUMBER(B1051),YEAR(B1051),"")</f>
        <v/>
      </c>
      <c r="H1051">
        <f>IF(ISNUMBER(B1051),MONTH(B1051),"")</f>
        <v/>
      </c>
      <c r="I1051">
        <f>IFERROR(IF($B$1=0,"",IF(ISNUMBER(INDEX(貼り付け!$A$1:$BZ$3001,1050,$B$1)),"",SUBSTITUTE(SUBSTITUTE(SUBSTITUTE(SUBSTITUTE(TRIM(LEFT(INDEX(貼り付け!$A$1:$BZ$3001,1050,$B$1)&amp;"",FIND(" ",TRIM(INDEX(貼り付け!$A$1:$BZ$3001,1050,$B$1)&amp;"")&amp;" ")-1)),"/","-"),"年","-"),"月","-"),"日",""))),"")</f>
        <v/>
      </c>
      <c r="J1051">
        <f>IFERROR(MID(I1051,FIND("-",I1051)+1,99),"")</f>
        <v/>
      </c>
    </row>
    <row r="1052">
      <c r="B1052">
        <f>IFERROR(IF($B$1=0,"",IF(INDEX(貼り付け!$A$1:$BZ$3001,1051,$B$1)="","",IF(ISNUMBER(INDEX(貼り付け!$A$1:$BZ$3001,1051,$B$1)),INT(INDEX(貼り付け!$A$1:$BZ$3001,1051,$B$1)),DATE(VALUE(LEFT(I1052,FIND("-",I1052)-1)),VALUE(LEFT(J1052,FIND("-",J1052)-1)),VALUE(MID(J1052,FIND("-",J1052)+1,99)))))),"")</f>
        <v/>
      </c>
      <c r="C1052">
        <f>IF($C$1=0,0,IFERROR(VALUE(SUBSTITUTE(SUBSTITUTE(SUBSTITUTE(INDEX(貼り付け!$A$1:$BZ$3001,1051,$C$1)&amp;"",",",""),"¥",""),"￥","")),0))</f>
        <v/>
      </c>
      <c r="D1052">
        <f>IF($D$1=0,0,IFERROR(VALUE(SUBSTITUTE(SUBSTITUTE(SUBSTITUTE(INDEX(貼り付け!$A$1:$BZ$3001,1051,$D$1)&amp;"",",",""),"¥",""),"￥","")),0))</f>
        <v/>
      </c>
      <c r="E1052">
        <f>IF($E$1=0,0,IFERROR(VALUE(SUBSTITUTE(SUBSTITUTE(SUBSTITUTE(INDEX(貼り付け!$A$1:$BZ$3001,1051,$E$1)&amp;"",",",""),"¥",""),"￥","")),0))</f>
        <v/>
      </c>
      <c r="F1052">
        <f>IF($F$1=0,0,IFERROR(VALUE(SUBSTITUTE(SUBSTITUTE(SUBSTITUTE(INDEX(貼り付け!$A$1:$BZ$3001,1051,$F$1)&amp;"",",",""),"¥",""),"￥","")),0))</f>
        <v/>
      </c>
      <c r="G1052">
        <f>IF(ISNUMBER(B1052),YEAR(B1052),"")</f>
        <v/>
      </c>
      <c r="H1052">
        <f>IF(ISNUMBER(B1052),MONTH(B1052),"")</f>
        <v/>
      </c>
      <c r="I1052">
        <f>IFERROR(IF($B$1=0,"",IF(ISNUMBER(INDEX(貼り付け!$A$1:$BZ$3001,1051,$B$1)),"",SUBSTITUTE(SUBSTITUTE(SUBSTITUTE(SUBSTITUTE(TRIM(LEFT(INDEX(貼り付け!$A$1:$BZ$3001,1051,$B$1)&amp;"",FIND(" ",TRIM(INDEX(貼り付け!$A$1:$BZ$3001,1051,$B$1)&amp;"")&amp;" ")-1)),"/","-"),"年","-"),"月","-"),"日",""))),"")</f>
        <v/>
      </c>
      <c r="J1052">
        <f>IFERROR(MID(I1052,FIND("-",I1052)+1,99),"")</f>
        <v/>
      </c>
    </row>
    <row r="1053">
      <c r="B1053">
        <f>IFERROR(IF($B$1=0,"",IF(INDEX(貼り付け!$A$1:$BZ$3001,1052,$B$1)="","",IF(ISNUMBER(INDEX(貼り付け!$A$1:$BZ$3001,1052,$B$1)),INT(INDEX(貼り付け!$A$1:$BZ$3001,1052,$B$1)),DATE(VALUE(LEFT(I1053,FIND("-",I1053)-1)),VALUE(LEFT(J1053,FIND("-",J1053)-1)),VALUE(MID(J1053,FIND("-",J1053)+1,99)))))),"")</f>
        <v/>
      </c>
      <c r="C1053">
        <f>IF($C$1=0,0,IFERROR(VALUE(SUBSTITUTE(SUBSTITUTE(SUBSTITUTE(INDEX(貼り付け!$A$1:$BZ$3001,1052,$C$1)&amp;"",",",""),"¥",""),"￥","")),0))</f>
        <v/>
      </c>
      <c r="D1053">
        <f>IF($D$1=0,0,IFERROR(VALUE(SUBSTITUTE(SUBSTITUTE(SUBSTITUTE(INDEX(貼り付け!$A$1:$BZ$3001,1052,$D$1)&amp;"",",",""),"¥",""),"￥","")),0))</f>
        <v/>
      </c>
      <c r="E1053">
        <f>IF($E$1=0,0,IFERROR(VALUE(SUBSTITUTE(SUBSTITUTE(SUBSTITUTE(INDEX(貼り付け!$A$1:$BZ$3001,1052,$E$1)&amp;"",",",""),"¥",""),"￥","")),0))</f>
        <v/>
      </c>
      <c r="F1053">
        <f>IF($F$1=0,0,IFERROR(VALUE(SUBSTITUTE(SUBSTITUTE(SUBSTITUTE(INDEX(貼り付け!$A$1:$BZ$3001,1052,$F$1)&amp;"",",",""),"¥",""),"￥","")),0))</f>
        <v/>
      </c>
      <c r="G1053">
        <f>IF(ISNUMBER(B1053),YEAR(B1053),"")</f>
        <v/>
      </c>
      <c r="H1053">
        <f>IF(ISNUMBER(B1053),MONTH(B1053),"")</f>
        <v/>
      </c>
      <c r="I1053">
        <f>IFERROR(IF($B$1=0,"",IF(ISNUMBER(INDEX(貼り付け!$A$1:$BZ$3001,1052,$B$1)),"",SUBSTITUTE(SUBSTITUTE(SUBSTITUTE(SUBSTITUTE(TRIM(LEFT(INDEX(貼り付け!$A$1:$BZ$3001,1052,$B$1)&amp;"",FIND(" ",TRIM(INDEX(貼り付け!$A$1:$BZ$3001,1052,$B$1)&amp;"")&amp;" ")-1)),"/","-"),"年","-"),"月","-"),"日",""))),"")</f>
        <v/>
      </c>
      <c r="J1053">
        <f>IFERROR(MID(I1053,FIND("-",I1053)+1,99),"")</f>
        <v/>
      </c>
    </row>
    <row r="1054">
      <c r="B1054">
        <f>IFERROR(IF($B$1=0,"",IF(INDEX(貼り付け!$A$1:$BZ$3001,1053,$B$1)="","",IF(ISNUMBER(INDEX(貼り付け!$A$1:$BZ$3001,1053,$B$1)),INT(INDEX(貼り付け!$A$1:$BZ$3001,1053,$B$1)),DATE(VALUE(LEFT(I1054,FIND("-",I1054)-1)),VALUE(LEFT(J1054,FIND("-",J1054)-1)),VALUE(MID(J1054,FIND("-",J1054)+1,99)))))),"")</f>
        <v/>
      </c>
      <c r="C1054">
        <f>IF($C$1=0,0,IFERROR(VALUE(SUBSTITUTE(SUBSTITUTE(SUBSTITUTE(INDEX(貼り付け!$A$1:$BZ$3001,1053,$C$1)&amp;"",",",""),"¥",""),"￥","")),0))</f>
        <v/>
      </c>
      <c r="D1054">
        <f>IF($D$1=0,0,IFERROR(VALUE(SUBSTITUTE(SUBSTITUTE(SUBSTITUTE(INDEX(貼り付け!$A$1:$BZ$3001,1053,$D$1)&amp;"",",",""),"¥",""),"￥","")),0))</f>
        <v/>
      </c>
      <c r="E1054">
        <f>IF($E$1=0,0,IFERROR(VALUE(SUBSTITUTE(SUBSTITUTE(SUBSTITUTE(INDEX(貼り付け!$A$1:$BZ$3001,1053,$E$1)&amp;"",",",""),"¥",""),"￥","")),0))</f>
        <v/>
      </c>
      <c r="F1054">
        <f>IF($F$1=0,0,IFERROR(VALUE(SUBSTITUTE(SUBSTITUTE(SUBSTITUTE(INDEX(貼り付け!$A$1:$BZ$3001,1053,$F$1)&amp;"",",",""),"¥",""),"￥","")),0))</f>
        <v/>
      </c>
      <c r="G1054">
        <f>IF(ISNUMBER(B1054),YEAR(B1054),"")</f>
        <v/>
      </c>
      <c r="H1054">
        <f>IF(ISNUMBER(B1054),MONTH(B1054),"")</f>
        <v/>
      </c>
      <c r="I1054">
        <f>IFERROR(IF($B$1=0,"",IF(ISNUMBER(INDEX(貼り付け!$A$1:$BZ$3001,1053,$B$1)),"",SUBSTITUTE(SUBSTITUTE(SUBSTITUTE(SUBSTITUTE(TRIM(LEFT(INDEX(貼り付け!$A$1:$BZ$3001,1053,$B$1)&amp;"",FIND(" ",TRIM(INDEX(貼り付け!$A$1:$BZ$3001,1053,$B$1)&amp;"")&amp;" ")-1)),"/","-"),"年","-"),"月","-"),"日",""))),"")</f>
        <v/>
      </c>
      <c r="J1054">
        <f>IFERROR(MID(I1054,FIND("-",I1054)+1,99),"")</f>
        <v/>
      </c>
    </row>
    <row r="1055">
      <c r="B1055">
        <f>IFERROR(IF($B$1=0,"",IF(INDEX(貼り付け!$A$1:$BZ$3001,1054,$B$1)="","",IF(ISNUMBER(INDEX(貼り付け!$A$1:$BZ$3001,1054,$B$1)),INT(INDEX(貼り付け!$A$1:$BZ$3001,1054,$B$1)),DATE(VALUE(LEFT(I1055,FIND("-",I1055)-1)),VALUE(LEFT(J1055,FIND("-",J1055)-1)),VALUE(MID(J1055,FIND("-",J1055)+1,99)))))),"")</f>
        <v/>
      </c>
      <c r="C1055">
        <f>IF($C$1=0,0,IFERROR(VALUE(SUBSTITUTE(SUBSTITUTE(SUBSTITUTE(INDEX(貼り付け!$A$1:$BZ$3001,1054,$C$1)&amp;"",",",""),"¥",""),"￥","")),0))</f>
        <v/>
      </c>
      <c r="D1055">
        <f>IF($D$1=0,0,IFERROR(VALUE(SUBSTITUTE(SUBSTITUTE(SUBSTITUTE(INDEX(貼り付け!$A$1:$BZ$3001,1054,$D$1)&amp;"",",",""),"¥",""),"￥","")),0))</f>
        <v/>
      </c>
      <c r="E1055">
        <f>IF($E$1=0,0,IFERROR(VALUE(SUBSTITUTE(SUBSTITUTE(SUBSTITUTE(INDEX(貼り付け!$A$1:$BZ$3001,1054,$E$1)&amp;"",",",""),"¥",""),"￥","")),0))</f>
        <v/>
      </c>
      <c r="F1055">
        <f>IF($F$1=0,0,IFERROR(VALUE(SUBSTITUTE(SUBSTITUTE(SUBSTITUTE(INDEX(貼り付け!$A$1:$BZ$3001,1054,$F$1)&amp;"",",",""),"¥",""),"￥","")),0))</f>
        <v/>
      </c>
      <c r="G1055">
        <f>IF(ISNUMBER(B1055),YEAR(B1055),"")</f>
        <v/>
      </c>
      <c r="H1055">
        <f>IF(ISNUMBER(B1055),MONTH(B1055),"")</f>
        <v/>
      </c>
      <c r="I1055">
        <f>IFERROR(IF($B$1=0,"",IF(ISNUMBER(INDEX(貼り付け!$A$1:$BZ$3001,1054,$B$1)),"",SUBSTITUTE(SUBSTITUTE(SUBSTITUTE(SUBSTITUTE(TRIM(LEFT(INDEX(貼り付け!$A$1:$BZ$3001,1054,$B$1)&amp;"",FIND(" ",TRIM(INDEX(貼り付け!$A$1:$BZ$3001,1054,$B$1)&amp;"")&amp;" ")-1)),"/","-"),"年","-"),"月","-"),"日",""))),"")</f>
        <v/>
      </c>
      <c r="J1055">
        <f>IFERROR(MID(I1055,FIND("-",I1055)+1,99),"")</f>
        <v/>
      </c>
    </row>
    <row r="1056">
      <c r="B1056">
        <f>IFERROR(IF($B$1=0,"",IF(INDEX(貼り付け!$A$1:$BZ$3001,1055,$B$1)="","",IF(ISNUMBER(INDEX(貼り付け!$A$1:$BZ$3001,1055,$B$1)),INT(INDEX(貼り付け!$A$1:$BZ$3001,1055,$B$1)),DATE(VALUE(LEFT(I1056,FIND("-",I1056)-1)),VALUE(LEFT(J1056,FIND("-",J1056)-1)),VALUE(MID(J1056,FIND("-",J1056)+1,99)))))),"")</f>
        <v/>
      </c>
      <c r="C1056">
        <f>IF($C$1=0,0,IFERROR(VALUE(SUBSTITUTE(SUBSTITUTE(SUBSTITUTE(INDEX(貼り付け!$A$1:$BZ$3001,1055,$C$1)&amp;"",",",""),"¥",""),"￥","")),0))</f>
        <v/>
      </c>
      <c r="D1056">
        <f>IF($D$1=0,0,IFERROR(VALUE(SUBSTITUTE(SUBSTITUTE(SUBSTITUTE(INDEX(貼り付け!$A$1:$BZ$3001,1055,$D$1)&amp;"",",",""),"¥",""),"￥","")),0))</f>
        <v/>
      </c>
      <c r="E1056">
        <f>IF($E$1=0,0,IFERROR(VALUE(SUBSTITUTE(SUBSTITUTE(SUBSTITUTE(INDEX(貼り付け!$A$1:$BZ$3001,1055,$E$1)&amp;"",",",""),"¥",""),"￥","")),0))</f>
        <v/>
      </c>
      <c r="F1056">
        <f>IF($F$1=0,0,IFERROR(VALUE(SUBSTITUTE(SUBSTITUTE(SUBSTITUTE(INDEX(貼り付け!$A$1:$BZ$3001,1055,$F$1)&amp;"",",",""),"¥",""),"￥","")),0))</f>
        <v/>
      </c>
      <c r="G1056">
        <f>IF(ISNUMBER(B1056),YEAR(B1056),"")</f>
        <v/>
      </c>
      <c r="H1056">
        <f>IF(ISNUMBER(B1056),MONTH(B1056),"")</f>
        <v/>
      </c>
      <c r="I1056">
        <f>IFERROR(IF($B$1=0,"",IF(ISNUMBER(INDEX(貼り付け!$A$1:$BZ$3001,1055,$B$1)),"",SUBSTITUTE(SUBSTITUTE(SUBSTITUTE(SUBSTITUTE(TRIM(LEFT(INDEX(貼り付け!$A$1:$BZ$3001,1055,$B$1)&amp;"",FIND(" ",TRIM(INDEX(貼り付け!$A$1:$BZ$3001,1055,$B$1)&amp;"")&amp;" ")-1)),"/","-"),"年","-"),"月","-"),"日",""))),"")</f>
        <v/>
      </c>
      <c r="J1056">
        <f>IFERROR(MID(I1056,FIND("-",I1056)+1,99),"")</f>
        <v/>
      </c>
    </row>
    <row r="1057">
      <c r="B1057">
        <f>IFERROR(IF($B$1=0,"",IF(INDEX(貼り付け!$A$1:$BZ$3001,1056,$B$1)="","",IF(ISNUMBER(INDEX(貼り付け!$A$1:$BZ$3001,1056,$B$1)),INT(INDEX(貼り付け!$A$1:$BZ$3001,1056,$B$1)),DATE(VALUE(LEFT(I1057,FIND("-",I1057)-1)),VALUE(LEFT(J1057,FIND("-",J1057)-1)),VALUE(MID(J1057,FIND("-",J1057)+1,99)))))),"")</f>
        <v/>
      </c>
      <c r="C1057">
        <f>IF($C$1=0,0,IFERROR(VALUE(SUBSTITUTE(SUBSTITUTE(SUBSTITUTE(INDEX(貼り付け!$A$1:$BZ$3001,1056,$C$1)&amp;"",",",""),"¥",""),"￥","")),0))</f>
        <v/>
      </c>
      <c r="D1057">
        <f>IF($D$1=0,0,IFERROR(VALUE(SUBSTITUTE(SUBSTITUTE(SUBSTITUTE(INDEX(貼り付け!$A$1:$BZ$3001,1056,$D$1)&amp;"",",",""),"¥",""),"￥","")),0))</f>
        <v/>
      </c>
      <c r="E1057">
        <f>IF($E$1=0,0,IFERROR(VALUE(SUBSTITUTE(SUBSTITUTE(SUBSTITUTE(INDEX(貼り付け!$A$1:$BZ$3001,1056,$E$1)&amp;"",",",""),"¥",""),"￥","")),0))</f>
        <v/>
      </c>
      <c r="F1057">
        <f>IF($F$1=0,0,IFERROR(VALUE(SUBSTITUTE(SUBSTITUTE(SUBSTITUTE(INDEX(貼り付け!$A$1:$BZ$3001,1056,$F$1)&amp;"",",",""),"¥",""),"￥","")),0))</f>
        <v/>
      </c>
      <c r="G1057">
        <f>IF(ISNUMBER(B1057),YEAR(B1057),"")</f>
        <v/>
      </c>
      <c r="H1057">
        <f>IF(ISNUMBER(B1057),MONTH(B1057),"")</f>
        <v/>
      </c>
      <c r="I1057">
        <f>IFERROR(IF($B$1=0,"",IF(ISNUMBER(INDEX(貼り付け!$A$1:$BZ$3001,1056,$B$1)),"",SUBSTITUTE(SUBSTITUTE(SUBSTITUTE(SUBSTITUTE(TRIM(LEFT(INDEX(貼り付け!$A$1:$BZ$3001,1056,$B$1)&amp;"",FIND(" ",TRIM(INDEX(貼り付け!$A$1:$BZ$3001,1056,$B$1)&amp;"")&amp;" ")-1)),"/","-"),"年","-"),"月","-"),"日",""))),"")</f>
        <v/>
      </c>
      <c r="J1057">
        <f>IFERROR(MID(I1057,FIND("-",I1057)+1,99),"")</f>
        <v/>
      </c>
    </row>
    <row r="1058">
      <c r="B1058">
        <f>IFERROR(IF($B$1=0,"",IF(INDEX(貼り付け!$A$1:$BZ$3001,1057,$B$1)="","",IF(ISNUMBER(INDEX(貼り付け!$A$1:$BZ$3001,1057,$B$1)),INT(INDEX(貼り付け!$A$1:$BZ$3001,1057,$B$1)),DATE(VALUE(LEFT(I1058,FIND("-",I1058)-1)),VALUE(LEFT(J1058,FIND("-",J1058)-1)),VALUE(MID(J1058,FIND("-",J1058)+1,99)))))),"")</f>
        <v/>
      </c>
      <c r="C1058">
        <f>IF($C$1=0,0,IFERROR(VALUE(SUBSTITUTE(SUBSTITUTE(SUBSTITUTE(INDEX(貼り付け!$A$1:$BZ$3001,1057,$C$1)&amp;"",",",""),"¥",""),"￥","")),0))</f>
        <v/>
      </c>
      <c r="D1058">
        <f>IF($D$1=0,0,IFERROR(VALUE(SUBSTITUTE(SUBSTITUTE(SUBSTITUTE(INDEX(貼り付け!$A$1:$BZ$3001,1057,$D$1)&amp;"",",",""),"¥",""),"￥","")),0))</f>
        <v/>
      </c>
      <c r="E1058">
        <f>IF($E$1=0,0,IFERROR(VALUE(SUBSTITUTE(SUBSTITUTE(SUBSTITUTE(INDEX(貼り付け!$A$1:$BZ$3001,1057,$E$1)&amp;"",",",""),"¥",""),"￥","")),0))</f>
        <v/>
      </c>
      <c r="F1058">
        <f>IF($F$1=0,0,IFERROR(VALUE(SUBSTITUTE(SUBSTITUTE(SUBSTITUTE(INDEX(貼り付け!$A$1:$BZ$3001,1057,$F$1)&amp;"",",",""),"¥",""),"￥","")),0))</f>
        <v/>
      </c>
      <c r="G1058">
        <f>IF(ISNUMBER(B1058),YEAR(B1058),"")</f>
        <v/>
      </c>
      <c r="H1058">
        <f>IF(ISNUMBER(B1058),MONTH(B1058),"")</f>
        <v/>
      </c>
      <c r="I1058">
        <f>IFERROR(IF($B$1=0,"",IF(ISNUMBER(INDEX(貼り付け!$A$1:$BZ$3001,1057,$B$1)),"",SUBSTITUTE(SUBSTITUTE(SUBSTITUTE(SUBSTITUTE(TRIM(LEFT(INDEX(貼り付け!$A$1:$BZ$3001,1057,$B$1)&amp;"",FIND(" ",TRIM(INDEX(貼り付け!$A$1:$BZ$3001,1057,$B$1)&amp;"")&amp;" ")-1)),"/","-"),"年","-"),"月","-"),"日",""))),"")</f>
        <v/>
      </c>
      <c r="J1058">
        <f>IFERROR(MID(I1058,FIND("-",I1058)+1,99),"")</f>
        <v/>
      </c>
    </row>
    <row r="1059">
      <c r="B1059">
        <f>IFERROR(IF($B$1=0,"",IF(INDEX(貼り付け!$A$1:$BZ$3001,1058,$B$1)="","",IF(ISNUMBER(INDEX(貼り付け!$A$1:$BZ$3001,1058,$B$1)),INT(INDEX(貼り付け!$A$1:$BZ$3001,1058,$B$1)),DATE(VALUE(LEFT(I1059,FIND("-",I1059)-1)),VALUE(LEFT(J1059,FIND("-",J1059)-1)),VALUE(MID(J1059,FIND("-",J1059)+1,99)))))),"")</f>
        <v/>
      </c>
      <c r="C1059">
        <f>IF($C$1=0,0,IFERROR(VALUE(SUBSTITUTE(SUBSTITUTE(SUBSTITUTE(INDEX(貼り付け!$A$1:$BZ$3001,1058,$C$1)&amp;"",",",""),"¥",""),"￥","")),0))</f>
        <v/>
      </c>
      <c r="D1059">
        <f>IF($D$1=0,0,IFERROR(VALUE(SUBSTITUTE(SUBSTITUTE(SUBSTITUTE(INDEX(貼り付け!$A$1:$BZ$3001,1058,$D$1)&amp;"",",",""),"¥",""),"￥","")),0))</f>
        <v/>
      </c>
      <c r="E1059">
        <f>IF($E$1=0,0,IFERROR(VALUE(SUBSTITUTE(SUBSTITUTE(SUBSTITUTE(INDEX(貼り付け!$A$1:$BZ$3001,1058,$E$1)&amp;"",",",""),"¥",""),"￥","")),0))</f>
        <v/>
      </c>
      <c r="F1059">
        <f>IF($F$1=0,0,IFERROR(VALUE(SUBSTITUTE(SUBSTITUTE(SUBSTITUTE(INDEX(貼り付け!$A$1:$BZ$3001,1058,$F$1)&amp;"",",",""),"¥",""),"￥","")),0))</f>
        <v/>
      </c>
      <c r="G1059">
        <f>IF(ISNUMBER(B1059),YEAR(B1059),"")</f>
        <v/>
      </c>
      <c r="H1059">
        <f>IF(ISNUMBER(B1059),MONTH(B1059),"")</f>
        <v/>
      </c>
      <c r="I1059">
        <f>IFERROR(IF($B$1=0,"",IF(ISNUMBER(INDEX(貼り付け!$A$1:$BZ$3001,1058,$B$1)),"",SUBSTITUTE(SUBSTITUTE(SUBSTITUTE(SUBSTITUTE(TRIM(LEFT(INDEX(貼り付け!$A$1:$BZ$3001,1058,$B$1)&amp;"",FIND(" ",TRIM(INDEX(貼り付け!$A$1:$BZ$3001,1058,$B$1)&amp;"")&amp;" ")-1)),"/","-"),"年","-"),"月","-"),"日",""))),"")</f>
        <v/>
      </c>
      <c r="J1059">
        <f>IFERROR(MID(I1059,FIND("-",I1059)+1,99),"")</f>
        <v/>
      </c>
    </row>
    <row r="1060">
      <c r="B1060">
        <f>IFERROR(IF($B$1=0,"",IF(INDEX(貼り付け!$A$1:$BZ$3001,1059,$B$1)="","",IF(ISNUMBER(INDEX(貼り付け!$A$1:$BZ$3001,1059,$B$1)),INT(INDEX(貼り付け!$A$1:$BZ$3001,1059,$B$1)),DATE(VALUE(LEFT(I1060,FIND("-",I1060)-1)),VALUE(LEFT(J1060,FIND("-",J1060)-1)),VALUE(MID(J1060,FIND("-",J1060)+1,99)))))),"")</f>
        <v/>
      </c>
      <c r="C1060">
        <f>IF($C$1=0,0,IFERROR(VALUE(SUBSTITUTE(SUBSTITUTE(SUBSTITUTE(INDEX(貼り付け!$A$1:$BZ$3001,1059,$C$1)&amp;"",",",""),"¥",""),"￥","")),0))</f>
        <v/>
      </c>
      <c r="D1060">
        <f>IF($D$1=0,0,IFERROR(VALUE(SUBSTITUTE(SUBSTITUTE(SUBSTITUTE(INDEX(貼り付け!$A$1:$BZ$3001,1059,$D$1)&amp;"",",",""),"¥",""),"￥","")),0))</f>
        <v/>
      </c>
      <c r="E1060">
        <f>IF($E$1=0,0,IFERROR(VALUE(SUBSTITUTE(SUBSTITUTE(SUBSTITUTE(INDEX(貼り付け!$A$1:$BZ$3001,1059,$E$1)&amp;"",",",""),"¥",""),"￥","")),0))</f>
        <v/>
      </c>
      <c r="F1060">
        <f>IF($F$1=0,0,IFERROR(VALUE(SUBSTITUTE(SUBSTITUTE(SUBSTITUTE(INDEX(貼り付け!$A$1:$BZ$3001,1059,$F$1)&amp;"",",",""),"¥",""),"￥","")),0))</f>
        <v/>
      </c>
      <c r="G1060">
        <f>IF(ISNUMBER(B1060),YEAR(B1060),"")</f>
        <v/>
      </c>
      <c r="H1060">
        <f>IF(ISNUMBER(B1060),MONTH(B1060),"")</f>
        <v/>
      </c>
      <c r="I1060">
        <f>IFERROR(IF($B$1=0,"",IF(ISNUMBER(INDEX(貼り付け!$A$1:$BZ$3001,1059,$B$1)),"",SUBSTITUTE(SUBSTITUTE(SUBSTITUTE(SUBSTITUTE(TRIM(LEFT(INDEX(貼り付け!$A$1:$BZ$3001,1059,$B$1)&amp;"",FIND(" ",TRIM(INDEX(貼り付け!$A$1:$BZ$3001,1059,$B$1)&amp;"")&amp;" ")-1)),"/","-"),"年","-"),"月","-"),"日",""))),"")</f>
        <v/>
      </c>
      <c r="J1060">
        <f>IFERROR(MID(I1060,FIND("-",I1060)+1,99),"")</f>
        <v/>
      </c>
    </row>
    <row r="1061">
      <c r="B1061">
        <f>IFERROR(IF($B$1=0,"",IF(INDEX(貼り付け!$A$1:$BZ$3001,1060,$B$1)="","",IF(ISNUMBER(INDEX(貼り付け!$A$1:$BZ$3001,1060,$B$1)),INT(INDEX(貼り付け!$A$1:$BZ$3001,1060,$B$1)),DATE(VALUE(LEFT(I1061,FIND("-",I1061)-1)),VALUE(LEFT(J1061,FIND("-",J1061)-1)),VALUE(MID(J1061,FIND("-",J1061)+1,99)))))),"")</f>
        <v/>
      </c>
      <c r="C1061">
        <f>IF($C$1=0,0,IFERROR(VALUE(SUBSTITUTE(SUBSTITUTE(SUBSTITUTE(INDEX(貼り付け!$A$1:$BZ$3001,1060,$C$1)&amp;"",",",""),"¥",""),"￥","")),0))</f>
        <v/>
      </c>
      <c r="D1061">
        <f>IF($D$1=0,0,IFERROR(VALUE(SUBSTITUTE(SUBSTITUTE(SUBSTITUTE(INDEX(貼り付け!$A$1:$BZ$3001,1060,$D$1)&amp;"",",",""),"¥",""),"￥","")),0))</f>
        <v/>
      </c>
      <c r="E1061">
        <f>IF($E$1=0,0,IFERROR(VALUE(SUBSTITUTE(SUBSTITUTE(SUBSTITUTE(INDEX(貼り付け!$A$1:$BZ$3001,1060,$E$1)&amp;"",",",""),"¥",""),"￥","")),0))</f>
        <v/>
      </c>
      <c r="F1061">
        <f>IF($F$1=0,0,IFERROR(VALUE(SUBSTITUTE(SUBSTITUTE(SUBSTITUTE(INDEX(貼り付け!$A$1:$BZ$3001,1060,$F$1)&amp;"",",",""),"¥",""),"￥","")),0))</f>
        <v/>
      </c>
      <c r="G1061">
        <f>IF(ISNUMBER(B1061),YEAR(B1061),"")</f>
        <v/>
      </c>
      <c r="H1061">
        <f>IF(ISNUMBER(B1061),MONTH(B1061),"")</f>
        <v/>
      </c>
      <c r="I1061">
        <f>IFERROR(IF($B$1=0,"",IF(ISNUMBER(INDEX(貼り付け!$A$1:$BZ$3001,1060,$B$1)),"",SUBSTITUTE(SUBSTITUTE(SUBSTITUTE(SUBSTITUTE(TRIM(LEFT(INDEX(貼り付け!$A$1:$BZ$3001,1060,$B$1)&amp;"",FIND(" ",TRIM(INDEX(貼り付け!$A$1:$BZ$3001,1060,$B$1)&amp;"")&amp;" ")-1)),"/","-"),"年","-"),"月","-"),"日",""))),"")</f>
        <v/>
      </c>
      <c r="J1061">
        <f>IFERROR(MID(I1061,FIND("-",I1061)+1,99),"")</f>
        <v/>
      </c>
    </row>
    <row r="1062">
      <c r="B1062">
        <f>IFERROR(IF($B$1=0,"",IF(INDEX(貼り付け!$A$1:$BZ$3001,1061,$B$1)="","",IF(ISNUMBER(INDEX(貼り付け!$A$1:$BZ$3001,1061,$B$1)),INT(INDEX(貼り付け!$A$1:$BZ$3001,1061,$B$1)),DATE(VALUE(LEFT(I1062,FIND("-",I1062)-1)),VALUE(LEFT(J1062,FIND("-",J1062)-1)),VALUE(MID(J1062,FIND("-",J1062)+1,99)))))),"")</f>
        <v/>
      </c>
      <c r="C1062">
        <f>IF($C$1=0,0,IFERROR(VALUE(SUBSTITUTE(SUBSTITUTE(SUBSTITUTE(INDEX(貼り付け!$A$1:$BZ$3001,1061,$C$1)&amp;"",",",""),"¥",""),"￥","")),0))</f>
        <v/>
      </c>
      <c r="D1062">
        <f>IF($D$1=0,0,IFERROR(VALUE(SUBSTITUTE(SUBSTITUTE(SUBSTITUTE(INDEX(貼り付け!$A$1:$BZ$3001,1061,$D$1)&amp;"",",",""),"¥",""),"￥","")),0))</f>
        <v/>
      </c>
      <c r="E1062">
        <f>IF($E$1=0,0,IFERROR(VALUE(SUBSTITUTE(SUBSTITUTE(SUBSTITUTE(INDEX(貼り付け!$A$1:$BZ$3001,1061,$E$1)&amp;"",",",""),"¥",""),"￥","")),0))</f>
        <v/>
      </c>
      <c r="F1062">
        <f>IF($F$1=0,0,IFERROR(VALUE(SUBSTITUTE(SUBSTITUTE(SUBSTITUTE(INDEX(貼り付け!$A$1:$BZ$3001,1061,$F$1)&amp;"",",",""),"¥",""),"￥","")),0))</f>
        <v/>
      </c>
      <c r="G1062">
        <f>IF(ISNUMBER(B1062),YEAR(B1062),"")</f>
        <v/>
      </c>
      <c r="H1062">
        <f>IF(ISNUMBER(B1062),MONTH(B1062),"")</f>
        <v/>
      </c>
      <c r="I1062">
        <f>IFERROR(IF($B$1=0,"",IF(ISNUMBER(INDEX(貼り付け!$A$1:$BZ$3001,1061,$B$1)),"",SUBSTITUTE(SUBSTITUTE(SUBSTITUTE(SUBSTITUTE(TRIM(LEFT(INDEX(貼り付け!$A$1:$BZ$3001,1061,$B$1)&amp;"",FIND(" ",TRIM(INDEX(貼り付け!$A$1:$BZ$3001,1061,$B$1)&amp;"")&amp;" ")-1)),"/","-"),"年","-"),"月","-"),"日",""))),"")</f>
        <v/>
      </c>
      <c r="J1062">
        <f>IFERROR(MID(I1062,FIND("-",I1062)+1,99),"")</f>
        <v/>
      </c>
    </row>
    <row r="1063">
      <c r="B1063">
        <f>IFERROR(IF($B$1=0,"",IF(INDEX(貼り付け!$A$1:$BZ$3001,1062,$B$1)="","",IF(ISNUMBER(INDEX(貼り付け!$A$1:$BZ$3001,1062,$B$1)),INT(INDEX(貼り付け!$A$1:$BZ$3001,1062,$B$1)),DATE(VALUE(LEFT(I1063,FIND("-",I1063)-1)),VALUE(LEFT(J1063,FIND("-",J1063)-1)),VALUE(MID(J1063,FIND("-",J1063)+1,99)))))),"")</f>
        <v/>
      </c>
      <c r="C1063">
        <f>IF($C$1=0,0,IFERROR(VALUE(SUBSTITUTE(SUBSTITUTE(SUBSTITUTE(INDEX(貼り付け!$A$1:$BZ$3001,1062,$C$1)&amp;"",",",""),"¥",""),"￥","")),0))</f>
        <v/>
      </c>
      <c r="D1063">
        <f>IF($D$1=0,0,IFERROR(VALUE(SUBSTITUTE(SUBSTITUTE(SUBSTITUTE(INDEX(貼り付け!$A$1:$BZ$3001,1062,$D$1)&amp;"",",",""),"¥",""),"￥","")),0))</f>
        <v/>
      </c>
      <c r="E1063">
        <f>IF($E$1=0,0,IFERROR(VALUE(SUBSTITUTE(SUBSTITUTE(SUBSTITUTE(INDEX(貼り付け!$A$1:$BZ$3001,1062,$E$1)&amp;"",",",""),"¥",""),"￥","")),0))</f>
        <v/>
      </c>
      <c r="F1063">
        <f>IF($F$1=0,0,IFERROR(VALUE(SUBSTITUTE(SUBSTITUTE(SUBSTITUTE(INDEX(貼り付け!$A$1:$BZ$3001,1062,$F$1)&amp;"",",",""),"¥",""),"￥","")),0))</f>
        <v/>
      </c>
      <c r="G1063">
        <f>IF(ISNUMBER(B1063),YEAR(B1063),"")</f>
        <v/>
      </c>
      <c r="H1063">
        <f>IF(ISNUMBER(B1063),MONTH(B1063),"")</f>
        <v/>
      </c>
      <c r="I1063">
        <f>IFERROR(IF($B$1=0,"",IF(ISNUMBER(INDEX(貼り付け!$A$1:$BZ$3001,1062,$B$1)),"",SUBSTITUTE(SUBSTITUTE(SUBSTITUTE(SUBSTITUTE(TRIM(LEFT(INDEX(貼り付け!$A$1:$BZ$3001,1062,$B$1)&amp;"",FIND(" ",TRIM(INDEX(貼り付け!$A$1:$BZ$3001,1062,$B$1)&amp;"")&amp;" ")-1)),"/","-"),"年","-"),"月","-"),"日",""))),"")</f>
        <v/>
      </c>
      <c r="J1063">
        <f>IFERROR(MID(I1063,FIND("-",I1063)+1,99),"")</f>
        <v/>
      </c>
    </row>
    <row r="1064">
      <c r="B1064">
        <f>IFERROR(IF($B$1=0,"",IF(INDEX(貼り付け!$A$1:$BZ$3001,1063,$B$1)="","",IF(ISNUMBER(INDEX(貼り付け!$A$1:$BZ$3001,1063,$B$1)),INT(INDEX(貼り付け!$A$1:$BZ$3001,1063,$B$1)),DATE(VALUE(LEFT(I1064,FIND("-",I1064)-1)),VALUE(LEFT(J1064,FIND("-",J1064)-1)),VALUE(MID(J1064,FIND("-",J1064)+1,99)))))),"")</f>
        <v/>
      </c>
      <c r="C1064">
        <f>IF($C$1=0,0,IFERROR(VALUE(SUBSTITUTE(SUBSTITUTE(SUBSTITUTE(INDEX(貼り付け!$A$1:$BZ$3001,1063,$C$1)&amp;"",",",""),"¥",""),"￥","")),0))</f>
        <v/>
      </c>
      <c r="D1064">
        <f>IF($D$1=0,0,IFERROR(VALUE(SUBSTITUTE(SUBSTITUTE(SUBSTITUTE(INDEX(貼り付け!$A$1:$BZ$3001,1063,$D$1)&amp;"",",",""),"¥",""),"￥","")),0))</f>
        <v/>
      </c>
      <c r="E1064">
        <f>IF($E$1=0,0,IFERROR(VALUE(SUBSTITUTE(SUBSTITUTE(SUBSTITUTE(INDEX(貼り付け!$A$1:$BZ$3001,1063,$E$1)&amp;"",",",""),"¥",""),"￥","")),0))</f>
        <v/>
      </c>
      <c r="F1064">
        <f>IF($F$1=0,0,IFERROR(VALUE(SUBSTITUTE(SUBSTITUTE(SUBSTITUTE(INDEX(貼り付け!$A$1:$BZ$3001,1063,$F$1)&amp;"",",",""),"¥",""),"￥","")),0))</f>
        <v/>
      </c>
      <c r="G1064">
        <f>IF(ISNUMBER(B1064),YEAR(B1064),"")</f>
        <v/>
      </c>
      <c r="H1064">
        <f>IF(ISNUMBER(B1064),MONTH(B1064),"")</f>
        <v/>
      </c>
      <c r="I1064">
        <f>IFERROR(IF($B$1=0,"",IF(ISNUMBER(INDEX(貼り付け!$A$1:$BZ$3001,1063,$B$1)),"",SUBSTITUTE(SUBSTITUTE(SUBSTITUTE(SUBSTITUTE(TRIM(LEFT(INDEX(貼り付け!$A$1:$BZ$3001,1063,$B$1)&amp;"",FIND(" ",TRIM(INDEX(貼り付け!$A$1:$BZ$3001,1063,$B$1)&amp;"")&amp;" ")-1)),"/","-"),"年","-"),"月","-"),"日",""))),"")</f>
        <v/>
      </c>
      <c r="J1064">
        <f>IFERROR(MID(I1064,FIND("-",I1064)+1,99),"")</f>
        <v/>
      </c>
    </row>
    <row r="1065">
      <c r="B1065">
        <f>IFERROR(IF($B$1=0,"",IF(INDEX(貼り付け!$A$1:$BZ$3001,1064,$B$1)="","",IF(ISNUMBER(INDEX(貼り付け!$A$1:$BZ$3001,1064,$B$1)),INT(INDEX(貼り付け!$A$1:$BZ$3001,1064,$B$1)),DATE(VALUE(LEFT(I1065,FIND("-",I1065)-1)),VALUE(LEFT(J1065,FIND("-",J1065)-1)),VALUE(MID(J1065,FIND("-",J1065)+1,99)))))),"")</f>
        <v/>
      </c>
      <c r="C1065">
        <f>IF($C$1=0,0,IFERROR(VALUE(SUBSTITUTE(SUBSTITUTE(SUBSTITUTE(INDEX(貼り付け!$A$1:$BZ$3001,1064,$C$1)&amp;"",",",""),"¥",""),"￥","")),0))</f>
        <v/>
      </c>
      <c r="D1065">
        <f>IF($D$1=0,0,IFERROR(VALUE(SUBSTITUTE(SUBSTITUTE(SUBSTITUTE(INDEX(貼り付け!$A$1:$BZ$3001,1064,$D$1)&amp;"",",",""),"¥",""),"￥","")),0))</f>
        <v/>
      </c>
      <c r="E1065">
        <f>IF($E$1=0,0,IFERROR(VALUE(SUBSTITUTE(SUBSTITUTE(SUBSTITUTE(INDEX(貼り付け!$A$1:$BZ$3001,1064,$E$1)&amp;"",",",""),"¥",""),"￥","")),0))</f>
        <v/>
      </c>
      <c r="F1065">
        <f>IF($F$1=0,0,IFERROR(VALUE(SUBSTITUTE(SUBSTITUTE(SUBSTITUTE(INDEX(貼り付け!$A$1:$BZ$3001,1064,$F$1)&amp;"",",",""),"¥",""),"￥","")),0))</f>
        <v/>
      </c>
      <c r="G1065">
        <f>IF(ISNUMBER(B1065),YEAR(B1065),"")</f>
        <v/>
      </c>
      <c r="H1065">
        <f>IF(ISNUMBER(B1065),MONTH(B1065),"")</f>
        <v/>
      </c>
      <c r="I1065">
        <f>IFERROR(IF($B$1=0,"",IF(ISNUMBER(INDEX(貼り付け!$A$1:$BZ$3001,1064,$B$1)),"",SUBSTITUTE(SUBSTITUTE(SUBSTITUTE(SUBSTITUTE(TRIM(LEFT(INDEX(貼り付け!$A$1:$BZ$3001,1064,$B$1)&amp;"",FIND(" ",TRIM(INDEX(貼り付け!$A$1:$BZ$3001,1064,$B$1)&amp;"")&amp;" ")-1)),"/","-"),"年","-"),"月","-"),"日",""))),"")</f>
        <v/>
      </c>
      <c r="J1065">
        <f>IFERROR(MID(I1065,FIND("-",I1065)+1,99),"")</f>
        <v/>
      </c>
    </row>
    <row r="1066">
      <c r="B1066">
        <f>IFERROR(IF($B$1=0,"",IF(INDEX(貼り付け!$A$1:$BZ$3001,1065,$B$1)="","",IF(ISNUMBER(INDEX(貼り付け!$A$1:$BZ$3001,1065,$B$1)),INT(INDEX(貼り付け!$A$1:$BZ$3001,1065,$B$1)),DATE(VALUE(LEFT(I1066,FIND("-",I1066)-1)),VALUE(LEFT(J1066,FIND("-",J1066)-1)),VALUE(MID(J1066,FIND("-",J1066)+1,99)))))),"")</f>
        <v/>
      </c>
      <c r="C1066">
        <f>IF($C$1=0,0,IFERROR(VALUE(SUBSTITUTE(SUBSTITUTE(SUBSTITUTE(INDEX(貼り付け!$A$1:$BZ$3001,1065,$C$1)&amp;"",",",""),"¥",""),"￥","")),0))</f>
        <v/>
      </c>
      <c r="D1066">
        <f>IF($D$1=0,0,IFERROR(VALUE(SUBSTITUTE(SUBSTITUTE(SUBSTITUTE(INDEX(貼り付け!$A$1:$BZ$3001,1065,$D$1)&amp;"",",",""),"¥",""),"￥","")),0))</f>
        <v/>
      </c>
      <c r="E1066">
        <f>IF($E$1=0,0,IFERROR(VALUE(SUBSTITUTE(SUBSTITUTE(SUBSTITUTE(INDEX(貼り付け!$A$1:$BZ$3001,1065,$E$1)&amp;"",",",""),"¥",""),"￥","")),0))</f>
        <v/>
      </c>
      <c r="F1066">
        <f>IF($F$1=0,0,IFERROR(VALUE(SUBSTITUTE(SUBSTITUTE(SUBSTITUTE(INDEX(貼り付け!$A$1:$BZ$3001,1065,$F$1)&amp;"",",",""),"¥",""),"￥","")),0))</f>
        <v/>
      </c>
      <c r="G1066">
        <f>IF(ISNUMBER(B1066),YEAR(B1066),"")</f>
        <v/>
      </c>
      <c r="H1066">
        <f>IF(ISNUMBER(B1066),MONTH(B1066),"")</f>
        <v/>
      </c>
      <c r="I1066">
        <f>IFERROR(IF($B$1=0,"",IF(ISNUMBER(INDEX(貼り付け!$A$1:$BZ$3001,1065,$B$1)),"",SUBSTITUTE(SUBSTITUTE(SUBSTITUTE(SUBSTITUTE(TRIM(LEFT(INDEX(貼り付け!$A$1:$BZ$3001,1065,$B$1)&amp;"",FIND(" ",TRIM(INDEX(貼り付け!$A$1:$BZ$3001,1065,$B$1)&amp;"")&amp;" ")-1)),"/","-"),"年","-"),"月","-"),"日",""))),"")</f>
        <v/>
      </c>
      <c r="J1066">
        <f>IFERROR(MID(I1066,FIND("-",I1066)+1,99),"")</f>
        <v/>
      </c>
    </row>
    <row r="1067">
      <c r="B1067">
        <f>IFERROR(IF($B$1=0,"",IF(INDEX(貼り付け!$A$1:$BZ$3001,1066,$B$1)="","",IF(ISNUMBER(INDEX(貼り付け!$A$1:$BZ$3001,1066,$B$1)),INT(INDEX(貼り付け!$A$1:$BZ$3001,1066,$B$1)),DATE(VALUE(LEFT(I1067,FIND("-",I1067)-1)),VALUE(LEFT(J1067,FIND("-",J1067)-1)),VALUE(MID(J1067,FIND("-",J1067)+1,99)))))),"")</f>
        <v/>
      </c>
      <c r="C1067">
        <f>IF($C$1=0,0,IFERROR(VALUE(SUBSTITUTE(SUBSTITUTE(SUBSTITUTE(INDEX(貼り付け!$A$1:$BZ$3001,1066,$C$1)&amp;"",",",""),"¥",""),"￥","")),0))</f>
        <v/>
      </c>
      <c r="D1067">
        <f>IF($D$1=0,0,IFERROR(VALUE(SUBSTITUTE(SUBSTITUTE(SUBSTITUTE(INDEX(貼り付け!$A$1:$BZ$3001,1066,$D$1)&amp;"",",",""),"¥",""),"￥","")),0))</f>
        <v/>
      </c>
      <c r="E1067">
        <f>IF($E$1=0,0,IFERROR(VALUE(SUBSTITUTE(SUBSTITUTE(SUBSTITUTE(INDEX(貼り付け!$A$1:$BZ$3001,1066,$E$1)&amp;"",",",""),"¥",""),"￥","")),0))</f>
        <v/>
      </c>
      <c r="F1067">
        <f>IF($F$1=0,0,IFERROR(VALUE(SUBSTITUTE(SUBSTITUTE(SUBSTITUTE(INDEX(貼り付け!$A$1:$BZ$3001,1066,$F$1)&amp;"",",",""),"¥",""),"￥","")),0))</f>
        <v/>
      </c>
      <c r="G1067">
        <f>IF(ISNUMBER(B1067),YEAR(B1067),"")</f>
        <v/>
      </c>
      <c r="H1067">
        <f>IF(ISNUMBER(B1067),MONTH(B1067),"")</f>
        <v/>
      </c>
      <c r="I1067">
        <f>IFERROR(IF($B$1=0,"",IF(ISNUMBER(INDEX(貼り付け!$A$1:$BZ$3001,1066,$B$1)),"",SUBSTITUTE(SUBSTITUTE(SUBSTITUTE(SUBSTITUTE(TRIM(LEFT(INDEX(貼り付け!$A$1:$BZ$3001,1066,$B$1)&amp;"",FIND(" ",TRIM(INDEX(貼り付け!$A$1:$BZ$3001,1066,$B$1)&amp;"")&amp;" ")-1)),"/","-"),"年","-"),"月","-"),"日",""))),"")</f>
        <v/>
      </c>
      <c r="J1067">
        <f>IFERROR(MID(I1067,FIND("-",I1067)+1,99),"")</f>
        <v/>
      </c>
    </row>
    <row r="1068">
      <c r="B1068">
        <f>IFERROR(IF($B$1=0,"",IF(INDEX(貼り付け!$A$1:$BZ$3001,1067,$B$1)="","",IF(ISNUMBER(INDEX(貼り付け!$A$1:$BZ$3001,1067,$B$1)),INT(INDEX(貼り付け!$A$1:$BZ$3001,1067,$B$1)),DATE(VALUE(LEFT(I1068,FIND("-",I1068)-1)),VALUE(LEFT(J1068,FIND("-",J1068)-1)),VALUE(MID(J1068,FIND("-",J1068)+1,99)))))),"")</f>
        <v/>
      </c>
      <c r="C1068">
        <f>IF($C$1=0,0,IFERROR(VALUE(SUBSTITUTE(SUBSTITUTE(SUBSTITUTE(INDEX(貼り付け!$A$1:$BZ$3001,1067,$C$1)&amp;"",",",""),"¥",""),"￥","")),0))</f>
        <v/>
      </c>
      <c r="D1068">
        <f>IF($D$1=0,0,IFERROR(VALUE(SUBSTITUTE(SUBSTITUTE(SUBSTITUTE(INDEX(貼り付け!$A$1:$BZ$3001,1067,$D$1)&amp;"",",",""),"¥",""),"￥","")),0))</f>
        <v/>
      </c>
      <c r="E1068">
        <f>IF($E$1=0,0,IFERROR(VALUE(SUBSTITUTE(SUBSTITUTE(SUBSTITUTE(INDEX(貼り付け!$A$1:$BZ$3001,1067,$E$1)&amp;"",",",""),"¥",""),"￥","")),0))</f>
        <v/>
      </c>
      <c r="F1068">
        <f>IF($F$1=0,0,IFERROR(VALUE(SUBSTITUTE(SUBSTITUTE(SUBSTITUTE(INDEX(貼り付け!$A$1:$BZ$3001,1067,$F$1)&amp;"",",",""),"¥",""),"￥","")),0))</f>
        <v/>
      </c>
      <c r="G1068">
        <f>IF(ISNUMBER(B1068),YEAR(B1068),"")</f>
        <v/>
      </c>
      <c r="H1068">
        <f>IF(ISNUMBER(B1068),MONTH(B1068),"")</f>
        <v/>
      </c>
      <c r="I1068">
        <f>IFERROR(IF($B$1=0,"",IF(ISNUMBER(INDEX(貼り付け!$A$1:$BZ$3001,1067,$B$1)),"",SUBSTITUTE(SUBSTITUTE(SUBSTITUTE(SUBSTITUTE(TRIM(LEFT(INDEX(貼り付け!$A$1:$BZ$3001,1067,$B$1)&amp;"",FIND(" ",TRIM(INDEX(貼り付け!$A$1:$BZ$3001,1067,$B$1)&amp;"")&amp;" ")-1)),"/","-"),"年","-"),"月","-"),"日",""))),"")</f>
        <v/>
      </c>
      <c r="J1068">
        <f>IFERROR(MID(I1068,FIND("-",I1068)+1,99),"")</f>
        <v/>
      </c>
    </row>
    <row r="1069">
      <c r="B1069">
        <f>IFERROR(IF($B$1=0,"",IF(INDEX(貼り付け!$A$1:$BZ$3001,1068,$B$1)="","",IF(ISNUMBER(INDEX(貼り付け!$A$1:$BZ$3001,1068,$B$1)),INT(INDEX(貼り付け!$A$1:$BZ$3001,1068,$B$1)),DATE(VALUE(LEFT(I1069,FIND("-",I1069)-1)),VALUE(LEFT(J1069,FIND("-",J1069)-1)),VALUE(MID(J1069,FIND("-",J1069)+1,99)))))),"")</f>
        <v/>
      </c>
      <c r="C1069">
        <f>IF($C$1=0,0,IFERROR(VALUE(SUBSTITUTE(SUBSTITUTE(SUBSTITUTE(INDEX(貼り付け!$A$1:$BZ$3001,1068,$C$1)&amp;"",",",""),"¥",""),"￥","")),0))</f>
        <v/>
      </c>
      <c r="D1069">
        <f>IF($D$1=0,0,IFERROR(VALUE(SUBSTITUTE(SUBSTITUTE(SUBSTITUTE(INDEX(貼り付け!$A$1:$BZ$3001,1068,$D$1)&amp;"",",",""),"¥",""),"￥","")),0))</f>
        <v/>
      </c>
      <c r="E1069">
        <f>IF($E$1=0,0,IFERROR(VALUE(SUBSTITUTE(SUBSTITUTE(SUBSTITUTE(INDEX(貼り付け!$A$1:$BZ$3001,1068,$E$1)&amp;"",",",""),"¥",""),"￥","")),0))</f>
        <v/>
      </c>
      <c r="F1069">
        <f>IF($F$1=0,0,IFERROR(VALUE(SUBSTITUTE(SUBSTITUTE(SUBSTITUTE(INDEX(貼り付け!$A$1:$BZ$3001,1068,$F$1)&amp;"",",",""),"¥",""),"￥","")),0))</f>
        <v/>
      </c>
      <c r="G1069">
        <f>IF(ISNUMBER(B1069),YEAR(B1069),"")</f>
        <v/>
      </c>
      <c r="H1069">
        <f>IF(ISNUMBER(B1069),MONTH(B1069),"")</f>
        <v/>
      </c>
      <c r="I1069">
        <f>IFERROR(IF($B$1=0,"",IF(ISNUMBER(INDEX(貼り付け!$A$1:$BZ$3001,1068,$B$1)),"",SUBSTITUTE(SUBSTITUTE(SUBSTITUTE(SUBSTITUTE(TRIM(LEFT(INDEX(貼り付け!$A$1:$BZ$3001,1068,$B$1)&amp;"",FIND(" ",TRIM(INDEX(貼り付け!$A$1:$BZ$3001,1068,$B$1)&amp;"")&amp;" ")-1)),"/","-"),"年","-"),"月","-"),"日",""))),"")</f>
        <v/>
      </c>
      <c r="J1069">
        <f>IFERROR(MID(I1069,FIND("-",I1069)+1,99),"")</f>
        <v/>
      </c>
    </row>
    <row r="1070">
      <c r="B1070">
        <f>IFERROR(IF($B$1=0,"",IF(INDEX(貼り付け!$A$1:$BZ$3001,1069,$B$1)="","",IF(ISNUMBER(INDEX(貼り付け!$A$1:$BZ$3001,1069,$B$1)),INT(INDEX(貼り付け!$A$1:$BZ$3001,1069,$B$1)),DATE(VALUE(LEFT(I1070,FIND("-",I1070)-1)),VALUE(LEFT(J1070,FIND("-",J1070)-1)),VALUE(MID(J1070,FIND("-",J1070)+1,99)))))),"")</f>
        <v/>
      </c>
      <c r="C1070">
        <f>IF($C$1=0,0,IFERROR(VALUE(SUBSTITUTE(SUBSTITUTE(SUBSTITUTE(INDEX(貼り付け!$A$1:$BZ$3001,1069,$C$1)&amp;"",",",""),"¥",""),"￥","")),0))</f>
        <v/>
      </c>
      <c r="D1070">
        <f>IF($D$1=0,0,IFERROR(VALUE(SUBSTITUTE(SUBSTITUTE(SUBSTITUTE(INDEX(貼り付け!$A$1:$BZ$3001,1069,$D$1)&amp;"",",",""),"¥",""),"￥","")),0))</f>
        <v/>
      </c>
      <c r="E1070">
        <f>IF($E$1=0,0,IFERROR(VALUE(SUBSTITUTE(SUBSTITUTE(SUBSTITUTE(INDEX(貼り付け!$A$1:$BZ$3001,1069,$E$1)&amp;"",",",""),"¥",""),"￥","")),0))</f>
        <v/>
      </c>
      <c r="F1070">
        <f>IF($F$1=0,0,IFERROR(VALUE(SUBSTITUTE(SUBSTITUTE(SUBSTITUTE(INDEX(貼り付け!$A$1:$BZ$3001,1069,$F$1)&amp;"",",",""),"¥",""),"￥","")),0))</f>
        <v/>
      </c>
      <c r="G1070">
        <f>IF(ISNUMBER(B1070),YEAR(B1070),"")</f>
        <v/>
      </c>
      <c r="H1070">
        <f>IF(ISNUMBER(B1070),MONTH(B1070),"")</f>
        <v/>
      </c>
      <c r="I1070">
        <f>IFERROR(IF($B$1=0,"",IF(ISNUMBER(INDEX(貼り付け!$A$1:$BZ$3001,1069,$B$1)),"",SUBSTITUTE(SUBSTITUTE(SUBSTITUTE(SUBSTITUTE(TRIM(LEFT(INDEX(貼り付け!$A$1:$BZ$3001,1069,$B$1)&amp;"",FIND(" ",TRIM(INDEX(貼り付け!$A$1:$BZ$3001,1069,$B$1)&amp;"")&amp;" ")-1)),"/","-"),"年","-"),"月","-"),"日",""))),"")</f>
        <v/>
      </c>
      <c r="J1070">
        <f>IFERROR(MID(I1070,FIND("-",I1070)+1,99),"")</f>
        <v/>
      </c>
    </row>
    <row r="1071">
      <c r="B1071">
        <f>IFERROR(IF($B$1=0,"",IF(INDEX(貼り付け!$A$1:$BZ$3001,1070,$B$1)="","",IF(ISNUMBER(INDEX(貼り付け!$A$1:$BZ$3001,1070,$B$1)),INT(INDEX(貼り付け!$A$1:$BZ$3001,1070,$B$1)),DATE(VALUE(LEFT(I1071,FIND("-",I1071)-1)),VALUE(LEFT(J1071,FIND("-",J1071)-1)),VALUE(MID(J1071,FIND("-",J1071)+1,99)))))),"")</f>
        <v/>
      </c>
      <c r="C1071">
        <f>IF($C$1=0,0,IFERROR(VALUE(SUBSTITUTE(SUBSTITUTE(SUBSTITUTE(INDEX(貼り付け!$A$1:$BZ$3001,1070,$C$1)&amp;"",",",""),"¥",""),"￥","")),0))</f>
        <v/>
      </c>
      <c r="D1071">
        <f>IF($D$1=0,0,IFERROR(VALUE(SUBSTITUTE(SUBSTITUTE(SUBSTITUTE(INDEX(貼り付け!$A$1:$BZ$3001,1070,$D$1)&amp;"",",",""),"¥",""),"￥","")),0))</f>
        <v/>
      </c>
      <c r="E1071">
        <f>IF($E$1=0,0,IFERROR(VALUE(SUBSTITUTE(SUBSTITUTE(SUBSTITUTE(INDEX(貼り付け!$A$1:$BZ$3001,1070,$E$1)&amp;"",",",""),"¥",""),"￥","")),0))</f>
        <v/>
      </c>
      <c r="F1071">
        <f>IF($F$1=0,0,IFERROR(VALUE(SUBSTITUTE(SUBSTITUTE(SUBSTITUTE(INDEX(貼り付け!$A$1:$BZ$3001,1070,$F$1)&amp;"",",",""),"¥",""),"￥","")),0))</f>
        <v/>
      </c>
      <c r="G1071">
        <f>IF(ISNUMBER(B1071),YEAR(B1071),"")</f>
        <v/>
      </c>
      <c r="H1071">
        <f>IF(ISNUMBER(B1071),MONTH(B1071),"")</f>
        <v/>
      </c>
      <c r="I1071">
        <f>IFERROR(IF($B$1=0,"",IF(ISNUMBER(INDEX(貼り付け!$A$1:$BZ$3001,1070,$B$1)),"",SUBSTITUTE(SUBSTITUTE(SUBSTITUTE(SUBSTITUTE(TRIM(LEFT(INDEX(貼り付け!$A$1:$BZ$3001,1070,$B$1)&amp;"",FIND(" ",TRIM(INDEX(貼り付け!$A$1:$BZ$3001,1070,$B$1)&amp;"")&amp;" ")-1)),"/","-"),"年","-"),"月","-"),"日",""))),"")</f>
        <v/>
      </c>
      <c r="J1071">
        <f>IFERROR(MID(I1071,FIND("-",I1071)+1,99),"")</f>
        <v/>
      </c>
    </row>
    <row r="1072">
      <c r="B1072">
        <f>IFERROR(IF($B$1=0,"",IF(INDEX(貼り付け!$A$1:$BZ$3001,1071,$B$1)="","",IF(ISNUMBER(INDEX(貼り付け!$A$1:$BZ$3001,1071,$B$1)),INT(INDEX(貼り付け!$A$1:$BZ$3001,1071,$B$1)),DATE(VALUE(LEFT(I1072,FIND("-",I1072)-1)),VALUE(LEFT(J1072,FIND("-",J1072)-1)),VALUE(MID(J1072,FIND("-",J1072)+1,99)))))),"")</f>
        <v/>
      </c>
      <c r="C1072">
        <f>IF($C$1=0,0,IFERROR(VALUE(SUBSTITUTE(SUBSTITUTE(SUBSTITUTE(INDEX(貼り付け!$A$1:$BZ$3001,1071,$C$1)&amp;"",",",""),"¥",""),"￥","")),0))</f>
        <v/>
      </c>
      <c r="D1072">
        <f>IF($D$1=0,0,IFERROR(VALUE(SUBSTITUTE(SUBSTITUTE(SUBSTITUTE(INDEX(貼り付け!$A$1:$BZ$3001,1071,$D$1)&amp;"",",",""),"¥",""),"￥","")),0))</f>
        <v/>
      </c>
      <c r="E1072">
        <f>IF($E$1=0,0,IFERROR(VALUE(SUBSTITUTE(SUBSTITUTE(SUBSTITUTE(INDEX(貼り付け!$A$1:$BZ$3001,1071,$E$1)&amp;"",",",""),"¥",""),"￥","")),0))</f>
        <v/>
      </c>
      <c r="F1072">
        <f>IF($F$1=0,0,IFERROR(VALUE(SUBSTITUTE(SUBSTITUTE(SUBSTITUTE(INDEX(貼り付け!$A$1:$BZ$3001,1071,$F$1)&amp;"",",",""),"¥",""),"￥","")),0))</f>
        <v/>
      </c>
      <c r="G1072">
        <f>IF(ISNUMBER(B1072),YEAR(B1072),"")</f>
        <v/>
      </c>
      <c r="H1072">
        <f>IF(ISNUMBER(B1072),MONTH(B1072),"")</f>
        <v/>
      </c>
      <c r="I1072">
        <f>IFERROR(IF($B$1=0,"",IF(ISNUMBER(INDEX(貼り付け!$A$1:$BZ$3001,1071,$B$1)),"",SUBSTITUTE(SUBSTITUTE(SUBSTITUTE(SUBSTITUTE(TRIM(LEFT(INDEX(貼り付け!$A$1:$BZ$3001,1071,$B$1)&amp;"",FIND(" ",TRIM(INDEX(貼り付け!$A$1:$BZ$3001,1071,$B$1)&amp;"")&amp;" ")-1)),"/","-"),"年","-"),"月","-"),"日",""))),"")</f>
        <v/>
      </c>
      <c r="J1072">
        <f>IFERROR(MID(I1072,FIND("-",I1072)+1,99),"")</f>
        <v/>
      </c>
    </row>
    <row r="1073">
      <c r="B1073">
        <f>IFERROR(IF($B$1=0,"",IF(INDEX(貼り付け!$A$1:$BZ$3001,1072,$B$1)="","",IF(ISNUMBER(INDEX(貼り付け!$A$1:$BZ$3001,1072,$B$1)),INT(INDEX(貼り付け!$A$1:$BZ$3001,1072,$B$1)),DATE(VALUE(LEFT(I1073,FIND("-",I1073)-1)),VALUE(LEFT(J1073,FIND("-",J1073)-1)),VALUE(MID(J1073,FIND("-",J1073)+1,99)))))),"")</f>
        <v/>
      </c>
      <c r="C1073">
        <f>IF($C$1=0,0,IFERROR(VALUE(SUBSTITUTE(SUBSTITUTE(SUBSTITUTE(INDEX(貼り付け!$A$1:$BZ$3001,1072,$C$1)&amp;"",",",""),"¥",""),"￥","")),0))</f>
        <v/>
      </c>
      <c r="D1073">
        <f>IF($D$1=0,0,IFERROR(VALUE(SUBSTITUTE(SUBSTITUTE(SUBSTITUTE(INDEX(貼り付け!$A$1:$BZ$3001,1072,$D$1)&amp;"",",",""),"¥",""),"￥","")),0))</f>
        <v/>
      </c>
      <c r="E1073">
        <f>IF($E$1=0,0,IFERROR(VALUE(SUBSTITUTE(SUBSTITUTE(SUBSTITUTE(INDEX(貼り付け!$A$1:$BZ$3001,1072,$E$1)&amp;"",",",""),"¥",""),"￥","")),0))</f>
        <v/>
      </c>
      <c r="F1073">
        <f>IF($F$1=0,0,IFERROR(VALUE(SUBSTITUTE(SUBSTITUTE(SUBSTITUTE(INDEX(貼り付け!$A$1:$BZ$3001,1072,$F$1)&amp;"",",",""),"¥",""),"￥","")),0))</f>
        <v/>
      </c>
      <c r="G1073">
        <f>IF(ISNUMBER(B1073),YEAR(B1073),"")</f>
        <v/>
      </c>
      <c r="H1073">
        <f>IF(ISNUMBER(B1073),MONTH(B1073),"")</f>
        <v/>
      </c>
      <c r="I1073">
        <f>IFERROR(IF($B$1=0,"",IF(ISNUMBER(INDEX(貼り付け!$A$1:$BZ$3001,1072,$B$1)),"",SUBSTITUTE(SUBSTITUTE(SUBSTITUTE(SUBSTITUTE(TRIM(LEFT(INDEX(貼り付け!$A$1:$BZ$3001,1072,$B$1)&amp;"",FIND(" ",TRIM(INDEX(貼り付け!$A$1:$BZ$3001,1072,$B$1)&amp;"")&amp;" ")-1)),"/","-"),"年","-"),"月","-"),"日",""))),"")</f>
        <v/>
      </c>
      <c r="J1073">
        <f>IFERROR(MID(I1073,FIND("-",I1073)+1,99),"")</f>
        <v/>
      </c>
    </row>
    <row r="1074">
      <c r="B1074">
        <f>IFERROR(IF($B$1=0,"",IF(INDEX(貼り付け!$A$1:$BZ$3001,1073,$B$1)="","",IF(ISNUMBER(INDEX(貼り付け!$A$1:$BZ$3001,1073,$B$1)),INT(INDEX(貼り付け!$A$1:$BZ$3001,1073,$B$1)),DATE(VALUE(LEFT(I1074,FIND("-",I1074)-1)),VALUE(LEFT(J1074,FIND("-",J1074)-1)),VALUE(MID(J1074,FIND("-",J1074)+1,99)))))),"")</f>
        <v/>
      </c>
      <c r="C1074">
        <f>IF($C$1=0,0,IFERROR(VALUE(SUBSTITUTE(SUBSTITUTE(SUBSTITUTE(INDEX(貼り付け!$A$1:$BZ$3001,1073,$C$1)&amp;"",",",""),"¥",""),"￥","")),0))</f>
        <v/>
      </c>
      <c r="D1074">
        <f>IF($D$1=0,0,IFERROR(VALUE(SUBSTITUTE(SUBSTITUTE(SUBSTITUTE(INDEX(貼り付け!$A$1:$BZ$3001,1073,$D$1)&amp;"",",",""),"¥",""),"￥","")),0))</f>
        <v/>
      </c>
      <c r="E1074">
        <f>IF($E$1=0,0,IFERROR(VALUE(SUBSTITUTE(SUBSTITUTE(SUBSTITUTE(INDEX(貼り付け!$A$1:$BZ$3001,1073,$E$1)&amp;"",",",""),"¥",""),"￥","")),0))</f>
        <v/>
      </c>
      <c r="F1074">
        <f>IF($F$1=0,0,IFERROR(VALUE(SUBSTITUTE(SUBSTITUTE(SUBSTITUTE(INDEX(貼り付け!$A$1:$BZ$3001,1073,$F$1)&amp;"",",",""),"¥",""),"￥","")),0))</f>
        <v/>
      </c>
      <c r="G1074">
        <f>IF(ISNUMBER(B1074),YEAR(B1074),"")</f>
        <v/>
      </c>
      <c r="H1074">
        <f>IF(ISNUMBER(B1074),MONTH(B1074),"")</f>
        <v/>
      </c>
      <c r="I1074">
        <f>IFERROR(IF($B$1=0,"",IF(ISNUMBER(INDEX(貼り付け!$A$1:$BZ$3001,1073,$B$1)),"",SUBSTITUTE(SUBSTITUTE(SUBSTITUTE(SUBSTITUTE(TRIM(LEFT(INDEX(貼り付け!$A$1:$BZ$3001,1073,$B$1)&amp;"",FIND(" ",TRIM(INDEX(貼り付け!$A$1:$BZ$3001,1073,$B$1)&amp;"")&amp;" ")-1)),"/","-"),"年","-"),"月","-"),"日",""))),"")</f>
        <v/>
      </c>
      <c r="J1074">
        <f>IFERROR(MID(I1074,FIND("-",I1074)+1,99),"")</f>
        <v/>
      </c>
    </row>
    <row r="1075">
      <c r="B1075">
        <f>IFERROR(IF($B$1=0,"",IF(INDEX(貼り付け!$A$1:$BZ$3001,1074,$B$1)="","",IF(ISNUMBER(INDEX(貼り付け!$A$1:$BZ$3001,1074,$B$1)),INT(INDEX(貼り付け!$A$1:$BZ$3001,1074,$B$1)),DATE(VALUE(LEFT(I1075,FIND("-",I1075)-1)),VALUE(LEFT(J1075,FIND("-",J1075)-1)),VALUE(MID(J1075,FIND("-",J1075)+1,99)))))),"")</f>
        <v/>
      </c>
      <c r="C1075">
        <f>IF($C$1=0,0,IFERROR(VALUE(SUBSTITUTE(SUBSTITUTE(SUBSTITUTE(INDEX(貼り付け!$A$1:$BZ$3001,1074,$C$1)&amp;"",",",""),"¥",""),"￥","")),0))</f>
        <v/>
      </c>
      <c r="D1075">
        <f>IF($D$1=0,0,IFERROR(VALUE(SUBSTITUTE(SUBSTITUTE(SUBSTITUTE(INDEX(貼り付け!$A$1:$BZ$3001,1074,$D$1)&amp;"",",",""),"¥",""),"￥","")),0))</f>
        <v/>
      </c>
      <c r="E1075">
        <f>IF($E$1=0,0,IFERROR(VALUE(SUBSTITUTE(SUBSTITUTE(SUBSTITUTE(INDEX(貼り付け!$A$1:$BZ$3001,1074,$E$1)&amp;"",",",""),"¥",""),"￥","")),0))</f>
        <v/>
      </c>
      <c r="F1075">
        <f>IF($F$1=0,0,IFERROR(VALUE(SUBSTITUTE(SUBSTITUTE(SUBSTITUTE(INDEX(貼り付け!$A$1:$BZ$3001,1074,$F$1)&amp;"",",",""),"¥",""),"￥","")),0))</f>
        <v/>
      </c>
      <c r="G1075">
        <f>IF(ISNUMBER(B1075),YEAR(B1075),"")</f>
        <v/>
      </c>
      <c r="H1075">
        <f>IF(ISNUMBER(B1075),MONTH(B1075),"")</f>
        <v/>
      </c>
      <c r="I1075">
        <f>IFERROR(IF($B$1=0,"",IF(ISNUMBER(INDEX(貼り付け!$A$1:$BZ$3001,1074,$B$1)),"",SUBSTITUTE(SUBSTITUTE(SUBSTITUTE(SUBSTITUTE(TRIM(LEFT(INDEX(貼り付け!$A$1:$BZ$3001,1074,$B$1)&amp;"",FIND(" ",TRIM(INDEX(貼り付け!$A$1:$BZ$3001,1074,$B$1)&amp;"")&amp;" ")-1)),"/","-"),"年","-"),"月","-"),"日",""))),"")</f>
        <v/>
      </c>
      <c r="J1075">
        <f>IFERROR(MID(I1075,FIND("-",I1075)+1,99),"")</f>
        <v/>
      </c>
    </row>
    <row r="1076">
      <c r="B1076">
        <f>IFERROR(IF($B$1=0,"",IF(INDEX(貼り付け!$A$1:$BZ$3001,1075,$B$1)="","",IF(ISNUMBER(INDEX(貼り付け!$A$1:$BZ$3001,1075,$B$1)),INT(INDEX(貼り付け!$A$1:$BZ$3001,1075,$B$1)),DATE(VALUE(LEFT(I1076,FIND("-",I1076)-1)),VALUE(LEFT(J1076,FIND("-",J1076)-1)),VALUE(MID(J1076,FIND("-",J1076)+1,99)))))),"")</f>
        <v/>
      </c>
      <c r="C1076">
        <f>IF($C$1=0,0,IFERROR(VALUE(SUBSTITUTE(SUBSTITUTE(SUBSTITUTE(INDEX(貼り付け!$A$1:$BZ$3001,1075,$C$1)&amp;"",",",""),"¥",""),"￥","")),0))</f>
        <v/>
      </c>
      <c r="D1076">
        <f>IF($D$1=0,0,IFERROR(VALUE(SUBSTITUTE(SUBSTITUTE(SUBSTITUTE(INDEX(貼り付け!$A$1:$BZ$3001,1075,$D$1)&amp;"",",",""),"¥",""),"￥","")),0))</f>
        <v/>
      </c>
      <c r="E1076">
        <f>IF($E$1=0,0,IFERROR(VALUE(SUBSTITUTE(SUBSTITUTE(SUBSTITUTE(INDEX(貼り付け!$A$1:$BZ$3001,1075,$E$1)&amp;"",",",""),"¥",""),"￥","")),0))</f>
        <v/>
      </c>
      <c r="F1076">
        <f>IF($F$1=0,0,IFERROR(VALUE(SUBSTITUTE(SUBSTITUTE(SUBSTITUTE(INDEX(貼り付け!$A$1:$BZ$3001,1075,$F$1)&amp;"",",",""),"¥",""),"￥","")),0))</f>
        <v/>
      </c>
      <c r="G1076">
        <f>IF(ISNUMBER(B1076),YEAR(B1076),"")</f>
        <v/>
      </c>
      <c r="H1076">
        <f>IF(ISNUMBER(B1076),MONTH(B1076),"")</f>
        <v/>
      </c>
      <c r="I1076">
        <f>IFERROR(IF($B$1=0,"",IF(ISNUMBER(INDEX(貼り付け!$A$1:$BZ$3001,1075,$B$1)),"",SUBSTITUTE(SUBSTITUTE(SUBSTITUTE(SUBSTITUTE(TRIM(LEFT(INDEX(貼り付け!$A$1:$BZ$3001,1075,$B$1)&amp;"",FIND(" ",TRIM(INDEX(貼り付け!$A$1:$BZ$3001,1075,$B$1)&amp;"")&amp;" ")-1)),"/","-"),"年","-"),"月","-"),"日",""))),"")</f>
        <v/>
      </c>
      <c r="J1076">
        <f>IFERROR(MID(I1076,FIND("-",I1076)+1,99),"")</f>
        <v/>
      </c>
    </row>
    <row r="1077">
      <c r="B1077">
        <f>IFERROR(IF($B$1=0,"",IF(INDEX(貼り付け!$A$1:$BZ$3001,1076,$B$1)="","",IF(ISNUMBER(INDEX(貼り付け!$A$1:$BZ$3001,1076,$B$1)),INT(INDEX(貼り付け!$A$1:$BZ$3001,1076,$B$1)),DATE(VALUE(LEFT(I1077,FIND("-",I1077)-1)),VALUE(LEFT(J1077,FIND("-",J1077)-1)),VALUE(MID(J1077,FIND("-",J1077)+1,99)))))),"")</f>
        <v/>
      </c>
      <c r="C1077">
        <f>IF($C$1=0,0,IFERROR(VALUE(SUBSTITUTE(SUBSTITUTE(SUBSTITUTE(INDEX(貼り付け!$A$1:$BZ$3001,1076,$C$1)&amp;"",",",""),"¥",""),"￥","")),0))</f>
        <v/>
      </c>
      <c r="D1077">
        <f>IF($D$1=0,0,IFERROR(VALUE(SUBSTITUTE(SUBSTITUTE(SUBSTITUTE(INDEX(貼り付け!$A$1:$BZ$3001,1076,$D$1)&amp;"",",",""),"¥",""),"￥","")),0))</f>
        <v/>
      </c>
      <c r="E1077">
        <f>IF($E$1=0,0,IFERROR(VALUE(SUBSTITUTE(SUBSTITUTE(SUBSTITUTE(INDEX(貼り付け!$A$1:$BZ$3001,1076,$E$1)&amp;"",",",""),"¥",""),"￥","")),0))</f>
        <v/>
      </c>
      <c r="F1077">
        <f>IF($F$1=0,0,IFERROR(VALUE(SUBSTITUTE(SUBSTITUTE(SUBSTITUTE(INDEX(貼り付け!$A$1:$BZ$3001,1076,$F$1)&amp;"",",",""),"¥",""),"￥","")),0))</f>
        <v/>
      </c>
      <c r="G1077">
        <f>IF(ISNUMBER(B1077),YEAR(B1077),"")</f>
        <v/>
      </c>
      <c r="H1077">
        <f>IF(ISNUMBER(B1077),MONTH(B1077),"")</f>
        <v/>
      </c>
      <c r="I1077">
        <f>IFERROR(IF($B$1=0,"",IF(ISNUMBER(INDEX(貼り付け!$A$1:$BZ$3001,1076,$B$1)),"",SUBSTITUTE(SUBSTITUTE(SUBSTITUTE(SUBSTITUTE(TRIM(LEFT(INDEX(貼り付け!$A$1:$BZ$3001,1076,$B$1)&amp;"",FIND(" ",TRIM(INDEX(貼り付け!$A$1:$BZ$3001,1076,$B$1)&amp;"")&amp;" ")-1)),"/","-"),"年","-"),"月","-"),"日",""))),"")</f>
        <v/>
      </c>
      <c r="J1077">
        <f>IFERROR(MID(I1077,FIND("-",I1077)+1,99),"")</f>
        <v/>
      </c>
    </row>
    <row r="1078">
      <c r="B1078">
        <f>IFERROR(IF($B$1=0,"",IF(INDEX(貼り付け!$A$1:$BZ$3001,1077,$B$1)="","",IF(ISNUMBER(INDEX(貼り付け!$A$1:$BZ$3001,1077,$B$1)),INT(INDEX(貼り付け!$A$1:$BZ$3001,1077,$B$1)),DATE(VALUE(LEFT(I1078,FIND("-",I1078)-1)),VALUE(LEFT(J1078,FIND("-",J1078)-1)),VALUE(MID(J1078,FIND("-",J1078)+1,99)))))),"")</f>
        <v/>
      </c>
      <c r="C1078">
        <f>IF($C$1=0,0,IFERROR(VALUE(SUBSTITUTE(SUBSTITUTE(SUBSTITUTE(INDEX(貼り付け!$A$1:$BZ$3001,1077,$C$1)&amp;"",",",""),"¥",""),"￥","")),0))</f>
        <v/>
      </c>
      <c r="D1078">
        <f>IF($D$1=0,0,IFERROR(VALUE(SUBSTITUTE(SUBSTITUTE(SUBSTITUTE(INDEX(貼り付け!$A$1:$BZ$3001,1077,$D$1)&amp;"",",",""),"¥",""),"￥","")),0))</f>
        <v/>
      </c>
      <c r="E1078">
        <f>IF($E$1=0,0,IFERROR(VALUE(SUBSTITUTE(SUBSTITUTE(SUBSTITUTE(INDEX(貼り付け!$A$1:$BZ$3001,1077,$E$1)&amp;"",",",""),"¥",""),"￥","")),0))</f>
        <v/>
      </c>
      <c r="F1078">
        <f>IF($F$1=0,0,IFERROR(VALUE(SUBSTITUTE(SUBSTITUTE(SUBSTITUTE(INDEX(貼り付け!$A$1:$BZ$3001,1077,$F$1)&amp;"",",",""),"¥",""),"￥","")),0))</f>
        <v/>
      </c>
      <c r="G1078">
        <f>IF(ISNUMBER(B1078),YEAR(B1078),"")</f>
        <v/>
      </c>
      <c r="H1078">
        <f>IF(ISNUMBER(B1078),MONTH(B1078),"")</f>
        <v/>
      </c>
      <c r="I1078">
        <f>IFERROR(IF($B$1=0,"",IF(ISNUMBER(INDEX(貼り付け!$A$1:$BZ$3001,1077,$B$1)),"",SUBSTITUTE(SUBSTITUTE(SUBSTITUTE(SUBSTITUTE(TRIM(LEFT(INDEX(貼り付け!$A$1:$BZ$3001,1077,$B$1)&amp;"",FIND(" ",TRIM(INDEX(貼り付け!$A$1:$BZ$3001,1077,$B$1)&amp;"")&amp;" ")-1)),"/","-"),"年","-"),"月","-"),"日",""))),"")</f>
        <v/>
      </c>
      <c r="J1078">
        <f>IFERROR(MID(I1078,FIND("-",I1078)+1,99),"")</f>
        <v/>
      </c>
    </row>
    <row r="1079">
      <c r="B1079">
        <f>IFERROR(IF($B$1=0,"",IF(INDEX(貼り付け!$A$1:$BZ$3001,1078,$B$1)="","",IF(ISNUMBER(INDEX(貼り付け!$A$1:$BZ$3001,1078,$B$1)),INT(INDEX(貼り付け!$A$1:$BZ$3001,1078,$B$1)),DATE(VALUE(LEFT(I1079,FIND("-",I1079)-1)),VALUE(LEFT(J1079,FIND("-",J1079)-1)),VALUE(MID(J1079,FIND("-",J1079)+1,99)))))),"")</f>
        <v/>
      </c>
      <c r="C1079">
        <f>IF($C$1=0,0,IFERROR(VALUE(SUBSTITUTE(SUBSTITUTE(SUBSTITUTE(INDEX(貼り付け!$A$1:$BZ$3001,1078,$C$1)&amp;"",",",""),"¥",""),"￥","")),0))</f>
        <v/>
      </c>
      <c r="D1079">
        <f>IF($D$1=0,0,IFERROR(VALUE(SUBSTITUTE(SUBSTITUTE(SUBSTITUTE(INDEX(貼り付け!$A$1:$BZ$3001,1078,$D$1)&amp;"",",",""),"¥",""),"￥","")),0))</f>
        <v/>
      </c>
      <c r="E1079">
        <f>IF($E$1=0,0,IFERROR(VALUE(SUBSTITUTE(SUBSTITUTE(SUBSTITUTE(INDEX(貼り付け!$A$1:$BZ$3001,1078,$E$1)&amp;"",",",""),"¥",""),"￥","")),0))</f>
        <v/>
      </c>
      <c r="F1079">
        <f>IF($F$1=0,0,IFERROR(VALUE(SUBSTITUTE(SUBSTITUTE(SUBSTITUTE(INDEX(貼り付け!$A$1:$BZ$3001,1078,$F$1)&amp;"",",",""),"¥",""),"￥","")),0))</f>
        <v/>
      </c>
      <c r="G1079">
        <f>IF(ISNUMBER(B1079),YEAR(B1079),"")</f>
        <v/>
      </c>
      <c r="H1079">
        <f>IF(ISNUMBER(B1079),MONTH(B1079),"")</f>
        <v/>
      </c>
      <c r="I1079">
        <f>IFERROR(IF($B$1=0,"",IF(ISNUMBER(INDEX(貼り付け!$A$1:$BZ$3001,1078,$B$1)),"",SUBSTITUTE(SUBSTITUTE(SUBSTITUTE(SUBSTITUTE(TRIM(LEFT(INDEX(貼り付け!$A$1:$BZ$3001,1078,$B$1)&amp;"",FIND(" ",TRIM(INDEX(貼り付け!$A$1:$BZ$3001,1078,$B$1)&amp;"")&amp;" ")-1)),"/","-"),"年","-"),"月","-"),"日",""))),"")</f>
        <v/>
      </c>
      <c r="J1079">
        <f>IFERROR(MID(I1079,FIND("-",I1079)+1,99),"")</f>
        <v/>
      </c>
    </row>
    <row r="1080">
      <c r="B1080">
        <f>IFERROR(IF($B$1=0,"",IF(INDEX(貼り付け!$A$1:$BZ$3001,1079,$B$1)="","",IF(ISNUMBER(INDEX(貼り付け!$A$1:$BZ$3001,1079,$B$1)),INT(INDEX(貼り付け!$A$1:$BZ$3001,1079,$B$1)),DATE(VALUE(LEFT(I1080,FIND("-",I1080)-1)),VALUE(LEFT(J1080,FIND("-",J1080)-1)),VALUE(MID(J1080,FIND("-",J1080)+1,99)))))),"")</f>
        <v/>
      </c>
      <c r="C1080">
        <f>IF($C$1=0,0,IFERROR(VALUE(SUBSTITUTE(SUBSTITUTE(SUBSTITUTE(INDEX(貼り付け!$A$1:$BZ$3001,1079,$C$1)&amp;"",",",""),"¥",""),"￥","")),0))</f>
        <v/>
      </c>
      <c r="D1080">
        <f>IF($D$1=0,0,IFERROR(VALUE(SUBSTITUTE(SUBSTITUTE(SUBSTITUTE(INDEX(貼り付け!$A$1:$BZ$3001,1079,$D$1)&amp;"",",",""),"¥",""),"￥","")),0))</f>
        <v/>
      </c>
      <c r="E1080">
        <f>IF($E$1=0,0,IFERROR(VALUE(SUBSTITUTE(SUBSTITUTE(SUBSTITUTE(INDEX(貼り付け!$A$1:$BZ$3001,1079,$E$1)&amp;"",",",""),"¥",""),"￥","")),0))</f>
        <v/>
      </c>
      <c r="F1080">
        <f>IF($F$1=0,0,IFERROR(VALUE(SUBSTITUTE(SUBSTITUTE(SUBSTITUTE(INDEX(貼り付け!$A$1:$BZ$3001,1079,$F$1)&amp;"",",",""),"¥",""),"￥","")),0))</f>
        <v/>
      </c>
      <c r="G1080">
        <f>IF(ISNUMBER(B1080),YEAR(B1080),"")</f>
        <v/>
      </c>
      <c r="H1080">
        <f>IF(ISNUMBER(B1080),MONTH(B1080),"")</f>
        <v/>
      </c>
      <c r="I1080">
        <f>IFERROR(IF($B$1=0,"",IF(ISNUMBER(INDEX(貼り付け!$A$1:$BZ$3001,1079,$B$1)),"",SUBSTITUTE(SUBSTITUTE(SUBSTITUTE(SUBSTITUTE(TRIM(LEFT(INDEX(貼り付け!$A$1:$BZ$3001,1079,$B$1)&amp;"",FIND(" ",TRIM(INDEX(貼り付け!$A$1:$BZ$3001,1079,$B$1)&amp;"")&amp;" ")-1)),"/","-"),"年","-"),"月","-"),"日",""))),"")</f>
        <v/>
      </c>
      <c r="J1080">
        <f>IFERROR(MID(I1080,FIND("-",I1080)+1,99),"")</f>
        <v/>
      </c>
    </row>
    <row r="1081">
      <c r="B1081">
        <f>IFERROR(IF($B$1=0,"",IF(INDEX(貼り付け!$A$1:$BZ$3001,1080,$B$1)="","",IF(ISNUMBER(INDEX(貼り付け!$A$1:$BZ$3001,1080,$B$1)),INT(INDEX(貼り付け!$A$1:$BZ$3001,1080,$B$1)),DATE(VALUE(LEFT(I1081,FIND("-",I1081)-1)),VALUE(LEFT(J1081,FIND("-",J1081)-1)),VALUE(MID(J1081,FIND("-",J1081)+1,99)))))),"")</f>
        <v/>
      </c>
      <c r="C1081">
        <f>IF($C$1=0,0,IFERROR(VALUE(SUBSTITUTE(SUBSTITUTE(SUBSTITUTE(INDEX(貼り付け!$A$1:$BZ$3001,1080,$C$1)&amp;"",",",""),"¥",""),"￥","")),0))</f>
        <v/>
      </c>
      <c r="D1081">
        <f>IF($D$1=0,0,IFERROR(VALUE(SUBSTITUTE(SUBSTITUTE(SUBSTITUTE(INDEX(貼り付け!$A$1:$BZ$3001,1080,$D$1)&amp;"",",",""),"¥",""),"￥","")),0))</f>
        <v/>
      </c>
      <c r="E1081">
        <f>IF($E$1=0,0,IFERROR(VALUE(SUBSTITUTE(SUBSTITUTE(SUBSTITUTE(INDEX(貼り付け!$A$1:$BZ$3001,1080,$E$1)&amp;"",",",""),"¥",""),"￥","")),0))</f>
        <v/>
      </c>
      <c r="F1081">
        <f>IF($F$1=0,0,IFERROR(VALUE(SUBSTITUTE(SUBSTITUTE(SUBSTITUTE(INDEX(貼り付け!$A$1:$BZ$3001,1080,$F$1)&amp;"",",",""),"¥",""),"￥","")),0))</f>
        <v/>
      </c>
      <c r="G1081">
        <f>IF(ISNUMBER(B1081),YEAR(B1081),"")</f>
        <v/>
      </c>
      <c r="H1081">
        <f>IF(ISNUMBER(B1081),MONTH(B1081),"")</f>
        <v/>
      </c>
      <c r="I1081">
        <f>IFERROR(IF($B$1=0,"",IF(ISNUMBER(INDEX(貼り付け!$A$1:$BZ$3001,1080,$B$1)),"",SUBSTITUTE(SUBSTITUTE(SUBSTITUTE(SUBSTITUTE(TRIM(LEFT(INDEX(貼り付け!$A$1:$BZ$3001,1080,$B$1)&amp;"",FIND(" ",TRIM(INDEX(貼り付け!$A$1:$BZ$3001,1080,$B$1)&amp;"")&amp;" ")-1)),"/","-"),"年","-"),"月","-"),"日",""))),"")</f>
        <v/>
      </c>
      <c r="J1081">
        <f>IFERROR(MID(I1081,FIND("-",I1081)+1,99),"")</f>
        <v/>
      </c>
    </row>
    <row r="1082">
      <c r="B1082">
        <f>IFERROR(IF($B$1=0,"",IF(INDEX(貼り付け!$A$1:$BZ$3001,1081,$B$1)="","",IF(ISNUMBER(INDEX(貼り付け!$A$1:$BZ$3001,1081,$B$1)),INT(INDEX(貼り付け!$A$1:$BZ$3001,1081,$B$1)),DATE(VALUE(LEFT(I1082,FIND("-",I1082)-1)),VALUE(LEFT(J1082,FIND("-",J1082)-1)),VALUE(MID(J1082,FIND("-",J1082)+1,99)))))),"")</f>
        <v/>
      </c>
      <c r="C1082">
        <f>IF($C$1=0,0,IFERROR(VALUE(SUBSTITUTE(SUBSTITUTE(SUBSTITUTE(INDEX(貼り付け!$A$1:$BZ$3001,1081,$C$1)&amp;"",",",""),"¥",""),"￥","")),0))</f>
        <v/>
      </c>
      <c r="D1082">
        <f>IF($D$1=0,0,IFERROR(VALUE(SUBSTITUTE(SUBSTITUTE(SUBSTITUTE(INDEX(貼り付け!$A$1:$BZ$3001,1081,$D$1)&amp;"",",",""),"¥",""),"￥","")),0))</f>
        <v/>
      </c>
      <c r="E1082">
        <f>IF($E$1=0,0,IFERROR(VALUE(SUBSTITUTE(SUBSTITUTE(SUBSTITUTE(INDEX(貼り付け!$A$1:$BZ$3001,1081,$E$1)&amp;"",",",""),"¥",""),"￥","")),0))</f>
        <v/>
      </c>
      <c r="F1082">
        <f>IF($F$1=0,0,IFERROR(VALUE(SUBSTITUTE(SUBSTITUTE(SUBSTITUTE(INDEX(貼り付け!$A$1:$BZ$3001,1081,$F$1)&amp;"",",",""),"¥",""),"￥","")),0))</f>
        <v/>
      </c>
      <c r="G1082">
        <f>IF(ISNUMBER(B1082),YEAR(B1082),"")</f>
        <v/>
      </c>
      <c r="H1082">
        <f>IF(ISNUMBER(B1082),MONTH(B1082),"")</f>
        <v/>
      </c>
      <c r="I1082">
        <f>IFERROR(IF($B$1=0,"",IF(ISNUMBER(INDEX(貼り付け!$A$1:$BZ$3001,1081,$B$1)),"",SUBSTITUTE(SUBSTITUTE(SUBSTITUTE(SUBSTITUTE(TRIM(LEFT(INDEX(貼り付け!$A$1:$BZ$3001,1081,$B$1)&amp;"",FIND(" ",TRIM(INDEX(貼り付け!$A$1:$BZ$3001,1081,$B$1)&amp;"")&amp;" ")-1)),"/","-"),"年","-"),"月","-"),"日",""))),"")</f>
        <v/>
      </c>
      <c r="J1082">
        <f>IFERROR(MID(I1082,FIND("-",I1082)+1,99),"")</f>
        <v/>
      </c>
    </row>
    <row r="1083">
      <c r="B1083">
        <f>IFERROR(IF($B$1=0,"",IF(INDEX(貼り付け!$A$1:$BZ$3001,1082,$B$1)="","",IF(ISNUMBER(INDEX(貼り付け!$A$1:$BZ$3001,1082,$B$1)),INT(INDEX(貼り付け!$A$1:$BZ$3001,1082,$B$1)),DATE(VALUE(LEFT(I1083,FIND("-",I1083)-1)),VALUE(LEFT(J1083,FIND("-",J1083)-1)),VALUE(MID(J1083,FIND("-",J1083)+1,99)))))),"")</f>
        <v/>
      </c>
      <c r="C1083">
        <f>IF($C$1=0,0,IFERROR(VALUE(SUBSTITUTE(SUBSTITUTE(SUBSTITUTE(INDEX(貼り付け!$A$1:$BZ$3001,1082,$C$1)&amp;"",",",""),"¥",""),"￥","")),0))</f>
        <v/>
      </c>
      <c r="D1083">
        <f>IF($D$1=0,0,IFERROR(VALUE(SUBSTITUTE(SUBSTITUTE(SUBSTITUTE(INDEX(貼り付け!$A$1:$BZ$3001,1082,$D$1)&amp;"",",",""),"¥",""),"￥","")),0))</f>
        <v/>
      </c>
      <c r="E1083">
        <f>IF($E$1=0,0,IFERROR(VALUE(SUBSTITUTE(SUBSTITUTE(SUBSTITUTE(INDEX(貼り付け!$A$1:$BZ$3001,1082,$E$1)&amp;"",",",""),"¥",""),"￥","")),0))</f>
        <v/>
      </c>
      <c r="F1083">
        <f>IF($F$1=0,0,IFERROR(VALUE(SUBSTITUTE(SUBSTITUTE(SUBSTITUTE(INDEX(貼り付け!$A$1:$BZ$3001,1082,$F$1)&amp;"",",",""),"¥",""),"￥","")),0))</f>
        <v/>
      </c>
      <c r="G1083">
        <f>IF(ISNUMBER(B1083),YEAR(B1083),"")</f>
        <v/>
      </c>
      <c r="H1083">
        <f>IF(ISNUMBER(B1083),MONTH(B1083),"")</f>
        <v/>
      </c>
      <c r="I1083">
        <f>IFERROR(IF($B$1=0,"",IF(ISNUMBER(INDEX(貼り付け!$A$1:$BZ$3001,1082,$B$1)),"",SUBSTITUTE(SUBSTITUTE(SUBSTITUTE(SUBSTITUTE(TRIM(LEFT(INDEX(貼り付け!$A$1:$BZ$3001,1082,$B$1)&amp;"",FIND(" ",TRIM(INDEX(貼り付け!$A$1:$BZ$3001,1082,$B$1)&amp;"")&amp;" ")-1)),"/","-"),"年","-"),"月","-"),"日",""))),"")</f>
        <v/>
      </c>
      <c r="J1083">
        <f>IFERROR(MID(I1083,FIND("-",I1083)+1,99),"")</f>
        <v/>
      </c>
    </row>
    <row r="1084">
      <c r="B1084">
        <f>IFERROR(IF($B$1=0,"",IF(INDEX(貼り付け!$A$1:$BZ$3001,1083,$B$1)="","",IF(ISNUMBER(INDEX(貼り付け!$A$1:$BZ$3001,1083,$B$1)),INT(INDEX(貼り付け!$A$1:$BZ$3001,1083,$B$1)),DATE(VALUE(LEFT(I1084,FIND("-",I1084)-1)),VALUE(LEFT(J1084,FIND("-",J1084)-1)),VALUE(MID(J1084,FIND("-",J1084)+1,99)))))),"")</f>
        <v/>
      </c>
      <c r="C1084">
        <f>IF($C$1=0,0,IFERROR(VALUE(SUBSTITUTE(SUBSTITUTE(SUBSTITUTE(INDEX(貼り付け!$A$1:$BZ$3001,1083,$C$1)&amp;"",",",""),"¥",""),"￥","")),0))</f>
        <v/>
      </c>
      <c r="D1084">
        <f>IF($D$1=0,0,IFERROR(VALUE(SUBSTITUTE(SUBSTITUTE(SUBSTITUTE(INDEX(貼り付け!$A$1:$BZ$3001,1083,$D$1)&amp;"",",",""),"¥",""),"￥","")),0))</f>
        <v/>
      </c>
      <c r="E1084">
        <f>IF($E$1=0,0,IFERROR(VALUE(SUBSTITUTE(SUBSTITUTE(SUBSTITUTE(INDEX(貼り付け!$A$1:$BZ$3001,1083,$E$1)&amp;"",",",""),"¥",""),"￥","")),0))</f>
        <v/>
      </c>
      <c r="F1084">
        <f>IF($F$1=0,0,IFERROR(VALUE(SUBSTITUTE(SUBSTITUTE(SUBSTITUTE(INDEX(貼り付け!$A$1:$BZ$3001,1083,$F$1)&amp;"",",",""),"¥",""),"￥","")),0))</f>
        <v/>
      </c>
      <c r="G1084">
        <f>IF(ISNUMBER(B1084),YEAR(B1084),"")</f>
        <v/>
      </c>
      <c r="H1084">
        <f>IF(ISNUMBER(B1084),MONTH(B1084),"")</f>
        <v/>
      </c>
      <c r="I1084">
        <f>IFERROR(IF($B$1=0,"",IF(ISNUMBER(INDEX(貼り付け!$A$1:$BZ$3001,1083,$B$1)),"",SUBSTITUTE(SUBSTITUTE(SUBSTITUTE(SUBSTITUTE(TRIM(LEFT(INDEX(貼り付け!$A$1:$BZ$3001,1083,$B$1)&amp;"",FIND(" ",TRIM(INDEX(貼り付け!$A$1:$BZ$3001,1083,$B$1)&amp;"")&amp;" ")-1)),"/","-"),"年","-"),"月","-"),"日",""))),"")</f>
        <v/>
      </c>
      <c r="J1084">
        <f>IFERROR(MID(I1084,FIND("-",I1084)+1,99),"")</f>
        <v/>
      </c>
    </row>
    <row r="1085">
      <c r="B1085">
        <f>IFERROR(IF($B$1=0,"",IF(INDEX(貼り付け!$A$1:$BZ$3001,1084,$B$1)="","",IF(ISNUMBER(INDEX(貼り付け!$A$1:$BZ$3001,1084,$B$1)),INT(INDEX(貼り付け!$A$1:$BZ$3001,1084,$B$1)),DATE(VALUE(LEFT(I1085,FIND("-",I1085)-1)),VALUE(LEFT(J1085,FIND("-",J1085)-1)),VALUE(MID(J1085,FIND("-",J1085)+1,99)))))),"")</f>
        <v/>
      </c>
      <c r="C1085">
        <f>IF($C$1=0,0,IFERROR(VALUE(SUBSTITUTE(SUBSTITUTE(SUBSTITUTE(INDEX(貼り付け!$A$1:$BZ$3001,1084,$C$1)&amp;"",",",""),"¥",""),"￥","")),0))</f>
        <v/>
      </c>
      <c r="D1085">
        <f>IF($D$1=0,0,IFERROR(VALUE(SUBSTITUTE(SUBSTITUTE(SUBSTITUTE(INDEX(貼り付け!$A$1:$BZ$3001,1084,$D$1)&amp;"",",",""),"¥",""),"￥","")),0))</f>
        <v/>
      </c>
      <c r="E1085">
        <f>IF($E$1=0,0,IFERROR(VALUE(SUBSTITUTE(SUBSTITUTE(SUBSTITUTE(INDEX(貼り付け!$A$1:$BZ$3001,1084,$E$1)&amp;"",",",""),"¥",""),"￥","")),0))</f>
        <v/>
      </c>
      <c r="F1085">
        <f>IF($F$1=0,0,IFERROR(VALUE(SUBSTITUTE(SUBSTITUTE(SUBSTITUTE(INDEX(貼り付け!$A$1:$BZ$3001,1084,$F$1)&amp;"",",",""),"¥",""),"￥","")),0))</f>
        <v/>
      </c>
      <c r="G1085">
        <f>IF(ISNUMBER(B1085),YEAR(B1085),"")</f>
        <v/>
      </c>
      <c r="H1085">
        <f>IF(ISNUMBER(B1085),MONTH(B1085),"")</f>
        <v/>
      </c>
      <c r="I1085">
        <f>IFERROR(IF($B$1=0,"",IF(ISNUMBER(INDEX(貼り付け!$A$1:$BZ$3001,1084,$B$1)),"",SUBSTITUTE(SUBSTITUTE(SUBSTITUTE(SUBSTITUTE(TRIM(LEFT(INDEX(貼り付け!$A$1:$BZ$3001,1084,$B$1)&amp;"",FIND(" ",TRIM(INDEX(貼り付け!$A$1:$BZ$3001,1084,$B$1)&amp;"")&amp;" ")-1)),"/","-"),"年","-"),"月","-"),"日",""))),"")</f>
        <v/>
      </c>
      <c r="J1085">
        <f>IFERROR(MID(I1085,FIND("-",I1085)+1,99),"")</f>
        <v/>
      </c>
    </row>
    <row r="1086">
      <c r="B1086">
        <f>IFERROR(IF($B$1=0,"",IF(INDEX(貼り付け!$A$1:$BZ$3001,1085,$B$1)="","",IF(ISNUMBER(INDEX(貼り付け!$A$1:$BZ$3001,1085,$B$1)),INT(INDEX(貼り付け!$A$1:$BZ$3001,1085,$B$1)),DATE(VALUE(LEFT(I1086,FIND("-",I1086)-1)),VALUE(LEFT(J1086,FIND("-",J1086)-1)),VALUE(MID(J1086,FIND("-",J1086)+1,99)))))),"")</f>
        <v/>
      </c>
      <c r="C1086">
        <f>IF($C$1=0,0,IFERROR(VALUE(SUBSTITUTE(SUBSTITUTE(SUBSTITUTE(INDEX(貼り付け!$A$1:$BZ$3001,1085,$C$1)&amp;"",",",""),"¥",""),"￥","")),0))</f>
        <v/>
      </c>
      <c r="D1086">
        <f>IF($D$1=0,0,IFERROR(VALUE(SUBSTITUTE(SUBSTITUTE(SUBSTITUTE(INDEX(貼り付け!$A$1:$BZ$3001,1085,$D$1)&amp;"",",",""),"¥",""),"￥","")),0))</f>
        <v/>
      </c>
      <c r="E1086">
        <f>IF($E$1=0,0,IFERROR(VALUE(SUBSTITUTE(SUBSTITUTE(SUBSTITUTE(INDEX(貼り付け!$A$1:$BZ$3001,1085,$E$1)&amp;"",",",""),"¥",""),"￥","")),0))</f>
        <v/>
      </c>
      <c r="F1086">
        <f>IF($F$1=0,0,IFERROR(VALUE(SUBSTITUTE(SUBSTITUTE(SUBSTITUTE(INDEX(貼り付け!$A$1:$BZ$3001,1085,$F$1)&amp;"",",",""),"¥",""),"￥","")),0))</f>
        <v/>
      </c>
      <c r="G1086">
        <f>IF(ISNUMBER(B1086),YEAR(B1086),"")</f>
        <v/>
      </c>
      <c r="H1086">
        <f>IF(ISNUMBER(B1086),MONTH(B1086),"")</f>
        <v/>
      </c>
      <c r="I1086">
        <f>IFERROR(IF($B$1=0,"",IF(ISNUMBER(INDEX(貼り付け!$A$1:$BZ$3001,1085,$B$1)),"",SUBSTITUTE(SUBSTITUTE(SUBSTITUTE(SUBSTITUTE(TRIM(LEFT(INDEX(貼り付け!$A$1:$BZ$3001,1085,$B$1)&amp;"",FIND(" ",TRIM(INDEX(貼り付け!$A$1:$BZ$3001,1085,$B$1)&amp;"")&amp;" ")-1)),"/","-"),"年","-"),"月","-"),"日",""))),"")</f>
        <v/>
      </c>
      <c r="J1086">
        <f>IFERROR(MID(I1086,FIND("-",I1086)+1,99),"")</f>
        <v/>
      </c>
    </row>
    <row r="1087">
      <c r="B1087">
        <f>IFERROR(IF($B$1=0,"",IF(INDEX(貼り付け!$A$1:$BZ$3001,1086,$B$1)="","",IF(ISNUMBER(INDEX(貼り付け!$A$1:$BZ$3001,1086,$B$1)),INT(INDEX(貼り付け!$A$1:$BZ$3001,1086,$B$1)),DATE(VALUE(LEFT(I1087,FIND("-",I1087)-1)),VALUE(LEFT(J1087,FIND("-",J1087)-1)),VALUE(MID(J1087,FIND("-",J1087)+1,99)))))),"")</f>
        <v/>
      </c>
      <c r="C1087">
        <f>IF($C$1=0,0,IFERROR(VALUE(SUBSTITUTE(SUBSTITUTE(SUBSTITUTE(INDEX(貼り付け!$A$1:$BZ$3001,1086,$C$1)&amp;"",",",""),"¥",""),"￥","")),0))</f>
        <v/>
      </c>
      <c r="D1087">
        <f>IF($D$1=0,0,IFERROR(VALUE(SUBSTITUTE(SUBSTITUTE(SUBSTITUTE(INDEX(貼り付け!$A$1:$BZ$3001,1086,$D$1)&amp;"",",",""),"¥",""),"￥","")),0))</f>
        <v/>
      </c>
      <c r="E1087">
        <f>IF($E$1=0,0,IFERROR(VALUE(SUBSTITUTE(SUBSTITUTE(SUBSTITUTE(INDEX(貼り付け!$A$1:$BZ$3001,1086,$E$1)&amp;"",",",""),"¥",""),"￥","")),0))</f>
        <v/>
      </c>
      <c r="F1087">
        <f>IF($F$1=0,0,IFERROR(VALUE(SUBSTITUTE(SUBSTITUTE(SUBSTITUTE(INDEX(貼り付け!$A$1:$BZ$3001,1086,$F$1)&amp;"",",",""),"¥",""),"￥","")),0))</f>
        <v/>
      </c>
      <c r="G1087">
        <f>IF(ISNUMBER(B1087),YEAR(B1087),"")</f>
        <v/>
      </c>
      <c r="H1087">
        <f>IF(ISNUMBER(B1087),MONTH(B1087),"")</f>
        <v/>
      </c>
      <c r="I1087">
        <f>IFERROR(IF($B$1=0,"",IF(ISNUMBER(INDEX(貼り付け!$A$1:$BZ$3001,1086,$B$1)),"",SUBSTITUTE(SUBSTITUTE(SUBSTITUTE(SUBSTITUTE(TRIM(LEFT(INDEX(貼り付け!$A$1:$BZ$3001,1086,$B$1)&amp;"",FIND(" ",TRIM(INDEX(貼り付け!$A$1:$BZ$3001,1086,$B$1)&amp;"")&amp;" ")-1)),"/","-"),"年","-"),"月","-"),"日",""))),"")</f>
        <v/>
      </c>
      <c r="J1087">
        <f>IFERROR(MID(I1087,FIND("-",I1087)+1,99),"")</f>
        <v/>
      </c>
    </row>
    <row r="1088">
      <c r="B1088">
        <f>IFERROR(IF($B$1=0,"",IF(INDEX(貼り付け!$A$1:$BZ$3001,1087,$B$1)="","",IF(ISNUMBER(INDEX(貼り付け!$A$1:$BZ$3001,1087,$B$1)),INT(INDEX(貼り付け!$A$1:$BZ$3001,1087,$B$1)),DATE(VALUE(LEFT(I1088,FIND("-",I1088)-1)),VALUE(LEFT(J1088,FIND("-",J1088)-1)),VALUE(MID(J1088,FIND("-",J1088)+1,99)))))),"")</f>
        <v/>
      </c>
      <c r="C1088">
        <f>IF($C$1=0,0,IFERROR(VALUE(SUBSTITUTE(SUBSTITUTE(SUBSTITUTE(INDEX(貼り付け!$A$1:$BZ$3001,1087,$C$1)&amp;"",",",""),"¥",""),"￥","")),0))</f>
        <v/>
      </c>
      <c r="D1088">
        <f>IF($D$1=0,0,IFERROR(VALUE(SUBSTITUTE(SUBSTITUTE(SUBSTITUTE(INDEX(貼り付け!$A$1:$BZ$3001,1087,$D$1)&amp;"",",",""),"¥",""),"￥","")),0))</f>
        <v/>
      </c>
      <c r="E1088">
        <f>IF($E$1=0,0,IFERROR(VALUE(SUBSTITUTE(SUBSTITUTE(SUBSTITUTE(INDEX(貼り付け!$A$1:$BZ$3001,1087,$E$1)&amp;"",",",""),"¥",""),"￥","")),0))</f>
        <v/>
      </c>
      <c r="F1088">
        <f>IF($F$1=0,0,IFERROR(VALUE(SUBSTITUTE(SUBSTITUTE(SUBSTITUTE(INDEX(貼り付け!$A$1:$BZ$3001,1087,$F$1)&amp;"",",",""),"¥",""),"￥","")),0))</f>
        <v/>
      </c>
      <c r="G1088">
        <f>IF(ISNUMBER(B1088),YEAR(B1088),"")</f>
        <v/>
      </c>
      <c r="H1088">
        <f>IF(ISNUMBER(B1088),MONTH(B1088),"")</f>
        <v/>
      </c>
      <c r="I1088">
        <f>IFERROR(IF($B$1=0,"",IF(ISNUMBER(INDEX(貼り付け!$A$1:$BZ$3001,1087,$B$1)),"",SUBSTITUTE(SUBSTITUTE(SUBSTITUTE(SUBSTITUTE(TRIM(LEFT(INDEX(貼り付け!$A$1:$BZ$3001,1087,$B$1)&amp;"",FIND(" ",TRIM(INDEX(貼り付け!$A$1:$BZ$3001,1087,$B$1)&amp;"")&amp;" ")-1)),"/","-"),"年","-"),"月","-"),"日",""))),"")</f>
        <v/>
      </c>
      <c r="J1088">
        <f>IFERROR(MID(I1088,FIND("-",I1088)+1,99),"")</f>
        <v/>
      </c>
    </row>
    <row r="1089">
      <c r="B1089">
        <f>IFERROR(IF($B$1=0,"",IF(INDEX(貼り付け!$A$1:$BZ$3001,1088,$B$1)="","",IF(ISNUMBER(INDEX(貼り付け!$A$1:$BZ$3001,1088,$B$1)),INT(INDEX(貼り付け!$A$1:$BZ$3001,1088,$B$1)),DATE(VALUE(LEFT(I1089,FIND("-",I1089)-1)),VALUE(LEFT(J1089,FIND("-",J1089)-1)),VALUE(MID(J1089,FIND("-",J1089)+1,99)))))),"")</f>
        <v/>
      </c>
      <c r="C1089">
        <f>IF($C$1=0,0,IFERROR(VALUE(SUBSTITUTE(SUBSTITUTE(SUBSTITUTE(INDEX(貼り付け!$A$1:$BZ$3001,1088,$C$1)&amp;"",",",""),"¥",""),"￥","")),0))</f>
        <v/>
      </c>
      <c r="D1089">
        <f>IF($D$1=0,0,IFERROR(VALUE(SUBSTITUTE(SUBSTITUTE(SUBSTITUTE(INDEX(貼り付け!$A$1:$BZ$3001,1088,$D$1)&amp;"",",",""),"¥",""),"￥","")),0))</f>
        <v/>
      </c>
      <c r="E1089">
        <f>IF($E$1=0,0,IFERROR(VALUE(SUBSTITUTE(SUBSTITUTE(SUBSTITUTE(INDEX(貼り付け!$A$1:$BZ$3001,1088,$E$1)&amp;"",",",""),"¥",""),"￥","")),0))</f>
        <v/>
      </c>
      <c r="F1089">
        <f>IF($F$1=0,0,IFERROR(VALUE(SUBSTITUTE(SUBSTITUTE(SUBSTITUTE(INDEX(貼り付け!$A$1:$BZ$3001,1088,$F$1)&amp;"",",",""),"¥",""),"￥","")),0))</f>
        <v/>
      </c>
      <c r="G1089">
        <f>IF(ISNUMBER(B1089),YEAR(B1089),"")</f>
        <v/>
      </c>
      <c r="H1089">
        <f>IF(ISNUMBER(B1089),MONTH(B1089),"")</f>
        <v/>
      </c>
      <c r="I1089">
        <f>IFERROR(IF($B$1=0,"",IF(ISNUMBER(INDEX(貼り付け!$A$1:$BZ$3001,1088,$B$1)),"",SUBSTITUTE(SUBSTITUTE(SUBSTITUTE(SUBSTITUTE(TRIM(LEFT(INDEX(貼り付け!$A$1:$BZ$3001,1088,$B$1)&amp;"",FIND(" ",TRIM(INDEX(貼り付け!$A$1:$BZ$3001,1088,$B$1)&amp;"")&amp;" ")-1)),"/","-"),"年","-"),"月","-"),"日",""))),"")</f>
        <v/>
      </c>
      <c r="J1089">
        <f>IFERROR(MID(I1089,FIND("-",I1089)+1,99),"")</f>
        <v/>
      </c>
    </row>
    <row r="1090">
      <c r="B1090">
        <f>IFERROR(IF($B$1=0,"",IF(INDEX(貼り付け!$A$1:$BZ$3001,1089,$B$1)="","",IF(ISNUMBER(INDEX(貼り付け!$A$1:$BZ$3001,1089,$B$1)),INT(INDEX(貼り付け!$A$1:$BZ$3001,1089,$B$1)),DATE(VALUE(LEFT(I1090,FIND("-",I1090)-1)),VALUE(LEFT(J1090,FIND("-",J1090)-1)),VALUE(MID(J1090,FIND("-",J1090)+1,99)))))),"")</f>
        <v/>
      </c>
      <c r="C1090">
        <f>IF($C$1=0,0,IFERROR(VALUE(SUBSTITUTE(SUBSTITUTE(SUBSTITUTE(INDEX(貼り付け!$A$1:$BZ$3001,1089,$C$1)&amp;"",",",""),"¥",""),"￥","")),0))</f>
        <v/>
      </c>
      <c r="D1090">
        <f>IF($D$1=0,0,IFERROR(VALUE(SUBSTITUTE(SUBSTITUTE(SUBSTITUTE(INDEX(貼り付け!$A$1:$BZ$3001,1089,$D$1)&amp;"",",",""),"¥",""),"￥","")),0))</f>
        <v/>
      </c>
      <c r="E1090">
        <f>IF($E$1=0,0,IFERROR(VALUE(SUBSTITUTE(SUBSTITUTE(SUBSTITUTE(INDEX(貼り付け!$A$1:$BZ$3001,1089,$E$1)&amp;"",",",""),"¥",""),"￥","")),0))</f>
        <v/>
      </c>
      <c r="F1090">
        <f>IF($F$1=0,0,IFERROR(VALUE(SUBSTITUTE(SUBSTITUTE(SUBSTITUTE(INDEX(貼り付け!$A$1:$BZ$3001,1089,$F$1)&amp;"",",",""),"¥",""),"￥","")),0))</f>
        <v/>
      </c>
      <c r="G1090">
        <f>IF(ISNUMBER(B1090),YEAR(B1090),"")</f>
        <v/>
      </c>
      <c r="H1090">
        <f>IF(ISNUMBER(B1090),MONTH(B1090),"")</f>
        <v/>
      </c>
      <c r="I1090">
        <f>IFERROR(IF($B$1=0,"",IF(ISNUMBER(INDEX(貼り付け!$A$1:$BZ$3001,1089,$B$1)),"",SUBSTITUTE(SUBSTITUTE(SUBSTITUTE(SUBSTITUTE(TRIM(LEFT(INDEX(貼り付け!$A$1:$BZ$3001,1089,$B$1)&amp;"",FIND(" ",TRIM(INDEX(貼り付け!$A$1:$BZ$3001,1089,$B$1)&amp;"")&amp;" ")-1)),"/","-"),"年","-"),"月","-"),"日",""))),"")</f>
        <v/>
      </c>
      <c r="J1090">
        <f>IFERROR(MID(I1090,FIND("-",I1090)+1,99),"")</f>
        <v/>
      </c>
    </row>
    <row r="1091">
      <c r="B1091">
        <f>IFERROR(IF($B$1=0,"",IF(INDEX(貼り付け!$A$1:$BZ$3001,1090,$B$1)="","",IF(ISNUMBER(INDEX(貼り付け!$A$1:$BZ$3001,1090,$B$1)),INT(INDEX(貼り付け!$A$1:$BZ$3001,1090,$B$1)),DATE(VALUE(LEFT(I1091,FIND("-",I1091)-1)),VALUE(LEFT(J1091,FIND("-",J1091)-1)),VALUE(MID(J1091,FIND("-",J1091)+1,99)))))),"")</f>
        <v/>
      </c>
      <c r="C1091">
        <f>IF($C$1=0,0,IFERROR(VALUE(SUBSTITUTE(SUBSTITUTE(SUBSTITUTE(INDEX(貼り付け!$A$1:$BZ$3001,1090,$C$1)&amp;"",",",""),"¥",""),"￥","")),0))</f>
        <v/>
      </c>
      <c r="D1091">
        <f>IF($D$1=0,0,IFERROR(VALUE(SUBSTITUTE(SUBSTITUTE(SUBSTITUTE(INDEX(貼り付け!$A$1:$BZ$3001,1090,$D$1)&amp;"",",",""),"¥",""),"￥","")),0))</f>
        <v/>
      </c>
      <c r="E1091">
        <f>IF($E$1=0,0,IFERROR(VALUE(SUBSTITUTE(SUBSTITUTE(SUBSTITUTE(INDEX(貼り付け!$A$1:$BZ$3001,1090,$E$1)&amp;"",",",""),"¥",""),"￥","")),0))</f>
        <v/>
      </c>
      <c r="F1091">
        <f>IF($F$1=0,0,IFERROR(VALUE(SUBSTITUTE(SUBSTITUTE(SUBSTITUTE(INDEX(貼り付け!$A$1:$BZ$3001,1090,$F$1)&amp;"",",",""),"¥",""),"￥","")),0))</f>
        <v/>
      </c>
      <c r="G1091">
        <f>IF(ISNUMBER(B1091),YEAR(B1091),"")</f>
        <v/>
      </c>
      <c r="H1091">
        <f>IF(ISNUMBER(B1091),MONTH(B1091),"")</f>
        <v/>
      </c>
      <c r="I1091">
        <f>IFERROR(IF($B$1=0,"",IF(ISNUMBER(INDEX(貼り付け!$A$1:$BZ$3001,1090,$B$1)),"",SUBSTITUTE(SUBSTITUTE(SUBSTITUTE(SUBSTITUTE(TRIM(LEFT(INDEX(貼り付け!$A$1:$BZ$3001,1090,$B$1)&amp;"",FIND(" ",TRIM(INDEX(貼り付け!$A$1:$BZ$3001,1090,$B$1)&amp;"")&amp;" ")-1)),"/","-"),"年","-"),"月","-"),"日",""))),"")</f>
        <v/>
      </c>
      <c r="J1091">
        <f>IFERROR(MID(I1091,FIND("-",I1091)+1,99),"")</f>
        <v/>
      </c>
    </row>
    <row r="1092">
      <c r="B1092">
        <f>IFERROR(IF($B$1=0,"",IF(INDEX(貼り付け!$A$1:$BZ$3001,1091,$B$1)="","",IF(ISNUMBER(INDEX(貼り付け!$A$1:$BZ$3001,1091,$B$1)),INT(INDEX(貼り付け!$A$1:$BZ$3001,1091,$B$1)),DATE(VALUE(LEFT(I1092,FIND("-",I1092)-1)),VALUE(LEFT(J1092,FIND("-",J1092)-1)),VALUE(MID(J1092,FIND("-",J1092)+1,99)))))),"")</f>
        <v/>
      </c>
      <c r="C1092">
        <f>IF($C$1=0,0,IFERROR(VALUE(SUBSTITUTE(SUBSTITUTE(SUBSTITUTE(INDEX(貼り付け!$A$1:$BZ$3001,1091,$C$1)&amp;"",",",""),"¥",""),"￥","")),0))</f>
        <v/>
      </c>
      <c r="D1092">
        <f>IF($D$1=0,0,IFERROR(VALUE(SUBSTITUTE(SUBSTITUTE(SUBSTITUTE(INDEX(貼り付け!$A$1:$BZ$3001,1091,$D$1)&amp;"",",",""),"¥",""),"￥","")),0))</f>
        <v/>
      </c>
      <c r="E1092">
        <f>IF($E$1=0,0,IFERROR(VALUE(SUBSTITUTE(SUBSTITUTE(SUBSTITUTE(INDEX(貼り付け!$A$1:$BZ$3001,1091,$E$1)&amp;"",",",""),"¥",""),"￥","")),0))</f>
        <v/>
      </c>
      <c r="F1092">
        <f>IF($F$1=0,0,IFERROR(VALUE(SUBSTITUTE(SUBSTITUTE(SUBSTITUTE(INDEX(貼り付け!$A$1:$BZ$3001,1091,$F$1)&amp;"",",",""),"¥",""),"￥","")),0))</f>
        <v/>
      </c>
      <c r="G1092">
        <f>IF(ISNUMBER(B1092),YEAR(B1092),"")</f>
        <v/>
      </c>
      <c r="H1092">
        <f>IF(ISNUMBER(B1092),MONTH(B1092),"")</f>
        <v/>
      </c>
      <c r="I1092">
        <f>IFERROR(IF($B$1=0,"",IF(ISNUMBER(INDEX(貼り付け!$A$1:$BZ$3001,1091,$B$1)),"",SUBSTITUTE(SUBSTITUTE(SUBSTITUTE(SUBSTITUTE(TRIM(LEFT(INDEX(貼り付け!$A$1:$BZ$3001,1091,$B$1)&amp;"",FIND(" ",TRIM(INDEX(貼り付け!$A$1:$BZ$3001,1091,$B$1)&amp;"")&amp;" ")-1)),"/","-"),"年","-"),"月","-"),"日",""))),"")</f>
        <v/>
      </c>
      <c r="J1092">
        <f>IFERROR(MID(I1092,FIND("-",I1092)+1,99),"")</f>
        <v/>
      </c>
    </row>
    <row r="1093">
      <c r="B1093">
        <f>IFERROR(IF($B$1=0,"",IF(INDEX(貼り付け!$A$1:$BZ$3001,1092,$B$1)="","",IF(ISNUMBER(INDEX(貼り付け!$A$1:$BZ$3001,1092,$B$1)),INT(INDEX(貼り付け!$A$1:$BZ$3001,1092,$B$1)),DATE(VALUE(LEFT(I1093,FIND("-",I1093)-1)),VALUE(LEFT(J1093,FIND("-",J1093)-1)),VALUE(MID(J1093,FIND("-",J1093)+1,99)))))),"")</f>
        <v/>
      </c>
      <c r="C1093">
        <f>IF($C$1=0,0,IFERROR(VALUE(SUBSTITUTE(SUBSTITUTE(SUBSTITUTE(INDEX(貼り付け!$A$1:$BZ$3001,1092,$C$1)&amp;"",",",""),"¥",""),"￥","")),0))</f>
        <v/>
      </c>
      <c r="D1093">
        <f>IF($D$1=0,0,IFERROR(VALUE(SUBSTITUTE(SUBSTITUTE(SUBSTITUTE(INDEX(貼り付け!$A$1:$BZ$3001,1092,$D$1)&amp;"",",",""),"¥",""),"￥","")),0))</f>
        <v/>
      </c>
      <c r="E1093">
        <f>IF($E$1=0,0,IFERROR(VALUE(SUBSTITUTE(SUBSTITUTE(SUBSTITUTE(INDEX(貼り付け!$A$1:$BZ$3001,1092,$E$1)&amp;"",",",""),"¥",""),"￥","")),0))</f>
        <v/>
      </c>
      <c r="F1093">
        <f>IF($F$1=0,0,IFERROR(VALUE(SUBSTITUTE(SUBSTITUTE(SUBSTITUTE(INDEX(貼り付け!$A$1:$BZ$3001,1092,$F$1)&amp;"",",",""),"¥",""),"￥","")),0))</f>
        <v/>
      </c>
      <c r="G1093">
        <f>IF(ISNUMBER(B1093),YEAR(B1093),"")</f>
        <v/>
      </c>
      <c r="H1093">
        <f>IF(ISNUMBER(B1093),MONTH(B1093),"")</f>
        <v/>
      </c>
      <c r="I1093">
        <f>IFERROR(IF($B$1=0,"",IF(ISNUMBER(INDEX(貼り付け!$A$1:$BZ$3001,1092,$B$1)),"",SUBSTITUTE(SUBSTITUTE(SUBSTITUTE(SUBSTITUTE(TRIM(LEFT(INDEX(貼り付け!$A$1:$BZ$3001,1092,$B$1)&amp;"",FIND(" ",TRIM(INDEX(貼り付け!$A$1:$BZ$3001,1092,$B$1)&amp;"")&amp;" ")-1)),"/","-"),"年","-"),"月","-"),"日",""))),"")</f>
        <v/>
      </c>
      <c r="J1093">
        <f>IFERROR(MID(I1093,FIND("-",I1093)+1,99),"")</f>
        <v/>
      </c>
    </row>
    <row r="1094">
      <c r="B1094">
        <f>IFERROR(IF($B$1=0,"",IF(INDEX(貼り付け!$A$1:$BZ$3001,1093,$B$1)="","",IF(ISNUMBER(INDEX(貼り付け!$A$1:$BZ$3001,1093,$B$1)),INT(INDEX(貼り付け!$A$1:$BZ$3001,1093,$B$1)),DATE(VALUE(LEFT(I1094,FIND("-",I1094)-1)),VALUE(LEFT(J1094,FIND("-",J1094)-1)),VALUE(MID(J1094,FIND("-",J1094)+1,99)))))),"")</f>
        <v/>
      </c>
      <c r="C1094">
        <f>IF($C$1=0,0,IFERROR(VALUE(SUBSTITUTE(SUBSTITUTE(SUBSTITUTE(INDEX(貼り付け!$A$1:$BZ$3001,1093,$C$1)&amp;"",",",""),"¥",""),"￥","")),0))</f>
        <v/>
      </c>
      <c r="D1094">
        <f>IF($D$1=0,0,IFERROR(VALUE(SUBSTITUTE(SUBSTITUTE(SUBSTITUTE(INDEX(貼り付け!$A$1:$BZ$3001,1093,$D$1)&amp;"",",",""),"¥",""),"￥","")),0))</f>
        <v/>
      </c>
      <c r="E1094">
        <f>IF($E$1=0,0,IFERROR(VALUE(SUBSTITUTE(SUBSTITUTE(SUBSTITUTE(INDEX(貼り付け!$A$1:$BZ$3001,1093,$E$1)&amp;"",",",""),"¥",""),"￥","")),0))</f>
        <v/>
      </c>
      <c r="F1094">
        <f>IF($F$1=0,0,IFERROR(VALUE(SUBSTITUTE(SUBSTITUTE(SUBSTITUTE(INDEX(貼り付け!$A$1:$BZ$3001,1093,$F$1)&amp;"",",",""),"¥",""),"￥","")),0))</f>
        <v/>
      </c>
      <c r="G1094">
        <f>IF(ISNUMBER(B1094),YEAR(B1094),"")</f>
        <v/>
      </c>
      <c r="H1094">
        <f>IF(ISNUMBER(B1094),MONTH(B1094),"")</f>
        <v/>
      </c>
      <c r="I1094">
        <f>IFERROR(IF($B$1=0,"",IF(ISNUMBER(INDEX(貼り付け!$A$1:$BZ$3001,1093,$B$1)),"",SUBSTITUTE(SUBSTITUTE(SUBSTITUTE(SUBSTITUTE(TRIM(LEFT(INDEX(貼り付け!$A$1:$BZ$3001,1093,$B$1)&amp;"",FIND(" ",TRIM(INDEX(貼り付け!$A$1:$BZ$3001,1093,$B$1)&amp;"")&amp;" ")-1)),"/","-"),"年","-"),"月","-"),"日",""))),"")</f>
        <v/>
      </c>
      <c r="J1094">
        <f>IFERROR(MID(I1094,FIND("-",I1094)+1,99),"")</f>
        <v/>
      </c>
    </row>
    <row r="1095">
      <c r="B1095">
        <f>IFERROR(IF($B$1=0,"",IF(INDEX(貼り付け!$A$1:$BZ$3001,1094,$B$1)="","",IF(ISNUMBER(INDEX(貼り付け!$A$1:$BZ$3001,1094,$B$1)),INT(INDEX(貼り付け!$A$1:$BZ$3001,1094,$B$1)),DATE(VALUE(LEFT(I1095,FIND("-",I1095)-1)),VALUE(LEFT(J1095,FIND("-",J1095)-1)),VALUE(MID(J1095,FIND("-",J1095)+1,99)))))),"")</f>
        <v/>
      </c>
      <c r="C1095">
        <f>IF($C$1=0,0,IFERROR(VALUE(SUBSTITUTE(SUBSTITUTE(SUBSTITUTE(INDEX(貼り付け!$A$1:$BZ$3001,1094,$C$1)&amp;"",",",""),"¥",""),"￥","")),0))</f>
        <v/>
      </c>
      <c r="D1095">
        <f>IF($D$1=0,0,IFERROR(VALUE(SUBSTITUTE(SUBSTITUTE(SUBSTITUTE(INDEX(貼り付け!$A$1:$BZ$3001,1094,$D$1)&amp;"",",",""),"¥",""),"￥","")),0))</f>
        <v/>
      </c>
      <c r="E1095">
        <f>IF($E$1=0,0,IFERROR(VALUE(SUBSTITUTE(SUBSTITUTE(SUBSTITUTE(INDEX(貼り付け!$A$1:$BZ$3001,1094,$E$1)&amp;"",",",""),"¥",""),"￥","")),0))</f>
        <v/>
      </c>
      <c r="F1095">
        <f>IF($F$1=0,0,IFERROR(VALUE(SUBSTITUTE(SUBSTITUTE(SUBSTITUTE(INDEX(貼り付け!$A$1:$BZ$3001,1094,$F$1)&amp;"",",",""),"¥",""),"￥","")),0))</f>
        <v/>
      </c>
      <c r="G1095">
        <f>IF(ISNUMBER(B1095),YEAR(B1095),"")</f>
        <v/>
      </c>
      <c r="H1095">
        <f>IF(ISNUMBER(B1095),MONTH(B1095),"")</f>
        <v/>
      </c>
      <c r="I1095">
        <f>IFERROR(IF($B$1=0,"",IF(ISNUMBER(INDEX(貼り付け!$A$1:$BZ$3001,1094,$B$1)),"",SUBSTITUTE(SUBSTITUTE(SUBSTITUTE(SUBSTITUTE(TRIM(LEFT(INDEX(貼り付け!$A$1:$BZ$3001,1094,$B$1)&amp;"",FIND(" ",TRIM(INDEX(貼り付け!$A$1:$BZ$3001,1094,$B$1)&amp;"")&amp;" ")-1)),"/","-"),"年","-"),"月","-"),"日",""))),"")</f>
        <v/>
      </c>
      <c r="J1095">
        <f>IFERROR(MID(I1095,FIND("-",I1095)+1,99),"")</f>
        <v/>
      </c>
    </row>
    <row r="1096">
      <c r="B1096">
        <f>IFERROR(IF($B$1=0,"",IF(INDEX(貼り付け!$A$1:$BZ$3001,1095,$B$1)="","",IF(ISNUMBER(INDEX(貼り付け!$A$1:$BZ$3001,1095,$B$1)),INT(INDEX(貼り付け!$A$1:$BZ$3001,1095,$B$1)),DATE(VALUE(LEFT(I1096,FIND("-",I1096)-1)),VALUE(LEFT(J1096,FIND("-",J1096)-1)),VALUE(MID(J1096,FIND("-",J1096)+1,99)))))),"")</f>
        <v/>
      </c>
      <c r="C1096">
        <f>IF($C$1=0,0,IFERROR(VALUE(SUBSTITUTE(SUBSTITUTE(SUBSTITUTE(INDEX(貼り付け!$A$1:$BZ$3001,1095,$C$1)&amp;"",",",""),"¥",""),"￥","")),0))</f>
        <v/>
      </c>
      <c r="D1096">
        <f>IF($D$1=0,0,IFERROR(VALUE(SUBSTITUTE(SUBSTITUTE(SUBSTITUTE(INDEX(貼り付け!$A$1:$BZ$3001,1095,$D$1)&amp;"",",",""),"¥",""),"￥","")),0))</f>
        <v/>
      </c>
      <c r="E1096">
        <f>IF($E$1=0,0,IFERROR(VALUE(SUBSTITUTE(SUBSTITUTE(SUBSTITUTE(INDEX(貼り付け!$A$1:$BZ$3001,1095,$E$1)&amp;"",",",""),"¥",""),"￥","")),0))</f>
        <v/>
      </c>
      <c r="F1096">
        <f>IF($F$1=0,0,IFERROR(VALUE(SUBSTITUTE(SUBSTITUTE(SUBSTITUTE(INDEX(貼り付け!$A$1:$BZ$3001,1095,$F$1)&amp;"",",",""),"¥",""),"￥","")),0))</f>
        <v/>
      </c>
      <c r="G1096">
        <f>IF(ISNUMBER(B1096),YEAR(B1096),"")</f>
        <v/>
      </c>
      <c r="H1096">
        <f>IF(ISNUMBER(B1096),MONTH(B1096),"")</f>
        <v/>
      </c>
      <c r="I1096">
        <f>IFERROR(IF($B$1=0,"",IF(ISNUMBER(INDEX(貼り付け!$A$1:$BZ$3001,1095,$B$1)),"",SUBSTITUTE(SUBSTITUTE(SUBSTITUTE(SUBSTITUTE(TRIM(LEFT(INDEX(貼り付け!$A$1:$BZ$3001,1095,$B$1)&amp;"",FIND(" ",TRIM(INDEX(貼り付け!$A$1:$BZ$3001,1095,$B$1)&amp;"")&amp;" ")-1)),"/","-"),"年","-"),"月","-"),"日",""))),"")</f>
        <v/>
      </c>
      <c r="J1096">
        <f>IFERROR(MID(I1096,FIND("-",I1096)+1,99),"")</f>
        <v/>
      </c>
    </row>
    <row r="1097">
      <c r="B1097">
        <f>IFERROR(IF($B$1=0,"",IF(INDEX(貼り付け!$A$1:$BZ$3001,1096,$B$1)="","",IF(ISNUMBER(INDEX(貼り付け!$A$1:$BZ$3001,1096,$B$1)),INT(INDEX(貼り付け!$A$1:$BZ$3001,1096,$B$1)),DATE(VALUE(LEFT(I1097,FIND("-",I1097)-1)),VALUE(LEFT(J1097,FIND("-",J1097)-1)),VALUE(MID(J1097,FIND("-",J1097)+1,99)))))),"")</f>
        <v/>
      </c>
      <c r="C1097">
        <f>IF($C$1=0,0,IFERROR(VALUE(SUBSTITUTE(SUBSTITUTE(SUBSTITUTE(INDEX(貼り付け!$A$1:$BZ$3001,1096,$C$1)&amp;"",",",""),"¥",""),"￥","")),0))</f>
        <v/>
      </c>
      <c r="D1097">
        <f>IF($D$1=0,0,IFERROR(VALUE(SUBSTITUTE(SUBSTITUTE(SUBSTITUTE(INDEX(貼り付け!$A$1:$BZ$3001,1096,$D$1)&amp;"",",",""),"¥",""),"￥","")),0))</f>
        <v/>
      </c>
      <c r="E1097">
        <f>IF($E$1=0,0,IFERROR(VALUE(SUBSTITUTE(SUBSTITUTE(SUBSTITUTE(INDEX(貼り付け!$A$1:$BZ$3001,1096,$E$1)&amp;"",",",""),"¥",""),"￥","")),0))</f>
        <v/>
      </c>
      <c r="F1097">
        <f>IF($F$1=0,0,IFERROR(VALUE(SUBSTITUTE(SUBSTITUTE(SUBSTITUTE(INDEX(貼り付け!$A$1:$BZ$3001,1096,$F$1)&amp;"",",",""),"¥",""),"￥","")),0))</f>
        <v/>
      </c>
      <c r="G1097">
        <f>IF(ISNUMBER(B1097),YEAR(B1097),"")</f>
        <v/>
      </c>
      <c r="H1097">
        <f>IF(ISNUMBER(B1097),MONTH(B1097),"")</f>
        <v/>
      </c>
      <c r="I1097">
        <f>IFERROR(IF($B$1=0,"",IF(ISNUMBER(INDEX(貼り付け!$A$1:$BZ$3001,1096,$B$1)),"",SUBSTITUTE(SUBSTITUTE(SUBSTITUTE(SUBSTITUTE(TRIM(LEFT(INDEX(貼り付け!$A$1:$BZ$3001,1096,$B$1)&amp;"",FIND(" ",TRIM(INDEX(貼り付け!$A$1:$BZ$3001,1096,$B$1)&amp;"")&amp;" ")-1)),"/","-"),"年","-"),"月","-"),"日",""))),"")</f>
        <v/>
      </c>
      <c r="J1097">
        <f>IFERROR(MID(I1097,FIND("-",I1097)+1,99),"")</f>
        <v/>
      </c>
    </row>
    <row r="1098">
      <c r="B1098">
        <f>IFERROR(IF($B$1=0,"",IF(INDEX(貼り付け!$A$1:$BZ$3001,1097,$B$1)="","",IF(ISNUMBER(INDEX(貼り付け!$A$1:$BZ$3001,1097,$B$1)),INT(INDEX(貼り付け!$A$1:$BZ$3001,1097,$B$1)),DATE(VALUE(LEFT(I1098,FIND("-",I1098)-1)),VALUE(LEFT(J1098,FIND("-",J1098)-1)),VALUE(MID(J1098,FIND("-",J1098)+1,99)))))),"")</f>
        <v/>
      </c>
      <c r="C1098">
        <f>IF($C$1=0,0,IFERROR(VALUE(SUBSTITUTE(SUBSTITUTE(SUBSTITUTE(INDEX(貼り付け!$A$1:$BZ$3001,1097,$C$1)&amp;"",",",""),"¥",""),"￥","")),0))</f>
        <v/>
      </c>
      <c r="D1098">
        <f>IF($D$1=0,0,IFERROR(VALUE(SUBSTITUTE(SUBSTITUTE(SUBSTITUTE(INDEX(貼り付け!$A$1:$BZ$3001,1097,$D$1)&amp;"",",",""),"¥",""),"￥","")),0))</f>
        <v/>
      </c>
      <c r="E1098">
        <f>IF($E$1=0,0,IFERROR(VALUE(SUBSTITUTE(SUBSTITUTE(SUBSTITUTE(INDEX(貼り付け!$A$1:$BZ$3001,1097,$E$1)&amp;"",",",""),"¥",""),"￥","")),0))</f>
        <v/>
      </c>
      <c r="F1098">
        <f>IF($F$1=0,0,IFERROR(VALUE(SUBSTITUTE(SUBSTITUTE(SUBSTITUTE(INDEX(貼り付け!$A$1:$BZ$3001,1097,$F$1)&amp;"",",",""),"¥",""),"￥","")),0))</f>
        <v/>
      </c>
      <c r="G1098">
        <f>IF(ISNUMBER(B1098),YEAR(B1098),"")</f>
        <v/>
      </c>
      <c r="H1098">
        <f>IF(ISNUMBER(B1098),MONTH(B1098),"")</f>
        <v/>
      </c>
      <c r="I1098">
        <f>IFERROR(IF($B$1=0,"",IF(ISNUMBER(INDEX(貼り付け!$A$1:$BZ$3001,1097,$B$1)),"",SUBSTITUTE(SUBSTITUTE(SUBSTITUTE(SUBSTITUTE(TRIM(LEFT(INDEX(貼り付け!$A$1:$BZ$3001,1097,$B$1)&amp;"",FIND(" ",TRIM(INDEX(貼り付け!$A$1:$BZ$3001,1097,$B$1)&amp;"")&amp;" ")-1)),"/","-"),"年","-"),"月","-"),"日",""))),"")</f>
        <v/>
      </c>
      <c r="J1098">
        <f>IFERROR(MID(I1098,FIND("-",I1098)+1,99),"")</f>
        <v/>
      </c>
    </row>
    <row r="1099">
      <c r="B1099">
        <f>IFERROR(IF($B$1=0,"",IF(INDEX(貼り付け!$A$1:$BZ$3001,1098,$B$1)="","",IF(ISNUMBER(INDEX(貼り付け!$A$1:$BZ$3001,1098,$B$1)),INT(INDEX(貼り付け!$A$1:$BZ$3001,1098,$B$1)),DATE(VALUE(LEFT(I1099,FIND("-",I1099)-1)),VALUE(LEFT(J1099,FIND("-",J1099)-1)),VALUE(MID(J1099,FIND("-",J1099)+1,99)))))),"")</f>
        <v/>
      </c>
      <c r="C1099">
        <f>IF($C$1=0,0,IFERROR(VALUE(SUBSTITUTE(SUBSTITUTE(SUBSTITUTE(INDEX(貼り付け!$A$1:$BZ$3001,1098,$C$1)&amp;"",",",""),"¥",""),"￥","")),0))</f>
        <v/>
      </c>
      <c r="D1099">
        <f>IF($D$1=0,0,IFERROR(VALUE(SUBSTITUTE(SUBSTITUTE(SUBSTITUTE(INDEX(貼り付け!$A$1:$BZ$3001,1098,$D$1)&amp;"",",",""),"¥",""),"￥","")),0))</f>
        <v/>
      </c>
      <c r="E1099">
        <f>IF($E$1=0,0,IFERROR(VALUE(SUBSTITUTE(SUBSTITUTE(SUBSTITUTE(INDEX(貼り付け!$A$1:$BZ$3001,1098,$E$1)&amp;"",",",""),"¥",""),"￥","")),0))</f>
        <v/>
      </c>
      <c r="F1099">
        <f>IF($F$1=0,0,IFERROR(VALUE(SUBSTITUTE(SUBSTITUTE(SUBSTITUTE(INDEX(貼り付け!$A$1:$BZ$3001,1098,$F$1)&amp;"",",",""),"¥",""),"￥","")),0))</f>
        <v/>
      </c>
      <c r="G1099">
        <f>IF(ISNUMBER(B1099),YEAR(B1099),"")</f>
        <v/>
      </c>
      <c r="H1099">
        <f>IF(ISNUMBER(B1099),MONTH(B1099),"")</f>
        <v/>
      </c>
      <c r="I1099">
        <f>IFERROR(IF($B$1=0,"",IF(ISNUMBER(INDEX(貼り付け!$A$1:$BZ$3001,1098,$B$1)),"",SUBSTITUTE(SUBSTITUTE(SUBSTITUTE(SUBSTITUTE(TRIM(LEFT(INDEX(貼り付け!$A$1:$BZ$3001,1098,$B$1)&amp;"",FIND(" ",TRIM(INDEX(貼り付け!$A$1:$BZ$3001,1098,$B$1)&amp;"")&amp;" ")-1)),"/","-"),"年","-"),"月","-"),"日",""))),"")</f>
        <v/>
      </c>
      <c r="J1099">
        <f>IFERROR(MID(I1099,FIND("-",I1099)+1,99),"")</f>
        <v/>
      </c>
    </row>
    <row r="1100">
      <c r="B1100">
        <f>IFERROR(IF($B$1=0,"",IF(INDEX(貼り付け!$A$1:$BZ$3001,1099,$B$1)="","",IF(ISNUMBER(INDEX(貼り付け!$A$1:$BZ$3001,1099,$B$1)),INT(INDEX(貼り付け!$A$1:$BZ$3001,1099,$B$1)),DATE(VALUE(LEFT(I1100,FIND("-",I1100)-1)),VALUE(LEFT(J1100,FIND("-",J1100)-1)),VALUE(MID(J1100,FIND("-",J1100)+1,99)))))),"")</f>
        <v/>
      </c>
      <c r="C1100">
        <f>IF($C$1=0,0,IFERROR(VALUE(SUBSTITUTE(SUBSTITUTE(SUBSTITUTE(INDEX(貼り付け!$A$1:$BZ$3001,1099,$C$1)&amp;"",",",""),"¥",""),"￥","")),0))</f>
        <v/>
      </c>
      <c r="D1100">
        <f>IF($D$1=0,0,IFERROR(VALUE(SUBSTITUTE(SUBSTITUTE(SUBSTITUTE(INDEX(貼り付け!$A$1:$BZ$3001,1099,$D$1)&amp;"",",",""),"¥",""),"￥","")),0))</f>
        <v/>
      </c>
      <c r="E1100">
        <f>IF($E$1=0,0,IFERROR(VALUE(SUBSTITUTE(SUBSTITUTE(SUBSTITUTE(INDEX(貼り付け!$A$1:$BZ$3001,1099,$E$1)&amp;"",",",""),"¥",""),"￥","")),0))</f>
        <v/>
      </c>
      <c r="F1100">
        <f>IF($F$1=0,0,IFERROR(VALUE(SUBSTITUTE(SUBSTITUTE(SUBSTITUTE(INDEX(貼り付け!$A$1:$BZ$3001,1099,$F$1)&amp;"",",",""),"¥",""),"￥","")),0))</f>
        <v/>
      </c>
      <c r="G1100">
        <f>IF(ISNUMBER(B1100),YEAR(B1100),"")</f>
        <v/>
      </c>
      <c r="H1100">
        <f>IF(ISNUMBER(B1100),MONTH(B1100),"")</f>
        <v/>
      </c>
      <c r="I1100">
        <f>IFERROR(IF($B$1=0,"",IF(ISNUMBER(INDEX(貼り付け!$A$1:$BZ$3001,1099,$B$1)),"",SUBSTITUTE(SUBSTITUTE(SUBSTITUTE(SUBSTITUTE(TRIM(LEFT(INDEX(貼り付け!$A$1:$BZ$3001,1099,$B$1)&amp;"",FIND(" ",TRIM(INDEX(貼り付け!$A$1:$BZ$3001,1099,$B$1)&amp;"")&amp;" ")-1)),"/","-"),"年","-"),"月","-"),"日",""))),"")</f>
        <v/>
      </c>
      <c r="J1100">
        <f>IFERROR(MID(I1100,FIND("-",I1100)+1,99),"")</f>
        <v/>
      </c>
    </row>
    <row r="1101">
      <c r="B1101">
        <f>IFERROR(IF($B$1=0,"",IF(INDEX(貼り付け!$A$1:$BZ$3001,1100,$B$1)="","",IF(ISNUMBER(INDEX(貼り付け!$A$1:$BZ$3001,1100,$B$1)),INT(INDEX(貼り付け!$A$1:$BZ$3001,1100,$B$1)),DATE(VALUE(LEFT(I1101,FIND("-",I1101)-1)),VALUE(LEFT(J1101,FIND("-",J1101)-1)),VALUE(MID(J1101,FIND("-",J1101)+1,99)))))),"")</f>
        <v/>
      </c>
      <c r="C1101">
        <f>IF($C$1=0,0,IFERROR(VALUE(SUBSTITUTE(SUBSTITUTE(SUBSTITUTE(INDEX(貼り付け!$A$1:$BZ$3001,1100,$C$1)&amp;"",",",""),"¥",""),"￥","")),0))</f>
        <v/>
      </c>
      <c r="D1101">
        <f>IF($D$1=0,0,IFERROR(VALUE(SUBSTITUTE(SUBSTITUTE(SUBSTITUTE(INDEX(貼り付け!$A$1:$BZ$3001,1100,$D$1)&amp;"",",",""),"¥",""),"￥","")),0))</f>
        <v/>
      </c>
      <c r="E1101">
        <f>IF($E$1=0,0,IFERROR(VALUE(SUBSTITUTE(SUBSTITUTE(SUBSTITUTE(INDEX(貼り付け!$A$1:$BZ$3001,1100,$E$1)&amp;"",",",""),"¥",""),"￥","")),0))</f>
        <v/>
      </c>
      <c r="F1101">
        <f>IF($F$1=0,0,IFERROR(VALUE(SUBSTITUTE(SUBSTITUTE(SUBSTITUTE(INDEX(貼り付け!$A$1:$BZ$3001,1100,$F$1)&amp;"",",",""),"¥",""),"￥","")),0))</f>
        <v/>
      </c>
      <c r="G1101">
        <f>IF(ISNUMBER(B1101),YEAR(B1101),"")</f>
        <v/>
      </c>
      <c r="H1101">
        <f>IF(ISNUMBER(B1101),MONTH(B1101),"")</f>
        <v/>
      </c>
      <c r="I1101">
        <f>IFERROR(IF($B$1=0,"",IF(ISNUMBER(INDEX(貼り付け!$A$1:$BZ$3001,1100,$B$1)),"",SUBSTITUTE(SUBSTITUTE(SUBSTITUTE(SUBSTITUTE(TRIM(LEFT(INDEX(貼り付け!$A$1:$BZ$3001,1100,$B$1)&amp;"",FIND(" ",TRIM(INDEX(貼り付け!$A$1:$BZ$3001,1100,$B$1)&amp;"")&amp;" ")-1)),"/","-"),"年","-"),"月","-"),"日",""))),"")</f>
        <v/>
      </c>
      <c r="J1101">
        <f>IFERROR(MID(I1101,FIND("-",I1101)+1,99),"")</f>
        <v/>
      </c>
    </row>
    <row r="1102">
      <c r="B1102">
        <f>IFERROR(IF($B$1=0,"",IF(INDEX(貼り付け!$A$1:$BZ$3001,1101,$B$1)="","",IF(ISNUMBER(INDEX(貼り付け!$A$1:$BZ$3001,1101,$B$1)),INT(INDEX(貼り付け!$A$1:$BZ$3001,1101,$B$1)),DATE(VALUE(LEFT(I1102,FIND("-",I1102)-1)),VALUE(LEFT(J1102,FIND("-",J1102)-1)),VALUE(MID(J1102,FIND("-",J1102)+1,99)))))),"")</f>
        <v/>
      </c>
      <c r="C1102">
        <f>IF($C$1=0,0,IFERROR(VALUE(SUBSTITUTE(SUBSTITUTE(SUBSTITUTE(INDEX(貼り付け!$A$1:$BZ$3001,1101,$C$1)&amp;"",",",""),"¥",""),"￥","")),0))</f>
        <v/>
      </c>
      <c r="D1102">
        <f>IF($D$1=0,0,IFERROR(VALUE(SUBSTITUTE(SUBSTITUTE(SUBSTITUTE(INDEX(貼り付け!$A$1:$BZ$3001,1101,$D$1)&amp;"",",",""),"¥",""),"￥","")),0))</f>
        <v/>
      </c>
      <c r="E1102">
        <f>IF($E$1=0,0,IFERROR(VALUE(SUBSTITUTE(SUBSTITUTE(SUBSTITUTE(INDEX(貼り付け!$A$1:$BZ$3001,1101,$E$1)&amp;"",",",""),"¥",""),"￥","")),0))</f>
        <v/>
      </c>
      <c r="F1102">
        <f>IF($F$1=0,0,IFERROR(VALUE(SUBSTITUTE(SUBSTITUTE(SUBSTITUTE(INDEX(貼り付け!$A$1:$BZ$3001,1101,$F$1)&amp;"",",",""),"¥",""),"￥","")),0))</f>
        <v/>
      </c>
      <c r="G1102">
        <f>IF(ISNUMBER(B1102),YEAR(B1102),"")</f>
        <v/>
      </c>
      <c r="H1102">
        <f>IF(ISNUMBER(B1102),MONTH(B1102),"")</f>
        <v/>
      </c>
      <c r="I1102">
        <f>IFERROR(IF($B$1=0,"",IF(ISNUMBER(INDEX(貼り付け!$A$1:$BZ$3001,1101,$B$1)),"",SUBSTITUTE(SUBSTITUTE(SUBSTITUTE(SUBSTITUTE(TRIM(LEFT(INDEX(貼り付け!$A$1:$BZ$3001,1101,$B$1)&amp;"",FIND(" ",TRIM(INDEX(貼り付け!$A$1:$BZ$3001,1101,$B$1)&amp;"")&amp;" ")-1)),"/","-"),"年","-"),"月","-"),"日",""))),"")</f>
        <v/>
      </c>
      <c r="J1102">
        <f>IFERROR(MID(I1102,FIND("-",I1102)+1,99),"")</f>
        <v/>
      </c>
    </row>
    <row r="1103">
      <c r="B1103">
        <f>IFERROR(IF($B$1=0,"",IF(INDEX(貼り付け!$A$1:$BZ$3001,1102,$B$1)="","",IF(ISNUMBER(INDEX(貼り付け!$A$1:$BZ$3001,1102,$B$1)),INT(INDEX(貼り付け!$A$1:$BZ$3001,1102,$B$1)),DATE(VALUE(LEFT(I1103,FIND("-",I1103)-1)),VALUE(LEFT(J1103,FIND("-",J1103)-1)),VALUE(MID(J1103,FIND("-",J1103)+1,99)))))),"")</f>
        <v/>
      </c>
      <c r="C1103">
        <f>IF($C$1=0,0,IFERROR(VALUE(SUBSTITUTE(SUBSTITUTE(SUBSTITUTE(INDEX(貼り付け!$A$1:$BZ$3001,1102,$C$1)&amp;"",",",""),"¥",""),"￥","")),0))</f>
        <v/>
      </c>
      <c r="D1103">
        <f>IF($D$1=0,0,IFERROR(VALUE(SUBSTITUTE(SUBSTITUTE(SUBSTITUTE(INDEX(貼り付け!$A$1:$BZ$3001,1102,$D$1)&amp;"",",",""),"¥",""),"￥","")),0))</f>
        <v/>
      </c>
      <c r="E1103">
        <f>IF($E$1=0,0,IFERROR(VALUE(SUBSTITUTE(SUBSTITUTE(SUBSTITUTE(INDEX(貼り付け!$A$1:$BZ$3001,1102,$E$1)&amp;"",",",""),"¥",""),"￥","")),0))</f>
        <v/>
      </c>
      <c r="F1103">
        <f>IF($F$1=0,0,IFERROR(VALUE(SUBSTITUTE(SUBSTITUTE(SUBSTITUTE(INDEX(貼り付け!$A$1:$BZ$3001,1102,$F$1)&amp;"",",",""),"¥",""),"￥","")),0))</f>
        <v/>
      </c>
      <c r="G1103">
        <f>IF(ISNUMBER(B1103),YEAR(B1103),"")</f>
        <v/>
      </c>
      <c r="H1103">
        <f>IF(ISNUMBER(B1103),MONTH(B1103),"")</f>
        <v/>
      </c>
      <c r="I1103">
        <f>IFERROR(IF($B$1=0,"",IF(ISNUMBER(INDEX(貼り付け!$A$1:$BZ$3001,1102,$B$1)),"",SUBSTITUTE(SUBSTITUTE(SUBSTITUTE(SUBSTITUTE(TRIM(LEFT(INDEX(貼り付け!$A$1:$BZ$3001,1102,$B$1)&amp;"",FIND(" ",TRIM(INDEX(貼り付け!$A$1:$BZ$3001,1102,$B$1)&amp;"")&amp;" ")-1)),"/","-"),"年","-"),"月","-"),"日",""))),"")</f>
        <v/>
      </c>
      <c r="J1103">
        <f>IFERROR(MID(I1103,FIND("-",I1103)+1,99),"")</f>
        <v/>
      </c>
    </row>
    <row r="1104">
      <c r="B1104">
        <f>IFERROR(IF($B$1=0,"",IF(INDEX(貼り付け!$A$1:$BZ$3001,1103,$B$1)="","",IF(ISNUMBER(INDEX(貼り付け!$A$1:$BZ$3001,1103,$B$1)),INT(INDEX(貼り付け!$A$1:$BZ$3001,1103,$B$1)),DATE(VALUE(LEFT(I1104,FIND("-",I1104)-1)),VALUE(LEFT(J1104,FIND("-",J1104)-1)),VALUE(MID(J1104,FIND("-",J1104)+1,99)))))),"")</f>
        <v/>
      </c>
      <c r="C1104">
        <f>IF($C$1=0,0,IFERROR(VALUE(SUBSTITUTE(SUBSTITUTE(SUBSTITUTE(INDEX(貼り付け!$A$1:$BZ$3001,1103,$C$1)&amp;"",",",""),"¥",""),"￥","")),0))</f>
        <v/>
      </c>
      <c r="D1104">
        <f>IF($D$1=0,0,IFERROR(VALUE(SUBSTITUTE(SUBSTITUTE(SUBSTITUTE(INDEX(貼り付け!$A$1:$BZ$3001,1103,$D$1)&amp;"",",",""),"¥",""),"￥","")),0))</f>
        <v/>
      </c>
      <c r="E1104">
        <f>IF($E$1=0,0,IFERROR(VALUE(SUBSTITUTE(SUBSTITUTE(SUBSTITUTE(INDEX(貼り付け!$A$1:$BZ$3001,1103,$E$1)&amp;"",",",""),"¥",""),"￥","")),0))</f>
        <v/>
      </c>
      <c r="F1104">
        <f>IF($F$1=0,0,IFERROR(VALUE(SUBSTITUTE(SUBSTITUTE(SUBSTITUTE(INDEX(貼り付け!$A$1:$BZ$3001,1103,$F$1)&amp;"",",",""),"¥",""),"￥","")),0))</f>
        <v/>
      </c>
      <c r="G1104">
        <f>IF(ISNUMBER(B1104),YEAR(B1104),"")</f>
        <v/>
      </c>
      <c r="H1104">
        <f>IF(ISNUMBER(B1104),MONTH(B1104),"")</f>
        <v/>
      </c>
      <c r="I1104">
        <f>IFERROR(IF($B$1=0,"",IF(ISNUMBER(INDEX(貼り付け!$A$1:$BZ$3001,1103,$B$1)),"",SUBSTITUTE(SUBSTITUTE(SUBSTITUTE(SUBSTITUTE(TRIM(LEFT(INDEX(貼り付け!$A$1:$BZ$3001,1103,$B$1)&amp;"",FIND(" ",TRIM(INDEX(貼り付け!$A$1:$BZ$3001,1103,$B$1)&amp;"")&amp;" ")-1)),"/","-"),"年","-"),"月","-"),"日",""))),"")</f>
        <v/>
      </c>
      <c r="J1104">
        <f>IFERROR(MID(I1104,FIND("-",I1104)+1,99),"")</f>
        <v/>
      </c>
    </row>
    <row r="1105">
      <c r="B1105">
        <f>IFERROR(IF($B$1=0,"",IF(INDEX(貼り付け!$A$1:$BZ$3001,1104,$B$1)="","",IF(ISNUMBER(INDEX(貼り付け!$A$1:$BZ$3001,1104,$B$1)),INT(INDEX(貼り付け!$A$1:$BZ$3001,1104,$B$1)),DATE(VALUE(LEFT(I1105,FIND("-",I1105)-1)),VALUE(LEFT(J1105,FIND("-",J1105)-1)),VALUE(MID(J1105,FIND("-",J1105)+1,99)))))),"")</f>
        <v/>
      </c>
      <c r="C1105">
        <f>IF($C$1=0,0,IFERROR(VALUE(SUBSTITUTE(SUBSTITUTE(SUBSTITUTE(INDEX(貼り付け!$A$1:$BZ$3001,1104,$C$1)&amp;"",",",""),"¥",""),"￥","")),0))</f>
        <v/>
      </c>
      <c r="D1105">
        <f>IF($D$1=0,0,IFERROR(VALUE(SUBSTITUTE(SUBSTITUTE(SUBSTITUTE(INDEX(貼り付け!$A$1:$BZ$3001,1104,$D$1)&amp;"",",",""),"¥",""),"￥","")),0))</f>
        <v/>
      </c>
      <c r="E1105">
        <f>IF($E$1=0,0,IFERROR(VALUE(SUBSTITUTE(SUBSTITUTE(SUBSTITUTE(INDEX(貼り付け!$A$1:$BZ$3001,1104,$E$1)&amp;"",",",""),"¥",""),"￥","")),0))</f>
        <v/>
      </c>
      <c r="F1105">
        <f>IF($F$1=0,0,IFERROR(VALUE(SUBSTITUTE(SUBSTITUTE(SUBSTITUTE(INDEX(貼り付け!$A$1:$BZ$3001,1104,$F$1)&amp;"",",",""),"¥",""),"￥","")),0))</f>
        <v/>
      </c>
      <c r="G1105">
        <f>IF(ISNUMBER(B1105),YEAR(B1105),"")</f>
        <v/>
      </c>
      <c r="H1105">
        <f>IF(ISNUMBER(B1105),MONTH(B1105),"")</f>
        <v/>
      </c>
      <c r="I1105">
        <f>IFERROR(IF($B$1=0,"",IF(ISNUMBER(INDEX(貼り付け!$A$1:$BZ$3001,1104,$B$1)),"",SUBSTITUTE(SUBSTITUTE(SUBSTITUTE(SUBSTITUTE(TRIM(LEFT(INDEX(貼り付け!$A$1:$BZ$3001,1104,$B$1)&amp;"",FIND(" ",TRIM(INDEX(貼り付け!$A$1:$BZ$3001,1104,$B$1)&amp;"")&amp;" ")-1)),"/","-"),"年","-"),"月","-"),"日",""))),"")</f>
        <v/>
      </c>
      <c r="J1105">
        <f>IFERROR(MID(I1105,FIND("-",I1105)+1,99),"")</f>
        <v/>
      </c>
    </row>
    <row r="1106">
      <c r="B1106">
        <f>IFERROR(IF($B$1=0,"",IF(INDEX(貼り付け!$A$1:$BZ$3001,1105,$B$1)="","",IF(ISNUMBER(INDEX(貼り付け!$A$1:$BZ$3001,1105,$B$1)),INT(INDEX(貼り付け!$A$1:$BZ$3001,1105,$B$1)),DATE(VALUE(LEFT(I1106,FIND("-",I1106)-1)),VALUE(LEFT(J1106,FIND("-",J1106)-1)),VALUE(MID(J1106,FIND("-",J1106)+1,99)))))),"")</f>
        <v/>
      </c>
      <c r="C1106">
        <f>IF($C$1=0,0,IFERROR(VALUE(SUBSTITUTE(SUBSTITUTE(SUBSTITUTE(INDEX(貼り付け!$A$1:$BZ$3001,1105,$C$1)&amp;"",",",""),"¥",""),"￥","")),0))</f>
        <v/>
      </c>
      <c r="D1106">
        <f>IF($D$1=0,0,IFERROR(VALUE(SUBSTITUTE(SUBSTITUTE(SUBSTITUTE(INDEX(貼り付け!$A$1:$BZ$3001,1105,$D$1)&amp;"",",",""),"¥",""),"￥","")),0))</f>
        <v/>
      </c>
      <c r="E1106">
        <f>IF($E$1=0,0,IFERROR(VALUE(SUBSTITUTE(SUBSTITUTE(SUBSTITUTE(INDEX(貼り付け!$A$1:$BZ$3001,1105,$E$1)&amp;"",",",""),"¥",""),"￥","")),0))</f>
        <v/>
      </c>
      <c r="F1106">
        <f>IF($F$1=0,0,IFERROR(VALUE(SUBSTITUTE(SUBSTITUTE(SUBSTITUTE(INDEX(貼り付け!$A$1:$BZ$3001,1105,$F$1)&amp;"",",",""),"¥",""),"￥","")),0))</f>
        <v/>
      </c>
      <c r="G1106">
        <f>IF(ISNUMBER(B1106),YEAR(B1106),"")</f>
        <v/>
      </c>
      <c r="H1106">
        <f>IF(ISNUMBER(B1106),MONTH(B1106),"")</f>
        <v/>
      </c>
      <c r="I1106">
        <f>IFERROR(IF($B$1=0,"",IF(ISNUMBER(INDEX(貼り付け!$A$1:$BZ$3001,1105,$B$1)),"",SUBSTITUTE(SUBSTITUTE(SUBSTITUTE(SUBSTITUTE(TRIM(LEFT(INDEX(貼り付け!$A$1:$BZ$3001,1105,$B$1)&amp;"",FIND(" ",TRIM(INDEX(貼り付け!$A$1:$BZ$3001,1105,$B$1)&amp;"")&amp;" ")-1)),"/","-"),"年","-"),"月","-"),"日",""))),"")</f>
        <v/>
      </c>
      <c r="J1106">
        <f>IFERROR(MID(I1106,FIND("-",I1106)+1,99),"")</f>
        <v/>
      </c>
    </row>
    <row r="1107">
      <c r="B1107">
        <f>IFERROR(IF($B$1=0,"",IF(INDEX(貼り付け!$A$1:$BZ$3001,1106,$B$1)="","",IF(ISNUMBER(INDEX(貼り付け!$A$1:$BZ$3001,1106,$B$1)),INT(INDEX(貼り付け!$A$1:$BZ$3001,1106,$B$1)),DATE(VALUE(LEFT(I1107,FIND("-",I1107)-1)),VALUE(LEFT(J1107,FIND("-",J1107)-1)),VALUE(MID(J1107,FIND("-",J1107)+1,99)))))),"")</f>
        <v/>
      </c>
      <c r="C1107">
        <f>IF($C$1=0,0,IFERROR(VALUE(SUBSTITUTE(SUBSTITUTE(SUBSTITUTE(INDEX(貼り付け!$A$1:$BZ$3001,1106,$C$1)&amp;"",",",""),"¥",""),"￥","")),0))</f>
        <v/>
      </c>
      <c r="D1107">
        <f>IF($D$1=0,0,IFERROR(VALUE(SUBSTITUTE(SUBSTITUTE(SUBSTITUTE(INDEX(貼り付け!$A$1:$BZ$3001,1106,$D$1)&amp;"",",",""),"¥",""),"￥","")),0))</f>
        <v/>
      </c>
      <c r="E1107">
        <f>IF($E$1=0,0,IFERROR(VALUE(SUBSTITUTE(SUBSTITUTE(SUBSTITUTE(INDEX(貼り付け!$A$1:$BZ$3001,1106,$E$1)&amp;"",",",""),"¥",""),"￥","")),0))</f>
        <v/>
      </c>
      <c r="F1107">
        <f>IF($F$1=0,0,IFERROR(VALUE(SUBSTITUTE(SUBSTITUTE(SUBSTITUTE(INDEX(貼り付け!$A$1:$BZ$3001,1106,$F$1)&amp;"",",",""),"¥",""),"￥","")),0))</f>
        <v/>
      </c>
      <c r="G1107">
        <f>IF(ISNUMBER(B1107),YEAR(B1107),"")</f>
        <v/>
      </c>
      <c r="H1107">
        <f>IF(ISNUMBER(B1107),MONTH(B1107),"")</f>
        <v/>
      </c>
      <c r="I1107">
        <f>IFERROR(IF($B$1=0,"",IF(ISNUMBER(INDEX(貼り付け!$A$1:$BZ$3001,1106,$B$1)),"",SUBSTITUTE(SUBSTITUTE(SUBSTITUTE(SUBSTITUTE(TRIM(LEFT(INDEX(貼り付け!$A$1:$BZ$3001,1106,$B$1)&amp;"",FIND(" ",TRIM(INDEX(貼り付け!$A$1:$BZ$3001,1106,$B$1)&amp;"")&amp;" ")-1)),"/","-"),"年","-"),"月","-"),"日",""))),"")</f>
        <v/>
      </c>
      <c r="J1107">
        <f>IFERROR(MID(I1107,FIND("-",I1107)+1,99),"")</f>
        <v/>
      </c>
    </row>
    <row r="1108">
      <c r="B1108">
        <f>IFERROR(IF($B$1=0,"",IF(INDEX(貼り付け!$A$1:$BZ$3001,1107,$B$1)="","",IF(ISNUMBER(INDEX(貼り付け!$A$1:$BZ$3001,1107,$B$1)),INT(INDEX(貼り付け!$A$1:$BZ$3001,1107,$B$1)),DATE(VALUE(LEFT(I1108,FIND("-",I1108)-1)),VALUE(LEFT(J1108,FIND("-",J1108)-1)),VALUE(MID(J1108,FIND("-",J1108)+1,99)))))),"")</f>
        <v/>
      </c>
      <c r="C1108">
        <f>IF($C$1=0,0,IFERROR(VALUE(SUBSTITUTE(SUBSTITUTE(SUBSTITUTE(INDEX(貼り付け!$A$1:$BZ$3001,1107,$C$1)&amp;"",",",""),"¥",""),"￥","")),0))</f>
        <v/>
      </c>
      <c r="D1108">
        <f>IF($D$1=0,0,IFERROR(VALUE(SUBSTITUTE(SUBSTITUTE(SUBSTITUTE(INDEX(貼り付け!$A$1:$BZ$3001,1107,$D$1)&amp;"",",",""),"¥",""),"￥","")),0))</f>
        <v/>
      </c>
      <c r="E1108">
        <f>IF($E$1=0,0,IFERROR(VALUE(SUBSTITUTE(SUBSTITUTE(SUBSTITUTE(INDEX(貼り付け!$A$1:$BZ$3001,1107,$E$1)&amp;"",",",""),"¥",""),"￥","")),0))</f>
        <v/>
      </c>
      <c r="F1108">
        <f>IF($F$1=0,0,IFERROR(VALUE(SUBSTITUTE(SUBSTITUTE(SUBSTITUTE(INDEX(貼り付け!$A$1:$BZ$3001,1107,$F$1)&amp;"",",",""),"¥",""),"￥","")),0))</f>
        <v/>
      </c>
      <c r="G1108">
        <f>IF(ISNUMBER(B1108),YEAR(B1108),"")</f>
        <v/>
      </c>
      <c r="H1108">
        <f>IF(ISNUMBER(B1108),MONTH(B1108),"")</f>
        <v/>
      </c>
      <c r="I1108">
        <f>IFERROR(IF($B$1=0,"",IF(ISNUMBER(INDEX(貼り付け!$A$1:$BZ$3001,1107,$B$1)),"",SUBSTITUTE(SUBSTITUTE(SUBSTITUTE(SUBSTITUTE(TRIM(LEFT(INDEX(貼り付け!$A$1:$BZ$3001,1107,$B$1)&amp;"",FIND(" ",TRIM(INDEX(貼り付け!$A$1:$BZ$3001,1107,$B$1)&amp;"")&amp;" ")-1)),"/","-"),"年","-"),"月","-"),"日",""))),"")</f>
        <v/>
      </c>
      <c r="J1108">
        <f>IFERROR(MID(I1108,FIND("-",I1108)+1,99),"")</f>
        <v/>
      </c>
    </row>
    <row r="1109">
      <c r="B1109">
        <f>IFERROR(IF($B$1=0,"",IF(INDEX(貼り付け!$A$1:$BZ$3001,1108,$B$1)="","",IF(ISNUMBER(INDEX(貼り付け!$A$1:$BZ$3001,1108,$B$1)),INT(INDEX(貼り付け!$A$1:$BZ$3001,1108,$B$1)),DATE(VALUE(LEFT(I1109,FIND("-",I1109)-1)),VALUE(LEFT(J1109,FIND("-",J1109)-1)),VALUE(MID(J1109,FIND("-",J1109)+1,99)))))),"")</f>
        <v/>
      </c>
      <c r="C1109">
        <f>IF($C$1=0,0,IFERROR(VALUE(SUBSTITUTE(SUBSTITUTE(SUBSTITUTE(INDEX(貼り付け!$A$1:$BZ$3001,1108,$C$1)&amp;"",",",""),"¥",""),"￥","")),0))</f>
        <v/>
      </c>
      <c r="D1109">
        <f>IF($D$1=0,0,IFERROR(VALUE(SUBSTITUTE(SUBSTITUTE(SUBSTITUTE(INDEX(貼り付け!$A$1:$BZ$3001,1108,$D$1)&amp;"",",",""),"¥",""),"￥","")),0))</f>
        <v/>
      </c>
      <c r="E1109">
        <f>IF($E$1=0,0,IFERROR(VALUE(SUBSTITUTE(SUBSTITUTE(SUBSTITUTE(INDEX(貼り付け!$A$1:$BZ$3001,1108,$E$1)&amp;"",",",""),"¥",""),"￥","")),0))</f>
        <v/>
      </c>
      <c r="F1109">
        <f>IF($F$1=0,0,IFERROR(VALUE(SUBSTITUTE(SUBSTITUTE(SUBSTITUTE(INDEX(貼り付け!$A$1:$BZ$3001,1108,$F$1)&amp;"",",",""),"¥",""),"￥","")),0))</f>
        <v/>
      </c>
      <c r="G1109">
        <f>IF(ISNUMBER(B1109),YEAR(B1109),"")</f>
        <v/>
      </c>
      <c r="H1109">
        <f>IF(ISNUMBER(B1109),MONTH(B1109),"")</f>
        <v/>
      </c>
      <c r="I1109">
        <f>IFERROR(IF($B$1=0,"",IF(ISNUMBER(INDEX(貼り付け!$A$1:$BZ$3001,1108,$B$1)),"",SUBSTITUTE(SUBSTITUTE(SUBSTITUTE(SUBSTITUTE(TRIM(LEFT(INDEX(貼り付け!$A$1:$BZ$3001,1108,$B$1)&amp;"",FIND(" ",TRIM(INDEX(貼り付け!$A$1:$BZ$3001,1108,$B$1)&amp;"")&amp;" ")-1)),"/","-"),"年","-"),"月","-"),"日",""))),"")</f>
        <v/>
      </c>
      <c r="J1109">
        <f>IFERROR(MID(I1109,FIND("-",I1109)+1,99),"")</f>
        <v/>
      </c>
    </row>
    <row r="1110">
      <c r="B1110">
        <f>IFERROR(IF($B$1=0,"",IF(INDEX(貼り付け!$A$1:$BZ$3001,1109,$B$1)="","",IF(ISNUMBER(INDEX(貼り付け!$A$1:$BZ$3001,1109,$B$1)),INT(INDEX(貼り付け!$A$1:$BZ$3001,1109,$B$1)),DATE(VALUE(LEFT(I1110,FIND("-",I1110)-1)),VALUE(LEFT(J1110,FIND("-",J1110)-1)),VALUE(MID(J1110,FIND("-",J1110)+1,99)))))),"")</f>
        <v/>
      </c>
      <c r="C1110">
        <f>IF($C$1=0,0,IFERROR(VALUE(SUBSTITUTE(SUBSTITUTE(SUBSTITUTE(INDEX(貼り付け!$A$1:$BZ$3001,1109,$C$1)&amp;"",",",""),"¥",""),"￥","")),0))</f>
        <v/>
      </c>
      <c r="D1110">
        <f>IF($D$1=0,0,IFERROR(VALUE(SUBSTITUTE(SUBSTITUTE(SUBSTITUTE(INDEX(貼り付け!$A$1:$BZ$3001,1109,$D$1)&amp;"",",",""),"¥",""),"￥","")),0))</f>
        <v/>
      </c>
      <c r="E1110">
        <f>IF($E$1=0,0,IFERROR(VALUE(SUBSTITUTE(SUBSTITUTE(SUBSTITUTE(INDEX(貼り付け!$A$1:$BZ$3001,1109,$E$1)&amp;"",",",""),"¥",""),"￥","")),0))</f>
        <v/>
      </c>
      <c r="F1110">
        <f>IF($F$1=0,0,IFERROR(VALUE(SUBSTITUTE(SUBSTITUTE(SUBSTITUTE(INDEX(貼り付け!$A$1:$BZ$3001,1109,$F$1)&amp;"",",",""),"¥",""),"￥","")),0))</f>
        <v/>
      </c>
      <c r="G1110">
        <f>IF(ISNUMBER(B1110),YEAR(B1110),"")</f>
        <v/>
      </c>
      <c r="H1110">
        <f>IF(ISNUMBER(B1110),MONTH(B1110),"")</f>
        <v/>
      </c>
      <c r="I1110">
        <f>IFERROR(IF($B$1=0,"",IF(ISNUMBER(INDEX(貼り付け!$A$1:$BZ$3001,1109,$B$1)),"",SUBSTITUTE(SUBSTITUTE(SUBSTITUTE(SUBSTITUTE(TRIM(LEFT(INDEX(貼り付け!$A$1:$BZ$3001,1109,$B$1)&amp;"",FIND(" ",TRIM(INDEX(貼り付け!$A$1:$BZ$3001,1109,$B$1)&amp;"")&amp;" ")-1)),"/","-"),"年","-"),"月","-"),"日",""))),"")</f>
        <v/>
      </c>
      <c r="J1110">
        <f>IFERROR(MID(I1110,FIND("-",I1110)+1,99),"")</f>
        <v/>
      </c>
    </row>
    <row r="1111">
      <c r="B1111">
        <f>IFERROR(IF($B$1=0,"",IF(INDEX(貼り付け!$A$1:$BZ$3001,1110,$B$1)="","",IF(ISNUMBER(INDEX(貼り付け!$A$1:$BZ$3001,1110,$B$1)),INT(INDEX(貼り付け!$A$1:$BZ$3001,1110,$B$1)),DATE(VALUE(LEFT(I1111,FIND("-",I1111)-1)),VALUE(LEFT(J1111,FIND("-",J1111)-1)),VALUE(MID(J1111,FIND("-",J1111)+1,99)))))),"")</f>
        <v/>
      </c>
      <c r="C1111">
        <f>IF($C$1=0,0,IFERROR(VALUE(SUBSTITUTE(SUBSTITUTE(SUBSTITUTE(INDEX(貼り付け!$A$1:$BZ$3001,1110,$C$1)&amp;"",",",""),"¥",""),"￥","")),0))</f>
        <v/>
      </c>
      <c r="D1111">
        <f>IF($D$1=0,0,IFERROR(VALUE(SUBSTITUTE(SUBSTITUTE(SUBSTITUTE(INDEX(貼り付け!$A$1:$BZ$3001,1110,$D$1)&amp;"",",",""),"¥",""),"￥","")),0))</f>
        <v/>
      </c>
      <c r="E1111">
        <f>IF($E$1=0,0,IFERROR(VALUE(SUBSTITUTE(SUBSTITUTE(SUBSTITUTE(INDEX(貼り付け!$A$1:$BZ$3001,1110,$E$1)&amp;"",",",""),"¥",""),"￥","")),0))</f>
        <v/>
      </c>
      <c r="F1111">
        <f>IF($F$1=0,0,IFERROR(VALUE(SUBSTITUTE(SUBSTITUTE(SUBSTITUTE(INDEX(貼り付け!$A$1:$BZ$3001,1110,$F$1)&amp;"",",",""),"¥",""),"￥","")),0))</f>
        <v/>
      </c>
      <c r="G1111">
        <f>IF(ISNUMBER(B1111),YEAR(B1111),"")</f>
        <v/>
      </c>
      <c r="H1111">
        <f>IF(ISNUMBER(B1111),MONTH(B1111),"")</f>
        <v/>
      </c>
      <c r="I1111">
        <f>IFERROR(IF($B$1=0,"",IF(ISNUMBER(INDEX(貼り付け!$A$1:$BZ$3001,1110,$B$1)),"",SUBSTITUTE(SUBSTITUTE(SUBSTITUTE(SUBSTITUTE(TRIM(LEFT(INDEX(貼り付け!$A$1:$BZ$3001,1110,$B$1)&amp;"",FIND(" ",TRIM(INDEX(貼り付け!$A$1:$BZ$3001,1110,$B$1)&amp;"")&amp;" ")-1)),"/","-"),"年","-"),"月","-"),"日",""))),"")</f>
        <v/>
      </c>
      <c r="J1111">
        <f>IFERROR(MID(I1111,FIND("-",I1111)+1,99),"")</f>
        <v/>
      </c>
    </row>
    <row r="1112">
      <c r="B1112">
        <f>IFERROR(IF($B$1=0,"",IF(INDEX(貼り付け!$A$1:$BZ$3001,1111,$B$1)="","",IF(ISNUMBER(INDEX(貼り付け!$A$1:$BZ$3001,1111,$B$1)),INT(INDEX(貼り付け!$A$1:$BZ$3001,1111,$B$1)),DATE(VALUE(LEFT(I1112,FIND("-",I1112)-1)),VALUE(LEFT(J1112,FIND("-",J1112)-1)),VALUE(MID(J1112,FIND("-",J1112)+1,99)))))),"")</f>
        <v/>
      </c>
      <c r="C1112">
        <f>IF($C$1=0,0,IFERROR(VALUE(SUBSTITUTE(SUBSTITUTE(SUBSTITUTE(INDEX(貼り付け!$A$1:$BZ$3001,1111,$C$1)&amp;"",",",""),"¥",""),"￥","")),0))</f>
        <v/>
      </c>
      <c r="D1112">
        <f>IF($D$1=0,0,IFERROR(VALUE(SUBSTITUTE(SUBSTITUTE(SUBSTITUTE(INDEX(貼り付け!$A$1:$BZ$3001,1111,$D$1)&amp;"",",",""),"¥",""),"￥","")),0))</f>
        <v/>
      </c>
      <c r="E1112">
        <f>IF($E$1=0,0,IFERROR(VALUE(SUBSTITUTE(SUBSTITUTE(SUBSTITUTE(INDEX(貼り付け!$A$1:$BZ$3001,1111,$E$1)&amp;"",",",""),"¥",""),"￥","")),0))</f>
        <v/>
      </c>
      <c r="F1112">
        <f>IF($F$1=0,0,IFERROR(VALUE(SUBSTITUTE(SUBSTITUTE(SUBSTITUTE(INDEX(貼り付け!$A$1:$BZ$3001,1111,$F$1)&amp;"",",",""),"¥",""),"￥","")),0))</f>
        <v/>
      </c>
      <c r="G1112">
        <f>IF(ISNUMBER(B1112),YEAR(B1112),"")</f>
        <v/>
      </c>
      <c r="H1112">
        <f>IF(ISNUMBER(B1112),MONTH(B1112),"")</f>
        <v/>
      </c>
      <c r="I1112">
        <f>IFERROR(IF($B$1=0,"",IF(ISNUMBER(INDEX(貼り付け!$A$1:$BZ$3001,1111,$B$1)),"",SUBSTITUTE(SUBSTITUTE(SUBSTITUTE(SUBSTITUTE(TRIM(LEFT(INDEX(貼り付け!$A$1:$BZ$3001,1111,$B$1)&amp;"",FIND(" ",TRIM(INDEX(貼り付け!$A$1:$BZ$3001,1111,$B$1)&amp;"")&amp;" ")-1)),"/","-"),"年","-"),"月","-"),"日",""))),"")</f>
        <v/>
      </c>
      <c r="J1112">
        <f>IFERROR(MID(I1112,FIND("-",I1112)+1,99),"")</f>
        <v/>
      </c>
    </row>
    <row r="1113">
      <c r="B1113">
        <f>IFERROR(IF($B$1=0,"",IF(INDEX(貼り付け!$A$1:$BZ$3001,1112,$B$1)="","",IF(ISNUMBER(INDEX(貼り付け!$A$1:$BZ$3001,1112,$B$1)),INT(INDEX(貼り付け!$A$1:$BZ$3001,1112,$B$1)),DATE(VALUE(LEFT(I1113,FIND("-",I1113)-1)),VALUE(LEFT(J1113,FIND("-",J1113)-1)),VALUE(MID(J1113,FIND("-",J1113)+1,99)))))),"")</f>
        <v/>
      </c>
      <c r="C1113">
        <f>IF($C$1=0,0,IFERROR(VALUE(SUBSTITUTE(SUBSTITUTE(SUBSTITUTE(INDEX(貼り付け!$A$1:$BZ$3001,1112,$C$1)&amp;"",",",""),"¥",""),"￥","")),0))</f>
        <v/>
      </c>
      <c r="D1113">
        <f>IF($D$1=0,0,IFERROR(VALUE(SUBSTITUTE(SUBSTITUTE(SUBSTITUTE(INDEX(貼り付け!$A$1:$BZ$3001,1112,$D$1)&amp;"",",",""),"¥",""),"￥","")),0))</f>
        <v/>
      </c>
      <c r="E1113">
        <f>IF($E$1=0,0,IFERROR(VALUE(SUBSTITUTE(SUBSTITUTE(SUBSTITUTE(INDEX(貼り付け!$A$1:$BZ$3001,1112,$E$1)&amp;"",",",""),"¥",""),"￥","")),0))</f>
        <v/>
      </c>
      <c r="F1113">
        <f>IF($F$1=0,0,IFERROR(VALUE(SUBSTITUTE(SUBSTITUTE(SUBSTITUTE(INDEX(貼り付け!$A$1:$BZ$3001,1112,$F$1)&amp;"",",",""),"¥",""),"￥","")),0))</f>
        <v/>
      </c>
      <c r="G1113">
        <f>IF(ISNUMBER(B1113),YEAR(B1113),"")</f>
        <v/>
      </c>
      <c r="H1113">
        <f>IF(ISNUMBER(B1113),MONTH(B1113),"")</f>
        <v/>
      </c>
      <c r="I1113">
        <f>IFERROR(IF($B$1=0,"",IF(ISNUMBER(INDEX(貼り付け!$A$1:$BZ$3001,1112,$B$1)),"",SUBSTITUTE(SUBSTITUTE(SUBSTITUTE(SUBSTITUTE(TRIM(LEFT(INDEX(貼り付け!$A$1:$BZ$3001,1112,$B$1)&amp;"",FIND(" ",TRIM(INDEX(貼り付け!$A$1:$BZ$3001,1112,$B$1)&amp;"")&amp;" ")-1)),"/","-"),"年","-"),"月","-"),"日",""))),"")</f>
        <v/>
      </c>
      <c r="J1113">
        <f>IFERROR(MID(I1113,FIND("-",I1113)+1,99),"")</f>
        <v/>
      </c>
    </row>
    <row r="1114">
      <c r="B1114">
        <f>IFERROR(IF($B$1=0,"",IF(INDEX(貼り付け!$A$1:$BZ$3001,1113,$B$1)="","",IF(ISNUMBER(INDEX(貼り付け!$A$1:$BZ$3001,1113,$B$1)),INT(INDEX(貼り付け!$A$1:$BZ$3001,1113,$B$1)),DATE(VALUE(LEFT(I1114,FIND("-",I1114)-1)),VALUE(LEFT(J1114,FIND("-",J1114)-1)),VALUE(MID(J1114,FIND("-",J1114)+1,99)))))),"")</f>
        <v/>
      </c>
      <c r="C1114">
        <f>IF($C$1=0,0,IFERROR(VALUE(SUBSTITUTE(SUBSTITUTE(SUBSTITUTE(INDEX(貼り付け!$A$1:$BZ$3001,1113,$C$1)&amp;"",",",""),"¥",""),"￥","")),0))</f>
        <v/>
      </c>
      <c r="D1114">
        <f>IF($D$1=0,0,IFERROR(VALUE(SUBSTITUTE(SUBSTITUTE(SUBSTITUTE(INDEX(貼り付け!$A$1:$BZ$3001,1113,$D$1)&amp;"",",",""),"¥",""),"￥","")),0))</f>
        <v/>
      </c>
      <c r="E1114">
        <f>IF($E$1=0,0,IFERROR(VALUE(SUBSTITUTE(SUBSTITUTE(SUBSTITUTE(INDEX(貼り付け!$A$1:$BZ$3001,1113,$E$1)&amp;"",",",""),"¥",""),"￥","")),0))</f>
        <v/>
      </c>
      <c r="F1114">
        <f>IF($F$1=0,0,IFERROR(VALUE(SUBSTITUTE(SUBSTITUTE(SUBSTITUTE(INDEX(貼り付け!$A$1:$BZ$3001,1113,$F$1)&amp;"",",",""),"¥",""),"￥","")),0))</f>
        <v/>
      </c>
      <c r="G1114">
        <f>IF(ISNUMBER(B1114),YEAR(B1114),"")</f>
        <v/>
      </c>
      <c r="H1114">
        <f>IF(ISNUMBER(B1114),MONTH(B1114),"")</f>
        <v/>
      </c>
      <c r="I1114">
        <f>IFERROR(IF($B$1=0,"",IF(ISNUMBER(INDEX(貼り付け!$A$1:$BZ$3001,1113,$B$1)),"",SUBSTITUTE(SUBSTITUTE(SUBSTITUTE(SUBSTITUTE(TRIM(LEFT(INDEX(貼り付け!$A$1:$BZ$3001,1113,$B$1)&amp;"",FIND(" ",TRIM(INDEX(貼り付け!$A$1:$BZ$3001,1113,$B$1)&amp;"")&amp;" ")-1)),"/","-"),"年","-"),"月","-"),"日",""))),"")</f>
        <v/>
      </c>
      <c r="J1114">
        <f>IFERROR(MID(I1114,FIND("-",I1114)+1,99),"")</f>
        <v/>
      </c>
    </row>
    <row r="1115">
      <c r="B1115">
        <f>IFERROR(IF($B$1=0,"",IF(INDEX(貼り付け!$A$1:$BZ$3001,1114,$B$1)="","",IF(ISNUMBER(INDEX(貼り付け!$A$1:$BZ$3001,1114,$B$1)),INT(INDEX(貼り付け!$A$1:$BZ$3001,1114,$B$1)),DATE(VALUE(LEFT(I1115,FIND("-",I1115)-1)),VALUE(LEFT(J1115,FIND("-",J1115)-1)),VALUE(MID(J1115,FIND("-",J1115)+1,99)))))),"")</f>
        <v/>
      </c>
      <c r="C1115">
        <f>IF($C$1=0,0,IFERROR(VALUE(SUBSTITUTE(SUBSTITUTE(SUBSTITUTE(INDEX(貼り付け!$A$1:$BZ$3001,1114,$C$1)&amp;"",",",""),"¥",""),"￥","")),0))</f>
        <v/>
      </c>
      <c r="D1115">
        <f>IF($D$1=0,0,IFERROR(VALUE(SUBSTITUTE(SUBSTITUTE(SUBSTITUTE(INDEX(貼り付け!$A$1:$BZ$3001,1114,$D$1)&amp;"",",",""),"¥",""),"￥","")),0))</f>
        <v/>
      </c>
      <c r="E1115">
        <f>IF($E$1=0,0,IFERROR(VALUE(SUBSTITUTE(SUBSTITUTE(SUBSTITUTE(INDEX(貼り付け!$A$1:$BZ$3001,1114,$E$1)&amp;"",",",""),"¥",""),"￥","")),0))</f>
        <v/>
      </c>
      <c r="F1115">
        <f>IF($F$1=0,0,IFERROR(VALUE(SUBSTITUTE(SUBSTITUTE(SUBSTITUTE(INDEX(貼り付け!$A$1:$BZ$3001,1114,$F$1)&amp;"",",",""),"¥",""),"￥","")),0))</f>
        <v/>
      </c>
      <c r="G1115">
        <f>IF(ISNUMBER(B1115),YEAR(B1115),"")</f>
        <v/>
      </c>
      <c r="H1115">
        <f>IF(ISNUMBER(B1115),MONTH(B1115),"")</f>
        <v/>
      </c>
      <c r="I1115">
        <f>IFERROR(IF($B$1=0,"",IF(ISNUMBER(INDEX(貼り付け!$A$1:$BZ$3001,1114,$B$1)),"",SUBSTITUTE(SUBSTITUTE(SUBSTITUTE(SUBSTITUTE(TRIM(LEFT(INDEX(貼り付け!$A$1:$BZ$3001,1114,$B$1)&amp;"",FIND(" ",TRIM(INDEX(貼り付け!$A$1:$BZ$3001,1114,$B$1)&amp;"")&amp;" ")-1)),"/","-"),"年","-"),"月","-"),"日",""))),"")</f>
        <v/>
      </c>
      <c r="J1115">
        <f>IFERROR(MID(I1115,FIND("-",I1115)+1,99),"")</f>
        <v/>
      </c>
    </row>
    <row r="1116">
      <c r="B1116">
        <f>IFERROR(IF($B$1=0,"",IF(INDEX(貼り付け!$A$1:$BZ$3001,1115,$B$1)="","",IF(ISNUMBER(INDEX(貼り付け!$A$1:$BZ$3001,1115,$B$1)),INT(INDEX(貼り付け!$A$1:$BZ$3001,1115,$B$1)),DATE(VALUE(LEFT(I1116,FIND("-",I1116)-1)),VALUE(LEFT(J1116,FIND("-",J1116)-1)),VALUE(MID(J1116,FIND("-",J1116)+1,99)))))),"")</f>
        <v/>
      </c>
      <c r="C1116">
        <f>IF($C$1=0,0,IFERROR(VALUE(SUBSTITUTE(SUBSTITUTE(SUBSTITUTE(INDEX(貼り付け!$A$1:$BZ$3001,1115,$C$1)&amp;"",",",""),"¥",""),"￥","")),0))</f>
        <v/>
      </c>
      <c r="D1116">
        <f>IF($D$1=0,0,IFERROR(VALUE(SUBSTITUTE(SUBSTITUTE(SUBSTITUTE(INDEX(貼り付け!$A$1:$BZ$3001,1115,$D$1)&amp;"",",",""),"¥",""),"￥","")),0))</f>
        <v/>
      </c>
      <c r="E1116">
        <f>IF($E$1=0,0,IFERROR(VALUE(SUBSTITUTE(SUBSTITUTE(SUBSTITUTE(INDEX(貼り付け!$A$1:$BZ$3001,1115,$E$1)&amp;"",",",""),"¥",""),"￥","")),0))</f>
        <v/>
      </c>
      <c r="F1116">
        <f>IF($F$1=0,0,IFERROR(VALUE(SUBSTITUTE(SUBSTITUTE(SUBSTITUTE(INDEX(貼り付け!$A$1:$BZ$3001,1115,$F$1)&amp;"",",",""),"¥",""),"￥","")),0))</f>
        <v/>
      </c>
      <c r="G1116">
        <f>IF(ISNUMBER(B1116),YEAR(B1116),"")</f>
        <v/>
      </c>
      <c r="H1116">
        <f>IF(ISNUMBER(B1116),MONTH(B1116),"")</f>
        <v/>
      </c>
      <c r="I1116">
        <f>IFERROR(IF($B$1=0,"",IF(ISNUMBER(INDEX(貼り付け!$A$1:$BZ$3001,1115,$B$1)),"",SUBSTITUTE(SUBSTITUTE(SUBSTITUTE(SUBSTITUTE(TRIM(LEFT(INDEX(貼り付け!$A$1:$BZ$3001,1115,$B$1)&amp;"",FIND(" ",TRIM(INDEX(貼り付け!$A$1:$BZ$3001,1115,$B$1)&amp;"")&amp;" ")-1)),"/","-"),"年","-"),"月","-"),"日",""))),"")</f>
        <v/>
      </c>
      <c r="J1116">
        <f>IFERROR(MID(I1116,FIND("-",I1116)+1,99),"")</f>
        <v/>
      </c>
    </row>
    <row r="1117">
      <c r="B1117">
        <f>IFERROR(IF($B$1=0,"",IF(INDEX(貼り付け!$A$1:$BZ$3001,1116,$B$1)="","",IF(ISNUMBER(INDEX(貼り付け!$A$1:$BZ$3001,1116,$B$1)),INT(INDEX(貼り付け!$A$1:$BZ$3001,1116,$B$1)),DATE(VALUE(LEFT(I1117,FIND("-",I1117)-1)),VALUE(LEFT(J1117,FIND("-",J1117)-1)),VALUE(MID(J1117,FIND("-",J1117)+1,99)))))),"")</f>
        <v/>
      </c>
      <c r="C1117">
        <f>IF($C$1=0,0,IFERROR(VALUE(SUBSTITUTE(SUBSTITUTE(SUBSTITUTE(INDEX(貼り付け!$A$1:$BZ$3001,1116,$C$1)&amp;"",",",""),"¥",""),"￥","")),0))</f>
        <v/>
      </c>
      <c r="D1117">
        <f>IF($D$1=0,0,IFERROR(VALUE(SUBSTITUTE(SUBSTITUTE(SUBSTITUTE(INDEX(貼り付け!$A$1:$BZ$3001,1116,$D$1)&amp;"",",",""),"¥",""),"￥","")),0))</f>
        <v/>
      </c>
      <c r="E1117">
        <f>IF($E$1=0,0,IFERROR(VALUE(SUBSTITUTE(SUBSTITUTE(SUBSTITUTE(INDEX(貼り付け!$A$1:$BZ$3001,1116,$E$1)&amp;"",",",""),"¥",""),"￥","")),0))</f>
        <v/>
      </c>
      <c r="F1117">
        <f>IF($F$1=0,0,IFERROR(VALUE(SUBSTITUTE(SUBSTITUTE(SUBSTITUTE(INDEX(貼り付け!$A$1:$BZ$3001,1116,$F$1)&amp;"",",",""),"¥",""),"￥","")),0))</f>
        <v/>
      </c>
      <c r="G1117">
        <f>IF(ISNUMBER(B1117),YEAR(B1117),"")</f>
        <v/>
      </c>
      <c r="H1117">
        <f>IF(ISNUMBER(B1117),MONTH(B1117),"")</f>
        <v/>
      </c>
      <c r="I1117">
        <f>IFERROR(IF($B$1=0,"",IF(ISNUMBER(INDEX(貼り付け!$A$1:$BZ$3001,1116,$B$1)),"",SUBSTITUTE(SUBSTITUTE(SUBSTITUTE(SUBSTITUTE(TRIM(LEFT(INDEX(貼り付け!$A$1:$BZ$3001,1116,$B$1)&amp;"",FIND(" ",TRIM(INDEX(貼り付け!$A$1:$BZ$3001,1116,$B$1)&amp;"")&amp;" ")-1)),"/","-"),"年","-"),"月","-"),"日",""))),"")</f>
        <v/>
      </c>
      <c r="J1117">
        <f>IFERROR(MID(I1117,FIND("-",I1117)+1,99),"")</f>
        <v/>
      </c>
    </row>
    <row r="1118">
      <c r="B1118">
        <f>IFERROR(IF($B$1=0,"",IF(INDEX(貼り付け!$A$1:$BZ$3001,1117,$B$1)="","",IF(ISNUMBER(INDEX(貼り付け!$A$1:$BZ$3001,1117,$B$1)),INT(INDEX(貼り付け!$A$1:$BZ$3001,1117,$B$1)),DATE(VALUE(LEFT(I1118,FIND("-",I1118)-1)),VALUE(LEFT(J1118,FIND("-",J1118)-1)),VALUE(MID(J1118,FIND("-",J1118)+1,99)))))),"")</f>
        <v/>
      </c>
      <c r="C1118">
        <f>IF($C$1=0,0,IFERROR(VALUE(SUBSTITUTE(SUBSTITUTE(SUBSTITUTE(INDEX(貼り付け!$A$1:$BZ$3001,1117,$C$1)&amp;"",",",""),"¥",""),"￥","")),0))</f>
        <v/>
      </c>
      <c r="D1118">
        <f>IF($D$1=0,0,IFERROR(VALUE(SUBSTITUTE(SUBSTITUTE(SUBSTITUTE(INDEX(貼り付け!$A$1:$BZ$3001,1117,$D$1)&amp;"",",",""),"¥",""),"￥","")),0))</f>
        <v/>
      </c>
      <c r="E1118">
        <f>IF($E$1=0,0,IFERROR(VALUE(SUBSTITUTE(SUBSTITUTE(SUBSTITUTE(INDEX(貼り付け!$A$1:$BZ$3001,1117,$E$1)&amp;"",",",""),"¥",""),"￥","")),0))</f>
        <v/>
      </c>
      <c r="F1118">
        <f>IF($F$1=0,0,IFERROR(VALUE(SUBSTITUTE(SUBSTITUTE(SUBSTITUTE(INDEX(貼り付け!$A$1:$BZ$3001,1117,$F$1)&amp;"",",",""),"¥",""),"￥","")),0))</f>
        <v/>
      </c>
      <c r="G1118">
        <f>IF(ISNUMBER(B1118),YEAR(B1118),"")</f>
        <v/>
      </c>
      <c r="H1118">
        <f>IF(ISNUMBER(B1118),MONTH(B1118),"")</f>
        <v/>
      </c>
      <c r="I1118">
        <f>IFERROR(IF($B$1=0,"",IF(ISNUMBER(INDEX(貼り付け!$A$1:$BZ$3001,1117,$B$1)),"",SUBSTITUTE(SUBSTITUTE(SUBSTITUTE(SUBSTITUTE(TRIM(LEFT(INDEX(貼り付け!$A$1:$BZ$3001,1117,$B$1)&amp;"",FIND(" ",TRIM(INDEX(貼り付け!$A$1:$BZ$3001,1117,$B$1)&amp;"")&amp;" ")-1)),"/","-"),"年","-"),"月","-"),"日",""))),"")</f>
        <v/>
      </c>
      <c r="J1118">
        <f>IFERROR(MID(I1118,FIND("-",I1118)+1,99),"")</f>
        <v/>
      </c>
    </row>
    <row r="1119">
      <c r="B1119">
        <f>IFERROR(IF($B$1=0,"",IF(INDEX(貼り付け!$A$1:$BZ$3001,1118,$B$1)="","",IF(ISNUMBER(INDEX(貼り付け!$A$1:$BZ$3001,1118,$B$1)),INT(INDEX(貼り付け!$A$1:$BZ$3001,1118,$B$1)),DATE(VALUE(LEFT(I1119,FIND("-",I1119)-1)),VALUE(LEFT(J1119,FIND("-",J1119)-1)),VALUE(MID(J1119,FIND("-",J1119)+1,99)))))),"")</f>
        <v/>
      </c>
      <c r="C1119">
        <f>IF($C$1=0,0,IFERROR(VALUE(SUBSTITUTE(SUBSTITUTE(SUBSTITUTE(INDEX(貼り付け!$A$1:$BZ$3001,1118,$C$1)&amp;"",",",""),"¥",""),"￥","")),0))</f>
        <v/>
      </c>
      <c r="D1119">
        <f>IF($D$1=0,0,IFERROR(VALUE(SUBSTITUTE(SUBSTITUTE(SUBSTITUTE(INDEX(貼り付け!$A$1:$BZ$3001,1118,$D$1)&amp;"",",",""),"¥",""),"￥","")),0))</f>
        <v/>
      </c>
      <c r="E1119">
        <f>IF($E$1=0,0,IFERROR(VALUE(SUBSTITUTE(SUBSTITUTE(SUBSTITUTE(INDEX(貼り付け!$A$1:$BZ$3001,1118,$E$1)&amp;"",",",""),"¥",""),"￥","")),0))</f>
        <v/>
      </c>
      <c r="F1119">
        <f>IF($F$1=0,0,IFERROR(VALUE(SUBSTITUTE(SUBSTITUTE(SUBSTITUTE(INDEX(貼り付け!$A$1:$BZ$3001,1118,$F$1)&amp;"",",",""),"¥",""),"￥","")),0))</f>
        <v/>
      </c>
      <c r="G1119">
        <f>IF(ISNUMBER(B1119),YEAR(B1119),"")</f>
        <v/>
      </c>
      <c r="H1119">
        <f>IF(ISNUMBER(B1119),MONTH(B1119),"")</f>
        <v/>
      </c>
      <c r="I1119">
        <f>IFERROR(IF($B$1=0,"",IF(ISNUMBER(INDEX(貼り付け!$A$1:$BZ$3001,1118,$B$1)),"",SUBSTITUTE(SUBSTITUTE(SUBSTITUTE(SUBSTITUTE(TRIM(LEFT(INDEX(貼り付け!$A$1:$BZ$3001,1118,$B$1)&amp;"",FIND(" ",TRIM(INDEX(貼り付け!$A$1:$BZ$3001,1118,$B$1)&amp;"")&amp;" ")-1)),"/","-"),"年","-"),"月","-"),"日",""))),"")</f>
        <v/>
      </c>
      <c r="J1119">
        <f>IFERROR(MID(I1119,FIND("-",I1119)+1,99),"")</f>
        <v/>
      </c>
    </row>
    <row r="1120">
      <c r="B1120">
        <f>IFERROR(IF($B$1=0,"",IF(INDEX(貼り付け!$A$1:$BZ$3001,1119,$B$1)="","",IF(ISNUMBER(INDEX(貼り付け!$A$1:$BZ$3001,1119,$B$1)),INT(INDEX(貼り付け!$A$1:$BZ$3001,1119,$B$1)),DATE(VALUE(LEFT(I1120,FIND("-",I1120)-1)),VALUE(LEFT(J1120,FIND("-",J1120)-1)),VALUE(MID(J1120,FIND("-",J1120)+1,99)))))),"")</f>
        <v/>
      </c>
      <c r="C1120">
        <f>IF($C$1=0,0,IFERROR(VALUE(SUBSTITUTE(SUBSTITUTE(SUBSTITUTE(INDEX(貼り付け!$A$1:$BZ$3001,1119,$C$1)&amp;"",",",""),"¥",""),"￥","")),0))</f>
        <v/>
      </c>
      <c r="D1120">
        <f>IF($D$1=0,0,IFERROR(VALUE(SUBSTITUTE(SUBSTITUTE(SUBSTITUTE(INDEX(貼り付け!$A$1:$BZ$3001,1119,$D$1)&amp;"",",",""),"¥",""),"￥","")),0))</f>
        <v/>
      </c>
      <c r="E1120">
        <f>IF($E$1=0,0,IFERROR(VALUE(SUBSTITUTE(SUBSTITUTE(SUBSTITUTE(INDEX(貼り付け!$A$1:$BZ$3001,1119,$E$1)&amp;"",",",""),"¥",""),"￥","")),0))</f>
        <v/>
      </c>
      <c r="F1120">
        <f>IF($F$1=0,0,IFERROR(VALUE(SUBSTITUTE(SUBSTITUTE(SUBSTITUTE(INDEX(貼り付け!$A$1:$BZ$3001,1119,$F$1)&amp;"",",",""),"¥",""),"￥","")),0))</f>
        <v/>
      </c>
      <c r="G1120">
        <f>IF(ISNUMBER(B1120),YEAR(B1120),"")</f>
        <v/>
      </c>
      <c r="H1120">
        <f>IF(ISNUMBER(B1120),MONTH(B1120),"")</f>
        <v/>
      </c>
      <c r="I1120">
        <f>IFERROR(IF($B$1=0,"",IF(ISNUMBER(INDEX(貼り付け!$A$1:$BZ$3001,1119,$B$1)),"",SUBSTITUTE(SUBSTITUTE(SUBSTITUTE(SUBSTITUTE(TRIM(LEFT(INDEX(貼り付け!$A$1:$BZ$3001,1119,$B$1)&amp;"",FIND(" ",TRIM(INDEX(貼り付け!$A$1:$BZ$3001,1119,$B$1)&amp;"")&amp;" ")-1)),"/","-"),"年","-"),"月","-"),"日",""))),"")</f>
        <v/>
      </c>
      <c r="J1120">
        <f>IFERROR(MID(I1120,FIND("-",I1120)+1,99),"")</f>
        <v/>
      </c>
    </row>
    <row r="1121">
      <c r="B1121">
        <f>IFERROR(IF($B$1=0,"",IF(INDEX(貼り付け!$A$1:$BZ$3001,1120,$B$1)="","",IF(ISNUMBER(INDEX(貼り付け!$A$1:$BZ$3001,1120,$B$1)),INT(INDEX(貼り付け!$A$1:$BZ$3001,1120,$B$1)),DATE(VALUE(LEFT(I1121,FIND("-",I1121)-1)),VALUE(LEFT(J1121,FIND("-",J1121)-1)),VALUE(MID(J1121,FIND("-",J1121)+1,99)))))),"")</f>
        <v/>
      </c>
      <c r="C1121">
        <f>IF($C$1=0,0,IFERROR(VALUE(SUBSTITUTE(SUBSTITUTE(SUBSTITUTE(INDEX(貼り付け!$A$1:$BZ$3001,1120,$C$1)&amp;"",",",""),"¥",""),"￥","")),0))</f>
        <v/>
      </c>
      <c r="D1121">
        <f>IF($D$1=0,0,IFERROR(VALUE(SUBSTITUTE(SUBSTITUTE(SUBSTITUTE(INDEX(貼り付け!$A$1:$BZ$3001,1120,$D$1)&amp;"",",",""),"¥",""),"￥","")),0))</f>
        <v/>
      </c>
      <c r="E1121">
        <f>IF($E$1=0,0,IFERROR(VALUE(SUBSTITUTE(SUBSTITUTE(SUBSTITUTE(INDEX(貼り付け!$A$1:$BZ$3001,1120,$E$1)&amp;"",",",""),"¥",""),"￥","")),0))</f>
        <v/>
      </c>
      <c r="F1121">
        <f>IF($F$1=0,0,IFERROR(VALUE(SUBSTITUTE(SUBSTITUTE(SUBSTITUTE(INDEX(貼り付け!$A$1:$BZ$3001,1120,$F$1)&amp;"",",",""),"¥",""),"￥","")),0))</f>
        <v/>
      </c>
      <c r="G1121">
        <f>IF(ISNUMBER(B1121),YEAR(B1121),"")</f>
        <v/>
      </c>
      <c r="H1121">
        <f>IF(ISNUMBER(B1121),MONTH(B1121),"")</f>
        <v/>
      </c>
      <c r="I1121">
        <f>IFERROR(IF($B$1=0,"",IF(ISNUMBER(INDEX(貼り付け!$A$1:$BZ$3001,1120,$B$1)),"",SUBSTITUTE(SUBSTITUTE(SUBSTITUTE(SUBSTITUTE(TRIM(LEFT(INDEX(貼り付け!$A$1:$BZ$3001,1120,$B$1)&amp;"",FIND(" ",TRIM(INDEX(貼り付け!$A$1:$BZ$3001,1120,$B$1)&amp;"")&amp;" ")-1)),"/","-"),"年","-"),"月","-"),"日",""))),"")</f>
        <v/>
      </c>
      <c r="J1121">
        <f>IFERROR(MID(I1121,FIND("-",I1121)+1,99),"")</f>
        <v/>
      </c>
    </row>
    <row r="1122">
      <c r="B1122">
        <f>IFERROR(IF($B$1=0,"",IF(INDEX(貼り付け!$A$1:$BZ$3001,1121,$B$1)="","",IF(ISNUMBER(INDEX(貼り付け!$A$1:$BZ$3001,1121,$B$1)),INT(INDEX(貼り付け!$A$1:$BZ$3001,1121,$B$1)),DATE(VALUE(LEFT(I1122,FIND("-",I1122)-1)),VALUE(LEFT(J1122,FIND("-",J1122)-1)),VALUE(MID(J1122,FIND("-",J1122)+1,99)))))),"")</f>
        <v/>
      </c>
      <c r="C1122">
        <f>IF($C$1=0,0,IFERROR(VALUE(SUBSTITUTE(SUBSTITUTE(SUBSTITUTE(INDEX(貼り付け!$A$1:$BZ$3001,1121,$C$1)&amp;"",",",""),"¥",""),"￥","")),0))</f>
        <v/>
      </c>
      <c r="D1122">
        <f>IF($D$1=0,0,IFERROR(VALUE(SUBSTITUTE(SUBSTITUTE(SUBSTITUTE(INDEX(貼り付け!$A$1:$BZ$3001,1121,$D$1)&amp;"",",",""),"¥",""),"￥","")),0))</f>
        <v/>
      </c>
      <c r="E1122">
        <f>IF($E$1=0,0,IFERROR(VALUE(SUBSTITUTE(SUBSTITUTE(SUBSTITUTE(INDEX(貼り付け!$A$1:$BZ$3001,1121,$E$1)&amp;"",",",""),"¥",""),"￥","")),0))</f>
        <v/>
      </c>
      <c r="F1122">
        <f>IF($F$1=0,0,IFERROR(VALUE(SUBSTITUTE(SUBSTITUTE(SUBSTITUTE(INDEX(貼り付け!$A$1:$BZ$3001,1121,$F$1)&amp;"",",",""),"¥",""),"￥","")),0))</f>
        <v/>
      </c>
      <c r="G1122">
        <f>IF(ISNUMBER(B1122),YEAR(B1122),"")</f>
        <v/>
      </c>
      <c r="H1122">
        <f>IF(ISNUMBER(B1122),MONTH(B1122),"")</f>
        <v/>
      </c>
      <c r="I1122">
        <f>IFERROR(IF($B$1=0,"",IF(ISNUMBER(INDEX(貼り付け!$A$1:$BZ$3001,1121,$B$1)),"",SUBSTITUTE(SUBSTITUTE(SUBSTITUTE(SUBSTITUTE(TRIM(LEFT(INDEX(貼り付け!$A$1:$BZ$3001,1121,$B$1)&amp;"",FIND(" ",TRIM(INDEX(貼り付け!$A$1:$BZ$3001,1121,$B$1)&amp;"")&amp;" ")-1)),"/","-"),"年","-"),"月","-"),"日",""))),"")</f>
        <v/>
      </c>
      <c r="J1122">
        <f>IFERROR(MID(I1122,FIND("-",I1122)+1,99),"")</f>
        <v/>
      </c>
    </row>
    <row r="1123">
      <c r="B1123">
        <f>IFERROR(IF($B$1=0,"",IF(INDEX(貼り付け!$A$1:$BZ$3001,1122,$B$1)="","",IF(ISNUMBER(INDEX(貼り付け!$A$1:$BZ$3001,1122,$B$1)),INT(INDEX(貼り付け!$A$1:$BZ$3001,1122,$B$1)),DATE(VALUE(LEFT(I1123,FIND("-",I1123)-1)),VALUE(LEFT(J1123,FIND("-",J1123)-1)),VALUE(MID(J1123,FIND("-",J1123)+1,99)))))),"")</f>
        <v/>
      </c>
      <c r="C1123">
        <f>IF($C$1=0,0,IFERROR(VALUE(SUBSTITUTE(SUBSTITUTE(SUBSTITUTE(INDEX(貼り付け!$A$1:$BZ$3001,1122,$C$1)&amp;"",",",""),"¥",""),"￥","")),0))</f>
        <v/>
      </c>
      <c r="D1123">
        <f>IF($D$1=0,0,IFERROR(VALUE(SUBSTITUTE(SUBSTITUTE(SUBSTITUTE(INDEX(貼り付け!$A$1:$BZ$3001,1122,$D$1)&amp;"",",",""),"¥",""),"￥","")),0))</f>
        <v/>
      </c>
      <c r="E1123">
        <f>IF($E$1=0,0,IFERROR(VALUE(SUBSTITUTE(SUBSTITUTE(SUBSTITUTE(INDEX(貼り付け!$A$1:$BZ$3001,1122,$E$1)&amp;"",",",""),"¥",""),"￥","")),0))</f>
        <v/>
      </c>
      <c r="F1123">
        <f>IF($F$1=0,0,IFERROR(VALUE(SUBSTITUTE(SUBSTITUTE(SUBSTITUTE(INDEX(貼り付け!$A$1:$BZ$3001,1122,$F$1)&amp;"",",",""),"¥",""),"￥","")),0))</f>
        <v/>
      </c>
      <c r="G1123">
        <f>IF(ISNUMBER(B1123),YEAR(B1123),"")</f>
        <v/>
      </c>
      <c r="H1123">
        <f>IF(ISNUMBER(B1123),MONTH(B1123),"")</f>
        <v/>
      </c>
      <c r="I1123">
        <f>IFERROR(IF($B$1=0,"",IF(ISNUMBER(INDEX(貼り付け!$A$1:$BZ$3001,1122,$B$1)),"",SUBSTITUTE(SUBSTITUTE(SUBSTITUTE(SUBSTITUTE(TRIM(LEFT(INDEX(貼り付け!$A$1:$BZ$3001,1122,$B$1)&amp;"",FIND(" ",TRIM(INDEX(貼り付け!$A$1:$BZ$3001,1122,$B$1)&amp;"")&amp;" ")-1)),"/","-"),"年","-"),"月","-"),"日",""))),"")</f>
        <v/>
      </c>
      <c r="J1123">
        <f>IFERROR(MID(I1123,FIND("-",I1123)+1,99),"")</f>
        <v/>
      </c>
    </row>
    <row r="1124">
      <c r="B1124">
        <f>IFERROR(IF($B$1=0,"",IF(INDEX(貼り付け!$A$1:$BZ$3001,1123,$B$1)="","",IF(ISNUMBER(INDEX(貼り付け!$A$1:$BZ$3001,1123,$B$1)),INT(INDEX(貼り付け!$A$1:$BZ$3001,1123,$B$1)),DATE(VALUE(LEFT(I1124,FIND("-",I1124)-1)),VALUE(LEFT(J1124,FIND("-",J1124)-1)),VALUE(MID(J1124,FIND("-",J1124)+1,99)))))),"")</f>
        <v/>
      </c>
      <c r="C1124">
        <f>IF($C$1=0,0,IFERROR(VALUE(SUBSTITUTE(SUBSTITUTE(SUBSTITUTE(INDEX(貼り付け!$A$1:$BZ$3001,1123,$C$1)&amp;"",",",""),"¥",""),"￥","")),0))</f>
        <v/>
      </c>
      <c r="D1124">
        <f>IF($D$1=0,0,IFERROR(VALUE(SUBSTITUTE(SUBSTITUTE(SUBSTITUTE(INDEX(貼り付け!$A$1:$BZ$3001,1123,$D$1)&amp;"",",",""),"¥",""),"￥","")),0))</f>
        <v/>
      </c>
      <c r="E1124">
        <f>IF($E$1=0,0,IFERROR(VALUE(SUBSTITUTE(SUBSTITUTE(SUBSTITUTE(INDEX(貼り付け!$A$1:$BZ$3001,1123,$E$1)&amp;"",",",""),"¥",""),"￥","")),0))</f>
        <v/>
      </c>
      <c r="F1124">
        <f>IF($F$1=0,0,IFERROR(VALUE(SUBSTITUTE(SUBSTITUTE(SUBSTITUTE(INDEX(貼り付け!$A$1:$BZ$3001,1123,$F$1)&amp;"",",",""),"¥",""),"￥","")),0))</f>
        <v/>
      </c>
      <c r="G1124">
        <f>IF(ISNUMBER(B1124),YEAR(B1124),"")</f>
        <v/>
      </c>
      <c r="H1124">
        <f>IF(ISNUMBER(B1124),MONTH(B1124),"")</f>
        <v/>
      </c>
      <c r="I1124">
        <f>IFERROR(IF($B$1=0,"",IF(ISNUMBER(INDEX(貼り付け!$A$1:$BZ$3001,1123,$B$1)),"",SUBSTITUTE(SUBSTITUTE(SUBSTITUTE(SUBSTITUTE(TRIM(LEFT(INDEX(貼り付け!$A$1:$BZ$3001,1123,$B$1)&amp;"",FIND(" ",TRIM(INDEX(貼り付け!$A$1:$BZ$3001,1123,$B$1)&amp;"")&amp;" ")-1)),"/","-"),"年","-"),"月","-"),"日",""))),"")</f>
        <v/>
      </c>
      <c r="J1124">
        <f>IFERROR(MID(I1124,FIND("-",I1124)+1,99),"")</f>
        <v/>
      </c>
    </row>
    <row r="1125">
      <c r="B1125">
        <f>IFERROR(IF($B$1=0,"",IF(INDEX(貼り付け!$A$1:$BZ$3001,1124,$B$1)="","",IF(ISNUMBER(INDEX(貼り付け!$A$1:$BZ$3001,1124,$B$1)),INT(INDEX(貼り付け!$A$1:$BZ$3001,1124,$B$1)),DATE(VALUE(LEFT(I1125,FIND("-",I1125)-1)),VALUE(LEFT(J1125,FIND("-",J1125)-1)),VALUE(MID(J1125,FIND("-",J1125)+1,99)))))),"")</f>
        <v/>
      </c>
      <c r="C1125">
        <f>IF($C$1=0,0,IFERROR(VALUE(SUBSTITUTE(SUBSTITUTE(SUBSTITUTE(INDEX(貼り付け!$A$1:$BZ$3001,1124,$C$1)&amp;"",",",""),"¥",""),"￥","")),0))</f>
        <v/>
      </c>
      <c r="D1125">
        <f>IF($D$1=0,0,IFERROR(VALUE(SUBSTITUTE(SUBSTITUTE(SUBSTITUTE(INDEX(貼り付け!$A$1:$BZ$3001,1124,$D$1)&amp;"",",",""),"¥",""),"￥","")),0))</f>
        <v/>
      </c>
      <c r="E1125">
        <f>IF($E$1=0,0,IFERROR(VALUE(SUBSTITUTE(SUBSTITUTE(SUBSTITUTE(INDEX(貼り付け!$A$1:$BZ$3001,1124,$E$1)&amp;"",",",""),"¥",""),"￥","")),0))</f>
        <v/>
      </c>
      <c r="F1125">
        <f>IF($F$1=0,0,IFERROR(VALUE(SUBSTITUTE(SUBSTITUTE(SUBSTITUTE(INDEX(貼り付け!$A$1:$BZ$3001,1124,$F$1)&amp;"",",",""),"¥",""),"￥","")),0))</f>
        <v/>
      </c>
      <c r="G1125">
        <f>IF(ISNUMBER(B1125),YEAR(B1125),"")</f>
        <v/>
      </c>
      <c r="H1125">
        <f>IF(ISNUMBER(B1125),MONTH(B1125),"")</f>
        <v/>
      </c>
      <c r="I1125">
        <f>IFERROR(IF($B$1=0,"",IF(ISNUMBER(INDEX(貼り付け!$A$1:$BZ$3001,1124,$B$1)),"",SUBSTITUTE(SUBSTITUTE(SUBSTITUTE(SUBSTITUTE(TRIM(LEFT(INDEX(貼り付け!$A$1:$BZ$3001,1124,$B$1)&amp;"",FIND(" ",TRIM(INDEX(貼り付け!$A$1:$BZ$3001,1124,$B$1)&amp;"")&amp;" ")-1)),"/","-"),"年","-"),"月","-"),"日",""))),"")</f>
        <v/>
      </c>
      <c r="J1125">
        <f>IFERROR(MID(I1125,FIND("-",I1125)+1,99),"")</f>
        <v/>
      </c>
    </row>
    <row r="1126">
      <c r="B1126">
        <f>IFERROR(IF($B$1=0,"",IF(INDEX(貼り付け!$A$1:$BZ$3001,1125,$B$1)="","",IF(ISNUMBER(INDEX(貼り付け!$A$1:$BZ$3001,1125,$B$1)),INT(INDEX(貼り付け!$A$1:$BZ$3001,1125,$B$1)),DATE(VALUE(LEFT(I1126,FIND("-",I1126)-1)),VALUE(LEFT(J1126,FIND("-",J1126)-1)),VALUE(MID(J1126,FIND("-",J1126)+1,99)))))),"")</f>
        <v/>
      </c>
      <c r="C1126">
        <f>IF($C$1=0,0,IFERROR(VALUE(SUBSTITUTE(SUBSTITUTE(SUBSTITUTE(INDEX(貼り付け!$A$1:$BZ$3001,1125,$C$1)&amp;"",",",""),"¥",""),"￥","")),0))</f>
        <v/>
      </c>
      <c r="D1126">
        <f>IF($D$1=0,0,IFERROR(VALUE(SUBSTITUTE(SUBSTITUTE(SUBSTITUTE(INDEX(貼り付け!$A$1:$BZ$3001,1125,$D$1)&amp;"",",",""),"¥",""),"￥","")),0))</f>
        <v/>
      </c>
      <c r="E1126">
        <f>IF($E$1=0,0,IFERROR(VALUE(SUBSTITUTE(SUBSTITUTE(SUBSTITUTE(INDEX(貼り付け!$A$1:$BZ$3001,1125,$E$1)&amp;"",",",""),"¥",""),"￥","")),0))</f>
        <v/>
      </c>
      <c r="F1126">
        <f>IF($F$1=0,0,IFERROR(VALUE(SUBSTITUTE(SUBSTITUTE(SUBSTITUTE(INDEX(貼り付け!$A$1:$BZ$3001,1125,$F$1)&amp;"",",",""),"¥",""),"￥","")),0))</f>
        <v/>
      </c>
      <c r="G1126">
        <f>IF(ISNUMBER(B1126),YEAR(B1126),"")</f>
        <v/>
      </c>
      <c r="H1126">
        <f>IF(ISNUMBER(B1126),MONTH(B1126),"")</f>
        <v/>
      </c>
      <c r="I1126">
        <f>IFERROR(IF($B$1=0,"",IF(ISNUMBER(INDEX(貼り付け!$A$1:$BZ$3001,1125,$B$1)),"",SUBSTITUTE(SUBSTITUTE(SUBSTITUTE(SUBSTITUTE(TRIM(LEFT(INDEX(貼り付け!$A$1:$BZ$3001,1125,$B$1)&amp;"",FIND(" ",TRIM(INDEX(貼り付け!$A$1:$BZ$3001,1125,$B$1)&amp;"")&amp;" ")-1)),"/","-"),"年","-"),"月","-"),"日",""))),"")</f>
        <v/>
      </c>
      <c r="J1126">
        <f>IFERROR(MID(I1126,FIND("-",I1126)+1,99),"")</f>
        <v/>
      </c>
    </row>
    <row r="1127">
      <c r="B1127">
        <f>IFERROR(IF($B$1=0,"",IF(INDEX(貼り付け!$A$1:$BZ$3001,1126,$B$1)="","",IF(ISNUMBER(INDEX(貼り付け!$A$1:$BZ$3001,1126,$B$1)),INT(INDEX(貼り付け!$A$1:$BZ$3001,1126,$B$1)),DATE(VALUE(LEFT(I1127,FIND("-",I1127)-1)),VALUE(LEFT(J1127,FIND("-",J1127)-1)),VALUE(MID(J1127,FIND("-",J1127)+1,99)))))),"")</f>
        <v/>
      </c>
      <c r="C1127">
        <f>IF($C$1=0,0,IFERROR(VALUE(SUBSTITUTE(SUBSTITUTE(SUBSTITUTE(INDEX(貼り付け!$A$1:$BZ$3001,1126,$C$1)&amp;"",",",""),"¥",""),"￥","")),0))</f>
        <v/>
      </c>
      <c r="D1127">
        <f>IF($D$1=0,0,IFERROR(VALUE(SUBSTITUTE(SUBSTITUTE(SUBSTITUTE(INDEX(貼り付け!$A$1:$BZ$3001,1126,$D$1)&amp;"",",",""),"¥",""),"￥","")),0))</f>
        <v/>
      </c>
      <c r="E1127">
        <f>IF($E$1=0,0,IFERROR(VALUE(SUBSTITUTE(SUBSTITUTE(SUBSTITUTE(INDEX(貼り付け!$A$1:$BZ$3001,1126,$E$1)&amp;"",",",""),"¥",""),"￥","")),0))</f>
        <v/>
      </c>
      <c r="F1127">
        <f>IF($F$1=0,0,IFERROR(VALUE(SUBSTITUTE(SUBSTITUTE(SUBSTITUTE(INDEX(貼り付け!$A$1:$BZ$3001,1126,$F$1)&amp;"",",",""),"¥",""),"￥","")),0))</f>
        <v/>
      </c>
      <c r="G1127">
        <f>IF(ISNUMBER(B1127),YEAR(B1127),"")</f>
        <v/>
      </c>
      <c r="H1127">
        <f>IF(ISNUMBER(B1127),MONTH(B1127),"")</f>
        <v/>
      </c>
      <c r="I1127">
        <f>IFERROR(IF($B$1=0,"",IF(ISNUMBER(INDEX(貼り付け!$A$1:$BZ$3001,1126,$B$1)),"",SUBSTITUTE(SUBSTITUTE(SUBSTITUTE(SUBSTITUTE(TRIM(LEFT(INDEX(貼り付け!$A$1:$BZ$3001,1126,$B$1)&amp;"",FIND(" ",TRIM(INDEX(貼り付け!$A$1:$BZ$3001,1126,$B$1)&amp;"")&amp;" ")-1)),"/","-"),"年","-"),"月","-"),"日",""))),"")</f>
        <v/>
      </c>
      <c r="J1127">
        <f>IFERROR(MID(I1127,FIND("-",I1127)+1,99),"")</f>
        <v/>
      </c>
    </row>
    <row r="1128">
      <c r="B1128">
        <f>IFERROR(IF($B$1=0,"",IF(INDEX(貼り付け!$A$1:$BZ$3001,1127,$B$1)="","",IF(ISNUMBER(INDEX(貼り付け!$A$1:$BZ$3001,1127,$B$1)),INT(INDEX(貼り付け!$A$1:$BZ$3001,1127,$B$1)),DATE(VALUE(LEFT(I1128,FIND("-",I1128)-1)),VALUE(LEFT(J1128,FIND("-",J1128)-1)),VALUE(MID(J1128,FIND("-",J1128)+1,99)))))),"")</f>
        <v/>
      </c>
      <c r="C1128">
        <f>IF($C$1=0,0,IFERROR(VALUE(SUBSTITUTE(SUBSTITUTE(SUBSTITUTE(INDEX(貼り付け!$A$1:$BZ$3001,1127,$C$1)&amp;"",",",""),"¥",""),"￥","")),0))</f>
        <v/>
      </c>
      <c r="D1128">
        <f>IF($D$1=0,0,IFERROR(VALUE(SUBSTITUTE(SUBSTITUTE(SUBSTITUTE(INDEX(貼り付け!$A$1:$BZ$3001,1127,$D$1)&amp;"",",",""),"¥",""),"￥","")),0))</f>
        <v/>
      </c>
      <c r="E1128">
        <f>IF($E$1=0,0,IFERROR(VALUE(SUBSTITUTE(SUBSTITUTE(SUBSTITUTE(INDEX(貼り付け!$A$1:$BZ$3001,1127,$E$1)&amp;"",",",""),"¥",""),"￥","")),0))</f>
        <v/>
      </c>
      <c r="F1128">
        <f>IF($F$1=0,0,IFERROR(VALUE(SUBSTITUTE(SUBSTITUTE(SUBSTITUTE(INDEX(貼り付け!$A$1:$BZ$3001,1127,$F$1)&amp;"",",",""),"¥",""),"￥","")),0))</f>
        <v/>
      </c>
      <c r="G1128">
        <f>IF(ISNUMBER(B1128),YEAR(B1128),"")</f>
        <v/>
      </c>
      <c r="H1128">
        <f>IF(ISNUMBER(B1128),MONTH(B1128),"")</f>
        <v/>
      </c>
      <c r="I1128">
        <f>IFERROR(IF($B$1=0,"",IF(ISNUMBER(INDEX(貼り付け!$A$1:$BZ$3001,1127,$B$1)),"",SUBSTITUTE(SUBSTITUTE(SUBSTITUTE(SUBSTITUTE(TRIM(LEFT(INDEX(貼り付け!$A$1:$BZ$3001,1127,$B$1)&amp;"",FIND(" ",TRIM(INDEX(貼り付け!$A$1:$BZ$3001,1127,$B$1)&amp;"")&amp;" ")-1)),"/","-"),"年","-"),"月","-"),"日",""))),"")</f>
        <v/>
      </c>
      <c r="J1128">
        <f>IFERROR(MID(I1128,FIND("-",I1128)+1,99),"")</f>
        <v/>
      </c>
    </row>
    <row r="1129">
      <c r="B1129">
        <f>IFERROR(IF($B$1=0,"",IF(INDEX(貼り付け!$A$1:$BZ$3001,1128,$B$1)="","",IF(ISNUMBER(INDEX(貼り付け!$A$1:$BZ$3001,1128,$B$1)),INT(INDEX(貼り付け!$A$1:$BZ$3001,1128,$B$1)),DATE(VALUE(LEFT(I1129,FIND("-",I1129)-1)),VALUE(LEFT(J1129,FIND("-",J1129)-1)),VALUE(MID(J1129,FIND("-",J1129)+1,99)))))),"")</f>
        <v/>
      </c>
      <c r="C1129">
        <f>IF($C$1=0,0,IFERROR(VALUE(SUBSTITUTE(SUBSTITUTE(SUBSTITUTE(INDEX(貼り付け!$A$1:$BZ$3001,1128,$C$1)&amp;"",",",""),"¥",""),"￥","")),0))</f>
        <v/>
      </c>
      <c r="D1129">
        <f>IF($D$1=0,0,IFERROR(VALUE(SUBSTITUTE(SUBSTITUTE(SUBSTITUTE(INDEX(貼り付け!$A$1:$BZ$3001,1128,$D$1)&amp;"",",",""),"¥",""),"￥","")),0))</f>
        <v/>
      </c>
      <c r="E1129">
        <f>IF($E$1=0,0,IFERROR(VALUE(SUBSTITUTE(SUBSTITUTE(SUBSTITUTE(INDEX(貼り付け!$A$1:$BZ$3001,1128,$E$1)&amp;"",",",""),"¥",""),"￥","")),0))</f>
        <v/>
      </c>
      <c r="F1129">
        <f>IF($F$1=0,0,IFERROR(VALUE(SUBSTITUTE(SUBSTITUTE(SUBSTITUTE(INDEX(貼り付け!$A$1:$BZ$3001,1128,$F$1)&amp;"",",",""),"¥",""),"￥","")),0))</f>
        <v/>
      </c>
      <c r="G1129">
        <f>IF(ISNUMBER(B1129),YEAR(B1129),"")</f>
        <v/>
      </c>
      <c r="H1129">
        <f>IF(ISNUMBER(B1129),MONTH(B1129),"")</f>
        <v/>
      </c>
      <c r="I1129">
        <f>IFERROR(IF($B$1=0,"",IF(ISNUMBER(INDEX(貼り付け!$A$1:$BZ$3001,1128,$B$1)),"",SUBSTITUTE(SUBSTITUTE(SUBSTITUTE(SUBSTITUTE(TRIM(LEFT(INDEX(貼り付け!$A$1:$BZ$3001,1128,$B$1)&amp;"",FIND(" ",TRIM(INDEX(貼り付け!$A$1:$BZ$3001,1128,$B$1)&amp;"")&amp;" ")-1)),"/","-"),"年","-"),"月","-"),"日",""))),"")</f>
        <v/>
      </c>
      <c r="J1129">
        <f>IFERROR(MID(I1129,FIND("-",I1129)+1,99),"")</f>
        <v/>
      </c>
    </row>
    <row r="1130">
      <c r="B1130">
        <f>IFERROR(IF($B$1=0,"",IF(INDEX(貼り付け!$A$1:$BZ$3001,1129,$B$1)="","",IF(ISNUMBER(INDEX(貼り付け!$A$1:$BZ$3001,1129,$B$1)),INT(INDEX(貼り付け!$A$1:$BZ$3001,1129,$B$1)),DATE(VALUE(LEFT(I1130,FIND("-",I1130)-1)),VALUE(LEFT(J1130,FIND("-",J1130)-1)),VALUE(MID(J1130,FIND("-",J1130)+1,99)))))),"")</f>
        <v/>
      </c>
      <c r="C1130">
        <f>IF($C$1=0,0,IFERROR(VALUE(SUBSTITUTE(SUBSTITUTE(SUBSTITUTE(INDEX(貼り付け!$A$1:$BZ$3001,1129,$C$1)&amp;"",",",""),"¥",""),"￥","")),0))</f>
        <v/>
      </c>
      <c r="D1130">
        <f>IF($D$1=0,0,IFERROR(VALUE(SUBSTITUTE(SUBSTITUTE(SUBSTITUTE(INDEX(貼り付け!$A$1:$BZ$3001,1129,$D$1)&amp;"",",",""),"¥",""),"￥","")),0))</f>
        <v/>
      </c>
      <c r="E1130">
        <f>IF($E$1=0,0,IFERROR(VALUE(SUBSTITUTE(SUBSTITUTE(SUBSTITUTE(INDEX(貼り付け!$A$1:$BZ$3001,1129,$E$1)&amp;"",",",""),"¥",""),"￥","")),0))</f>
        <v/>
      </c>
      <c r="F1130">
        <f>IF($F$1=0,0,IFERROR(VALUE(SUBSTITUTE(SUBSTITUTE(SUBSTITUTE(INDEX(貼り付け!$A$1:$BZ$3001,1129,$F$1)&amp;"",",",""),"¥",""),"￥","")),0))</f>
        <v/>
      </c>
      <c r="G1130">
        <f>IF(ISNUMBER(B1130),YEAR(B1130),"")</f>
        <v/>
      </c>
      <c r="H1130">
        <f>IF(ISNUMBER(B1130),MONTH(B1130),"")</f>
        <v/>
      </c>
      <c r="I1130">
        <f>IFERROR(IF($B$1=0,"",IF(ISNUMBER(INDEX(貼り付け!$A$1:$BZ$3001,1129,$B$1)),"",SUBSTITUTE(SUBSTITUTE(SUBSTITUTE(SUBSTITUTE(TRIM(LEFT(INDEX(貼り付け!$A$1:$BZ$3001,1129,$B$1)&amp;"",FIND(" ",TRIM(INDEX(貼り付け!$A$1:$BZ$3001,1129,$B$1)&amp;"")&amp;" ")-1)),"/","-"),"年","-"),"月","-"),"日",""))),"")</f>
        <v/>
      </c>
      <c r="J1130">
        <f>IFERROR(MID(I1130,FIND("-",I1130)+1,99),"")</f>
        <v/>
      </c>
    </row>
    <row r="1131">
      <c r="B1131">
        <f>IFERROR(IF($B$1=0,"",IF(INDEX(貼り付け!$A$1:$BZ$3001,1130,$B$1)="","",IF(ISNUMBER(INDEX(貼り付け!$A$1:$BZ$3001,1130,$B$1)),INT(INDEX(貼り付け!$A$1:$BZ$3001,1130,$B$1)),DATE(VALUE(LEFT(I1131,FIND("-",I1131)-1)),VALUE(LEFT(J1131,FIND("-",J1131)-1)),VALUE(MID(J1131,FIND("-",J1131)+1,99)))))),"")</f>
        <v/>
      </c>
      <c r="C1131">
        <f>IF($C$1=0,0,IFERROR(VALUE(SUBSTITUTE(SUBSTITUTE(SUBSTITUTE(INDEX(貼り付け!$A$1:$BZ$3001,1130,$C$1)&amp;"",",",""),"¥",""),"￥","")),0))</f>
        <v/>
      </c>
      <c r="D1131">
        <f>IF($D$1=0,0,IFERROR(VALUE(SUBSTITUTE(SUBSTITUTE(SUBSTITUTE(INDEX(貼り付け!$A$1:$BZ$3001,1130,$D$1)&amp;"",",",""),"¥",""),"￥","")),0))</f>
        <v/>
      </c>
      <c r="E1131">
        <f>IF($E$1=0,0,IFERROR(VALUE(SUBSTITUTE(SUBSTITUTE(SUBSTITUTE(INDEX(貼り付け!$A$1:$BZ$3001,1130,$E$1)&amp;"",",",""),"¥",""),"￥","")),0))</f>
        <v/>
      </c>
      <c r="F1131">
        <f>IF($F$1=0,0,IFERROR(VALUE(SUBSTITUTE(SUBSTITUTE(SUBSTITUTE(INDEX(貼り付け!$A$1:$BZ$3001,1130,$F$1)&amp;"",",",""),"¥",""),"￥","")),0))</f>
        <v/>
      </c>
      <c r="G1131">
        <f>IF(ISNUMBER(B1131),YEAR(B1131),"")</f>
        <v/>
      </c>
      <c r="H1131">
        <f>IF(ISNUMBER(B1131),MONTH(B1131),"")</f>
        <v/>
      </c>
      <c r="I1131">
        <f>IFERROR(IF($B$1=0,"",IF(ISNUMBER(INDEX(貼り付け!$A$1:$BZ$3001,1130,$B$1)),"",SUBSTITUTE(SUBSTITUTE(SUBSTITUTE(SUBSTITUTE(TRIM(LEFT(INDEX(貼り付け!$A$1:$BZ$3001,1130,$B$1)&amp;"",FIND(" ",TRIM(INDEX(貼り付け!$A$1:$BZ$3001,1130,$B$1)&amp;"")&amp;" ")-1)),"/","-"),"年","-"),"月","-"),"日",""))),"")</f>
        <v/>
      </c>
      <c r="J1131">
        <f>IFERROR(MID(I1131,FIND("-",I1131)+1,99),"")</f>
        <v/>
      </c>
    </row>
    <row r="1132">
      <c r="B1132">
        <f>IFERROR(IF($B$1=0,"",IF(INDEX(貼り付け!$A$1:$BZ$3001,1131,$B$1)="","",IF(ISNUMBER(INDEX(貼り付け!$A$1:$BZ$3001,1131,$B$1)),INT(INDEX(貼り付け!$A$1:$BZ$3001,1131,$B$1)),DATE(VALUE(LEFT(I1132,FIND("-",I1132)-1)),VALUE(LEFT(J1132,FIND("-",J1132)-1)),VALUE(MID(J1132,FIND("-",J1132)+1,99)))))),"")</f>
        <v/>
      </c>
      <c r="C1132">
        <f>IF($C$1=0,0,IFERROR(VALUE(SUBSTITUTE(SUBSTITUTE(SUBSTITUTE(INDEX(貼り付け!$A$1:$BZ$3001,1131,$C$1)&amp;"",",",""),"¥",""),"￥","")),0))</f>
        <v/>
      </c>
      <c r="D1132">
        <f>IF($D$1=0,0,IFERROR(VALUE(SUBSTITUTE(SUBSTITUTE(SUBSTITUTE(INDEX(貼り付け!$A$1:$BZ$3001,1131,$D$1)&amp;"",",",""),"¥",""),"￥","")),0))</f>
        <v/>
      </c>
      <c r="E1132">
        <f>IF($E$1=0,0,IFERROR(VALUE(SUBSTITUTE(SUBSTITUTE(SUBSTITUTE(INDEX(貼り付け!$A$1:$BZ$3001,1131,$E$1)&amp;"",",",""),"¥",""),"￥","")),0))</f>
        <v/>
      </c>
      <c r="F1132">
        <f>IF($F$1=0,0,IFERROR(VALUE(SUBSTITUTE(SUBSTITUTE(SUBSTITUTE(INDEX(貼り付け!$A$1:$BZ$3001,1131,$F$1)&amp;"",",",""),"¥",""),"￥","")),0))</f>
        <v/>
      </c>
      <c r="G1132">
        <f>IF(ISNUMBER(B1132),YEAR(B1132),"")</f>
        <v/>
      </c>
      <c r="H1132">
        <f>IF(ISNUMBER(B1132),MONTH(B1132),"")</f>
        <v/>
      </c>
      <c r="I1132">
        <f>IFERROR(IF($B$1=0,"",IF(ISNUMBER(INDEX(貼り付け!$A$1:$BZ$3001,1131,$B$1)),"",SUBSTITUTE(SUBSTITUTE(SUBSTITUTE(SUBSTITUTE(TRIM(LEFT(INDEX(貼り付け!$A$1:$BZ$3001,1131,$B$1)&amp;"",FIND(" ",TRIM(INDEX(貼り付け!$A$1:$BZ$3001,1131,$B$1)&amp;"")&amp;" ")-1)),"/","-"),"年","-"),"月","-"),"日",""))),"")</f>
        <v/>
      </c>
      <c r="J1132">
        <f>IFERROR(MID(I1132,FIND("-",I1132)+1,99),"")</f>
        <v/>
      </c>
    </row>
    <row r="1133">
      <c r="B1133">
        <f>IFERROR(IF($B$1=0,"",IF(INDEX(貼り付け!$A$1:$BZ$3001,1132,$B$1)="","",IF(ISNUMBER(INDEX(貼り付け!$A$1:$BZ$3001,1132,$B$1)),INT(INDEX(貼り付け!$A$1:$BZ$3001,1132,$B$1)),DATE(VALUE(LEFT(I1133,FIND("-",I1133)-1)),VALUE(LEFT(J1133,FIND("-",J1133)-1)),VALUE(MID(J1133,FIND("-",J1133)+1,99)))))),"")</f>
        <v/>
      </c>
      <c r="C1133">
        <f>IF($C$1=0,0,IFERROR(VALUE(SUBSTITUTE(SUBSTITUTE(SUBSTITUTE(INDEX(貼り付け!$A$1:$BZ$3001,1132,$C$1)&amp;"",",",""),"¥",""),"￥","")),0))</f>
        <v/>
      </c>
      <c r="D1133">
        <f>IF($D$1=0,0,IFERROR(VALUE(SUBSTITUTE(SUBSTITUTE(SUBSTITUTE(INDEX(貼り付け!$A$1:$BZ$3001,1132,$D$1)&amp;"",",",""),"¥",""),"￥","")),0))</f>
        <v/>
      </c>
      <c r="E1133">
        <f>IF($E$1=0,0,IFERROR(VALUE(SUBSTITUTE(SUBSTITUTE(SUBSTITUTE(INDEX(貼り付け!$A$1:$BZ$3001,1132,$E$1)&amp;"",",",""),"¥",""),"￥","")),0))</f>
        <v/>
      </c>
      <c r="F1133">
        <f>IF($F$1=0,0,IFERROR(VALUE(SUBSTITUTE(SUBSTITUTE(SUBSTITUTE(INDEX(貼り付け!$A$1:$BZ$3001,1132,$F$1)&amp;"",",",""),"¥",""),"￥","")),0))</f>
        <v/>
      </c>
      <c r="G1133">
        <f>IF(ISNUMBER(B1133),YEAR(B1133),"")</f>
        <v/>
      </c>
      <c r="H1133">
        <f>IF(ISNUMBER(B1133),MONTH(B1133),"")</f>
        <v/>
      </c>
      <c r="I1133">
        <f>IFERROR(IF($B$1=0,"",IF(ISNUMBER(INDEX(貼り付け!$A$1:$BZ$3001,1132,$B$1)),"",SUBSTITUTE(SUBSTITUTE(SUBSTITUTE(SUBSTITUTE(TRIM(LEFT(INDEX(貼り付け!$A$1:$BZ$3001,1132,$B$1)&amp;"",FIND(" ",TRIM(INDEX(貼り付け!$A$1:$BZ$3001,1132,$B$1)&amp;"")&amp;" ")-1)),"/","-"),"年","-"),"月","-"),"日",""))),"")</f>
        <v/>
      </c>
      <c r="J1133">
        <f>IFERROR(MID(I1133,FIND("-",I1133)+1,99),"")</f>
        <v/>
      </c>
    </row>
    <row r="1134">
      <c r="B1134">
        <f>IFERROR(IF($B$1=0,"",IF(INDEX(貼り付け!$A$1:$BZ$3001,1133,$B$1)="","",IF(ISNUMBER(INDEX(貼り付け!$A$1:$BZ$3001,1133,$B$1)),INT(INDEX(貼り付け!$A$1:$BZ$3001,1133,$B$1)),DATE(VALUE(LEFT(I1134,FIND("-",I1134)-1)),VALUE(LEFT(J1134,FIND("-",J1134)-1)),VALUE(MID(J1134,FIND("-",J1134)+1,99)))))),"")</f>
        <v/>
      </c>
      <c r="C1134">
        <f>IF($C$1=0,0,IFERROR(VALUE(SUBSTITUTE(SUBSTITUTE(SUBSTITUTE(INDEX(貼り付け!$A$1:$BZ$3001,1133,$C$1)&amp;"",",",""),"¥",""),"￥","")),0))</f>
        <v/>
      </c>
      <c r="D1134">
        <f>IF($D$1=0,0,IFERROR(VALUE(SUBSTITUTE(SUBSTITUTE(SUBSTITUTE(INDEX(貼り付け!$A$1:$BZ$3001,1133,$D$1)&amp;"",",",""),"¥",""),"￥","")),0))</f>
        <v/>
      </c>
      <c r="E1134">
        <f>IF($E$1=0,0,IFERROR(VALUE(SUBSTITUTE(SUBSTITUTE(SUBSTITUTE(INDEX(貼り付け!$A$1:$BZ$3001,1133,$E$1)&amp;"",",",""),"¥",""),"￥","")),0))</f>
        <v/>
      </c>
      <c r="F1134">
        <f>IF($F$1=0,0,IFERROR(VALUE(SUBSTITUTE(SUBSTITUTE(SUBSTITUTE(INDEX(貼り付け!$A$1:$BZ$3001,1133,$F$1)&amp;"",",",""),"¥",""),"￥","")),0))</f>
        <v/>
      </c>
      <c r="G1134">
        <f>IF(ISNUMBER(B1134),YEAR(B1134),"")</f>
        <v/>
      </c>
      <c r="H1134">
        <f>IF(ISNUMBER(B1134),MONTH(B1134),"")</f>
        <v/>
      </c>
      <c r="I1134">
        <f>IFERROR(IF($B$1=0,"",IF(ISNUMBER(INDEX(貼り付け!$A$1:$BZ$3001,1133,$B$1)),"",SUBSTITUTE(SUBSTITUTE(SUBSTITUTE(SUBSTITUTE(TRIM(LEFT(INDEX(貼り付け!$A$1:$BZ$3001,1133,$B$1)&amp;"",FIND(" ",TRIM(INDEX(貼り付け!$A$1:$BZ$3001,1133,$B$1)&amp;"")&amp;" ")-1)),"/","-"),"年","-"),"月","-"),"日",""))),"")</f>
        <v/>
      </c>
      <c r="J1134">
        <f>IFERROR(MID(I1134,FIND("-",I1134)+1,99),"")</f>
        <v/>
      </c>
    </row>
    <row r="1135">
      <c r="B1135">
        <f>IFERROR(IF($B$1=0,"",IF(INDEX(貼り付け!$A$1:$BZ$3001,1134,$B$1)="","",IF(ISNUMBER(INDEX(貼り付け!$A$1:$BZ$3001,1134,$B$1)),INT(INDEX(貼り付け!$A$1:$BZ$3001,1134,$B$1)),DATE(VALUE(LEFT(I1135,FIND("-",I1135)-1)),VALUE(LEFT(J1135,FIND("-",J1135)-1)),VALUE(MID(J1135,FIND("-",J1135)+1,99)))))),"")</f>
        <v/>
      </c>
      <c r="C1135">
        <f>IF($C$1=0,0,IFERROR(VALUE(SUBSTITUTE(SUBSTITUTE(SUBSTITUTE(INDEX(貼り付け!$A$1:$BZ$3001,1134,$C$1)&amp;"",",",""),"¥",""),"￥","")),0))</f>
        <v/>
      </c>
      <c r="D1135">
        <f>IF($D$1=0,0,IFERROR(VALUE(SUBSTITUTE(SUBSTITUTE(SUBSTITUTE(INDEX(貼り付け!$A$1:$BZ$3001,1134,$D$1)&amp;"",",",""),"¥",""),"￥","")),0))</f>
        <v/>
      </c>
      <c r="E1135">
        <f>IF($E$1=0,0,IFERROR(VALUE(SUBSTITUTE(SUBSTITUTE(SUBSTITUTE(INDEX(貼り付け!$A$1:$BZ$3001,1134,$E$1)&amp;"",",",""),"¥",""),"￥","")),0))</f>
        <v/>
      </c>
      <c r="F1135">
        <f>IF($F$1=0,0,IFERROR(VALUE(SUBSTITUTE(SUBSTITUTE(SUBSTITUTE(INDEX(貼り付け!$A$1:$BZ$3001,1134,$F$1)&amp;"",",",""),"¥",""),"￥","")),0))</f>
        <v/>
      </c>
      <c r="G1135">
        <f>IF(ISNUMBER(B1135),YEAR(B1135),"")</f>
        <v/>
      </c>
      <c r="H1135">
        <f>IF(ISNUMBER(B1135),MONTH(B1135),"")</f>
        <v/>
      </c>
      <c r="I1135">
        <f>IFERROR(IF($B$1=0,"",IF(ISNUMBER(INDEX(貼り付け!$A$1:$BZ$3001,1134,$B$1)),"",SUBSTITUTE(SUBSTITUTE(SUBSTITUTE(SUBSTITUTE(TRIM(LEFT(INDEX(貼り付け!$A$1:$BZ$3001,1134,$B$1)&amp;"",FIND(" ",TRIM(INDEX(貼り付け!$A$1:$BZ$3001,1134,$B$1)&amp;"")&amp;" ")-1)),"/","-"),"年","-"),"月","-"),"日",""))),"")</f>
        <v/>
      </c>
      <c r="J1135">
        <f>IFERROR(MID(I1135,FIND("-",I1135)+1,99),"")</f>
        <v/>
      </c>
    </row>
    <row r="1136">
      <c r="B1136">
        <f>IFERROR(IF($B$1=0,"",IF(INDEX(貼り付け!$A$1:$BZ$3001,1135,$B$1)="","",IF(ISNUMBER(INDEX(貼り付け!$A$1:$BZ$3001,1135,$B$1)),INT(INDEX(貼り付け!$A$1:$BZ$3001,1135,$B$1)),DATE(VALUE(LEFT(I1136,FIND("-",I1136)-1)),VALUE(LEFT(J1136,FIND("-",J1136)-1)),VALUE(MID(J1136,FIND("-",J1136)+1,99)))))),"")</f>
        <v/>
      </c>
      <c r="C1136">
        <f>IF($C$1=0,0,IFERROR(VALUE(SUBSTITUTE(SUBSTITUTE(SUBSTITUTE(INDEX(貼り付け!$A$1:$BZ$3001,1135,$C$1)&amp;"",",",""),"¥",""),"￥","")),0))</f>
        <v/>
      </c>
      <c r="D1136">
        <f>IF($D$1=0,0,IFERROR(VALUE(SUBSTITUTE(SUBSTITUTE(SUBSTITUTE(INDEX(貼り付け!$A$1:$BZ$3001,1135,$D$1)&amp;"",",",""),"¥",""),"￥","")),0))</f>
        <v/>
      </c>
      <c r="E1136">
        <f>IF($E$1=0,0,IFERROR(VALUE(SUBSTITUTE(SUBSTITUTE(SUBSTITUTE(INDEX(貼り付け!$A$1:$BZ$3001,1135,$E$1)&amp;"",",",""),"¥",""),"￥","")),0))</f>
        <v/>
      </c>
      <c r="F1136">
        <f>IF($F$1=0,0,IFERROR(VALUE(SUBSTITUTE(SUBSTITUTE(SUBSTITUTE(INDEX(貼り付け!$A$1:$BZ$3001,1135,$F$1)&amp;"",",",""),"¥",""),"￥","")),0))</f>
        <v/>
      </c>
      <c r="G1136">
        <f>IF(ISNUMBER(B1136),YEAR(B1136),"")</f>
        <v/>
      </c>
      <c r="H1136">
        <f>IF(ISNUMBER(B1136),MONTH(B1136),"")</f>
        <v/>
      </c>
      <c r="I1136">
        <f>IFERROR(IF($B$1=0,"",IF(ISNUMBER(INDEX(貼り付け!$A$1:$BZ$3001,1135,$B$1)),"",SUBSTITUTE(SUBSTITUTE(SUBSTITUTE(SUBSTITUTE(TRIM(LEFT(INDEX(貼り付け!$A$1:$BZ$3001,1135,$B$1)&amp;"",FIND(" ",TRIM(INDEX(貼り付け!$A$1:$BZ$3001,1135,$B$1)&amp;"")&amp;" ")-1)),"/","-"),"年","-"),"月","-"),"日",""))),"")</f>
        <v/>
      </c>
      <c r="J1136">
        <f>IFERROR(MID(I1136,FIND("-",I1136)+1,99),"")</f>
        <v/>
      </c>
    </row>
    <row r="1137">
      <c r="B1137">
        <f>IFERROR(IF($B$1=0,"",IF(INDEX(貼り付け!$A$1:$BZ$3001,1136,$B$1)="","",IF(ISNUMBER(INDEX(貼り付け!$A$1:$BZ$3001,1136,$B$1)),INT(INDEX(貼り付け!$A$1:$BZ$3001,1136,$B$1)),DATE(VALUE(LEFT(I1137,FIND("-",I1137)-1)),VALUE(LEFT(J1137,FIND("-",J1137)-1)),VALUE(MID(J1137,FIND("-",J1137)+1,99)))))),"")</f>
        <v/>
      </c>
      <c r="C1137">
        <f>IF($C$1=0,0,IFERROR(VALUE(SUBSTITUTE(SUBSTITUTE(SUBSTITUTE(INDEX(貼り付け!$A$1:$BZ$3001,1136,$C$1)&amp;"",",",""),"¥",""),"￥","")),0))</f>
        <v/>
      </c>
      <c r="D1137">
        <f>IF($D$1=0,0,IFERROR(VALUE(SUBSTITUTE(SUBSTITUTE(SUBSTITUTE(INDEX(貼り付け!$A$1:$BZ$3001,1136,$D$1)&amp;"",",",""),"¥",""),"￥","")),0))</f>
        <v/>
      </c>
      <c r="E1137">
        <f>IF($E$1=0,0,IFERROR(VALUE(SUBSTITUTE(SUBSTITUTE(SUBSTITUTE(INDEX(貼り付け!$A$1:$BZ$3001,1136,$E$1)&amp;"",",",""),"¥",""),"￥","")),0))</f>
        <v/>
      </c>
      <c r="F1137">
        <f>IF($F$1=0,0,IFERROR(VALUE(SUBSTITUTE(SUBSTITUTE(SUBSTITUTE(INDEX(貼り付け!$A$1:$BZ$3001,1136,$F$1)&amp;"",",",""),"¥",""),"￥","")),0))</f>
        <v/>
      </c>
      <c r="G1137">
        <f>IF(ISNUMBER(B1137),YEAR(B1137),"")</f>
        <v/>
      </c>
      <c r="H1137">
        <f>IF(ISNUMBER(B1137),MONTH(B1137),"")</f>
        <v/>
      </c>
      <c r="I1137">
        <f>IFERROR(IF($B$1=0,"",IF(ISNUMBER(INDEX(貼り付け!$A$1:$BZ$3001,1136,$B$1)),"",SUBSTITUTE(SUBSTITUTE(SUBSTITUTE(SUBSTITUTE(TRIM(LEFT(INDEX(貼り付け!$A$1:$BZ$3001,1136,$B$1)&amp;"",FIND(" ",TRIM(INDEX(貼り付け!$A$1:$BZ$3001,1136,$B$1)&amp;"")&amp;" ")-1)),"/","-"),"年","-"),"月","-"),"日",""))),"")</f>
        <v/>
      </c>
      <c r="J1137">
        <f>IFERROR(MID(I1137,FIND("-",I1137)+1,99),"")</f>
        <v/>
      </c>
    </row>
    <row r="1138">
      <c r="B1138">
        <f>IFERROR(IF($B$1=0,"",IF(INDEX(貼り付け!$A$1:$BZ$3001,1137,$B$1)="","",IF(ISNUMBER(INDEX(貼り付け!$A$1:$BZ$3001,1137,$B$1)),INT(INDEX(貼り付け!$A$1:$BZ$3001,1137,$B$1)),DATE(VALUE(LEFT(I1138,FIND("-",I1138)-1)),VALUE(LEFT(J1138,FIND("-",J1138)-1)),VALUE(MID(J1138,FIND("-",J1138)+1,99)))))),"")</f>
        <v/>
      </c>
      <c r="C1138">
        <f>IF($C$1=0,0,IFERROR(VALUE(SUBSTITUTE(SUBSTITUTE(SUBSTITUTE(INDEX(貼り付け!$A$1:$BZ$3001,1137,$C$1)&amp;"",",",""),"¥",""),"￥","")),0))</f>
        <v/>
      </c>
      <c r="D1138">
        <f>IF($D$1=0,0,IFERROR(VALUE(SUBSTITUTE(SUBSTITUTE(SUBSTITUTE(INDEX(貼り付け!$A$1:$BZ$3001,1137,$D$1)&amp;"",",",""),"¥",""),"￥","")),0))</f>
        <v/>
      </c>
      <c r="E1138">
        <f>IF($E$1=0,0,IFERROR(VALUE(SUBSTITUTE(SUBSTITUTE(SUBSTITUTE(INDEX(貼り付け!$A$1:$BZ$3001,1137,$E$1)&amp;"",",",""),"¥",""),"￥","")),0))</f>
        <v/>
      </c>
      <c r="F1138">
        <f>IF($F$1=0,0,IFERROR(VALUE(SUBSTITUTE(SUBSTITUTE(SUBSTITUTE(INDEX(貼り付け!$A$1:$BZ$3001,1137,$F$1)&amp;"",",",""),"¥",""),"￥","")),0))</f>
        <v/>
      </c>
      <c r="G1138">
        <f>IF(ISNUMBER(B1138),YEAR(B1138),"")</f>
        <v/>
      </c>
      <c r="H1138">
        <f>IF(ISNUMBER(B1138),MONTH(B1138),"")</f>
        <v/>
      </c>
      <c r="I1138">
        <f>IFERROR(IF($B$1=0,"",IF(ISNUMBER(INDEX(貼り付け!$A$1:$BZ$3001,1137,$B$1)),"",SUBSTITUTE(SUBSTITUTE(SUBSTITUTE(SUBSTITUTE(TRIM(LEFT(INDEX(貼り付け!$A$1:$BZ$3001,1137,$B$1)&amp;"",FIND(" ",TRIM(INDEX(貼り付け!$A$1:$BZ$3001,1137,$B$1)&amp;"")&amp;" ")-1)),"/","-"),"年","-"),"月","-"),"日",""))),"")</f>
        <v/>
      </c>
      <c r="J1138">
        <f>IFERROR(MID(I1138,FIND("-",I1138)+1,99),"")</f>
        <v/>
      </c>
    </row>
    <row r="1139">
      <c r="B1139">
        <f>IFERROR(IF($B$1=0,"",IF(INDEX(貼り付け!$A$1:$BZ$3001,1138,$B$1)="","",IF(ISNUMBER(INDEX(貼り付け!$A$1:$BZ$3001,1138,$B$1)),INT(INDEX(貼り付け!$A$1:$BZ$3001,1138,$B$1)),DATE(VALUE(LEFT(I1139,FIND("-",I1139)-1)),VALUE(LEFT(J1139,FIND("-",J1139)-1)),VALUE(MID(J1139,FIND("-",J1139)+1,99)))))),"")</f>
        <v/>
      </c>
      <c r="C1139">
        <f>IF($C$1=0,0,IFERROR(VALUE(SUBSTITUTE(SUBSTITUTE(SUBSTITUTE(INDEX(貼り付け!$A$1:$BZ$3001,1138,$C$1)&amp;"",",",""),"¥",""),"￥","")),0))</f>
        <v/>
      </c>
      <c r="D1139">
        <f>IF($D$1=0,0,IFERROR(VALUE(SUBSTITUTE(SUBSTITUTE(SUBSTITUTE(INDEX(貼り付け!$A$1:$BZ$3001,1138,$D$1)&amp;"",",",""),"¥",""),"￥","")),0))</f>
        <v/>
      </c>
      <c r="E1139">
        <f>IF($E$1=0,0,IFERROR(VALUE(SUBSTITUTE(SUBSTITUTE(SUBSTITUTE(INDEX(貼り付け!$A$1:$BZ$3001,1138,$E$1)&amp;"",",",""),"¥",""),"￥","")),0))</f>
        <v/>
      </c>
      <c r="F1139">
        <f>IF($F$1=0,0,IFERROR(VALUE(SUBSTITUTE(SUBSTITUTE(SUBSTITUTE(INDEX(貼り付け!$A$1:$BZ$3001,1138,$F$1)&amp;"",",",""),"¥",""),"￥","")),0))</f>
        <v/>
      </c>
      <c r="G1139">
        <f>IF(ISNUMBER(B1139),YEAR(B1139),"")</f>
        <v/>
      </c>
      <c r="H1139">
        <f>IF(ISNUMBER(B1139),MONTH(B1139),"")</f>
        <v/>
      </c>
      <c r="I1139">
        <f>IFERROR(IF($B$1=0,"",IF(ISNUMBER(INDEX(貼り付け!$A$1:$BZ$3001,1138,$B$1)),"",SUBSTITUTE(SUBSTITUTE(SUBSTITUTE(SUBSTITUTE(TRIM(LEFT(INDEX(貼り付け!$A$1:$BZ$3001,1138,$B$1)&amp;"",FIND(" ",TRIM(INDEX(貼り付け!$A$1:$BZ$3001,1138,$B$1)&amp;"")&amp;" ")-1)),"/","-"),"年","-"),"月","-"),"日",""))),"")</f>
        <v/>
      </c>
      <c r="J1139">
        <f>IFERROR(MID(I1139,FIND("-",I1139)+1,99),"")</f>
        <v/>
      </c>
    </row>
    <row r="1140">
      <c r="B1140">
        <f>IFERROR(IF($B$1=0,"",IF(INDEX(貼り付け!$A$1:$BZ$3001,1139,$B$1)="","",IF(ISNUMBER(INDEX(貼り付け!$A$1:$BZ$3001,1139,$B$1)),INT(INDEX(貼り付け!$A$1:$BZ$3001,1139,$B$1)),DATE(VALUE(LEFT(I1140,FIND("-",I1140)-1)),VALUE(LEFT(J1140,FIND("-",J1140)-1)),VALUE(MID(J1140,FIND("-",J1140)+1,99)))))),"")</f>
        <v/>
      </c>
      <c r="C1140">
        <f>IF($C$1=0,0,IFERROR(VALUE(SUBSTITUTE(SUBSTITUTE(SUBSTITUTE(INDEX(貼り付け!$A$1:$BZ$3001,1139,$C$1)&amp;"",",",""),"¥",""),"￥","")),0))</f>
        <v/>
      </c>
      <c r="D1140">
        <f>IF($D$1=0,0,IFERROR(VALUE(SUBSTITUTE(SUBSTITUTE(SUBSTITUTE(INDEX(貼り付け!$A$1:$BZ$3001,1139,$D$1)&amp;"",",",""),"¥",""),"￥","")),0))</f>
        <v/>
      </c>
      <c r="E1140">
        <f>IF($E$1=0,0,IFERROR(VALUE(SUBSTITUTE(SUBSTITUTE(SUBSTITUTE(INDEX(貼り付け!$A$1:$BZ$3001,1139,$E$1)&amp;"",",",""),"¥",""),"￥","")),0))</f>
        <v/>
      </c>
      <c r="F1140">
        <f>IF($F$1=0,0,IFERROR(VALUE(SUBSTITUTE(SUBSTITUTE(SUBSTITUTE(INDEX(貼り付け!$A$1:$BZ$3001,1139,$F$1)&amp;"",",",""),"¥",""),"￥","")),0))</f>
        <v/>
      </c>
      <c r="G1140">
        <f>IF(ISNUMBER(B1140),YEAR(B1140),"")</f>
        <v/>
      </c>
      <c r="H1140">
        <f>IF(ISNUMBER(B1140),MONTH(B1140),"")</f>
        <v/>
      </c>
      <c r="I1140">
        <f>IFERROR(IF($B$1=0,"",IF(ISNUMBER(INDEX(貼り付け!$A$1:$BZ$3001,1139,$B$1)),"",SUBSTITUTE(SUBSTITUTE(SUBSTITUTE(SUBSTITUTE(TRIM(LEFT(INDEX(貼り付け!$A$1:$BZ$3001,1139,$B$1)&amp;"",FIND(" ",TRIM(INDEX(貼り付け!$A$1:$BZ$3001,1139,$B$1)&amp;"")&amp;" ")-1)),"/","-"),"年","-"),"月","-"),"日",""))),"")</f>
        <v/>
      </c>
      <c r="J1140">
        <f>IFERROR(MID(I1140,FIND("-",I1140)+1,99),"")</f>
        <v/>
      </c>
    </row>
    <row r="1141">
      <c r="B1141">
        <f>IFERROR(IF($B$1=0,"",IF(INDEX(貼り付け!$A$1:$BZ$3001,1140,$B$1)="","",IF(ISNUMBER(INDEX(貼り付け!$A$1:$BZ$3001,1140,$B$1)),INT(INDEX(貼り付け!$A$1:$BZ$3001,1140,$B$1)),DATE(VALUE(LEFT(I1141,FIND("-",I1141)-1)),VALUE(LEFT(J1141,FIND("-",J1141)-1)),VALUE(MID(J1141,FIND("-",J1141)+1,99)))))),"")</f>
        <v/>
      </c>
      <c r="C1141">
        <f>IF($C$1=0,0,IFERROR(VALUE(SUBSTITUTE(SUBSTITUTE(SUBSTITUTE(INDEX(貼り付け!$A$1:$BZ$3001,1140,$C$1)&amp;"",",",""),"¥",""),"￥","")),0))</f>
        <v/>
      </c>
      <c r="D1141">
        <f>IF($D$1=0,0,IFERROR(VALUE(SUBSTITUTE(SUBSTITUTE(SUBSTITUTE(INDEX(貼り付け!$A$1:$BZ$3001,1140,$D$1)&amp;"",",",""),"¥",""),"￥","")),0))</f>
        <v/>
      </c>
      <c r="E1141">
        <f>IF($E$1=0,0,IFERROR(VALUE(SUBSTITUTE(SUBSTITUTE(SUBSTITUTE(INDEX(貼り付け!$A$1:$BZ$3001,1140,$E$1)&amp;"",",",""),"¥",""),"￥","")),0))</f>
        <v/>
      </c>
      <c r="F1141">
        <f>IF($F$1=0,0,IFERROR(VALUE(SUBSTITUTE(SUBSTITUTE(SUBSTITUTE(INDEX(貼り付け!$A$1:$BZ$3001,1140,$F$1)&amp;"",",",""),"¥",""),"￥","")),0))</f>
        <v/>
      </c>
      <c r="G1141">
        <f>IF(ISNUMBER(B1141),YEAR(B1141),"")</f>
        <v/>
      </c>
      <c r="H1141">
        <f>IF(ISNUMBER(B1141),MONTH(B1141),"")</f>
        <v/>
      </c>
      <c r="I1141">
        <f>IFERROR(IF($B$1=0,"",IF(ISNUMBER(INDEX(貼り付け!$A$1:$BZ$3001,1140,$B$1)),"",SUBSTITUTE(SUBSTITUTE(SUBSTITUTE(SUBSTITUTE(TRIM(LEFT(INDEX(貼り付け!$A$1:$BZ$3001,1140,$B$1)&amp;"",FIND(" ",TRIM(INDEX(貼り付け!$A$1:$BZ$3001,1140,$B$1)&amp;"")&amp;" ")-1)),"/","-"),"年","-"),"月","-"),"日",""))),"")</f>
        <v/>
      </c>
      <c r="J1141">
        <f>IFERROR(MID(I1141,FIND("-",I1141)+1,99),"")</f>
        <v/>
      </c>
    </row>
    <row r="1142">
      <c r="B1142">
        <f>IFERROR(IF($B$1=0,"",IF(INDEX(貼り付け!$A$1:$BZ$3001,1141,$B$1)="","",IF(ISNUMBER(INDEX(貼り付け!$A$1:$BZ$3001,1141,$B$1)),INT(INDEX(貼り付け!$A$1:$BZ$3001,1141,$B$1)),DATE(VALUE(LEFT(I1142,FIND("-",I1142)-1)),VALUE(LEFT(J1142,FIND("-",J1142)-1)),VALUE(MID(J1142,FIND("-",J1142)+1,99)))))),"")</f>
        <v/>
      </c>
      <c r="C1142">
        <f>IF($C$1=0,0,IFERROR(VALUE(SUBSTITUTE(SUBSTITUTE(SUBSTITUTE(INDEX(貼り付け!$A$1:$BZ$3001,1141,$C$1)&amp;"",",",""),"¥",""),"￥","")),0))</f>
        <v/>
      </c>
      <c r="D1142">
        <f>IF($D$1=0,0,IFERROR(VALUE(SUBSTITUTE(SUBSTITUTE(SUBSTITUTE(INDEX(貼り付け!$A$1:$BZ$3001,1141,$D$1)&amp;"",",",""),"¥",""),"￥","")),0))</f>
        <v/>
      </c>
      <c r="E1142">
        <f>IF($E$1=0,0,IFERROR(VALUE(SUBSTITUTE(SUBSTITUTE(SUBSTITUTE(INDEX(貼り付け!$A$1:$BZ$3001,1141,$E$1)&amp;"",",",""),"¥",""),"￥","")),0))</f>
        <v/>
      </c>
      <c r="F1142">
        <f>IF($F$1=0,0,IFERROR(VALUE(SUBSTITUTE(SUBSTITUTE(SUBSTITUTE(INDEX(貼り付け!$A$1:$BZ$3001,1141,$F$1)&amp;"",",",""),"¥",""),"￥","")),0))</f>
        <v/>
      </c>
      <c r="G1142">
        <f>IF(ISNUMBER(B1142),YEAR(B1142),"")</f>
        <v/>
      </c>
      <c r="H1142">
        <f>IF(ISNUMBER(B1142),MONTH(B1142),"")</f>
        <v/>
      </c>
      <c r="I1142">
        <f>IFERROR(IF($B$1=0,"",IF(ISNUMBER(INDEX(貼り付け!$A$1:$BZ$3001,1141,$B$1)),"",SUBSTITUTE(SUBSTITUTE(SUBSTITUTE(SUBSTITUTE(TRIM(LEFT(INDEX(貼り付け!$A$1:$BZ$3001,1141,$B$1)&amp;"",FIND(" ",TRIM(INDEX(貼り付け!$A$1:$BZ$3001,1141,$B$1)&amp;"")&amp;" ")-1)),"/","-"),"年","-"),"月","-"),"日",""))),"")</f>
        <v/>
      </c>
      <c r="J1142">
        <f>IFERROR(MID(I1142,FIND("-",I1142)+1,99),"")</f>
        <v/>
      </c>
    </row>
    <row r="1143">
      <c r="B1143">
        <f>IFERROR(IF($B$1=0,"",IF(INDEX(貼り付け!$A$1:$BZ$3001,1142,$B$1)="","",IF(ISNUMBER(INDEX(貼り付け!$A$1:$BZ$3001,1142,$B$1)),INT(INDEX(貼り付け!$A$1:$BZ$3001,1142,$B$1)),DATE(VALUE(LEFT(I1143,FIND("-",I1143)-1)),VALUE(LEFT(J1143,FIND("-",J1143)-1)),VALUE(MID(J1143,FIND("-",J1143)+1,99)))))),"")</f>
        <v/>
      </c>
      <c r="C1143">
        <f>IF($C$1=0,0,IFERROR(VALUE(SUBSTITUTE(SUBSTITUTE(SUBSTITUTE(INDEX(貼り付け!$A$1:$BZ$3001,1142,$C$1)&amp;"",",",""),"¥",""),"￥","")),0))</f>
        <v/>
      </c>
      <c r="D1143">
        <f>IF($D$1=0,0,IFERROR(VALUE(SUBSTITUTE(SUBSTITUTE(SUBSTITUTE(INDEX(貼り付け!$A$1:$BZ$3001,1142,$D$1)&amp;"",",",""),"¥",""),"￥","")),0))</f>
        <v/>
      </c>
      <c r="E1143">
        <f>IF($E$1=0,0,IFERROR(VALUE(SUBSTITUTE(SUBSTITUTE(SUBSTITUTE(INDEX(貼り付け!$A$1:$BZ$3001,1142,$E$1)&amp;"",",",""),"¥",""),"￥","")),0))</f>
        <v/>
      </c>
      <c r="F1143">
        <f>IF($F$1=0,0,IFERROR(VALUE(SUBSTITUTE(SUBSTITUTE(SUBSTITUTE(INDEX(貼り付け!$A$1:$BZ$3001,1142,$F$1)&amp;"",",",""),"¥",""),"￥","")),0))</f>
        <v/>
      </c>
      <c r="G1143">
        <f>IF(ISNUMBER(B1143),YEAR(B1143),"")</f>
        <v/>
      </c>
      <c r="H1143">
        <f>IF(ISNUMBER(B1143),MONTH(B1143),"")</f>
        <v/>
      </c>
      <c r="I1143">
        <f>IFERROR(IF($B$1=0,"",IF(ISNUMBER(INDEX(貼り付け!$A$1:$BZ$3001,1142,$B$1)),"",SUBSTITUTE(SUBSTITUTE(SUBSTITUTE(SUBSTITUTE(TRIM(LEFT(INDEX(貼り付け!$A$1:$BZ$3001,1142,$B$1)&amp;"",FIND(" ",TRIM(INDEX(貼り付け!$A$1:$BZ$3001,1142,$B$1)&amp;"")&amp;" ")-1)),"/","-"),"年","-"),"月","-"),"日",""))),"")</f>
        <v/>
      </c>
      <c r="J1143">
        <f>IFERROR(MID(I1143,FIND("-",I1143)+1,99),"")</f>
        <v/>
      </c>
    </row>
    <row r="1144">
      <c r="B1144">
        <f>IFERROR(IF($B$1=0,"",IF(INDEX(貼り付け!$A$1:$BZ$3001,1143,$B$1)="","",IF(ISNUMBER(INDEX(貼り付け!$A$1:$BZ$3001,1143,$B$1)),INT(INDEX(貼り付け!$A$1:$BZ$3001,1143,$B$1)),DATE(VALUE(LEFT(I1144,FIND("-",I1144)-1)),VALUE(LEFT(J1144,FIND("-",J1144)-1)),VALUE(MID(J1144,FIND("-",J1144)+1,99)))))),"")</f>
        <v/>
      </c>
      <c r="C1144">
        <f>IF($C$1=0,0,IFERROR(VALUE(SUBSTITUTE(SUBSTITUTE(SUBSTITUTE(INDEX(貼り付け!$A$1:$BZ$3001,1143,$C$1)&amp;"",",",""),"¥",""),"￥","")),0))</f>
        <v/>
      </c>
      <c r="D1144">
        <f>IF($D$1=0,0,IFERROR(VALUE(SUBSTITUTE(SUBSTITUTE(SUBSTITUTE(INDEX(貼り付け!$A$1:$BZ$3001,1143,$D$1)&amp;"",",",""),"¥",""),"￥","")),0))</f>
        <v/>
      </c>
      <c r="E1144">
        <f>IF($E$1=0,0,IFERROR(VALUE(SUBSTITUTE(SUBSTITUTE(SUBSTITUTE(INDEX(貼り付け!$A$1:$BZ$3001,1143,$E$1)&amp;"",",",""),"¥",""),"￥","")),0))</f>
        <v/>
      </c>
      <c r="F1144">
        <f>IF($F$1=0,0,IFERROR(VALUE(SUBSTITUTE(SUBSTITUTE(SUBSTITUTE(INDEX(貼り付け!$A$1:$BZ$3001,1143,$F$1)&amp;"",",",""),"¥",""),"￥","")),0))</f>
        <v/>
      </c>
      <c r="G1144">
        <f>IF(ISNUMBER(B1144),YEAR(B1144),"")</f>
        <v/>
      </c>
      <c r="H1144">
        <f>IF(ISNUMBER(B1144),MONTH(B1144),"")</f>
        <v/>
      </c>
      <c r="I1144">
        <f>IFERROR(IF($B$1=0,"",IF(ISNUMBER(INDEX(貼り付け!$A$1:$BZ$3001,1143,$B$1)),"",SUBSTITUTE(SUBSTITUTE(SUBSTITUTE(SUBSTITUTE(TRIM(LEFT(INDEX(貼り付け!$A$1:$BZ$3001,1143,$B$1)&amp;"",FIND(" ",TRIM(INDEX(貼り付け!$A$1:$BZ$3001,1143,$B$1)&amp;"")&amp;" ")-1)),"/","-"),"年","-"),"月","-"),"日",""))),"")</f>
        <v/>
      </c>
      <c r="J1144">
        <f>IFERROR(MID(I1144,FIND("-",I1144)+1,99),"")</f>
        <v/>
      </c>
    </row>
    <row r="1145">
      <c r="B1145">
        <f>IFERROR(IF($B$1=0,"",IF(INDEX(貼り付け!$A$1:$BZ$3001,1144,$B$1)="","",IF(ISNUMBER(INDEX(貼り付け!$A$1:$BZ$3001,1144,$B$1)),INT(INDEX(貼り付け!$A$1:$BZ$3001,1144,$B$1)),DATE(VALUE(LEFT(I1145,FIND("-",I1145)-1)),VALUE(LEFT(J1145,FIND("-",J1145)-1)),VALUE(MID(J1145,FIND("-",J1145)+1,99)))))),"")</f>
        <v/>
      </c>
      <c r="C1145">
        <f>IF($C$1=0,0,IFERROR(VALUE(SUBSTITUTE(SUBSTITUTE(SUBSTITUTE(INDEX(貼り付け!$A$1:$BZ$3001,1144,$C$1)&amp;"",",",""),"¥",""),"￥","")),0))</f>
        <v/>
      </c>
      <c r="D1145">
        <f>IF($D$1=0,0,IFERROR(VALUE(SUBSTITUTE(SUBSTITUTE(SUBSTITUTE(INDEX(貼り付け!$A$1:$BZ$3001,1144,$D$1)&amp;"",",",""),"¥",""),"￥","")),0))</f>
        <v/>
      </c>
      <c r="E1145">
        <f>IF($E$1=0,0,IFERROR(VALUE(SUBSTITUTE(SUBSTITUTE(SUBSTITUTE(INDEX(貼り付け!$A$1:$BZ$3001,1144,$E$1)&amp;"",",",""),"¥",""),"￥","")),0))</f>
        <v/>
      </c>
      <c r="F1145">
        <f>IF($F$1=0,0,IFERROR(VALUE(SUBSTITUTE(SUBSTITUTE(SUBSTITUTE(INDEX(貼り付け!$A$1:$BZ$3001,1144,$F$1)&amp;"",",",""),"¥",""),"￥","")),0))</f>
        <v/>
      </c>
      <c r="G1145">
        <f>IF(ISNUMBER(B1145),YEAR(B1145),"")</f>
        <v/>
      </c>
      <c r="H1145">
        <f>IF(ISNUMBER(B1145),MONTH(B1145),"")</f>
        <v/>
      </c>
      <c r="I1145">
        <f>IFERROR(IF($B$1=0,"",IF(ISNUMBER(INDEX(貼り付け!$A$1:$BZ$3001,1144,$B$1)),"",SUBSTITUTE(SUBSTITUTE(SUBSTITUTE(SUBSTITUTE(TRIM(LEFT(INDEX(貼り付け!$A$1:$BZ$3001,1144,$B$1)&amp;"",FIND(" ",TRIM(INDEX(貼り付け!$A$1:$BZ$3001,1144,$B$1)&amp;"")&amp;" ")-1)),"/","-"),"年","-"),"月","-"),"日",""))),"")</f>
        <v/>
      </c>
      <c r="J1145">
        <f>IFERROR(MID(I1145,FIND("-",I1145)+1,99),"")</f>
        <v/>
      </c>
    </row>
    <row r="1146">
      <c r="B1146">
        <f>IFERROR(IF($B$1=0,"",IF(INDEX(貼り付け!$A$1:$BZ$3001,1145,$B$1)="","",IF(ISNUMBER(INDEX(貼り付け!$A$1:$BZ$3001,1145,$B$1)),INT(INDEX(貼り付け!$A$1:$BZ$3001,1145,$B$1)),DATE(VALUE(LEFT(I1146,FIND("-",I1146)-1)),VALUE(LEFT(J1146,FIND("-",J1146)-1)),VALUE(MID(J1146,FIND("-",J1146)+1,99)))))),"")</f>
        <v/>
      </c>
      <c r="C1146">
        <f>IF($C$1=0,0,IFERROR(VALUE(SUBSTITUTE(SUBSTITUTE(SUBSTITUTE(INDEX(貼り付け!$A$1:$BZ$3001,1145,$C$1)&amp;"",",",""),"¥",""),"￥","")),0))</f>
        <v/>
      </c>
      <c r="D1146">
        <f>IF($D$1=0,0,IFERROR(VALUE(SUBSTITUTE(SUBSTITUTE(SUBSTITUTE(INDEX(貼り付け!$A$1:$BZ$3001,1145,$D$1)&amp;"",",",""),"¥",""),"￥","")),0))</f>
        <v/>
      </c>
      <c r="E1146">
        <f>IF($E$1=0,0,IFERROR(VALUE(SUBSTITUTE(SUBSTITUTE(SUBSTITUTE(INDEX(貼り付け!$A$1:$BZ$3001,1145,$E$1)&amp;"",",",""),"¥",""),"￥","")),0))</f>
        <v/>
      </c>
      <c r="F1146">
        <f>IF($F$1=0,0,IFERROR(VALUE(SUBSTITUTE(SUBSTITUTE(SUBSTITUTE(INDEX(貼り付け!$A$1:$BZ$3001,1145,$F$1)&amp;"",",",""),"¥",""),"￥","")),0))</f>
        <v/>
      </c>
      <c r="G1146">
        <f>IF(ISNUMBER(B1146),YEAR(B1146),"")</f>
        <v/>
      </c>
      <c r="H1146">
        <f>IF(ISNUMBER(B1146),MONTH(B1146),"")</f>
        <v/>
      </c>
      <c r="I1146">
        <f>IFERROR(IF($B$1=0,"",IF(ISNUMBER(INDEX(貼り付け!$A$1:$BZ$3001,1145,$B$1)),"",SUBSTITUTE(SUBSTITUTE(SUBSTITUTE(SUBSTITUTE(TRIM(LEFT(INDEX(貼り付け!$A$1:$BZ$3001,1145,$B$1)&amp;"",FIND(" ",TRIM(INDEX(貼り付け!$A$1:$BZ$3001,1145,$B$1)&amp;"")&amp;" ")-1)),"/","-"),"年","-"),"月","-"),"日",""))),"")</f>
        <v/>
      </c>
      <c r="J1146">
        <f>IFERROR(MID(I1146,FIND("-",I1146)+1,99),"")</f>
        <v/>
      </c>
    </row>
    <row r="1147">
      <c r="B1147">
        <f>IFERROR(IF($B$1=0,"",IF(INDEX(貼り付け!$A$1:$BZ$3001,1146,$B$1)="","",IF(ISNUMBER(INDEX(貼り付け!$A$1:$BZ$3001,1146,$B$1)),INT(INDEX(貼り付け!$A$1:$BZ$3001,1146,$B$1)),DATE(VALUE(LEFT(I1147,FIND("-",I1147)-1)),VALUE(LEFT(J1147,FIND("-",J1147)-1)),VALUE(MID(J1147,FIND("-",J1147)+1,99)))))),"")</f>
        <v/>
      </c>
      <c r="C1147">
        <f>IF($C$1=0,0,IFERROR(VALUE(SUBSTITUTE(SUBSTITUTE(SUBSTITUTE(INDEX(貼り付け!$A$1:$BZ$3001,1146,$C$1)&amp;"",",",""),"¥",""),"￥","")),0))</f>
        <v/>
      </c>
      <c r="D1147">
        <f>IF($D$1=0,0,IFERROR(VALUE(SUBSTITUTE(SUBSTITUTE(SUBSTITUTE(INDEX(貼り付け!$A$1:$BZ$3001,1146,$D$1)&amp;"",",",""),"¥",""),"￥","")),0))</f>
        <v/>
      </c>
      <c r="E1147">
        <f>IF($E$1=0,0,IFERROR(VALUE(SUBSTITUTE(SUBSTITUTE(SUBSTITUTE(INDEX(貼り付け!$A$1:$BZ$3001,1146,$E$1)&amp;"",",",""),"¥",""),"￥","")),0))</f>
        <v/>
      </c>
      <c r="F1147">
        <f>IF($F$1=0,0,IFERROR(VALUE(SUBSTITUTE(SUBSTITUTE(SUBSTITUTE(INDEX(貼り付け!$A$1:$BZ$3001,1146,$F$1)&amp;"",",",""),"¥",""),"￥","")),0))</f>
        <v/>
      </c>
      <c r="G1147">
        <f>IF(ISNUMBER(B1147),YEAR(B1147),"")</f>
        <v/>
      </c>
      <c r="H1147">
        <f>IF(ISNUMBER(B1147),MONTH(B1147),"")</f>
        <v/>
      </c>
      <c r="I1147">
        <f>IFERROR(IF($B$1=0,"",IF(ISNUMBER(INDEX(貼り付け!$A$1:$BZ$3001,1146,$B$1)),"",SUBSTITUTE(SUBSTITUTE(SUBSTITUTE(SUBSTITUTE(TRIM(LEFT(INDEX(貼り付け!$A$1:$BZ$3001,1146,$B$1)&amp;"",FIND(" ",TRIM(INDEX(貼り付け!$A$1:$BZ$3001,1146,$B$1)&amp;"")&amp;" ")-1)),"/","-"),"年","-"),"月","-"),"日",""))),"")</f>
        <v/>
      </c>
      <c r="J1147">
        <f>IFERROR(MID(I1147,FIND("-",I1147)+1,99),"")</f>
        <v/>
      </c>
    </row>
    <row r="1148">
      <c r="B1148">
        <f>IFERROR(IF($B$1=0,"",IF(INDEX(貼り付け!$A$1:$BZ$3001,1147,$B$1)="","",IF(ISNUMBER(INDEX(貼り付け!$A$1:$BZ$3001,1147,$B$1)),INT(INDEX(貼り付け!$A$1:$BZ$3001,1147,$B$1)),DATE(VALUE(LEFT(I1148,FIND("-",I1148)-1)),VALUE(LEFT(J1148,FIND("-",J1148)-1)),VALUE(MID(J1148,FIND("-",J1148)+1,99)))))),"")</f>
        <v/>
      </c>
      <c r="C1148">
        <f>IF($C$1=0,0,IFERROR(VALUE(SUBSTITUTE(SUBSTITUTE(SUBSTITUTE(INDEX(貼り付け!$A$1:$BZ$3001,1147,$C$1)&amp;"",",",""),"¥",""),"￥","")),0))</f>
        <v/>
      </c>
      <c r="D1148">
        <f>IF($D$1=0,0,IFERROR(VALUE(SUBSTITUTE(SUBSTITUTE(SUBSTITUTE(INDEX(貼り付け!$A$1:$BZ$3001,1147,$D$1)&amp;"",",",""),"¥",""),"￥","")),0))</f>
        <v/>
      </c>
      <c r="E1148">
        <f>IF($E$1=0,0,IFERROR(VALUE(SUBSTITUTE(SUBSTITUTE(SUBSTITUTE(INDEX(貼り付け!$A$1:$BZ$3001,1147,$E$1)&amp;"",",",""),"¥",""),"￥","")),0))</f>
        <v/>
      </c>
      <c r="F1148">
        <f>IF($F$1=0,0,IFERROR(VALUE(SUBSTITUTE(SUBSTITUTE(SUBSTITUTE(INDEX(貼り付け!$A$1:$BZ$3001,1147,$F$1)&amp;"",",",""),"¥",""),"￥","")),0))</f>
        <v/>
      </c>
      <c r="G1148">
        <f>IF(ISNUMBER(B1148),YEAR(B1148),"")</f>
        <v/>
      </c>
      <c r="H1148">
        <f>IF(ISNUMBER(B1148),MONTH(B1148),"")</f>
        <v/>
      </c>
      <c r="I1148">
        <f>IFERROR(IF($B$1=0,"",IF(ISNUMBER(INDEX(貼り付け!$A$1:$BZ$3001,1147,$B$1)),"",SUBSTITUTE(SUBSTITUTE(SUBSTITUTE(SUBSTITUTE(TRIM(LEFT(INDEX(貼り付け!$A$1:$BZ$3001,1147,$B$1)&amp;"",FIND(" ",TRIM(INDEX(貼り付け!$A$1:$BZ$3001,1147,$B$1)&amp;"")&amp;" ")-1)),"/","-"),"年","-"),"月","-"),"日",""))),"")</f>
        <v/>
      </c>
      <c r="J1148">
        <f>IFERROR(MID(I1148,FIND("-",I1148)+1,99),"")</f>
        <v/>
      </c>
    </row>
    <row r="1149">
      <c r="B1149">
        <f>IFERROR(IF($B$1=0,"",IF(INDEX(貼り付け!$A$1:$BZ$3001,1148,$B$1)="","",IF(ISNUMBER(INDEX(貼り付け!$A$1:$BZ$3001,1148,$B$1)),INT(INDEX(貼り付け!$A$1:$BZ$3001,1148,$B$1)),DATE(VALUE(LEFT(I1149,FIND("-",I1149)-1)),VALUE(LEFT(J1149,FIND("-",J1149)-1)),VALUE(MID(J1149,FIND("-",J1149)+1,99)))))),"")</f>
        <v/>
      </c>
      <c r="C1149">
        <f>IF($C$1=0,0,IFERROR(VALUE(SUBSTITUTE(SUBSTITUTE(SUBSTITUTE(INDEX(貼り付け!$A$1:$BZ$3001,1148,$C$1)&amp;"",",",""),"¥",""),"￥","")),0))</f>
        <v/>
      </c>
      <c r="D1149">
        <f>IF($D$1=0,0,IFERROR(VALUE(SUBSTITUTE(SUBSTITUTE(SUBSTITUTE(INDEX(貼り付け!$A$1:$BZ$3001,1148,$D$1)&amp;"",",",""),"¥",""),"￥","")),0))</f>
        <v/>
      </c>
      <c r="E1149">
        <f>IF($E$1=0,0,IFERROR(VALUE(SUBSTITUTE(SUBSTITUTE(SUBSTITUTE(INDEX(貼り付け!$A$1:$BZ$3001,1148,$E$1)&amp;"",",",""),"¥",""),"￥","")),0))</f>
        <v/>
      </c>
      <c r="F1149">
        <f>IF($F$1=0,0,IFERROR(VALUE(SUBSTITUTE(SUBSTITUTE(SUBSTITUTE(INDEX(貼り付け!$A$1:$BZ$3001,1148,$F$1)&amp;"",",",""),"¥",""),"￥","")),0))</f>
        <v/>
      </c>
      <c r="G1149">
        <f>IF(ISNUMBER(B1149),YEAR(B1149),"")</f>
        <v/>
      </c>
      <c r="H1149">
        <f>IF(ISNUMBER(B1149),MONTH(B1149),"")</f>
        <v/>
      </c>
      <c r="I1149">
        <f>IFERROR(IF($B$1=0,"",IF(ISNUMBER(INDEX(貼り付け!$A$1:$BZ$3001,1148,$B$1)),"",SUBSTITUTE(SUBSTITUTE(SUBSTITUTE(SUBSTITUTE(TRIM(LEFT(INDEX(貼り付け!$A$1:$BZ$3001,1148,$B$1)&amp;"",FIND(" ",TRIM(INDEX(貼り付け!$A$1:$BZ$3001,1148,$B$1)&amp;"")&amp;" ")-1)),"/","-"),"年","-"),"月","-"),"日",""))),"")</f>
        <v/>
      </c>
      <c r="J1149">
        <f>IFERROR(MID(I1149,FIND("-",I1149)+1,99),"")</f>
        <v/>
      </c>
    </row>
    <row r="1150">
      <c r="B1150">
        <f>IFERROR(IF($B$1=0,"",IF(INDEX(貼り付け!$A$1:$BZ$3001,1149,$B$1)="","",IF(ISNUMBER(INDEX(貼り付け!$A$1:$BZ$3001,1149,$B$1)),INT(INDEX(貼り付け!$A$1:$BZ$3001,1149,$B$1)),DATE(VALUE(LEFT(I1150,FIND("-",I1150)-1)),VALUE(LEFT(J1150,FIND("-",J1150)-1)),VALUE(MID(J1150,FIND("-",J1150)+1,99)))))),"")</f>
        <v/>
      </c>
      <c r="C1150">
        <f>IF($C$1=0,0,IFERROR(VALUE(SUBSTITUTE(SUBSTITUTE(SUBSTITUTE(INDEX(貼り付け!$A$1:$BZ$3001,1149,$C$1)&amp;"",",",""),"¥",""),"￥","")),0))</f>
        <v/>
      </c>
      <c r="D1150">
        <f>IF($D$1=0,0,IFERROR(VALUE(SUBSTITUTE(SUBSTITUTE(SUBSTITUTE(INDEX(貼り付け!$A$1:$BZ$3001,1149,$D$1)&amp;"",",",""),"¥",""),"￥","")),0))</f>
        <v/>
      </c>
      <c r="E1150">
        <f>IF($E$1=0,0,IFERROR(VALUE(SUBSTITUTE(SUBSTITUTE(SUBSTITUTE(INDEX(貼り付け!$A$1:$BZ$3001,1149,$E$1)&amp;"",",",""),"¥",""),"￥","")),0))</f>
        <v/>
      </c>
      <c r="F1150">
        <f>IF($F$1=0,0,IFERROR(VALUE(SUBSTITUTE(SUBSTITUTE(SUBSTITUTE(INDEX(貼り付け!$A$1:$BZ$3001,1149,$F$1)&amp;"",",",""),"¥",""),"￥","")),0))</f>
        <v/>
      </c>
      <c r="G1150">
        <f>IF(ISNUMBER(B1150),YEAR(B1150),"")</f>
        <v/>
      </c>
      <c r="H1150">
        <f>IF(ISNUMBER(B1150),MONTH(B1150),"")</f>
        <v/>
      </c>
      <c r="I1150">
        <f>IFERROR(IF($B$1=0,"",IF(ISNUMBER(INDEX(貼り付け!$A$1:$BZ$3001,1149,$B$1)),"",SUBSTITUTE(SUBSTITUTE(SUBSTITUTE(SUBSTITUTE(TRIM(LEFT(INDEX(貼り付け!$A$1:$BZ$3001,1149,$B$1)&amp;"",FIND(" ",TRIM(INDEX(貼り付け!$A$1:$BZ$3001,1149,$B$1)&amp;"")&amp;" ")-1)),"/","-"),"年","-"),"月","-"),"日",""))),"")</f>
        <v/>
      </c>
      <c r="J1150">
        <f>IFERROR(MID(I1150,FIND("-",I1150)+1,99),"")</f>
        <v/>
      </c>
    </row>
    <row r="1151">
      <c r="B1151">
        <f>IFERROR(IF($B$1=0,"",IF(INDEX(貼り付け!$A$1:$BZ$3001,1150,$B$1)="","",IF(ISNUMBER(INDEX(貼り付け!$A$1:$BZ$3001,1150,$B$1)),INT(INDEX(貼り付け!$A$1:$BZ$3001,1150,$B$1)),DATE(VALUE(LEFT(I1151,FIND("-",I1151)-1)),VALUE(LEFT(J1151,FIND("-",J1151)-1)),VALUE(MID(J1151,FIND("-",J1151)+1,99)))))),"")</f>
        <v/>
      </c>
      <c r="C1151">
        <f>IF($C$1=0,0,IFERROR(VALUE(SUBSTITUTE(SUBSTITUTE(SUBSTITUTE(INDEX(貼り付け!$A$1:$BZ$3001,1150,$C$1)&amp;"",",",""),"¥",""),"￥","")),0))</f>
        <v/>
      </c>
      <c r="D1151">
        <f>IF($D$1=0,0,IFERROR(VALUE(SUBSTITUTE(SUBSTITUTE(SUBSTITUTE(INDEX(貼り付け!$A$1:$BZ$3001,1150,$D$1)&amp;"",",",""),"¥",""),"￥","")),0))</f>
        <v/>
      </c>
      <c r="E1151">
        <f>IF($E$1=0,0,IFERROR(VALUE(SUBSTITUTE(SUBSTITUTE(SUBSTITUTE(INDEX(貼り付け!$A$1:$BZ$3001,1150,$E$1)&amp;"",",",""),"¥",""),"￥","")),0))</f>
        <v/>
      </c>
      <c r="F1151">
        <f>IF($F$1=0,0,IFERROR(VALUE(SUBSTITUTE(SUBSTITUTE(SUBSTITUTE(INDEX(貼り付け!$A$1:$BZ$3001,1150,$F$1)&amp;"",",",""),"¥",""),"￥","")),0))</f>
        <v/>
      </c>
      <c r="G1151">
        <f>IF(ISNUMBER(B1151),YEAR(B1151),"")</f>
        <v/>
      </c>
      <c r="H1151">
        <f>IF(ISNUMBER(B1151),MONTH(B1151),"")</f>
        <v/>
      </c>
      <c r="I1151">
        <f>IFERROR(IF($B$1=0,"",IF(ISNUMBER(INDEX(貼り付け!$A$1:$BZ$3001,1150,$B$1)),"",SUBSTITUTE(SUBSTITUTE(SUBSTITUTE(SUBSTITUTE(TRIM(LEFT(INDEX(貼り付け!$A$1:$BZ$3001,1150,$B$1)&amp;"",FIND(" ",TRIM(INDEX(貼り付け!$A$1:$BZ$3001,1150,$B$1)&amp;"")&amp;" ")-1)),"/","-"),"年","-"),"月","-"),"日",""))),"")</f>
        <v/>
      </c>
      <c r="J1151">
        <f>IFERROR(MID(I1151,FIND("-",I1151)+1,99),"")</f>
        <v/>
      </c>
    </row>
    <row r="1152">
      <c r="B1152">
        <f>IFERROR(IF($B$1=0,"",IF(INDEX(貼り付け!$A$1:$BZ$3001,1151,$B$1)="","",IF(ISNUMBER(INDEX(貼り付け!$A$1:$BZ$3001,1151,$B$1)),INT(INDEX(貼り付け!$A$1:$BZ$3001,1151,$B$1)),DATE(VALUE(LEFT(I1152,FIND("-",I1152)-1)),VALUE(LEFT(J1152,FIND("-",J1152)-1)),VALUE(MID(J1152,FIND("-",J1152)+1,99)))))),"")</f>
        <v/>
      </c>
      <c r="C1152">
        <f>IF($C$1=0,0,IFERROR(VALUE(SUBSTITUTE(SUBSTITUTE(SUBSTITUTE(INDEX(貼り付け!$A$1:$BZ$3001,1151,$C$1)&amp;"",",",""),"¥",""),"￥","")),0))</f>
        <v/>
      </c>
      <c r="D1152">
        <f>IF($D$1=0,0,IFERROR(VALUE(SUBSTITUTE(SUBSTITUTE(SUBSTITUTE(INDEX(貼り付け!$A$1:$BZ$3001,1151,$D$1)&amp;"",",",""),"¥",""),"￥","")),0))</f>
        <v/>
      </c>
      <c r="E1152">
        <f>IF($E$1=0,0,IFERROR(VALUE(SUBSTITUTE(SUBSTITUTE(SUBSTITUTE(INDEX(貼り付け!$A$1:$BZ$3001,1151,$E$1)&amp;"",",",""),"¥",""),"￥","")),0))</f>
        <v/>
      </c>
      <c r="F1152">
        <f>IF($F$1=0,0,IFERROR(VALUE(SUBSTITUTE(SUBSTITUTE(SUBSTITUTE(INDEX(貼り付け!$A$1:$BZ$3001,1151,$F$1)&amp;"",",",""),"¥",""),"￥","")),0))</f>
        <v/>
      </c>
      <c r="G1152">
        <f>IF(ISNUMBER(B1152),YEAR(B1152),"")</f>
        <v/>
      </c>
      <c r="H1152">
        <f>IF(ISNUMBER(B1152),MONTH(B1152),"")</f>
        <v/>
      </c>
      <c r="I1152">
        <f>IFERROR(IF($B$1=0,"",IF(ISNUMBER(INDEX(貼り付け!$A$1:$BZ$3001,1151,$B$1)),"",SUBSTITUTE(SUBSTITUTE(SUBSTITUTE(SUBSTITUTE(TRIM(LEFT(INDEX(貼り付け!$A$1:$BZ$3001,1151,$B$1)&amp;"",FIND(" ",TRIM(INDEX(貼り付け!$A$1:$BZ$3001,1151,$B$1)&amp;"")&amp;" ")-1)),"/","-"),"年","-"),"月","-"),"日",""))),"")</f>
        <v/>
      </c>
      <c r="J1152">
        <f>IFERROR(MID(I1152,FIND("-",I1152)+1,99),"")</f>
        <v/>
      </c>
    </row>
    <row r="1153">
      <c r="B1153">
        <f>IFERROR(IF($B$1=0,"",IF(INDEX(貼り付け!$A$1:$BZ$3001,1152,$B$1)="","",IF(ISNUMBER(INDEX(貼り付け!$A$1:$BZ$3001,1152,$B$1)),INT(INDEX(貼り付け!$A$1:$BZ$3001,1152,$B$1)),DATE(VALUE(LEFT(I1153,FIND("-",I1153)-1)),VALUE(LEFT(J1153,FIND("-",J1153)-1)),VALUE(MID(J1153,FIND("-",J1153)+1,99)))))),"")</f>
        <v/>
      </c>
      <c r="C1153">
        <f>IF($C$1=0,0,IFERROR(VALUE(SUBSTITUTE(SUBSTITUTE(SUBSTITUTE(INDEX(貼り付け!$A$1:$BZ$3001,1152,$C$1)&amp;"",",",""),"¥",""),"￥","")),0))</f>
        <v/>
      </c>
      <c r="D1153">
        <f>IF($D$1=0,0,IFERROR(VALUE(SUBSTITUTE(SUBSTITUTE(SUBSTITUTE(INDEX(貼り付け!$A$1:$BZ$3001,1152,$D$1)&amp;"",",",""),"¥",""),"￥","")),0))</f>
        <v/>
      </c>
      <c r="E1153">
        <f>IF($E$1=0,0,IFERROR(VALUE(SUBSTITUTE(SUBSTITUTE(SUBSTITUTE(INDEX(貼り付け!$A$1:$BZ$3001,1152,$E$1)&amp;"",",",""),"¥",""),"￥","")),0))</f>
        <v/>
      </c>
      <c r="F1153">
        <f>IF($F$1=0,0,IFERROR(VALUE(SUBSTITUTE(SUBSTITUTE(SUBSTITUTE(INDEX(貼り付け!$A$1:$BZ$3001,1152,$F$1)&amp;"",",",""),"¥",""),"￥","")),0))</f>
        <v/>
      </c>
      <c r="G1153">
        <f>IF(ISNUMBER(B1153),YEAR(B1153),"")</f>
        <v/>
      </c>
      <c r="H1153">
        <f>IF(ISNUMBER(B1153),MONTH(B1153),"")</f>
        <v/>
      </c>
      <c r="I1153">
        <f>IFERROR(IF($B$1=0,"",IF(ISNUMBER(INDEX(貼り付け!$A$1:$BZ$3001,1152,$B$1)),"",SUBSTITUTE(SUBSTITUTE(SUBSTITUTE(SUBSTITUTE(TRIM(LEFT(INDEX(貼り付け!$A$1:$BZ$3001,1152,$B$1)&amp;"",FIND(" ",TRIM(INDEX(貼り付け!$A$1:$BZ$3001,1152,$B$1)&amp;"")&amp;" ")-1)),"/","-"),"年","-"),"月","-"),"日",""))),"")</f>
        <v/>
      </c>
      <c r="J1153">
        <f>IFERROR(MID(I1153,FIND("-",I1153)+1,99),"")</f>
        <v/>
      </c>
    </row>
    <row r="1154">
      <c r="B1154">
        <f>IFERROR(IF($B$1=0,"",IF(INDEX(貼り付け!$A$1:$BZ$3001,1153,$B$1)="","",IF(ISNUMBER(INDEX(貼り付け!$A$1:$BZ$3001,1153,$B$1)),INT(INDEX(貼り付け!$A$1:$BZ$3001,1153,$B$1)),DATE(VALUE(LEFT(I1154,FIND("-",I1154)-1)),VALUE(LEFT(J1154,FIND("-",J1154)-1)),VALUE(MID(J1154,FIND("-",J1154)+1,99)))))),"")</f>
        <v/>
      </c>
      <c r="C1154">
        <f>IF($C$1=0,0,IFERROR(VALUE(SUBSTITUTE(SUBSTITUTE(SUBSTITUTE(INDEX(貼り付け!$A$1:$BZ$3001,1153,$C$1)&amp;"",",",""),"¥",""),"￥","")),0))</f>
        <v/>
      </c>
      <c r="D1154">
        <f>IF($D$1=0,0,IFERROR(VALUE(SUBSTITUTE(SUBSTITUTE(SUBSTITUTE(INDEX(貼り付け!$A$1:$BZ$3001,1153,$D$1)&amp;"",",",""),"¥",""),"￥","")),0))</f>
        <v/>
      </c>
      <c r="E1154">
        <f>IF($E$1=0,0,IFERROR(VALUE(SUBSTITUTE(SUBSTITUTE(SUBSTITUTE(INDEX(貼り付け!$A$1:$BZ$3001,1153,$E$1)&amp;"",",",""),"¥",""),"￥","")),0))</f>
        <v/>
      </c>
      <c r="F1154">
        <f>IF($F$1=0,0,IFERROR(VALUE(SUBSTITUTE(SUBSTITUTE(SUBSTITUTE(INDEX(貼り付け!$A$1:$BZ$3001,1153,$F$1)&amp;"",",",""),"¥",""),"￥","")),0))</f>
        <v/>
      </c>
      <c r="G1154">
        <f>IF(ISNUMBER(B1154),YEAR(B1154),"")</f>
        <v/>
      </c>
      <c r="H1154">
        <f>IF(ISNUMBER(B1154),MONTH(B1154),"")</f>
        <v/>
      </c>
      <c r="I1154">
        <f>IFERROR(IF($B$1=0,"",IF(ISNUMBER(INDEX(貼り付け!$A$1:$BZ$3001,1153,$B$1)),"",SUBSTITUTE(SUBSTITUTE(SUBSTITUTE(SUBSTITUTE(TRIM(LEFT(INDEX(貼り付け!$A$1:$BZ$3001,1153,$B$1)&amp;"",FIND(" ",TRIM(INDEX(貼り付け!$A$1:$BZ$3001,1153,$B$1)&amp;"")&amp;" ")-1)),"/","-"),"年","-"),"月","-"),"日",""))),"")</f>
        <v/>
      </c>
      <c r="J1154">
        <f>IFERROR(MID(I1154,FIND("-",I1154)+1,99),"")</f>
        <v/>
      </c>
    </row>
    <row r="1155">
      <c r="B1155">
        <f>IFERROR(IF($B$1=0,"",IF(INDEX(貼り付け!$A$1:$BZ$3001,1154,$B$1)="","",IF(ISNUMBER(INDEX(貼り付け!$A$1:$BZ$3001,1154,$B$1)),INT(INDEX(貼り付け!$A$1:$BZ$3001,1154,$B$1)),DATE(VALUE(LEFT(I1155,FIND("-",I1155)-1)),VALUE(LEFT(J1155,FIND("-",J1155)-1)),VALUE(MID(J1155,FIND("-",J1155)+1,99)))))),"")</f>
        <v/>
      </c>
      <c r="C1155">
        <f>IF($C$1=0,0,IFERROR(VALUE(SUBSTITUTE(SUBSTITUTE(SUBSTITUTE(INDEX(貼り付け!$A$1:$BZ$3001,1154,$C$1)&amp;"",",",""),"¥",""),"￥","")),0))</f>
        <v/>
      </c>
      <c r="D1155">
        <f>IF($D$1=0,0,IFERROR(VALUE(SUBSTITUTE(SUBSTITUTE(SUBSTITUTE(INDEX(貼り付け!$A$1:$BZ$3001,1154,$D$1)&amp;"",",",""),"¥",""),"￥","")),0))</f>
        <v/>
      </c>
      <c r="E1155">
        <f>IF($E$1=0,0,IFERROR(VALUE(SUBSTITUTE(SUBSTITUTE(SUBSTITUTE(INDEX(貼り付け!$A$1:$BZ$3001,1154,$E$1)&amp;"",",",""),"¥",""),"￥","")),0))</f>
        <v/>
      </c>
      <c r="F1155">
        <f>IF($F$1=0,0,IFERROR(VALUE(SUBSTITUTE(SUBSTITUTE(SUBSTITUTE(INDEX(貼り付け!$A$1:$BZ$3001,1154,$F$1)&amp;"",",",""),"¥",""),"￥","")),0))</f>
        <v/>
      </c>
      <c r="G1155">
        <f>IF(ISNUMBER(B1155),YEAR(B1155),"")</f>
        <v/>
      </c>
      <c r="H1155">
        <f>IF(ISNUMBER(B1155),MONTH(B1155),"")</f>
        <v/>
      </c>
      <c r="I1155">
        <f>IFERROR(IF($B$1=0,"",IF(ISNUMBER(INDEX(貼り付け!$A$1:$BZ$3001,1154,$B$1)),"",SUBSTITUTE(SUBSTITUTE(SUBSTITUTE(SUBSTITUTE(TRIM(LEFT(INDEX(貼り付け!$A$1:$BZ$3001,1154,$B$1)&amp;"",FIND(" ",TRIM(INDEX(貼り付け!$A$1:$BZ$3001,1154,$B$1)&amp;"")&amp;" ")-1)),"/","-"),"年","-"),"月","-"),"日",""))),"")</f>
        <v/>
      </c>
      <c r="J1155">
        <f>IFERROR(MID(I1155,FIND("-",I1155)+1,99),"")</f>
        <v/>
      </c>
    </row>
    <row r="1156">
      <c r="B1156">
        <f>IFERROR(IF($B$1=0,"",IF(INDEX(貼り付け!$A$1:$BZ$3001,1155,$B$1)="","",IF(ISNUMBER(INDEX(貼り付け!$A$1:$BZ$3001,1155,$B$1)),INT(INDEX(貼り付け!$A$1:$BZ$3001,1155,$B$1)),DATE(VALUE(LEFT(I1156,FIND("-",I1156)-1)),VALUE(LEFT(J1156,FIND("-",J1156)-1)),VALUE(MID(J1156,FIND("-",J1156)+1,99)))))),"")</f>
        <v/>
      </c>
      <c r="C1156">
        <f>IF($C$1=0,0,IFERROR(VALUE(SUBSTITUTE(SUBSTITUTE(SUBSTITUTE(INDEX(貼り付け!$A$1:$BZ$3001,1155,$C$1)&amp;"",",",""),"¥",""),"￥","")),0))</f>
        <v/>
      </c>
      <c r="D1156">
        <f>IF($D$1=0,0,IFERROR(VALUE(SUBSTITUTE(SUBSTITUTE(SUBSTITUTE(INDEX(貼り付け!$A$1:$BZ$3001,1155,$D$1)&amp;"",",",""),"¥",""),"￥","")),0))</f>
        <v/>
      </c>
      <c r="E1156">
        <f>IF($E$1=0,0,IFERROR(VALUE(SUBSTITUTE(SUBSTITUTE(SUBSTITUTE(INDEX(貼り付け!$A$1:$BZ$3001,1155,$E$1)&amp;"",",",""),"¥",""),"￥","")),0))</f>
        <v/>
      </c>
      <c r="F1156">
        <f>IF($F$1=0,0,IFERROR(VALUE(SUBSTITUTE(SUBSTITUTE(SUBSTITUTE(INDEX(貼り付け!$A$1:$BZ$3001,1155,$F$1)&amp;"",",",""),"¥",""),"￥","")),0))</f>
        <v/>
      </c>
      <c r="G1156">
        <f>IF(ISNUMBER(B1156),YEAR(B1156),"")</f>
        <v/>
      </c>
      <c r="H1156">
        <f>IF(ISNUMBER(B1156),MONTH(B1156),"")</f>
        <v/>
      </c>
      <c r="I1156">
        <f>IFERROR(IF($B$1=0,"",IF(ISNUMBER(INDEX(貼り付け!$A$1:$BZ$3001,1155,$B$1)),"",SUBSTITUTE(SUBSTITUTE(SUBSTITUTE(SUBSTITUTE(TRIM(LEFT(INDEX(貼り付け!$A$1:$BZ$3001,1155,$B$1)&amp;"",FIND(" ",TRIM(INDEX(貼り付け!$A$1:$BZ$3001,1155,$B$1)&amp;"")&amp;" ")-1)),"/","-"),"年","-"),"月","-"),"日",""))),"")</f>
        <v/>
      </c>
      <c r="J1156">
        <f>IFERROR(MID(I1156,FIND("-",I1156)+1,99),"")</f>
        <v/>
      </c>
    </row>
    <row r="1157">
      <c r="B1157">
        <f>IFERROR(IF($B$1=0,"",IF(INDEX(貼り付け!$A$1:$BZ$3001,1156,$B$1)="","",IF(ISNUMBER(INDEX(貼り付け!$A$1:$BZ$3001,1156,$B$1)),INT(INDEX(貼り付け!$A$1:$BZ$3001,1156,$B$1)),DATE(VALUE(LEFT(I1157,FIND("-",I1157)-1)),VALUE(LEFT(J1157,FIND("-",J1157)-1)),VALUE(MID(J1157,FIND("-",J1157)+1,99)))))),"")</f>
        <v/>
      </c>
      <c r="C1157">
        <f>IF($C$1=0,0,IFERROR(VALUE(SUBSTITUTE(SUBSTITUTE(SUBSTITUTE(INDEX(貼り付け!$A$1:$BZ$3001,1156,$C$1)&amp;"",",",""),"¥",""),"￥","")),0))</f>
        <v/>
      </c>
      <c r="D1157">
        <f>IF($D$1=0,0,IFERROR(VALUE(SUBSTITUTE(SUBSTITUTE(SUBSTITUTE(INDEX(貼り付け!$A$1:$BZ$3001,1156,$D$1)&amp;"",",",""),"¥",""),"￥","")),0))</f>
        <v/>
      </c>
      <c r="E1157">
        <f>IF($E$1=0,0,IFERROR(VALUE(SUBSTITUTE(SUBSTITUTE(SUBSTITUTE(INDEX(貼り付け!$A$1:$BZ$3001,1156,$E$1)&amp;"",",",""),"¥",""),"￥","")),0))</f>
        <v/>
      </c>
      <c r="F1157">
        <f>IF($F$1=0,0,IFERROR(VALUE(SUBSTITUTE(SUBSTITUTE(SUBSTITUTE(INDEX(貼り付け!$A$1:$BZ$3001,1156,$F$1)&amp;"",",",""),"¥",""),"￥","")),0))</f>
        <v/>
      </c>
      <c r="G1157">
        <f>IF(ISNUMBER(B1157),YEAR(B1157),"")</f>
        <v/>
      </c>
      <c r="H1157">
        <f>IF(ISNUMBER(B1157),MONTH(B1157),"")</f>
        <v/>
      </c>
      <c r="I1157">
        <f>IFERROR(IF($B$1=0,"",IF(ISNUMBER(INDEX(貼り付け!$A$1:$BZ$3001,1156,$B$1)),"",SUBSTITUTE(SUBSTITUTE(SUBSTITUTE(SUBSTITUTE(TRIM(LEFT(INDEX(貼り付け!$A$1:$BZ$3001,1156,$B$1)&amp;"",FIND(" ",TRIM(INDEX(貼り付け!$A$1:$BZ$3001,1156,$B$1)&amp;"")&amp;" ")-1)),"/","-"),"年","-"),"月","-"),"日",""))),"")</f>
        <v/>
      </c>
      <c r="J1157">
        <f>IFERROR(MID(I1157,FIND("-",I1157)+1,99),"")</f>
        <v/>
      </c>
    </row>
    <row r="1158">
      <c r="B1158">
        <f>IFERROR(IF($B$1=0,"",IF(INDEX(貼り付け!$A$1:$BZ$3001,1157,$B$1)="","",IF(ISNUMBER(INDEX(貼り付け!$A$1:$BZ$3001,1157,$B$1)),INT(INDEX(貼り付け!$A$1:$BZ$3001,1157,$B$1)),DATE(VALUE(LEFT(I1158,FIND("-",I1158)-1)),VALUE(LEFT(J1158,FIND("-",J1158)-1)),VALUE(MID(J1158,FIND("-",J1158)+1,99)))))),"")</f>
        <v/>
      </c>
      <c r="C1158">
        <f>IF($C$1=0,0,IFERROR(VALUE(SUBSTITUTE(SUBSTITUTE(SUBSTITUTE(INDEX(貼り付け!$A$1:$BZ$3001,1157,$C$1)&amp;"",",",""),"¥",""),"￥","")),0))</f>
        <v/>
      </c>
      <c r="D1158">
        <f>IF($D$1=0,0,IFERROR(VALUE(SUBSTITUTE(SUBSTITUTE(SUBSTITUTE(INDEX(貼り付け!$A$1:$BZ$3001,1157,$D$1)&amp;"",",",""),"¥",""),"￥","")),0))</f>
        <v/>
      </c>
      <c r="E1158">
        <f>IF($E$1=0,0,IFERROR(VALUE(SUBSTITUTE(SUBSTITUTE(SUBSTITUTE(INDEX(貼り付け!$A$1:$BZ$3001,1157,$E$1)&amp;"",",",""),"¥",""),"￥","")),0))</f>
        <v/>
      </c>
      <c r="F1158">
        <f>IF($F$1=0,0,IFERROR(VALUE(SUBSTITUTE(SUBSTITUTE(SUBSTITUTE(INDEX(貼り付け!$A$1:$BZ$3001,1157,$F$1)&amp;"",",",""),"¥",""),"￥","")),0))</f>
        <v/>
      </c>
      <c r="G1158">
        <f>IF(ISNUMBER(B1158),YEAR(B1158),"")</f>
        <v/>
      </c>
      <c r="H1158">
        <f>IF(ISNUMBER(B1158),MONTH(B1158),"")</f>
        <v/>
      </c>
      <c r="I1158">
        <f>IFERROR(IF($B$1=0,"",IF(ISNUMBER(INDEX(貼り付け!$A$1:$BZ$3001,1157,$B$1)),"",SUBSTITUTE(SUBSTITUTE(SUBSTITUTE(SUBSTITUTE(TRIM(LEFT(INDEX(貼り付け!$A$1:$BZ$3001,1157,$B$1)&amp;"",FIND(" ",TRIM(INDEX(貼り付け!$A$1:$BZ$3001,1157,$B$1)&amp;"")&amp;" ")-1)),"/","-"),"年","-"),"月","-"),"日",""))),"")</f>
        <v/>
      </c>
      <c r="J1158">
        <f>IFERROR(MID(I1158,FIND("-",I1158)+1,99),"")</f>
        <v/>
      </c>
    </row>
    <row r="1159">
      <c r="B1159">
        <f>IFERROR(IF($B$1=0,"",IF(INDEX(貼り付け!$A$1:$BZ$3001,1158,$B$1)="","",IF(ISNUMBER(INDEX(貼り付け!$A$1:$BZ$3001,1158,$B$1)),INT(INDEX(貼り付け!$A$1:$BZ$3001,1158,$B$1)),DATE(VALUE(LEFT(I1159,FIND("-",I1159)-1)),VALUE(LEFT(J1159,FIND("-",J1159)-1)),VALUE(MID(J1159,FIND("-",J1159)+1,99)))))),"")</f>
        <v/>
      </c>
      <c r="C1159">
        <f>IF($C$1=0,0,IFERROR(VALUE(SUBSTITUTE(SUBSTITUTE(SUBSTITUTE(INDEX(貼り付け!$A$1:$BZ$3001,1158,$C$1)&amp;"",",",""),"¥",""),"￥","")),0))</f>
        <v/>
      </c>
      <c r="D1159">
        <f>IF($D$1=0,0,IFERROR(VALUE(SUBSTITUTE(SUBSTITUTE(SUBSTITUTE(INDEX(貼り付け!$A$1:$BZ$3001,1158,$D$1)&amp;"",",",""),"¥",""),"￥","")),0))</f>
        <v/>
      </c>
      <c r="E1159">
        <f>IF($E$1=0,0,IFERROR(VALUE(SUBSTITUTE(SUBSTITUTE(SUBSTITUTE(INDEX(貼り付け!$A$1:$BZ$3001,1158,$E$1)&amp;"",",",""),"¥",""),"￥","")),0))</f>
        <v/>
      </c>
      <c r="F1159">
        <f>IF($F$1=0,0,IFERROR(VALUE(SUBSTITUTE(SUBSTITUTE(SUBSTITUTE(INDEX(貼り付け!$A$1:$BZ$3001,1158,$F$1)&amp;"",",",""),"¥",""),"￥","")),0))</f>
        <v/>
      </c>
      <c r="G1159">
        <f>IF(ISNUMBER(B1159),YEAR(B1159),"")</f>
        <v/>
      </c>
      <c r="H1159">
        <f>IF(ISNUMBER(B1159),MONTH(B1159),"")</f>
        <v/>
      </c>
      <c r="I1159">
        <f>IFERROR(IF($B$1=0,"",IF(ISNUMBER(INDEX(貼り付け!$A$1:$BZ$3001,1158,$B$1)),"",SUBSTITUTE(SUBSTITUTE(SUBSTITUTE(SUBSTITUTE(TRIM(LEFT(INDEX(貼り付け!$A$1:$BZ$3001,1158,$B$1)&amp;"",FIND(" ",TRIM(INDEX(貼り付け!$A$1:$BZ$3001,1158,$B$1)&amp;"")&amp;" ")-1)),"/","-"),"年","-"),"月","-"),"日",""))),"")</f>
        <v/>
      </c>
      <c r="J1159">
        <f>IFERROR(MID(I1159,FIND("-",I1159)+1,99),"")</f>
        <v/>
      </c>
    </row>
    <row r="1160">
      <c r="B1160">
        <f>IFERROR(IF($B$1=0,"",IF(INDEX(貼り付け!$A$1:$BZ$3001,1159,$B$1)="","",IF(ISNUMBER(INDEX(貼り付け!$A$1:$BZ$3001,1159,$B$1)),INT(INDEX(貼り付け!$A$1:$BZ$3001,1159,$B$1)),DATE(VALUE(LEFT(I1160,FIND("-",I1160)-1)),VALUE(LEFT(J1160,FIND("-",J1160)-1)),VALUE(MID(J1160,FIND("-",J1160)+1,99)))))),"")</f>
        <v/>
      </c>
      <c r="C1160">
        <f>IF($C$1=0,0,IFERROR(VALUE(SUBSTITUTE(SUBSTITUTE(SUBSTITUTE(INDEX(貼り付け!$A$1:$BZ$3001,1159,$C$1)&amp;"",",",""),"¥",""),"￥","")),0))</f>
        <v/>
      </c>
      <c r="D1160">
        <f>IF($D$1=0,0,IFERROR(VALUE(SUBSTITUTE(SUBSTITUTE(SUBSTITUTE(INDEX(貼り付け!$A$1:$BZ$3001,1159,$D$1)&amp;"",",",""),"¥",""),"￥","")),0))</f>
        <v/>
      </c>
      <c r="E1160">
        <f>IF($E$1=0,0,IFERROR(VALUE(SUBSTITUTE(SUBSTITUTE(SUBSTITUTE(INDEX(貼り付け!$A$1:$BZ$3001,1159,$E$1)&amp;"",",",""),"¥",""),"￥","")),0))</f>
        <v/>
      </c>
      <c r="F1160">
        <f>IF($F$1=0,0,IFERROR(VALUE(SUBSTITUTE(SUBSTITUTE(SUBSTITUTE(INDEX(貼り付け!$A$1:$BZ$3001,1159,$F$1)&amp;"",",",""),"¥",""),"￥","")),0))</f>
        <v/>
      </c>
      <c r="G1160">
        <f>IF(ISNUMBER(B1160),YEAR(B1160),"")</f>
        <v/>
      </c>
      <c r="H1160">
        <f>IF(ISNUMBER(B1160),MONTH(B1160),"")</f>
        <v/>
      </c>
      <c r="I1160">
        <f>IFERROR(IF($B$1=0,"",IF(ISNUMBER(INDEX(貼り付け!$A$1:$BZ$3001,1159,$B$1)),"",SUBSTITUTE(SUBSTITUTE(SUBSTITUTE(SUBSTITUTE(TRIM(LEFT(INDEX(貼り付け!$A$1:$BZ$3001,1159,$B$1)&amp;"",FIND(" ",TRIM(INDEX(貼り付け!$A$1:$BZ$3001,1159,$B$1)&amp;"")&amp;" ")-1)),"/","-"),"年","-"),"月","-"),"日",""))),"")</f>
        <v/>
      </c>
      <c r="J1160">
        <f>IFERROR(MID(I1160,FIND("-",I1160)+1,99),"")</f>
        <v/>
      </c>
    </row>
    <row r="1161">
      <c r="B1161">
        <f>IFERROR(IF($B$1=0,"",IF(INDEX(貼り付け!$A$1:$BZ$3001,1160,$B$1)="","",IF(ISNUMBER(INDEX(貼り付け!$A$1:$BZ$3001,1160,$B$1)),INT(INDEX(貼り付け!$A$1:$BZ$3001,1160,$B$1)),DATE(VALUE(LEFT(I1161,FIND("-",I1161)-1)),VALUE(LEFT(J1161,FIND("-",J1161)-1)),VALUE(MID(J1161,FIND("-",J1161)+1,99)))))),"")</f>
        <v/>
      </c>
      <c r="C1161">
        <f>IF($C$1=0,0,IFERROR(VALUE(SUBSTITUTE(SUBSTITUTE(SUBSTITUTE(INDEX(貼り付け!$A$1:$BZ$3001,1160,$C$1)&amp;"",",",""),"¥",""),"￥","")),0))</f>
        <v/>
      </c>
      <c r="D1161">
        <f>IF($D$1=0,0,IFERROR(VALUE(SUBSTITUTE(SUBSTITUTE(SUBSTITUTE(INDEX(貼り付け!$A$1:$BZ$3001,1160,$D$1)&amp;"",",",""),"¥",""),"￥","")),0))</f>
        <v/>
      </c>
      <c r="E1161">
        <f>IF($E$1=0,0,IFERROR(VALUE(SUBSTITUTE(SUBSTITUTE(SUBSTITUTE(INDEX(貼り付け!$A$1:$BZ$3001,1160,$E$1)&amp;"",",",""),"¥",""),"￥","")),0))</f>
        <v/>
      </c>
      <c r="F1161">
        <f>IF($F$1=0,0,IFERROR(VALUE(SUBSTITUTE(SUBSTITUTE(SUBSTITUTE(INDEX(貼り付け!$A$1:$BZ$3001,1160,$F$1)&amp;"",",",""),"¥",""),"￥","")),0))</f>
        <v/>
      </c>
      <c r="G1161">
        <f>IF(ISNUMBER(B1161),YEAR(B1161),"")</f>
        <v/>
      </c>
      <c r="H1161">
        <f>IF(ISNUMBER(B1161),MONTH(B1161),"")</f>
        <v/>
      </c>
      <c r="I1161">
        <f>IFERROR(IF($B$1=0,"",IF(ISNUMBER(INDEX(貼り付け!$A$1:$BZ$3001,1160,$B$1)),"",SUBSTITUTE(SUBSTITUTE(SUBSTITUTE(SUBSTITUTE(TRIM(LEFT(INDEX(貼り付け!$A$1:$BZ$3001,1160,$B$1)&amp;"",FIND(" ",TRIM(INDEX(貼り付け!$A$1:$BZ$3001,1160,$B$1)&amp;"")&amp;" ")-1)),"/","-"),"年","-"),"月","-"),"日",""))),"")</f>
        <v/>
      </c>
      <c r="J1161">
        <f>IFERROR(MID(I1161,FIND("-",I1161)+1,99),"")</f>
        <v/>
      </c>
    </row>
    <row r="1162">
      <c r="B1162">
        <f>IFERROR(IF($B$1=0,"",IF(INDEX(貼り付け!$A$1:$BZ$3001,1161,$B$1)="","",IF(ISNUMBER(INDEX(貼り付け!$A$1:$BZ$3001,1161,$B$1)),INT(INDEX(貼り付け!$A$1:$BZ$3001,1161,$B$1)),DATE(VALUE(LEFT(I1162,FIND("-",I1162)-1)),VALUE(LEFT(J1162,FIND("-",J1162)-1)),VALUE(MID(J1162,FIND("-",J1162)+1,99)))))),"")</f>
        <v/>
      </c>
      <c r="C1162">
        <f>IF($C$1=0,0,IFERROR(VALUE(SUBSTITUTE(SUBSTITUTE(SUBSTITUTE(INDEX(貼り付け!$A$1:$BZ$3001,1161,$C$1)&amp;"",",",""),"¥",""),"￥","")),0))</f>
        <v/>
      </c>
      <c r="D1162">
        <f>IF($D$1=0,0,IFERROR(VALUE(SUBSTITUTE(SUBSTITUTE(SUBSTITUTE(INDEX(貼り付け!$A$1:$BZ$3001,1161,$D$1)&amp;"",",",""),"¥",""),"￥","")),0))</f>
        <v/>
      </c>
      <c r="E1162">
        <f>IF($E$1=0,0,IFERROR(VALUE(SUBSTITUTE(SUBSTITUTE(SUBSTITUTE(INDEX(貼り付け!$A$1:$BZ$3001,1161,$E$1)&amp;"",",",""),"¥",""),"￥","")),0))</f>
        <v/>
      </c>
      <c r="F1162">
        <f>IF($F$1=0,0,IFERROR(VALUE(SUBSTITUTE(SUBSTITUTE(SUBSTITUTE(INDEX(貼り付け!$A$1:$BZ$3001,1161,$F$1)&amp;"",",",""),"¥",""),"￥","")),0))</f>
        <v/>
      </c>
      <c r="G1162">
        <f>IF(ISNUMBER(B1162),YEAR(B1162),"")</f>
        <v/>
      </c>
      <c r="H1162">
        <f>IF(ISNUMBER(B1162),MONTH(B1162),"")</f>
        <v/>
      </c>
      <c r="I1162">
        <f>IFERROR(IF($B$1=0,"",IF(ISNUMBER(INDEX(貼り付け!$A$1:$BZ$3001,1161,$B$1)),"",SUBSTITUTE(SUBSTITUTE(SUBSTITUTE(SUBSTITUTE(TRIM(LEFT(INDEX(貼り付け!$A$1:$BZ$3001,1161,$B$1)&amp;"",FIND(" ",TRIM(INDEX(貼り付け!$A$1:$BZ$3001,1161,$B$1)&amp;"")&amp;" ")-1)),"/","-"),"年","-"),"月","-"),"日",""))),"")</f>
        <v/>
      </c>
      <c r="J1162">
        <f>IFERROR(MID(I1162,FIND("-",I1162)+1,99),"")</f>
        <v/>
      </c>
    </row>
    <row r="1163">
      <c r="B1163">
        <f>IFERROR(IF($B$1=0,"",IF(INDEX(貼り付け!$A$1:$BZ$3001,1162,$B$1)="","",IF(ISNUMBER(INDEX(貼り付け!$A$1:$BZ$3001,1162,$B$1)),INT(INDEX(貼り付け!$A$1:$BZ$3001,1162,$B$1)),DATE(VALUE(LEFT(I1163,FIND("-",I1163)-1)),VALUE(LEFT(J1163,FIND("-",J1163)-1)),VALUE(MID(J1163,FIND("-",J1163)+1,99)))))),"")</f>
        <v/>
      </c>
      <c r="C1163">
        <f>IF($C$1=0,0,IFERROR(VALUE(SUBSTITUTE(SUBSTITUTE(SUBSTITUTE(INDEX(貼り付け!$A$1:$BZ$3001,1162,$C$1)&amp;"",",",""),"¥",""),"￥","")),0))</f>
        <v/>
      </c>
      <c r="D1163">
        <f>IF($D$1=0,0,IFERROR(VALUE(SUBSTITUTE(SUBSTITUTE(SUBSTITUTE(INDEX(貼り付け!$A$1:$BZ$3001,1162,$D$1)&amp;"",",",""),"¥",""),"￥","")),0))</f>
        <v/>
      </c>
      <c r="E1163">
        <f>IF($E$1=0,0,IFERROR(VALUE(SUBSTITUTE(SUBSTITUTE(SUBSTITUTE(INDEX(貼り付け!$A$1:$BZ$3001,1162,$E$1)&amp;"",",",""),"¥",""),"￥","")),0))</f>
        <v/>
      </c>
      <c r="F1163">
        <f>IF($F$1=0,0,IFERROR(VALUE(SUBSTITUTE(SUBSTITUTE(SUBSTITUTE(INDEX(貼り付け!$A$1:$BZ$3001,1162,$F$1)&amp;"",",",""),"¥",""),"￥","")),0))</f>
        <v/>
      </c>
      <c r="G1163">
        <f>IF(ISNUMBER(B1163),YEAR(B1163),"")</f>
        <v/>
      </c>
      <c r="H1163">
        <f>IF(ISNUMBER(B1163),MONTH(B1163),"")</f>
        <v/>
      </c>
      <c r="I1163">
        <f>IFERROR(IF($B$1=0,"",IF(ISNUMBER(INDEX(貼り付け!$A$1:$BZ$3001,1162,$B$1)),"",SUBSTITUTE(SUBSTITUTE(SUBSTITUTE(SUBSTITUTE(TRIM(LEFT(INDEX(貼り付け!$A$1:$BZ$3001,1162,$B$1)&amp;"",FIND(" ",TRIM(INDEX(貼り付け!$A$1:$BZ$3001,1162,$B$1)&amp;"")&amp;" ")-1)),"/","-"),"年","-"),"月","-"),"日",""))),"")</f>
        <v/>
      </c>
      <c r="J1163">
        <f>IFERROR(MID(I1163,FIND("-",I1163)+1,99),"")</f>
        <v/>
      </c>
    </row>
    <row r="1164">
      <c r="B1164">
        <f>IFERROR(IF($B$1=0,"",IF(INDEX(貼り付け!$A$1:$BZ$3001,1163,$B$1)="","",IF(ISNUMBER(INDEX(貼り付け!$A$1:$BZ$3001,1163,$B$1)),INT(INDEX(貼り付け!$A$1:$BZ$3001,1163,$B$1)),DATE(VALUE(LEFT(I1164,FIND("-",I1164)-1)),VALUE(LEFT(J1164,FIND("-",J1164)-1)),VALUE(MID(J1164,FIND("-",J1164)+1,99)))))),"")</f>
        <v/>
      </c>
      <c r="C1164">
        <f>IF($C$1=0,0,IFERROR(VALUE(SUBSTITUTE(SUBSTITUTE(SUBSTITUTE(INDEX(貼り付け!$A$1:$BZ$3001,1163,$C$1)&amp;"",",",""),"¥",""),"￥","")),0))</f>
        <v/>
      </c>
      <c r="D1164">
        <f>IF($D$1=0,0,IFERROR(VALUE(SUBSTITUTE(SUBSTITUTE(SUBSTITUTE(INDEX(貼り付け!$A$1:$BZ$3001,1163,$D$1)&amp;"",",",""),"¥",""),"￥","")),0))</f>
        <v/>
      </c>
      <c r="E1164">
        <f>IF($E$1=0,0,IFERROR(VALUE(SUBSTITUTE(SUBSTITUTE(SUBSTITUTE(INDEX(貼り付け!$A$1:$BZ$3001,1163,$E$1)&amp;"",",",""),"¥",""),"￥","")),0))</f>
        <v/>
      </c>
      <c r="F1164">
        <f>IF($F$1=0,0,IFERROR(VALUE(SUBSTITUTE(SUBSTITUTE(SUBSTITUTE(INDEX(貼り付け!$A$1:$BZ$3001,1163,$F$1)&amp;"",",",""),"¥",""),"￥","")),0))</f>
        <v/>
      </c>
      <c r="G1164">
        <f>IF(ISNUMBER(B1164),YEAR(B1164),"")</f>
        <v/>
      </c>
      <c r="H1164">
        <f>IF(ISNUMBER(B1164),MONTH(B1164),"")</f>
        <v/>
      </c>
      <c r="I1164">
        <f>IFERROR(IF($B$1=0,"",IF(ISNUMBER(INDEX(貼り付け!$A$1:$BZ$3001,1163,$B$1)),"",SUBSTITUTE(SUBSTITUTE(SUBSTITUTE(SUBSTITUTE(TRIM(LEFT(INDEX(貼り付け!$A$1:$BZ$3001,1163,$B$1)&amp;"",FIND(" ",TRIM(INDEX(貼り付け!$A$1:$BZ$3001,1163,$B$1)&amp;"")&amp;" ")-1)),"/","-"),"年","-"),"月","-"),"日",""))),"")</f>
        <v/>
      </c>
      <c r="J1164">
        <f>IFERROR(MID(I1164,FIND("-",I1164)+1,99),"")</f>
        <v/>
      </c>
    </row>
    <row r="1165">
      <c r="B1165">
        <f>IFERROR(IF($B$1=0,"",IF(INDEX(貼り付け!$A$1:$BZ$3001,1164,$B$1)="","",IF(ISNUMBER(INDEX(貼り付け!$A$1:$BZ$3001,1164,$B$1)),INT(INDEX(貼り付け!$A$1:$BZ$3001,1164,$B$1)),DATE(VALUE(LEFT(I1165,FIND("-",I1165)-1)),VALUE(LEFT(J1165,FIND("-",J1165)-1)),VALUE(MID(J1165,FIND("-",J1165)+1,99)))))),"")</f>
        <v/>
      </c>
      <c r="C1165">
        <f>IF($C$1=0,0,IFERROR(VALUE(SUBSTITUTE(SUBSTITUTE(SUBSTITUTE(INDEX(貼り付け!$A$1:$BZ$3001,1164,$C$1)&amp;"",",",""),"¥",""),"￥","")),0))</f>
        <v/>
      </c>
      <c r="D1165">
        <f>IF($D$1=0,0,IFERROR(VALUE(SUBSTITUTE(SUBSTITUTE(SUBSTITUTE(INDEX(貼り付け!$A$1:$BZ$3001,1164,$D$1)&amp;"",",",""),"¥",""),"￥","")),0))</f>
        <v/>
      </c>
      <c r="E1165">
        <f>IF($E$1=0,0,IFERROR(VALUE(SUBSTITUTE(SUBSTITUTE(SUBSTITUTE(INDEX(貼り付け!$A$1:$BZ$3001,1164,$E$1)&amp;"",",",""),"¥",""),"￥","")),0))</f>
        <v/>
      </c>
      <c r="F1165">
        <f>IF($F$1=0,0,IFERROR(VALUE(SUBSTITUTE(SUBSTITUTE(SUBSTITUTE(INDEX(貼り付け!$A$1:$BZ$3001,1164,$F$1)&amp;"",",",""),"¥",""),"￥","")),0))</f>
        <v/>
      </c>
      <c r="G1165">
        <f>IF(ISNUMBER(B1165),YEAR(B1165),"")</f>
        <v/>
      </c>
      <c r="H1165">
        <f>IF(ISNUMBER(B1165),MONTH(B1165),"")</f>
        <v/>
      </c>
      <c r="I1165">
        <f>IFERROR(IF($B$1=0,"",IF(ISNUMBER(INDEX(貼り付け!$A$1:$BZ$3001,1164,$B$1)),"",SUBSTITUTE(SUBSTITUTE(SUBSTITUTE(SUBSTITUTE(TRIM(LEFT(INDEX(貼り付け!$A$1:$BZ$3001,1164,$B$1)&amp;"",FIND(" ",TRIM(INDEX(貼り付け!$A$1:$BZ$3001,1164,$B$1)&amp;"")&amp;" ")-1)),"/","-"),"年","-"),"月","-"),"日",""))),"")</f>
        <v/>
      </c>
      <c r="J1165">
        <f>IFERROR(MID(I1165,FIND("-",I1165)+1,99),"")</f>
        <v/>
      </c>
    </row>
    <row r="1166">
      <c r="B1166">
        <f>IFERROR(IF($B$1=0,"",IF(INDEX(貼り付け!$A$1:$BZ$3001,1165,$B$1)="","",IF(ISNUMBER(INDEX(貼り付け!$A$1:$BZ$3001,1165,$B$1)),INT(INDEX(貼り付け!$A$1:$BZ$3001,1165,$B$1)),DATE(VALUE(LEFT(I1166,FIND("-",I1166)-1)),VALUE(LEFT(J1166,FIND("-",J1166)-1)),VALUE(MID(J1166,FIND("-",J1166)+1,99)))))),"")</f>
        <v/>
      </c>
      <c r="C1166">
        <f>IF($C$1=0,0,IFERROR(VALUE(SUBSTITUTE(SUBSTITUTE(SUBSTITUTE(INDEX(貼り付け!$A$1:$BZ$3001,1165,$C$1)&amp;"",",",""),"¥",""),"￥","")),0))</f>
        <v/>
      </c>
      <c r="D1166">
        <f>IF($D$1=0,0,IFERROR(VALUE(SUBSTITUTE(SUBSTITUTE(SUBSTITUTE(INDEX(貼り付け!$A$1:$BZ$3001,1165,$D$1)&amp;"",",",""),"¥",""),"￥","")),0))</f>
        <v/>
      </c>
      <c r="E1166">
        <f>IF($E$1=0,0,IFERROR(VALUE(SUBSTITUTE(SUBSTITUTE(SUBSTITUTE(INDEX(貼り付け!$A$1:$BZ$3001,1165,$E$1)&amp;"",",",""),"¥",""),"￥","")),0))</f>
        <v/>
      </c>
      <c r="F1166">
        <f>IF($F$1=0,0,IFERROR(VALUE(SUBSTITUTE(SUBSTITUTE(SUBSTITUTE(INDEX(貼り付け!$A$1:$BZ$3001,1165,$F$1)&amp;"",",",""),"¥",""),"￥","")),0))</f>
        <v/>
      </c>
      <c r="G1166">
        <f>IF(ISNUMBER(B1166),YEAR(B1166),"")</f>
        <v/>
      </c>
      <c r="H1166">
        <f>IF(ISNUMBER(B1166),MONTH(B1166),"")</f>
        <v/>
      </c>
      <c r="I1166">
        <f>IFERROR(IF($B$1=0,"",IF(ISNUMBER(INDEX(貼り付け!$A$1:$BZ$3001,1165,$B$1)),"",SUBSTITUTE(SUBSTITUTE(SUBSTITUTE(SUBSTITUTE(TRIM(LEFT(INDEX(貼り付け!$A$1:$BZ$3001,1165,$B$1)&amp;"",FIND(" ",TRIM(INDEX(貼り付け!$A$1:$BZ$3001,1165,$B$1)&amp;"")&amp;" ")-1)),"/","-"),"年","-"),"月","-"),"日",""))),"")</f>
        <v/>
      </c>
      <c r="J1166">
        <f>IFERROR(MID(I1166,FIND("-",I1166)+1,99),"")</f>
        <v/>
      </c>
    </row>
    <row r="1167">
      <c r="B1167">
        <f>IFERROR(IF($B$1=0,"",IF(INDEX(貼り付け!$A$1:$BZ$3001,1166,$B$1)="","",IF(ISNUMBER(INDEX(貼り付け!$A$1:$BZ$3001,1166,$B$1)),INT(INDEX(貼り付け!$A$1:$BZ$3001,1166,$B$1)),DATE(VALUE(LEFT(I1167,FIND("-",I1167)-1)),VALUE(LEFT(J1167,FIND("-",J1167)-1)),VALUE(MID(J1167,FIND("-",J1167)+1,99)))))),"")</f>
        <v/>
      </c>
      <c r="C1167">
        <f>IF($C$1=0,0,IFERROR(VALUE(SUBSTITUTE(SUBSTITUTE(SUBSTITUTE(INDEX(貼り付け!$A$1:$BZ$3001,1166,$C$1)&amp;"",",",""),"¥",""),"￥","")),0))</f>
        <v/>
      </c>
      <c r="D1167">
        <f>IF($D$1=0,0,IFERROR(VALUE(SUBSTITUTE(SUBSTITUTE(SUBSTITUTE(INDEX(貼り付け!$A$1:$BZ$3001,1166,$D$1)&amp;"",",",""),"¥",""),"￥","")),0))</f>
        <v/>
      </c>
      <c r="E1167">
        <f>IF($E$1=0,0,IFERROR(VALUE(SUBSTITUTE(SUBSTITUTE(SUBSTITUTE(INDEX(貼り付け!$A$1:$BZ$3001,1166,$E$1)&amp;"",",",""),"¥",""),"￥","")),0))</f>
        <v/>
      </c>
      <c r="F1167">
        <f>IF($F$1=0,0,IFERROR(VALUE(SUBSTITUTE(SUBSTITUTE(SUBSTITUTE(INDEX(貼り付け!$A$1:$BZ$3001,1166,$F$1)&amp;"",",",""),"¥",""),"￥","")),0))</f>
        <v/>
      </c>
      <c r="G1167">
        <f>IF(ISNUMBER(B1167),YEAR(B1167),"")</f>
        <v/>
      </c>
      <c r="H1167">
        <f>IF(ISNUMBER(B1167),MONTH(B1167),"")</f>
        <v/>
      </c>
      <c r="I1167">
        <f>IFERROR(IF($B$1=0,"",IF(ISNUMBER(INDEX(貼り付け!$A$1:$BZ$3001,1166,$B$1)),"",SUBSTITUTE(SUBSTITUTE(SUBSTITUTE(SUBSTITUTE(TRIM(LEFT(INDEX(貼り付け!$A$1:$BZ$3001,1166,$B$1)&amp;"",FIND(" ",TRIM(INDEX(貼り付け!$A$1:$BZ$3001,1166,$B$1)&amp;"")&amp;" ")-1)),"/","-"),"年","-"),"月","-"),"日",""))),"")</f>
        <v/>
      </c>
      <c r="J1167">
        <f>IFERROR(MID(I1167,FIND("-",I1167)+1,99),"")</f>
        <v/>
      </c>
    </row>
    <row r="1168">
      <c r="B1168">
        <f>IFERROR(IF($B$1=0,"",IF(INDEX(貼り付け!$A$1:$BZ$3001,1167,$B$1)="","",IF(ISNUMBER(INDEX(貼り付け!$A$1:$BZ$3001,1167,$B$1)),INT(INDEX(貼り付け!$A$1:$BZ$3001,1167,$B$1)),DATE(VALUE(LEFT(I1168,FIND("-",I1168)-1)),VALUE(LEFT(J1168,FIND("-",J1168)-1)),VALUE(MID(J1168,FIND("-",J1168)+1,99)))))),"")</f>
        <v/>
      </c>
      <c r="C1168">
        <f>IF($C$1=0,0,IFERROR(VALUE(SUBSTITUTE(SUBSTITUTE(SUBSTITUTE(INDEX(貼り付け!$A$1:$BZ$3001,1167,$C$1)&amp;"",",",""),"¥",""),"￥","")),0))</f>
        <v/>
      </c>
      <c r="D1168">
        <f>IF($D$1=0,0,IFERROR(VALUE(SUBSTITUTE(SUBSTITUTE(SUBSTITUTE(INDEX(貼り付け!$A$1:$BZ$3001,1167,$D$1)&amp;"",",",""),"¥",""),"￥","")),0))</f>
        <v/>
      </c>
      <c r="E1168">
        <f>IF($E$1=0,0,IFERROR(VALUE(SUBSTITUTE(SUBSTITUTE(SUBSTITUTE(INDEX(貼り付け!$A$1:$BZ$3001,1167,$E$1)&amp;"",",",""),"¥",""),"￥","")),0))</f>
        <v/>
      </c>
      <c r="F1168">
        <f>IF($F$1=0,0,IFERROR(VALUE(SUBSTITUTE(SUBSTITUTE(SUBSTITUTE(INDEX(貼り付け!$A$1:$BZ$3001,1167,$F$1)&amp;"",",",""),"¥",""),"￥","")),0))</f>
        <v/>
      </c>
      <c r="G1168">
        <f>IF(ISNUMBER(B1168),YEAR(B1168),"")</f>
        <v/>
      </c>
      <c r="H1168">
        <f>IF(ISNUMBER(B1168),MONTH(B1168),"")</f>
        <v/>
      </c>
      <c r="I1168">
        <f>IFERROR(IF($B$1=0,"",IF(ISNUMBER(INDEX(貼り付け!$A$1:$BZ$3001,1167,$B$1)),"",SUBSTITUTE(SUBSTITUTE(SUBSTITUTE(SUBSTITUTE(TRIM(LEFT(INDEX(貼り付け!$A$1:$BZ$3001,1167,$B$1)&amp;"",FIND(" ",TRIM(INDEX(貼り付け!$A$1:$BZ$3001,1167,$B$1)&amp;"")&amp;" ")-1)),"/","-"),"年","-"),"月","-"),"日",""))),"")</f>
        <v/>
      </c>
      <c r="J1168">
        <f>IFERROR(MID(I1168,FIND("-",I1168)+1,99),"")</f>
        <v/>
      </c>
    </row>
    <row r="1169">
      <c r="B1169">
        <f>IFERROR(IF($B$1=0,"",IF(INDEX(貼り付け!$A$1:$BZ$3001,1168,$B$1)="","",IF(ISNUMBER(INDEX(貼り付け!$A$1:$BZ$3001,1168,$B$1)),INT(INDEX(貼り付け!$A$1:$BZ$3001,1168,$B$1)),DATE(VALUE(LEFT(I1169,FIND("-",I1169)-1)),VALUE(LEFT(J1169,FIND("-",J1169)-1)),VALUE(MID(J1169,FIND("-",J1169)+1,99)))))),"")</f>
        <v/>
      </c>
      <c r="C1169">
        <f>IF($C$1=0,0,IFERROR(VALUE(SUBSTITUTE(SUBSTITUTE(SUBSTITUTE(INDEX(貼り付け!$A$1:$BZ$3001,1168,$C$1)&amp;"",",",""),"¥",""),"￥","")),0))</f>
        <v/>
      </c>
      <c r="D1169">
        <f>IF($D$1=0,0,IFERROR(VALUE(SUBSTITUTE(SUBSTITUTE(SUBSTITUTE(INDEX(貼り付け!$A$1:$BZ$3001,1168,$D$1)&amp;"",",",""),"¥",""),"￥","")),0))</f>
        <v/>
      </c>
      <c r="E1169">
        <f>IF($E$1=0,0,IFERROR(VALUE(SUBSTITUTE(SUBSTITUTE(SUBSTITUTE(INDEX(貼り付け!$A$1:$BZ$3001,1168,$E$1)&amp;"",",",""),"¥",""),"￥","")),0))</f>
        <v/>
      </c>
      <c r="F1169">
        <f>IF($F$1=0,0,IFERROR(VALUE(SUBSTITUTE(SUBSTITUTE(SUBSTITUTE(INDEX(貼り付け!$A$1:$BZ$3001,1168,$F$1)&amp;"",",",""),"¥",""),"￥","")),0))</f>
        <v/>
      </c>
      <c r="G1169">
        <f>IF(ISNUMBER(B1169),YEAR(B1169),"")</f>
        <v/>
      </c>
      <c r="H1169">
        <f>IF(ISNUMBER(B1169),MONTH(B1169),"")</f>
        <v/>
      </c>
      <c r="I1169">
        <f>IFERROR(IF($B$1=0,"",IF(ISNUMBER(INDEX(貼り付け!$A$1:$BZ$3001,1168,$B$1)),"",SUBSTITUTE(SUBSTITUTE(SUBSTITUTE(SUBSTITUTE(TRIM(LEFT(INDEX(貼り付け!$A$1:$BZ$3001,1168,$B$1)&amp;"",FIND(" ",TRIM(INDEX(貼り付け!$A$1:$BZ$3001,1168,$B$1)&amp;"")&amp;" ")-1)),"/","-"),"年","-"),"月","-"),"日",""))),"")</f>
        <v/>
      </c>
      <c r="J1169">
        <f>IFERROR(MID(I1169,FIND("-",I1169)+1,99),"")</f>
        <v/>
      </c>
    </row>
    <row r="1170">
      <c r="B1170">
        <f>IFERROR(IF($B$1=0,"",IF(INDEX(貼り付け!$A$1:$BZ$3001,1169,$B$1)="","",IF(ISNUMBER(INDEX(貼り付け!$A$1:$BZ$3001,1169,$B$1)),INT(INDEX(貼り付け!$A$1:$BZ$3001,1169,$B$1)),DATE(VALUE(LEFT(I1170,FIND("-",I1170)-1)),VALUE(LEFT(J1170,FIND("-",J1170)-1)),VALUE(MID(J1170,FIND("-",J1170)+1,99)))))),"")</f>
        <v/>
      </c>
      <c r="C1170">
        <f>IF($C$1=0,0,IFERROR(VALUE(SUBSTITUTE(SUBSTITUTE(SUBSTITUTE(INDEX(貼り付け!$A$1:$BZ$3001,1169,$C$1)&amp;"",",",""),"¥",""),"￥","")),0))</f>
        <v/>
      </c>
      <c r="D1170">
        <f>IF($D$1=0,0,IFERROR(VALUE(SUBSTITUTE(SUBSTITUTE(SUBSTITUTE(INDEX(貼り付け!$A$1:$BZ$3001,1169,$D$1)&amp;"",",",""),"¥",""),"￥","")),0))</f>
        <v/>
      </c>
      <c r="E1170">
        <f>IF($E$1=0,0,IFERROR(VALUE(SUBSTITUTE(SUBSTITUTE(SUBSTITUTE(INDEX(貼り付け!$A$1:$BZ$3001,1169,$E$1)&amp;"",",",""),"¥",""),"￥","")),0))</f>
        <v/>
      </c>
      <c r="F1170">
        <f>IF($F$1=0,0,IFERROR(VALUE(SUBSTITUTE(SUBSTITUTE(SUBSTITUTE(INDEX(貼り付け!$A$1:$BZ$3001,1169,$F$1)&amp;"",",",""),"¥",""),"￥","")),0))</f>
        <v/>
      </c>
      <c r="G1170">
        <f>IF(ISNUMBER(B1170),YEAR(B1170),"")</f>
        <v/>
      </c>
      <c r="H1170">
        <f>IF(ISNUMBER(B1170),MONTH(B1170),"")</f>
        <v/>
      </c>
      <c r="I1170">
        <f>IFERROR(IF($B$1=0,"",IF(ISNUMBER(INDEX(貼り付け!$A$1:$BZ$3001,1169,$B$1)),"",SUBSTITUTE(SUBSTITUTE(SUBSTITUTE(SUBSTITUTE(TRIM(LEFT(INDEX(貼り付け!$A$1:$BZ$3001,1169,$B$1)&amp;"",FIND(" ",TRIM(INDEX(貼り付け!$A$1:$BZ$3001,1169,$B$1)&amp;"")&amp;" ")-1)),"/","-"),"年","-"),"月","-"),"日",""))),"")</f>
        <v/>
      </c>
      <c r="J1170">
        <f>IFERROR(MID(I1170,FIND("-",I1170)+1,99),"")</f>
        <v/>
      </c>
    </row>
    <row r="1171">
      <c r="B1171">
        <f>IFERROR(IF($B$1=0,"",IF(INDEX(貼り付け!$A$1:$BZ$3001,1170,$B$1)="","",IF(ISNUMBER(INDEX(貼り付け!$A$1:$BZ$3001,1170,$B$1)),INT(INDEX(貼り付け!$A$1:$BZ$3001,1170,$B$1)),DATE(VALUE(LEFT(I1171,FIND("-",I1171)-1)),VALUE(LEFT(J1171,FIND("-",J1171)-1)),VALUE(MID(J1171,FIND("-",J1171)+1,99)))))),"")</f>
        <v/>
      </c>
      <c r="C1171">
        <f>IF($C$1=0,0,IFERROR(VALUE(SUBSTITUTE(SUBSTITUTE(SUBSTITUTE(INDEX(貼り付け!$A$1:$BZ$3001,1170,$C$1)&amp;"",",",""),"¥",""),"￥","")),0))</f>
        <v/>
      </c>
      <c r="D1171">
        <f>IF($D$1=0,0,IFERROR(VALUE(SUBSTITUTE(SUBSTITUTE(SUBSTITUTE(INDEX(貼り付け!$A$1:$BZ$3001,1170,$D$1)&amp;"",",",""),"¥",""),"￥","")),0))</f>
        <v/>
      </c>
      <c r="E1171">
        <f>IF($E$1=0,0,IFERROR(VALUE(SUBSTITUTE(SUBSTITUTE(SUBSTITUTE(INDEX(貼り付け!$A$1:$BZ$3001,1170,$E$1)&amp;"",",",""),"¥",""),"￥","")),0))</f>
        <v/>
      </c>
      <c r="F1171">
        <f>IF($F$1=0,0,IFERROR(VALUE(SUBSTITUTE(SUBSTITUTE(SUBSTITUTE(INDEX(貼り付け!$A$1:$BZ$3001,1170,$F$1)&amp;"",",",""),"¥",""),"￥","")),0))</f>
        <v/>
      </c>
      <c r="G1171">
        <f>IF(ISNUMBER(B1171),YEAR(B1171),"")</f>
        <v/>
      </c>
      <c r="H1171">
        <f>IF(ISNUMBER(B1171),MONTH(B1171),"")</f>
        <v/>
      </c>
      <c r="I1171">
        <f>IFERROR(IF($B$1=0,"",IF(ISNUMBER(INDEX(貼り付け!$A$1:$BZ$3001,1170,$B$1)),"",SUBSTITUTE(SUBSTITUTE(SUBSTITUTE(SUBSTITUTE(TRIM(LEFT(INDEX(貼り付け!$A$1:$BZ$3001,1170,$B$1)&amp;"",FIND(" ",TRIM(INDEX(貼り付け!$A$1:$BZ$3001,1170,$B$1)&amp;"")&amp;" ")-1)),"/","-"),"年","-"),"月","-"),"日",""))),"")</f>
        <v/>
      </c>
      <c r="J1171">
        <f>IFERROR(MID(I1171,FIND("-",I1171)+1,99),"")</f>
        <v/>
      </c>
    </row>
    <row r="1172">
      <c r="B1172">
        <f>IFERROR(IF($B$1=0,"",IF(INDEX(貼り付け!$A$1:$BZ$3001,1171,$B$1)="","",IF(ISNUMBER(INDEX(貼り付け!$A$1:$BZ$3001,1171,$B$1)),INT(INDEX(貼り付け!$A$1:$BZ$3001,1171,$B$1)),DATE(VALUE(LEFT(I1172,FIND("-",I1172)-1)),VALUE(LEFT(J1172,FIND("-",J1172)-1)),VALUE(MID(J1172,FIND("-",J1172)+1,99)))))),"")</f>
        <v/>
      </c>
      <c r="C1172">
        <f>IF($C$1=0,0,IFERROR(VALUE(SUBSTITUTE(SUBSTITUTE(SUBSTITUTE(INDEX(貼り付け!$A$1:$BZ$3001,1171,$C$1)&amp;"",",",""),"¥",""),"￥","")),0))</f>
        <v/>
      </c>
      <c r="D1172">
        <f>IF($D$1=0,0,IFERROR(VALUE(SUBSTITUTE(SUBSTITUTE(SUBSTITUTE(INDEX(貼り付け!$A$1:$BZ$3001,1171,$D$1)&amp;"",",",""),"¥",""),"￥","")),0))</f>
        <v/>
      </c>
      <c r="E1172">
        <f>IF($E$1=0,0,IFERROR(VALUE(SUBSTITUTE(SUBSTITUTE(SUBSTITUTE(INDEX(貼り付け!$A$1:$BZ$3001,1171,$E$1)&amp;"",",",""),"¥",""),"￥","")),0))</f>
        <v/>
      </c>
      <c r="F1172">
        <f>IF($F$1=0,0,IFERROR(VALUE(SUBSTITUTE(SUBSTITUTE(SUBSTITUTE(INDEX(貼り付け!$A$1:$BZ$3001,1171,$F$1)&amp;"",",",""),"¥",""),"￥","")),0))</f>
        <v/>
      </c>
      <c r="G1172">
        <f>IF(ISNUMBER(B1172),YEAR(B1172),"")</f>
        <v/>
      </c>
      <c r="H1172">
        <f>IF(ISNUMBER(B1172),MONTH(B1172),"")</f>
        <v/>
      </c>
      <c r="I1172">
        <f>IFERROR(IF($B$1=0,"",IF(ISNUMBER(INDEX(貼り付け!$A$1:$BZ$3001,1171,$B$1)),"",SUBSTITUTE(SUBSTITUTE(SUBSTITUTE(SUBSTITUTE(TRIM(LEFT(INDEX(貼り付け!$A$1:$BZ$3001,1171,$B$1)&amp;"",FIND(" ",TRIM(INDEX(貼り付け!$A$1:$BZ$3001,1171,$B$1)&amp;"")&amp;" ")-1)),"/","-"),"年","-"),"月","-"),"日",""))),"")</f>
        <v/>
      </c>
      <c r="J1172">
        <f>IFERROR(MID(I1172,FIND("-",I1172)+1,99),"")</f>
        <v/>
      </c>
    </row>
    <row r="1173">
      <c r="B1173">
        <f>IFERROR(IF($B$1=0,"",IF(INDEX(貼り付け!$A$1:$BZ$3001,1172,$B$1)="","",IF(ISNUMBER(INDEX(貼り付け!$A$1:$BZ$3001,1172,$B$1)),INT(INDEX(貼り付け!$A$1:$BZ$3001,1172,$B$1)),DATE(VALUE(LEFT(I1173,FIND("-",I1173)-1)),VALUE(LEFT(J1173,FIND("-",J1173)-1)),VALUE(MID(J1173,FIND("-",J1173)+1,99)))))),"")</f>
        <v/>
      </c>
      <c r="C1173">
        <f>IF($C$1=0,0,IFERROR(VALUE(SUBSTITUTE(SUBSTITUTE(SUBSTITUTE(INDEX(貼り付け!$A$1:$BZ$3001,1172,$C$1)&amp;"",",",""),"¥",""),"￥","")),0))</f>
        <v/>
      </c>
      <c r="D1173">
        <f>IF($D$1=0,0,IFERROR(VALUE(SUBSTITUTE(SUBSTITUTE(SUBSTITUTE(INDEX(貼り付け!$A$1:$BZ$3001,1172,$D$1)&amp;"",",",""),"¥",""),"￥","")),0))</f>
        <v/>
      </c>
      <c r="E1173">
        <f>IF($E$1=0,0,IFERROR(VALUE(SUBSTITUTE(SUBSTITUTE(SUBSTITUTE(INDEX(貼り付け!$A$1:$BZ$3001,1172,$E$1)&amp;"",",",""),"¥",""),"￥","")),0))</f>
        <v/>
      </c>
      <c r="F1173">
        <f>IF($F$1=0,0,IFERROR(VALUE(SUBSTITUTE(SUBSTITUTE(SUBSTITUTE(INDEX(貼り付け!$A$1:$BZ$3001,1172,$F$1)&amp;"",",",""),"¥",""),"￥","")),0))</f>
        <v/>
      </c>
      <c r="G1173">
        <f>IF(ISNUMBER(B1173),YEAR(B1173),"")</f>
        <v/>
      </c>
      <c r="H1173">
        <f>IF(ISNUMBER(B1173),MONTH(B1173),"")</f>
        <v/>
      </c>
      <c r="I1173">
        <f>IFERROR(IF($B$1=0,"",IF(ISNUMBER(INDEX(貼り付け!$A$1:$BZ$3001,1172,$B$1)),"",SUBSTITUTE(SUBSTITUTE(SUBSTITUTE(SUBSTITUTE(TRIM(LEFT(INDEX(貼り付け!$A$1:$BZ$3001,1172,$B$1)&amp;"",FIND(" ",TRIM(INDEX(貼り付け!$A$1:$BZ$3001,1172,$B$1)&amp;"")&amp;" ")-1)),"/","-"),"年","-"),"月","-"),"日",""))),"")</f>
        <v/>
      </c>
      <c r="J1173">
        <f>IFERROR(MID(I1173,FIND("-",I1173)+1,99),"")</f>
        <v/>
      </c>
    </row>
    <row r="1174">
      <c r="B1174">
        <f>IFERROR(IF($B$1=0,"",IF(INDEX(貼り付け!$A$1:$BZ$3001,1173,$B$1)="","",IF(ISNUMBER(INDEX(貼り付け!$A$1:$BZ$3001,1173,$B$1)),INT(INDEX(貼り付け!$A$1:$BZ$3001,1173,$B$1)),DATE(VALUE(LEFT(I1174,FIND("-",I1174)-1)),VALUE(LEFT(J1174,FIND("-",J1174)-1)),VALUE(MID(J1174,FIND("-",J1174)+1,99)))))),"")</f>
        <v/>
      </c>
      <c r="C1174">
        <f>IF($C$1=0,0,IFERROR(VALUE(SUBSTITUTE(SUBSTITUTE(SUBSTITUTE(INDEX(貼り付け!$A$1:$BZ$3001,1173,$C$1)&amp;"",",",""),"¥",""),"￥","")),0))</f>
        <v/>
      </c>
      <c r="D1174">
        <f>IF($D$1=0,0,IFERROR(VALUE(SUBSTITUTE(SUBSTITUTE(SUBSTITUTE(INDEX(貼り付け!$A$1:$BZ$3001,1173,$D$1)&amp;"",",",""),"¥",""),"￥","")),0))</f>
        <v/>
      </c>
      <c r="E1174">
        <f>IF($E$1=0,0,IFERROR(VALUE(SUBSTITUTE(SUBSTITUTE(SUBSTITUTE(INDEX(貼り付け!$A$1:$BZ$3001,1173,$E$1)&amp;"",",",""),"¥",""),"￥","")),0))</f>
        <v/>
      </c>
      <c r="F1174">
        <f>IF($F$1=0,0,IFERROR(VALUE(SUBSTITUTE(SUBSTITUTE(SUBSTITUTE(INDEX(貼り付け!$A$1:$BZ$3001,1173,$F$1)&amp;"",",",""),"¥",""),"￥","")),0))</f>
        <v/>
      </c>
      <c r="G1174">
        <f>IF(ISNUMBER(B1174),YEAR(B1174),"")</f>
        <v/>
      </c>
      <c r="H1174">
        <f>IF(ISNUMBER(B1174),MONTH(B1174),"")</f>
        <v/>
      </c>
      <c r="I1174">
        <f>IFERROR(IF($B$1=0,"",IF(ISNUMBER(INDEX(貼り付け!$A$1:$BZ$3001,1173,$B$1)),"",SUBSTITUTE(SUBSTITUTE(SUBSTITUTE(SUBSTITUTE(TRIM(LEFT(INDEX(貼り付け!$A$1:$BZ$3001,1173,$B$1)&amp;"",FIND(" ",TRIM(INDEX(貼り付け!$A$1:$BZ$3001,1173,$B$1)&amp;"")&amp;" ")-1)),"/","-"),"年","-"),"月","-"),"日",""))),"")</f>
        <v/>
      </c>
      <c r="J1174">
        <f>IFERROR(MID(I1174,FIND("-",I1174)+1,99),"")</f>
        <v/>
      </c>
    </row>
    <row r="1175">
      <c r="B1175">
        <f>IFERROR(IF($B$1=0,"",IF(INDEX(貼り付け!$A$1:$BZ$3001,1174,$B$1)="","",IF(ISNUMBER(INDEX(貼り付け!$A$1:$BZ$3001,1174,$B$1)),INT(INDEX(貼り付け!$A$1:$BZ$3001,1174,$B$1)),DATE(VALUE(LEFT(I1175,FIND("-",I1175)-1)),VALUE(LEFT(J1175,FIND("-",J1175)-1)),VALUE(MID(J1175,FIND("-",J1175)+1,99)))))),"")</f>
        <v/>
      </c>
      <c r="C1175">
        <f>IF($C$1=0,0,IFERROR(VALUE(SUBSTITUTE(SUBSTITUTE(SUBSTITUTE(INDEX(貼り付け!$A$1:$BZ$3001,1174,$C$1)&amp;"",",",""),"¥",""),"￥","")),0))</f>
        <v/>
      </c>
      <c r="D1175">
        <f>IF($D$1=0,0,IFERROR(VALUE(SUBSTITUTE(SUBSTITUTE(SUBSTITUTE(INDEX(貼り付け!$A$1:$BZ$3001,1174,$D$1)&amp;"",",",""),"¥",""),"￥","")),0))</f>
        <v/>
      </c>
      <c r="E1175">
        <f>IF($E$1=0,0,IFERROR(VALUE(SUBSTITUTE(SUBSTITUTE(SUBSTITUTE(INDEX(貼り付け!$A$1:$BZ$3001,1174,$E$1)&amp;"",",",""),"¥",""),"￥","")),0))</f>
        <v/>
      </c>
      <c r="F1175">
        <f>IF($F$1=0,0,IFERROR(VALUE(SUBSTITUTE(SUBSTITUTE(SUBSTITUTE(INDEX(貼り付け!$A$1:$BZ$3001,1174,$F$1)&amp;"",",",""),"¥",""),"￥","")),0))</f>
        <v/>
      </c>
      <c r="G1175">
        <f>IF(ISNUMBER(B1175),YEAR(B1175),"")</f>
        <v/>
      </c>
      <c r="H1175">
        <f>IF(ISNUMBER(B1175),MONTH(B1175),"")</f>
        <v/>
      </c>
      <c r="I1175">
        <f>IFERROR(IF($B$1=0,"",IF(ISNUMBER(INDEX(貼り付け!$A$1:$BZ$3001,1174,$B$1)),"",SUBSTITUTE(SUBSTITUTE(SUBSTITUTE(SUBSTITUTE(TRIM(LEFT(INDEX(貼り付け!$A$1:$BZ$3001,1174,$B$1)&amp;"",FIND(" ",TRIM(INDEX(貼り付け!$A$1:$BZ$3001,1174,$B$1)&amp;"")&amp;" ")-1)),"/","-"),"年","-"),"月","-"),"日",""))),"")</f>
        <v/>
      </c>
      <c r="J1175">
        <f>IFERROR(MID(I1175,FIND("-",I1175)+1,99),"")</f>
        <v/>
      </c>
    </row>
    <row r="1176">
      <c r="B1176">
        <f>IFERROR(IF($B$1=0,"",IF(INDEX(貼り付け!$A$1:$BZ$3001,1175,$B$1)="","",IF(ISNUMBER(INDEX(貼り付け!$A$1:$BZ$3001,1175,$B$1)),INT(INDEX(貼り付け!$A$1:$BZ$3001,1175,$B$1)),DATE(VALUE(LEFT(I1176,FIND("-",I1176)-1)),VALUE(LEFT(J1176,FIND("-",J1176)-1)),VALUE(MID(J1176,FIND("-",J1176)+1,99)))))),"")</f>
        <v/>
      </c>
      <c r="C1176">
        <f>IF($C$1=0,0,IFERROR(VALUE(SUBSTITUTE(SUBSTITUTE(SUBSTITUTE(INDEX(貼り付け!$A$1:$BZ$3001,1175,$C$1)&amp;"",",",""),"¥",""),"￥","")),0))</f>
        <v/>
      </c>
      <c r="D1176">
        <f>IF($D$1=0,0,IFERROR(VALUE(SUBSTITUTE(SUBSTITUTE(SUBSTITUTE(INDEX(貼り付け!$A$1:$BZ$3001,1175,$D$1)&amp;"",",",""),"¥",""),"￥","")),0))</f>
        <v/>
      </c>
      <c r="E1176">
        <f>IF($E$1=0,0,IFERROR(VALUE(SUBSTITUTE(SUBSTITUTE(SUBSTITUTE(INDEX(貼り付け!$A$1:$BZ$3001,1175,$E$1)&amp;"",",",""),"¥",""),"￥","")),0))</f>
        <v/>
      </c>
      <c r="F1176">
        <f>IF($F$1=0,0,IFERROR(VALUE(SUBSTITUTE(SUBSTITUTE(SUBSTITUTE(INDEX(貼り付け!$A$1:$BZ$3001,1175,$F$1)&amp;"",",",""),"¥",""),"￥","")),0))</f>
        <v/>
      </c>
      <c r="G1176">
        <f>IF(ISNUMBER(B1176),YEAR(B1176),"")</f>
        <v/>
      </c>
      <c r="H1176">
        <f>IF(ISNUMBER(B1176),MONTH(B1176),"")</f>
        <v/>
      </c>
      <c r="I1176">
        <f>IFERROR(IF($B$1=0,"",IF(ISNUMBER(INDEX(貼り付け!$A$1:$BZ$3001,1175,$B$1)),"",SUBSTITUTE(SUBSTITUTE(SUBSTITUTE(SUBSTITUTE(TRIM(LEFT(INDEX(貼り付け!$A$1:$BZ$3001,1175,$B$1)&amp;"",FIND(" ",TRIM(INDEX(貼り付け!$A$1:$BZ$3001,1175,$B$1)&amp;"")&amp;" ")-1)),"/","-"),"年","-"),"月","-"),"日",""))),"")</f>
        <v/>
      </c>
      <c r="J1176">
        <f>IFERROR(MID(I1176,FIND("-",I1176)+1,99),"")</f>
        <v/>
      </c>
    </row>
    <row r="1177">
      <c r="B1177">
        <f>IFERROR(IF($B$1=0,"",IF(INDEX(貼り付け!$A$1:$BZ$3001,1176,$B$1)="","",IF(ISNUMBER(INDEX(貼り付け!$A$1:$BZ$3001,1176,$B$1)),INT(INDEX(貼り付け!$A$1:$BZ$3001,1176,$B$1)),DATE(VALUE(LEFT(I1177,FIND("-",I1177)-1)),VALUE(LEFT(J1177,FIND("-",J1177)-1)),VALUE(MID(J1177,FIND("-",J1177)+1,99)))))),"")</f>
        <v/>
      </c>
      <c r="C1177">
        <f>IF($C$1=0,0,IFERROR(VALUE(SUBSTITUTE(SUBSTITUTE(SUBSTITUTE(INDEX(貼り付け!$A$1:$BZ$3001,1176,$C$1)&amp;"",",",""),"¥",""),"￥","")),0))</f>
        <v/>
      </c>
      <c r="D1177">
        <f>IF($D$1=0,0,IFERROR(VALUE(SUBSTITUTE(SUBSTITUTE(SUBSTITUTE(INDEX(貼り付け!$A$1:$BZ$3001,1176,$D$1)&amp;"",",",""),"¥",""),"￥","")),0))</f>
        <v/>
      </c>
      <c r="E1177">
        <f>IF($E$1=0,0,IFERROR(VALUE(SUBSTITUTE(SUBSTITUTE(SUBSTITUTE(INDEX(貼り付け!$A$1:$BZ$3001,1176,$E$1)&amp;"",",",""),"¥",""),"￥","")),0))</f>
        <v/>
      </c>
      <c r="F1177">
        <f>IF($F$1=0,0,IFERROR(VALUE(SUBSTITUTE(SUBSTITUTE(SUBSTITUTE(INDEX(貼り付け!$A$1:$BZ$3001,1176,$F$1)&amp;"",",",""),"¥",""),"￥","")),0))</f>
        <v/>
      </c>
      <c r="G1177">
        <f>IF(ISNUMBER(B1177),YEAR(B1177),"")</f>
        <v/>
      </c>
      <c r="H1177">
        <f>IF(ISNUMBER(B1177),MONTH(B1177),"")</f>
        <v/>
      </c>
      <c r="I1177">
        <f>IFERROR(IF($B$1=0,"",IF(ISNUMBER(INDEX(貼り付け!$A$1:$BZ$3001,1176,$B$1)),"",SUBSTITUTE(SUBSTITUTE(SUBSTITUTE(SUBSTITUTE(TRIM(LEFT(INDEX(貼り付け!$A$1:$BZ$3001,1176,$B$1)&amp;"",FIND(" ",TRIM(INDEX(貼り付け!$A$1:$BZ$3001,1176,$B$1)&amp;"")&amp;" ")-1)),"/","-"),"年","-"),"月","-"),"日",""))),"")</f>
        <v/>
      </c>
      <c r="J1177">
        <f>IFERROR(MID(I1177,FIND("-",I1177)+1,99),"")</f>
        <v/>
      </c>
    </row>
    <row r="1178">
      <c r="B1178">
        <f>IFERROR(IF($B$1=0,"",IF(INDEX(貼り付け!$A$1:$BZ$3001,1177,$B$1)="","",IF(ISNUMBER(INDEX(貼り付け!$A$1:$BZ$3001,1177,$B$1)),INT(INDEX(貼り付け!$A$1:$BZ$3001,1177,$B$1)),DATE(VALUE(LEFT(I1178,FIND("-",I1178)-1)),VALUE(LEFT(J1178,FIND("-",J1178)-1)),VALUE(MID(J1178,FIND("-",J1178)+1,99)))))),"")</f>
        <v/>
      </c>
      <c r="C1178">
        <f>IF($C$1=0,0,IFERROR(VALUE(SUBSTITUTE(SUBSTITUTE(SUBSTITUTE(INDEX(貼り付け!$A$1:$BZ$3001,1177,$C$1)&amp;"",",",""),"¥",""),"￥","")),0))</f>
        <v/>
      </c>
      <c r="D1178">
        <f>IF($D$1=0,0,IFERROR(VALUE(SUBSTITUTE(SUBSTITUTE(SUBSTITUTE(INDEX(貼り付け!$A$1:$BZ$3001,1177,$D$1)&amp;"",",",""),"¥",""),"￥","")),0))</f>
        <v/>
      </c>
      <c r="E1178">
        <f>IF($E$1=0,0,IFERROR(VALUE(SUBSTITUTE(SUBSTITUTE(SUBSTITUTE(INDEX(貼り付け!$A$1:$BZ$3001,1177,$E$1)&amp;"",",",""),"¥",""),"￥","")),0))</f>
        <v/>
      </c>
      <c r="F1178">
        <f>IF($F$1=0,0,IFERROR(VALUE(SUBSTITUTE(SUBSTITUTE(SUBSTITUTE(INDEX(貼り付け!$A$1:$BZ$3001,1177,$F$1)&amp;"",",",""),"¥",""),"￥","")),0))</f>
        <v/>
      </c>
      <c r="G1178">
        <f>IF(ISNUMBER(B1178),YEAR(B1178),"")</f>
        <v/>
      </c>
      <c r="H1178">
        <f>IF(ISNUMBER(B1178),MONTH(B1178),"")</f>
        <v/>
      </c>
      <c r="I1178">
        <f>IFERROR(IF($B$1=0,"",IF(ISNUMBER(INDEX(貼り付け!$A$1:$BZ$3001,1177,$B$1)),"",SUBSTITUTE(SUBSTITUTE(SUBSTITUTE(SUBSTITUTE(TRIM(LEFT(INDEX(貼り付け!$A$1:$BZ$3001,1177,$B$1)&amp;"",FIND(" ",TRIM(INDEX(貼り付け!$A$1:$BZ$3001,1177,$B$1)&amp;"")&amp;" ")-1)),"/","-"),"年","-"),"月","-"),"日",""))),"")</f>
        <v/>
      </c>
      <c r="J1178">
        <f>IFERROR(MID(I1178,FIND("-",I1178)+1,99),"")</f>
        <v/>
      </c>
    </row>
    <row r="1179">
      <c r="B1179">
        <f>IFERROR(IF($B$1=0,"",IF(INDEX(貼り付け!$A$1:$BZ$3001,1178,$B$1)="","",IF(ISNUMBER(INDEX(貼り付け!$A$1:$BZ$3001,1178,$B$1)),INT(INDEX(貼り付け!$A$1:$BZ$3001,1178,$B$1)),DATE(VALUE(LEFT(I1179,FIND("-",I1179)-1)),VALUE(LEFT(J1179,FIND("-",J1179)-1)),VALUE(MID(J1179,FIND("-",J1179)+1,99)))))),"")</f>
        <v/>
      </c>
      <c r="C1179">
        <f>IF($C$1=0,0,IFERROR(VALUE(SUBSTITUTE(SUBSTITUTE(SUBSTITUTE(INDEX(貼り付け!$A$1:$BZ$3001,1178,$C$1)&amp;"",",",""),"¥",""),"￥","")),0))</f>
        <v/>
      </c>
      <c r="D1179">
        <f>IF($D$1=0,0,IFERROR(VALUE(SUBSTITUTE(SUBSTITUTE(SUBSTITUTE(INDEX(貼り付け!$A$1:$BZ$3001,1178,$D$1)&amp;"",",",""),"¥",""),"￥","")),0))</f>
        <v/>
      </c>
      <c r="E1179">
        <f>IF($E$1=0,0,IFERROR(VALUE(SUBSTITUTE(SUBSTITUTE(SUBSTITUTE(INDEX(貼り付け!$A$1:$BZ$3001,1178,$E$1)&amp;"",",",""),"¥",""),"￥","")),0))</f>
        <v/>
      </c>
      <c r="F1179">
        <f>IF($F$1=0,0,IFERROR(VALUE(SUBSTITUTE(SUBSTITUTE(SUBSTITUTE(INDEX(貼り付け!$A$1:$BZ$3001,1178,$F$1)&amp;"",",",""),"¥",""),"￥","")),0))</f>
        <v/>
      </c>
      <c r="G1179">
        <f>IF(ISNUMBER(B1179),YEAR(B1179),"")</f>
        <v/>
      </c>
      <c r="H1179">
        <f>IF(ISNUMBER(B1179),MONTH(B1179),"")</f>
        <v/>
      </c>
      <c r="I1179">
        <f>IFERROR(IF($B$1=0,"",IF(ISNUMBER(INDEX(貼り付け!$A$1:$BZ$3001,1178,$B$1)),"",SUBSTITUTE(SUBSTITUTE(SUBSTITUTE(SUBSTITUTE(TRIM(LEFT(INDEX(貼り付け!$A$1:$BZ$3001,1178,$B$1)&amp;"",FIND(" ",TRIM(INDEX(貼り付け!$A$1:$BZ$3001,1178,$B$1)&amp;"")&amp;" ")-1)),"/","-"),"年","-"),"月","-"),"日",""))),"")</f>
        <v/>
      </c>
      <c r="J1179">
        <f>IFERROR(MID(I1179,FIND("-",I1179)+1,99),"")</f>
        <v/>
      </c>
    </row>
    <row r="1180">
      <c r="B1180">
        <f>IFERROR(IF($B$1=0,"",IF(INDEX(貼り付け!$A$1:$BZ$3001,1179,$B$1)="","",IF(ISNUMBER(INDEX(貼り付け!$A$1:$BZ$3001,1179,$B$1)),INT(INDEX(貼り付け!$A$1:$BZ$3001,1179,$B$1)),DATE(VALUE(LEFT(I1180,FIND("-",I1180)-1)),VALUE(LEFT(J1180,FIND("-",J1180)-1)),VALUE(MID(J1180,FIND("-",J1180)+1,99)))))),"")</f>
        <v/>
      </c>
      <c r="C1180">
        <f>IF($C$1=0,0,IFERROR(VALUE(SUBSTITUTE(SUBSTITUTE(SUBSTITUTE(INDEX(貼り付け!$A$1:$BZ$3001,1179,$C$1)&amp;"",",",""),"¥",""),"￥","")),0))</f>
        <v/>
      </c>
      <c r="D1180">
        <f>IF($D$1=0,0,IFERROR(VALUE(SUBSTITUTE(SUBSTITUTE(SUBSTITUTE(INDEX(貼り付け!$A$1:$BZ$3001,1179,$D$1)&amp;"",",",""),"¥",""),"￥","")),0))</f>
        <v/>
      </c>
      <c r="E1180">
        <f>IF($E$1=0,0,IFERROR(VALUE(SUBSTITUTE(SUBSTITUTE(SUBSTITUTE(INDEX(貼り付け!$A$1:$BZ$3001,1179,$E$1)&amp;"",",",""),"¥",""),"￥","")),0))</f>
        <v/>
      </c>
      <c r="F1180">
        <f>IF($F$1=0,0,IFERROR(VALUE(SUBSTITUTE(SUBSTITUTE(SUBSTITUTE(INDEX(貼り付け!$A$1:$BZ$3001,1179,$F$1)&amp;"",",",""),"¥",""),"￥","")),0))</f>
        <v/>
      </c>
      <c r="G1180">
        <f>IF(ISNUMBER(B1180),YEAR(B1180),"")</f>
        <v/>
      </c>
      <c r="H1180">
        <f>IF(ISNUMBER(B1180),MONTH(B1180),"")</f>
        <v/>
      </c>
      <c r="I1180">
        <f>IFERROR(IF($B$1=0,"",IF(ISNUMBER(INDEX(貼り付け!$A$1:$BZ$3001,1179,$B$1)),"",SUBSTITUTE(SUBSTITUTE(SUBSTITUTE(SUBSTITUTE(TRIM(LEFT(INDEX(貼り付け!$A$1:$BZ$3001,1179,$B$1)&amp;"",FIND(" ",TRIM(INDEX(貼り付け!$A$1:$BZ$3001,1179,$B$1)&amp;"")&amp;" ")-1)),"/","-"),"年","-"),"月","-"),"日",""))),"")</f>
        <v/>
      </c>
      <c r="J1180">
        <f>IFERROR(MID(I1180,FIND("-",I1180)+1,99),"")</f>
        <v/>
      </c>
    </row>
    <row r="1181">
      <c r="B1181">
        <f>IFERROR(IF($B$1=0,"",IF(INDEX(貼り付け!$A$1:$BZ$3001,1180,$B$1)="","",IF(ISNUMBER(INDEX(貼り付け!$A$1:$BZ$3001,1180,$B$1)),INT(INDEX(貼り付け!$A$1:$BZ$3001,1180,$B$1)),DATE(VALUE(LEFT(I1181,FIND("-",I1181)-1)),VALUE(LEFT(J1181,FIND("-",J1181)-1)),VALUE(MID(J1181,FIND("-",J1181)+1,99)))))),"")</f>
        <v/>
      </c>
      <c r="C1181">
        <f>IF($C$1=0,0,IFERROR(VALUE(SUBSTITUTE(SUBSTITUTE(SUBSTITUTE(INDEX(貼り付け!$A$1:$BZ$3001,1180,$C$1)&amp;"",",",""),"¥",""),"￥","")),0))</f>
        <v/>
      </c>
      <c r="D1181">
        <f>IF($D$1=0,0,IFERROR(VALUE(SUBSTITUTE(SUBSTITUTE(SUBSTITUTE(INDEX(貼り付け!$A$1:$BZ$3001,1180,$D$1)&amp;"",",",""),"¥",""),"￥","")),0))</f>
        <v/>
      </c>
      <c r="E1181">
        <f>IF($E$1=0,0,IFERROR(VALUE(SUBSTITUTE(SUBSTITUTE(SUBSTITUTE(INDEX(貼り付け!$A$1:$BZ$3001,1180,$E$1)&amp;"",",",""),"¥",""),"￥","")),0))</f>
        <v/>
      </c>
      <c r="F1181">
        <f>IF($F$1=0,0,IFERROR(VALUE(SUBSTITUTE(SUBSTITUTE(SUBSTITUTE(INDEX(貼り付け!$A$1:$BZ$3001,1180,$F$1)&amp;"",",",""),"¥",""),"￥","")),0))</f>
        <v/>
      </c>
      <c r="G1181">
        <f>IF(ISNUMBER(B1181),YEAR(B1181),"")</f>
        <v/>
      </c>
      <c r="H1181">
        <f>IF(ISNUMBER(B1181),MONTH(B1181),"")</f>
        <v/>
      </c>
      <c r="I1181">
        <f>IFERROR(IF($B$1=0,"",IF(ISNUMBER(INDEX(貼り付け!$A$1:$BZ$3001,1180,$B$1)),"",SUBSTITUTE(SUBSTITUTE(SUBSTITUTE(SUBSTITUTE(TRIM(LEFT(INDEX(貼り付け!$A$1:$BZ$3001,1180,$B$1)&amp;"",FIND(" ",TRIM(INDEX(貼り付け!$A$1:$BZ$3001,1180,$B$1)&amp;"")&amp;" ")-1)),"/","-"),"年","-"),"月","-"),"日",""))),"")</f>
        <v/>
      </c>
      <c r="J1181">
        <f>IFERROR(MID(I1181,FIND("-",I1181)+1,99),"")</f>
        <v/>
      </c>
    </row>
    <row r="1182">
      <c r="B1182">
        <f>IFERROR(IF($B$1=0,"",IF(INDEX(貼り付け!$A$1:$BZ$3001,1181,$B$1)="","",IF(ISNUMBER(INDEX(貼り付け!$A$1:$BZ$3001,1181,$B$1)),INT(INDEX(貼り付け!$A$1:$BZ$3001,1181,$B$1)),DATE(VALUE(LEFT(I1182,FIND("-",I1182)-1)),VALUE(LEFT(J1182,FIND("-",J1182)-1)),VALUE(MID(J1182,FIND("-",J1182)+1,99)))))),"")</f>
        <v/>
      </c>
      <c r="C1182">
        <f>IF($C$1=0,0,IFERROR(VALUE(SUBSTITUTE(SUBSTITUTE(SUBSTITUTE(INDEX(貼り付け!$A$1:$BZ$3001,1181,$C$1)&amp;"",",",""),"¥",""),"￥","")),0))</f>
        <v/>
      </c>
      <c r="D1182">
        <f>IF($D$1=0,0,IFERROR(VALUE(SUBSTITUTE(SUBSTITUTE(SUBSTITUTE(INDEX(貼り付け!$A$1:$BZ$3001,1181,$D$1)&amp;"",",",""),"¥",""),"￥","")),0))</f>
        <v/>
      </c>
      <c r="E1182">
        <f>IF($E$1=0,0,IFERROR(VALUE(SUBSTITUTE(SUBSTITUTE(SUBSTITUTE(INDEX(貼り付け!$A$1:$BZ$3001,1181,$E$1)&amp;"",",",""),"¥",""),"￥","")),0))</f>
        <v/>
      </c>
      <c r="F1182">
        <f>IF($F$1=0,0,IFERROR(VALUE(SUBSTITUTE(SUBSTITUTE(SUBSTITUTE(INDEX(貼り付け!$A$1:$BZ$3001,1181,$F$1)&amp;"",",",""),"¥",""),"￥","")),0))</f>
        <v/>
      </c>
      <c r="G1182">
        <f>IF(ISNUMBER(B1182),YEAR(B1182),"")</f>
        <v/>
      </c>
      <c r="H1182">
        <f>IF(ISNUMBER(B1182),MONTH(B1182),"")</f>
        <v/>
      </c>
      <c r="I1182">
        <f>IFERROR(IF($B$1=0,"",IF(ISNUMBER(INDEX(貼り付け!$A$1:$BZ$3001,1181,$B$1)),"",SUBSTITUTE(SUBSTITUTE(SUBSTITUTE(SUBSTITUTE(TRIM(LEFT(INDEX(貼り付け!$A$1:$BZ$3001,1181,$B$1)&amp;"",FIND(" ",TRIM(INDEX(貼り付け!$A$1:$BZ$3001,1181,$B$1)&amp;"")&amp;" ")-1)),"/","-"),"年","-"),"月","-"),"日",""))),"")</f>
        <v/>
      </c>
      <c r="J1182">
        <f>IFERROR(MID(I1182,FIND("-",I1182)+1,99),"")</f>
        <v/>
      </c>
    </row>
    <row r="1183">
      <c r="B1183">
        <f>IFERROR(IF($B$1=0,"",IF(INDEX(貼り付け!$A$1:$BZ$3001,1182,$B$1)="","",IF(ISNUMBER(INDEX(貼り付け!$A$1:$BZ$3001,1182,$B$1)),INT(INDEX(貼り付け!$A$1:$BZ$3001,1182,$B$1)),DATE(VALUE(LEFT(I1183,FIND("-",I1183)-1)),VALUE(LEFT(J1183,FIND("-",J1183)-1)),VALUE(MID(J1183,FIND("-",J1183)+1,99)))))),"")</f>
        <v/>
      </c>
      <c r="C1183">
        <f>IF($C$1=0,0,IFERROR(VALUE(SUBSTITUTE(SUBSTITUTE(SUBSTITUTE(INDEX(貼り付け!$A$1:$BZ$3001,1182,$C$1)&amp;"",",",""),"¥",""),"￥","")),0))</f>
        <v/>
      </c>
      <c r="D1183">
        <f>IF($D$1=0,0,IFERROR(VALUE(SUBSTITUTE(SUBSTITUTE(SUBSTITUTE(INDEX(貼り付け!$A$1:$BZ$3001,1182,$D$1)&amp;"",",",""),"¥",""),"￥","")),0))</f>
        <v/>
      </c>
      <c r="E1183">
        <f>IF($E$1=0,0,IFERROR(VALUE(SUBSTITUTE(SUBSTITUTE(SUBSTITUTE(INDEX(貼り付け!$A$1:$BZ$3001,1182,$E$1)&amp;"",",",""),"¥",""),"￥","")),0))</f>
        <v/>
      </c>
      <c r="F1183">
        <f>IF($F$1=0,0,IFERROR(VALUE(SUBSTITUTE(SUBSTITUTE(SUBSTITUTE(INDEX(貼り付け!$A$1:$BZ$3001,1182,$F$1)&amp;"",",",""),"¥",""),"￥","")),0))</f>
        <v/>
      </c>
      <c r="G1183">
        <f>IF(ISNUMBER(B1183),YEAR(B1183),"")</f>
        <v/>
      </c>
      <c r="H1183">
        <f>IF(ISNUMBER(B1183),MONTH(B1183),"")</f>
        <v/>
      </c>
      <c r="I1183">
        <f>IFERROR(IF($B$1=0,"",IF(ISNUMBER(INDEX(貼り付け!$A$1:$BZ$3001,1182,$B$1)),"",SUBSTITUTE(SUBSTITUTE(SUBSTITUTE(SUBSTITUTE(TRIM(LEFT(INDEX(貼り付け!$A$1:$BZ$3001,1182,$B$1)&amp;"",FIND(" ",TRIM(INDEX(貼り付け!$A$1:$BZ$3001,1182,$B$1)&amp;"")&amp;" ")-1)),"/","-"),"年","-"),"月","-"),"日",""))),"")</f>
        <v/>
      </c>
      <c r="J1183">
        <f>IFERROR(MID(I1183,FIND("-",I1183)+1,99),"")</f>
        <v/>
      </c>
    </row>
    <row r="1184">
      <c r="B1184">
        <f>IFERROR(IF($B$1=0,"",IF(INDEX(貼り付け!$A$1:$BZ$3001,1183,$B$1)="","",IF(ISNUMBER(INDEX(貼り付け!$A$1:$BZ$3001,1183,$B$1)),INT(INDEX(貼り付け!$A$1:$BZ$3001,1183,$B$1)),DATE(VALUE(LEFT(I1184,FIND("-",I1184)-1)),VALUE(LEFT(J1184,FIND("-",J1184)-1)),VALUE(MID(J1184,FIND("-",J1184)+1,99)))))),"")</f>
        <v/>
      </c>
      <c r="C1184">
        <f>IF($C$1=0,0,IFERROR(VALUE(SUBSTITUTE(SUBSTITUTE(SUBSTITUTE(INDEX(貼り付け!$A$1:$BZ$3001,1183,$C$1)&amp;"",",",""),"¥",""),"￥","")),0))</f>
        <v/>
      </c>
      <c r="D1184">
        <f>IF($D$1=0,0,IFERROR(VALUE(SUBSTITUTE(SUBSTITUTE(SUBSTITUTE(INDEX(貼り付け!$A$1:$BZ$3001,1183,$D$1)&amp;"",",",""),"¥",""),"￥","")),0))</f>
        <v/>
      </c>
      <c r="E1184">
        <f>IF($E$1=0,0,IFERROR(VALUE(SUBSTITUTE(SUBSTITUTE(SUBSTITUTE(INDEX(貼り付け!$A$1:$BZ$3001,1183,$E$1)&amp;"",",",""),"¥",""),"￥","")),0))</f>
        <v/>
      </c>
      <c r="F1184">
        <f>IF($F$1=0,0,IFERROR(VALUE(SUBSTITUTE(SUBSTITUTE(SUBSTITUTE(INDEX(貼り付け!$A$1:$BZ$3001,1183,$F$1)&amp;"",",",""),"¥",""),"￥","")),0))</f>
        <v/>
      </c>
      <c r="G1184">
        <f>IF(ISNUMBER(B1184),YEAR(B1184),"")</f>
        <v/>
      </c>
      <c r="H1184">
        <f>IF(ISNUMBER(B1184),MONTH(B1184),"")</f>
        <v/>
      </c>
      <c r="I1184">
        <f>IFERROR(IF($B$1=0,"",IF(ISNUMBER(INDEX(貼り付け!$A$1:$BZ$3001,1183,$B$1)),"",SUBSTITUTE(SUBSTITUTE(SUBSTITUTE(SUBSTITUTE(TRIM(LEFT(INDEX(貼り付け!$A$1:$BZ$3001,1183,$B$1)&amp;"",FIND(" ",TRIM(INDEX(貼り付け!$A$1:$BZ$3001,1183,$B$1)&amp;"")&amp;" ")-1)),"/","-"),"年","-"),"月","-"),"日",""))),"")</f>
        <v/>
      </c>
      <c r="J1184">
        <f>IFERROR(MID(I1184,FIND("-",I1184)+1,99),"")</f>
        <v/>
      </c>
    </row>
    <row r="1185">
      <c r="B1185">
        <f>IFERROR(IF($B$1=0,"",IF(INDEX(貼り付け!$A$1:$BZ$3001,1184,$B$1)="","",IF(ISNUMBER(INDEX(貼り付け!$A$1:$BZ$3001,1184,$B$1)),INT(INDEX(貼り付け!$A$1:$BZ$3001,1184,$B$1)),DATE(VALUE(LEFT(I1185,FIND("-",I1185)-1)),VALUE(LEFT(J1185,FIND("-",J1185)-1)),VALUE(MID(J1185,FIND("-",J1185)+1,99)))))),"")</f>
        <v/>
      </c>
      <c r="C1185">
        <f>IF($C$1=0,0,IFERROR(VALUE(SUBSTITUTE(SUBSTITUTE(SUBSTITUTE(INDEX(貼り付け!$A$1:$BZ$3001,1184,$C$1)&amp;"",",",""),"¥",""),"￥","")),0))</f>
        <v/>
      </c>
      <c r="D1185">
        <f>IF($D$1=0,0,IFERROR(VALUE(SUBSTITUTE(SUBSTITUTE(SUBSTITUTE(INDEX(貼り付け!$A$1:$BZ$3001,1184,$D$1)&amp;"",",",""),"¥",""),"￥","")),0))</f>
        <v/>
      </c>
      <c r="E1185">
        <f>IF($E$1=0,0,IFERROR(VALUE(SUBSTITUTE(SUBSTITUTE(SUBSTITUTE(INDEX(貼り付け!$A$1:$BZ$3001,1184,$E$1)&amp;"",",",""),"¥",""),"￥","")),0))</f>
        <v/>
      </c>
      <c r="F1185">
        <f>IF($F$1=0,0,IFERROR(VALUE(SUBSTITUTE(SUBSTITUTE(SUBSTITUTE(INDEX(貼り付け!$A$1:$BZ$3001,1184,$F$1)&amp;"",",",""),"¥",""),"￥","")),0))</f>
        <v/>
      </c>
      <c r="G1185">
        <f>IF(ISNUMBER(B1185),YEAR(B1185),"")</f>
        <v/>
      </c>
      <c r="H1185">
        <f>IF(ISNUMBER(B1185),MONTH(B1185),"")</f>
        <v/>
      </c>
      <c r="I1185">
        <f>IFERROR(IF($B$1=0,"",IF(ISNUMBER(INDEX(貼り付け!$A$1:$BZ$3001,1184,$B$1)),"",SUBSTITUTE(SUBSTITUTE(SUBSTITUTE(SUBSTITUTE(TRIM(LEFT(INDEX(貼り付け!$A$1:$BZ$3001,1184,$B$1)&amp;"",FIND(" ",TRIM(INDEX(貼り付け!$A$1:$BZ$3001,1184,$B$1)&amp;"")&amp;" ")-1)),"/","-"),"年","-"),"月","-"),"日",""))),"")</f>
        <v/>
      </c>
      <c r="J1185">
        <f>IFERROR(MID(I1185,FIND("-",I1185)+1,99),"")</f>
        <v/>
      </c>
    </row>
    <row r="1186">
      <c r="B1186">
        <f>IFERROR(IF($B$1=0,"",IF(INDEX(貼り付け!$A$1:$BZ$3001,1185,$B$1)="","",IF(ISNUMBER(INDEX(貼り付け!$A$1:$BZ$3001,1185,$B$1)),INT(INDEX(貼り付け!$A$1:$BZ$3001,1185,$B$1)),DATE(VALUE(LEFT(I1186,FIND("-",I1186)-1)),VALUE(LEFT(J1186,FIND("-",J1186)-1)),VALUE(MID(J1186,FIND("-",J1186)+1,99)))))),"")</f>
        <v/>
      </c>
      <c r="C1186">
        <f>IF($C$1=0,0,IFERROR(VALUE(SUBSTITUTE(SUBSTITUTE(SUBSTITUTE(INDEX(貼り付け!$A$1:$BZ$3001,1185,$C$1)&amp;"",",",""),"¥",""),"￥","")),0))</f>
        <v/>
      </c>
      <c r="D1186">
        <f>IF($D$1=0,0,IFERROR(VALUE(SUBSTITUTE(SUBSTITUTE(SUBSTITUTE(INDEX(貼り付け!$A$1:$BZ$3001,1185,$D$1)&amp;"",",",""),"¥",""),"￥","")),0))</f>
        <v/>
      </c>
      <c r="E1186">
        <f>IF($E$1=0,0,IFERROR(VALUE(SUBSTITUTE(SUBSTITUTE(SUBSTITUTE(INDEX(貼り付け!$A$1:$BZ$3001,1185,$E$1)&amp;"",",",""),"¥",""),"￥","")),0))</f>
        <v/>
      </c>
      <c r="F1186">
        <f>IF($F$1=0,0,IFERROR(VALUE(SUBSTITUTE(SUBSTITUTE(SUBSTITUTE(INDEX(貼り付け!$A$1:$BZ$3001,1185,$F$1)&amp;"",",",""),"¥",""),"￥","")),0))</f>
        <v/>
      </c>
      <c r="G1186">
        <f>IF(ISNUMBER(B1186),YEAR(B1186),"")</f>
        <v/>
      </c>
      <c r="H1186">
        <f>IF(ISNUMBER(B1186),MONTH(B1186),"")</f>
        <v/>
      </c>
      <c r="I1186">
        <f>IFERROR(IF($B$1=0,"",IF(ISNUMBER(INDEX(貼り付け!$A$1:$BZ$3001,1185,$B$1)),"",SUBSTITUTE(SUBSTITUTE(SUBSTITUTE(SUBSTITUTE(TRIM(LEFT(INDEX(貼り付け!$A$1:$BZ$3001,1185,$B$1)&amp;"",FIND(" ",TRIM(INDEX(貼り付け!$A$1:$BZ$3001,1185,$B$1)&amp;"")&amp;" ")-1)),"/","-"),"年","-"),"月","-"),"日",""))),"")</f>
        <v/>
      </c>
      <c r="J1186">
        <f>IFERROR(MID(I1186,FIND("-",I1186)+1,99),"")</f>
        <v/>
      </c>
    </row>
    <row r="1187">
      <c r="B1187">
        <f>IFERROR(IF($B$1=0,"",IF(INDEX(貼り付け!$A$1:$BZ$3001,1186,$B$1)="","",IF(ISNUMBER(INDEX(貼り付け!$A$1:$BZ$3001,1186,$B$1)),INT(INDEX(貼り付け!$A$1:$BZ$3001,1186,$B$1)),DATE(VALUE(LEFT(I1187,FIND("-",I1187)-1)),VALUE(LEFT(J1187,FIND("-",J1187)-1)),VALUE(MID(J1187,FIND("-",J1187)+1,99)))))),"")</f>
        <v/>
      </c>
      <c r="C1187">
        <f>IF($C$1=0,0,IFERROR(VALUE(SUBSTITUTE(SUBSTITUTE(SUBSTITUTE(INDEX(貼り付け!$A$1:$BZ$3001,1186,$C$1)&amp;"",",",""),"¥",""),"￥","")),0))</f>
        <v/>
      </c>
      <c r="D1187">
        <f>IF($D$1=0,0,IFERROR(VALUE(SUBSTITUTE(SUBSTITUTE(SUBSTITUTE(INDEX(貼り付け!$A$1:$BZ$3001,1186,$D$1)&amp;"",",",""),"¥",""),"￥","")),0))</f>
        <v/>
      </c>
      <c r="E1187">
        <f>IF($E$1=0,0,IFERROR(VALUE(SUBSTITUTE(SUBSTITUTE(SUBSTITUTE(INDEX(貼り付け!$A$1:$BZ$3001,1186,$E$1)&amp;"",",",""),"¥",""),"￥","")),0))</f>
        <v/>
      </c>
      <c r="F1187">
        <f>IF($F$1=0,0,IFERROR(VALUE(SUBSTITUTE(SUBSTITUTE(SUBSTITUTE(INDEX(貼り付け!$A$1:$BZ$3001,1186,$F$1)&amp;"",",",""),"¥",""),"￥","")),0))</f>
        <v/>
      </c>
      <c r="G1187">
        <f>IF(ISNUMBER(B1187),YEAR(B1187),"")</f>
        <v/>
      </c>
      <c r="H1187">
        <f>IF(ISNUMBER(B1187),MONTH(B1187),"")</f>
        <v/>
      </c>
      <c r="I1187">
        <f>IFERROR(IF($B$1=0,"",IF(ISNUMBER(INDEX(貼り付け!$A$1:$BZ$3001,1186,$B$1)),"",SUBSTITUTE(SUBSTITUTE(SUBSTITUTE(SUBSTITUTE(TRIM(LEFT(INDEX(貼り付け!$A$1:$BZ$3001,1186,$B$1)&amp;"",FIND(" ",TRIM(INDEX(貼り付け!$A$1:$BZ$3001,1186,$B$1)&amp;"")&amp;" ")-1)),"/","-"),"年","-"),"月","-"),"日",""))),"")</f>
        <v/>
      </c>
      <c r="J1187">
        <f>IFERROR(MID(I1187,FIND("-",I1187)+1,99),"")</f>
        <v/>
      </c>
    </row>
    <row r="1188">
      <c r="B1188">
        <f>IFERROR(IF($B$1=0,"",IF(INDEX(貼り付け!$A$1:$BZ$3001,1187,$B$1)="","",IF(ISNUMBER(INDEX(貼り付け!$A$1:$BZ$3001,1187,$B$1)),INT(INDEX(貼り付け!$A$1:$BZ$3001,1187,$B$1)),DATE(VALUE(LEFT(I1188,FIND("-",I1188)-1)),VALUE(LEFT(J1188,FIND("-",J1188)-1)),VALUE(MID(J1188,FIND("-",J1188)+1,99)))))),"")</f>
        <v/>
      </c>
      <c r="C1188">
        <f>IF($C$1=0,0,IFERROR(VALUE(SUBSTITUTE(SUBSTITUTE(SUBSTITUTE(INDEX(貼り付け!$A$1:$BZ$3001,1187,$C$1)&amp;"",",",""),"¥",""),"￥","")),0))</f>
        <v/>
      </c>
      <c r="D1188">
        <f>IF($D$1=0,0,IFERROR(VALUE(SUBSTITUTE(SUBSTITUTE(SUBSTITUTE(INDEX(貼り付け!$A$1:$BZ$3001,1187,$D$1)&amp;"",",",""),"¥",""),"￥","")),0))</f>
        <v/>
      </c>
      <c r="E1188">
        <f>IF($E$1=0,0,IFERROR(VALUE(SUBSTITUTE(SUBSTITUTE(SUBSTITUTE(INDEX(貼り付け!$A$1:$BZ$3001,1187,$E$1)&amp;"",",",""),"¥",""),"￥","")),0))</f>
        <v/>
      </c>
      <c r="F1188">
        <f>IF($F$1=0,0,IFERROR(VALUE(SUBSTITUTE(SUBSTITUTE(SUBSTITUTE(INDEX(貼り付け!$A$1:$BZ$3001,1187,$F$1)&amp;"",",",""),"¥",""),"￥","")),0))</f>
        <v/>
      </c>
      <c r="G1188">
        <f>IF(ISNUMBER(B1188),YEAR(B1188),"")</f>
        <v/>
      </c>
      <c r="H1188">
        <f>IF(ISNUMBER(B1188),MONTH(B1188),"")</f>
        <v/>
      </c>
      <c r="I1188">
        <f>IFERROR(IF($B$1=0,"",IF(ISNUMBER(INDEX(貼り付け!$A$1:$BZ$3001,1187,$B$1)),"",SUBSTITUTE(SUBSTITUTE(SUBSTITUTE(SUBSTITUTE(TRIM(LEFT(INDEX(貼り付け!$A$1:$BZ$3001,1187,$B$1)&amp;"",FIND(" ",TRIM(INDEX(貼り付け!$A$1:$BZ$3001,1187,$B$1)&amp;"")&amp;" ")-1)),"/","-"),"年","-"),"月","-"),"日",""))),"")</f>
        <v/>
      </c>
      <c r="J1188">
        <f>IFERROR(MID(I1188,FIND("-",I1188)+1,99),"")</f>
        <v/>
      </c>
    </row>
    <row r="1189">
      <c r="B1189">
        <f>IFERROR(IF($B$1=0,"",IF(INDEX(貼り付け!$A$1:$BZ$3001,1188,$B$1)="","",IF(ISNUMBER(INDEX(貼り付け!$A$1:$BZ$3001,1188,$B$1)),INT(INDEX(貼り付け!$A$1:$BZ$3001,1188,$B$1)),DATE(VALUE(LEFT(I1189,FIND("-",I1189)-1)),VALUE(LEFT(J1189,FIND("-",J1189)-1)),VALUE(MID(J1189,FIND("-",J1189)+1,99)))))),"")</f>
        <v/>
      </c>
      <c r="C1189">
        <f>IF($C$1=0,0,IFERROR(VALUE(SUBSTITUTE(SUBSTITUTE(SUBSTITUTE(INDEX(貼り付け!$A$1:$BZ$3001,1188,$C$1)&amp;"",",",""),"¥",""),"￥","")),0))</f>
        <v/>
      </c>
      <c r="D1189">
        <f>IF($D$1=0,0,IFERROR(VALUE(SUBSTITUTE(SUBSTITUTE(SUBSTITUTE(INDEX(貼り付け!$A$1:$BZ$3001,1188,$D$1)&amp;"",",",""),"¥",""),"￥","")),0))</f>
        <v/>
      </c>
      <c r="E1189">
        <f>IF($E$1=0,0,IFERROR(VALUE(SUBSTITUTE(SUBSTITUTE(SUBSTITUTE(INDEX(貼り付け!$A$1:$BZ$3001,1188,$E$1)&amp;"",",",""),"¥",""),"￥","")),0))</f>
        <v/>
      </c>
      <c r="F1189">
        <f>IF($F$1=0,0,IFERROR(VALUE(SUBSTITUTE(SUBSTITUTE(SUBSTITUTE(INDEX(貼り付け!$A$1:$BZ$3001,1188,$F$1)&amp;"",",",""),"¥",""),"￥","")),0))</f>
        <v/>
      </c>
      <c r="G1189">
        <f>IF(ISNUMBER(B1189),YEAR(B1189),"")</f>
        <v/>
      </c>
      <c r="H1189">
        <f>IF(ISNUMBER(B1189),MONTH(B1189),"")</f>
        <v/>
      </c>
      <c r="I1189">
        <f>IFERROR(IF($B$1=0,"",IF(ISNUMBER(INDEX(貼り付け!$A$1:$BZ$3001,1188,$B$1)),"",SUBSTITUTE(SUBSTITUTE(SUBSTITUTE(SUBSTITUTE(TRIM(LEFT(INDEX(貼り付け!$A$1:$BZ$3001,1188,$B$1)&amp;"",FIND(" ",TRIM(INDEX(貼り付け!$A$1:$BZ$3001,1188,$B$1)&amp;"")&amp;" ")-1)),"/","-"),"年","-"),"月","-"),"日",""))),"")</f>
        <v/>
      </c>
      <c r="J1189">
        <f>IFERROR(MID(I1189,FIND("-",I1189)+1,99),"")</f>
        <v/>
      </c>
    </row>
    <row r="1190">
      <c r="B1190">
        <f>IFERROR(IF($B$1=0,"",IF(INDEX(貼り付け!$A$1:$BZ$3001,1189,$B$1)="","",IF(ISNUMBER(INDEX(貼り付け!$A$1:$BZ$3001,1189,$B$1)),INT(INDEX(貼り付け!$A$1:$BZ$3001,1189,$B$1)),DATE(VALUE(LEFT(I1190,FIND("-",I1190)-1)),VALUE(LEFT(J1190,FIND("-",J1190)-1)),VALUE(MID(J1190,FIND("-",J1190)+1,99)))))),"")</f>
        <v/>
      </c>
      <c r="C1190">
        <f>IF($C$1=0,0,IFERROR(VALUE(SUBSTITUTE(SUBSTITUTE(SUBSTITUTE(INDEX(貼り付け!$A$1:$BZ$3001,1189,$C$1)&amp;"",",",""),"¥",""),"￥","")),0))</f>
        <v/>
      </c>
      <c r="D1190">
        <f>IF($D$1=0,0,IFERROR(VALUE(SUBSTITUTE(SUBSTITUTE(SUBSTITUTE(INDEX(貼り付け!$A$1:$BZ$3001,1189,$D$1)&amp;"",",",""),"¥",""),"￥","")),0))</f>
        <v/>
      </c>
      <c r="E1190">
        <f>IF($E$1=0,0,IFERROR(VALUE(SUBSTITUTE(SUBSTITUTE(SUBSTITUTE(INDEX(貼り付け!$A$1:$BZ$3001,1189,$E$1)&amp;"",",",""),"¥",""),"￥","")),0))</f>
        <v/>
      </c>
      <c r="F1190">
        <f>IF($F$1=0,0,IFERROR(VALUE(SUBSTITUTE(SUBSTITUTE(SUBSTITUTE(INDEX(貼り付け!$A$1:$BZ$3001,1189,$F$1)&amp;"",",",""),"¥",""),"￥","")),0))</f>
        <v/>
      </c>
      <c r="G1190">
        <f>IF(ISNUMBER(B1190),YEAR(B1190),"")</f>
        <v/>
      </c>
      <c r="H1190">
        <f>IF(ISNUMBER(B1190),MONTH(B1190),"")</f>
        <v/>
      </c>
      <c r="I1190">
        <f>IFERROR(IF($B$1=0,"",IF(ISNUMBER(INDEX(貼り付け!$A$1:$BZ$3001,1189,$B$1)),"",SUBSTITUTE(SUBSTITUTE(SUBSTITUTE(SUBSTITUTE(TRIM(LEFT(INDEX(貼り付け!$A$1:$BZ$3001,1189,$B$1)&amp;"",FIND(" ",TRIM(INDEX(貼り付け!$A$1:$BZ$3001,1189,$B$1)&amp;"")&amp;" ")-1)),"/","-"),"年","-"),"月","-"),"日",""))),"")</f>
        <v/>
      </c>
      <c r="J1190">
        <f>IFERROR(MID(I1190,FIND("-",I1190)+1,99),"")</f>
        <v/>
      </c>
    </row>
    <row r="1191">
      <c r="B1191">
        <f>IFERROR(IF($B$1=0,"",IF(INDEX(貼り付け!$A$1:$BZ$3001,1190,$B$1)="","",IF(ISNUMBER(INDEX(貼り付け!$A$1:$BZ$3001,1190,$B$1)),INT(INDEX(貼り付け!$A$1:$BZ$3001,1190,$B$1)),DATE(VALUE(LEFT(I1191,FIND("-",I1191)-1)),VALUE(LEFT(J1191,FIND("-",J1191)-1)),VALUE(MID(J1191,FIND("-",J1191)+1,99)))))),"")</f>
        <v/>
      </c>
      <c r="C1191">
        <f>IF($C$1=0,0,IFERROR(VALUE(SUBSTITUTE(SUBSTITUTE(SUBSTITUTE(INDEX(貼り付け!$A$1:$BZ$3001,1190,$C$1)&amp;"",",",""),"¥",""),"￥","")),0))</f>
        <v/>
      </c>
      <c r="D1191">
        <f>IF($D$1=0,0,IFERROR(VALUE(SUBSTITUTE(SUBSTITUTE(SUBSTITUTE(INDEX(貼り付け!$A$1:$BZ$3001,1190,$D$1)&amp;"",",",""),"¥",""),"￥","")),0))</f>
        <v/>
      </c>
      <c r="E1191">
        <f>IF($E$1=0,0,IFERROR(VALUE(SUBSTITUTE(SUBSTITUTE(SUBSTITUTE(INDEX(貼り付け!$A$1:$BZ$3001,1190,$E$1)&amp;"",",",""),"¥",""),"￥","")),0))</f>
        <v/>
      </c>
      <c r="F1191">
        <f>IF($F$1=0,0,IFERROR(VALUE(SUBSTITUTE(SUBSTITUTE(SUBSTITUTE(INDEX(貼り付け!$A$1:$BZ$3001,1190,$F$1)&amp;"",",",""),"¥",""),"￥","")),0))</f>
        <v/>
      </c>
      <c r="G1191">
        <f>IF(ISNUMBER(B1191),YEAR(B1191),"")</f>
        <v/>
      </c>
      <c r="H1191">
        <f>IF(ISNUMBER(B1191),MONTH(B1191),"")</f>
        <v/>
      </c>
      <c r="I1191">
        <f>IFERROR(IF($B$1=0,"",IF(ISNUMBER(INDEX(貼り付け!$A$1:$BZ$3001,1190,$B$1)),"",SUBSTITUTE(SUBSTITUTE(SUBSTITUTE(SUBSTITUTE(TRIM(LEFT(INDEX(貼り付け!$A$1:$BZ$3001,1190,$B$1)&amp;"",FIND(" ",TRIM(INDEX(貼り付け!$A$1:$BZ$3001,1190,$B$1)&amp;"")&amp;" ")-1)),"/","-"),"年","-"),"月","-"),"日",""))),"")</f>
        <v/>
      </c>
      <c r="J1191">
        <f>IFERROR(MID(I1191,FIND("-",I1191)+1,99),"")</f>
        <v/>
      </c>
    </row>
    <row r="1192">
      <c r="B1192">
        <f>IFERROR(IF($B$1=0,"",IF(INDEX(貼り付け!$A$1:$BZ$3001,1191,$B$1)="","",IF(ISNUMBER(INDEX(貼り付け!$A$1:$BZ$3001,1191,$B$1)),INT(INDEX(貼り付け!$A$1:$BZ$3001,1191,$B$1)),DATE(VALUE(LEFT(I1192,FIND("-",I1192)-1)),VALUE(LEFT(J1192,FIND("-",J1192)-1)),VALUE(MID(J1192,FIND("-",J1192)+1,99)))))),"")</f>
        <v/>
      </c>
      <c r="C1192">
        <f>IF($C$1=0,0,IFERROR(VALUE(SUBSTITUTE(SUBSTITUTE(SUBSTITUTE(INDEX(貼り付け!$A$1:$BZ$3001,1191,$C$1)&amp;"",",",""),"¥",""),"￥","")),0))</f>
        <v/>
      </c>
      <c r="D1192">
        <f>IF($D$1=0,0,IFERROR(VALUE(SUBSTITUTE(SUBSTITUTE(SUBSTITUTE(INDEX(貼り付け!$A$1:$BZ$3001,1191,$D$1)&amp;"",",",""),"¥",""),"￥","")),0))</f>
        <v/>
      </c>
      <c r="E1192">
        <f>IF($E$1=0,0,IFERROR(VALUE(SUBSTITUTE(SUBSTITUTE(SUBSTITUTE(INDEX(貼り付け!$A$1:$BZ$3001,1191,$E$1)&amp;"",",",""),"¥",""),"￥","")),0))</f>
        <v/>
      </c>
      <c r="F1192">
        <f>IF($F$1=0,0,IFERROR(VALUE(SUBSTITUTE(SUBSTITUTE(SUBSTITUTE(INDEX(貼り付け!$A$1:$BZ$3001,1191,$F$1)&amp;"",",",""),"¥",""),"￥","")),0))</f>
        <v/>
      </c>
      <c r="G1192">
        <f>IF(ISNUMBER(B1192),YEAR(B1192),"")</f>
        <v/>
      </c>
      <c r="H1192">
        <f>IF(ISNUMBER(B1192),MONTH(B1192),"")</f>
        <v/>
      </c>
      <c r="I1192">
        <f>IFERROR(IF($B$1=0,"",IF(ISNUMBER(INDEX(貼り付け!$A$1:$BZ$3001,1191,$B$1)),"",SUBSTITUTE(SUBSTITUTE(SUBSTITUTE(SUBSTITUTE(TRIM(LEFT(INDEX(貼り付け!$A$1:$BZ$3001,1191,$B$1)&amp;"",FIND(" ",TRIM(INDEX(貼り付け!$A$1:$BZ$3001,1191,$B$1)&amp;"")&amp;" ")-1)),"/","-"),"年","-"),"月","-"),"日",""))),"")</f>
        <v/>
      </c>
      <c r="J1192">
        <f>IFERROR(MID(I1192,FIND("-",I1192)+1,99),"")</f>
        <v/>
      </c>
    </row>
    <row r="1193">
      <c r="B1193">
        <f>IFERROR(IF($B$1=0,"",IF(INDEX(貼り付け!$A$1:$BZ$3001,1192,$B$1)="","",IF(ISNUMBER(INDEX(貼り付け!$A$1:$BZ$3001,1192,$B$1)),INT(INDEX(貼り付け!$A$1:$BZ$3001,1192,$B$1)),DATE(VALUE(LEFT(I1193,FIND("-",I1193)-1)),VALUE(LEFT(J1193,FIND("-",J1193)-1)),VALUE(MID(J1193,FIND("-",J1193)+1,99)))))),"")</f>
        <v/>
      </c>
      <c r="C1193">
        <f>IF($C$1=0,0,IFERROR(VALUE(SUBSTITUTE(SUBSTITUTE(SUBSTITUTE(INDEX(貼り付け!$A$1:$BZ$3001,1192,$C$1)&amp;"",",",""),"¥",""),"￥","")),0))</f>
        <v/>
      </c>
      <c r="D1193">
        <f>IF($D$1=0,0,IFERROR(VALUE(SUBSTITUTE(SUBSTITUTE(SUBSTITUTE(INDEX(貼り付け!$A$1:$BZ$3001,1192,$D$1)&amp;"",",",""),"¥",""),"￥","")),0))</f>
        <v/>
      </c>
      <c r="E1193">
        <f>IF($E$1=0,0,IFERROR(VALUE(SUBSTITUTE(SUBSTITUTE(SUBSTITUTE(INDEX(貼り付け!$A$1:$BZ$3001,1192,$E$1)&amp;"",",",""),"¥",""),"￥","")),0))</f>
        <v/>
      </c>
      <c r="F1193">
        <f>IF($F$1=0,0,IFERROR(VALUE(SUBSTITUTE(SUBSTITUTE(SUBSTITUTE(INDEX(貼り付け!$A$1:$BZ$3001,1192,$F$1)&amp;"",",",""),"¥",""),"￥","")),0))</f>
        <v/>
      </c>
      <c r="G1193">
        <f>IF(ISNUMBER(B1193),YEAR(B1193),"")</f>
        <v/>
      </c>
      <c r="H1193">
        <f>IF(ISNUMBER(B1193),MONTH(B1193),"")</f>
        <v/>
      </c>
      <c r="I1193">
        <f>IFERROR(IF($B$1=0,"",IF(ISNUMBER(INDEX(貼り付け!$A$1:$BZ$3001,1192,$B$1)),"",SUBSTITUTE(SUBSTITUTE(SUBSTITUTE(SUBSTITUTE(TRIM(LEFT(INDEX(貼り付け!$A$1:$BZ$3001,1192,$B$1)&amp;"",FIND(" ",TRIM(INDEX(貼り付け!$A$1:$BZ$3001,1192,$B$1)&amp;"")&amp;" ")-1)),"/","-"),"年","-"),"月","-"),"日",""))),"")</f>
        <v/>
      </c>
      <c r="J1193">
        <f>IFERROR(MID(I1193,FIND("-",I1193)+1,99),"")</f>
        <v/>
      </c>
    </row>
    <row r="1194">
      <c r="B1194">
        <f>IFERROR(IF($B$1=0,"",IF(INDEX(貼り付け!$A$1:$BZ$3001,1193,$B$1)="","",IF(ISNUMBER(INDEX(貼り付け!$A$1:$BZ$3001,1193,$B$1)),INT(INDEX(貼り付け!$A$1:$BZ$3001,1193,$B$1)),DATE(VALUE(LEFT(I1194,FIND("-",I1194)-1)),VALUE(LEFT(J1194,FIND("-",J1194)-1)),VALUE(MID(J1194,FIND("-",J1194)+1,99)))))),"")</f>
        <v/>
      </c>
      <c r="C1194">
        <f>IF($C$1=0,0,IFERROR(VALUE(SUBSTITUTE(SUBSTITUTE(SUBSTITUTE(INDEX(貼り付け!$A$1:$BZ$3001,1193,$C$1)&amp;"",",",""),"¥",""),"￥","")),0))</f>
        <v/>
      </c>
      <c r="D1194">
        <f>IF($D$1=0,0,IFERROR(VALUE(SUBSTITUTE(SUBSTITUTE(SUBSTITUTE(INDEX(貼り付け!$A$1:$BZ$3001,1193,$D$1)&amp;"",",",""),"¥",""),"￥","")),0))</f>
        <v/>
      </c>
      <c r="E1194">
        <f>IF($E$1=0,0,IFERROR(VALUE(SUBSTITUTE(SUBSTITUTE(SUBSTITUTE(INDEX(貼り付け!$A$1:$BZ$3001,1193,$E$1)&amp;"",",",""),"¥",""),"￥","")),0))</f>
        <v/>
      </c>
      <c r="F1194">
        <f>IF($F$1=0,0,IFERROR(VALUE(SUBSTITUTE(SUBSTITUTE(SUBSTITUTE(INDEX(貼り付け!$A$1:$BZ$3001,1193,$F$1)&amp;"",",",""),"¥",""),"￥","")),0))</f>
        <v/>
      </c>
      <c r="G1194">
        <f>IF(ISNUMBER(B1194),YEAR(B1194),"")</f>
        <v/>
      </c>
      <c r="H1194">
        <f>IF(ISNUMBER(B1194),MONTH(B1194),"")</f>
        <v/>
      </c>
      <c r="I1194">
        <f>IFERROR(IF($B$1=0,"",IF(ISNUMBER(INDEX(貼り付け!$A$1:$BZ$3001,1193,$B$1)),"",SUBSTITUTE(SUBSTITUTE(SUBSTITUTE(SUBSTITUTE(TRIM(LEFT(INDEX(貼り付け!$A$1:$BZ$3001,1193,$B$1)&amp;"",FIND(" ",TRIM(INDEX(貼り付け!$A$1:$BZ$3001,1193,$B$1)&amp;"")&amp;" ")-1)),"/","-"),"年","-"),"月","-"),"日",""))),"")</f>
        <v/>
      </c>
      <c r="J1194">
        <f>IFERROR(MID(I1194,FIND("-",I1194)+1,99),"")</f>
        <v/>
      </c>
    </row>
    <row r="1195">
      <c r="B1195">
        <f>IFERROR(IF($B$1=0,"",IF(INDEX(貼り付け!$A$1:$BZ$3001,1194,$B$1)="","",IF(ISNUMBER(INDEX(貼り付け!$A$1:$BZ$3001,1194,$B$1)),INT(INDEX(貼り付け!$A$1:$BZ$3001,1194,$B$1)),DATE(VALUE(LEFT(I1195,FIND("-",I1195)-1)),VALUE(LEFT(J1195,FIND("-",J1195)-1)),VALUE(MID(J1195,FIND("-",J1195)+1,99)))))),"")</f>
        <v/>
      </c>
      <c r="C1195">
        <f>IF($C$1=0,0,IFERROR(VALUE(SUBSTITUTE(SUBSTITUTE(SUBSTITUTE(INDEX(貼り付け!$A$1:$BZ$3001,1194,$C$1)&amp;"",",",""),"¥",""),"￥","")),0))</f>
        <v/>
      </c>
      <c r="D1195">
        <f>IF($D$1=0,0,IFERROR(VALUE(SUBSTITUTE(SUBSTITUTE(SUBSTITUTE(INDEX(貼り付け!$A$1:$BZ$3001,1194,$D$1)&amp;"",",",""),"¥",""),"￥","")),0))</f>
        <v/>
      </c>
      <c r="E1195">
        <f>IF($E$1=0,0,IFERROR(VALUE(SUBSTITUTE(SUBSTITUTE(SUBSTITUTE(INDEX(貼り付け!$A$1:$BZ$3001,1194,$E$1)&amp;"",",",""),"¥",""),"￥","")),0))</f>
        <v/>
      </c>
      <c r="F1195">
        <f>IF($F$1=0,0,IFERROR(VALUE(SUBSTITUTE(SUBSTITUTE(SUBSTITUTE(INDEX(貼り付け!$A$1:$BZ$3001,1194,$F$1)&amp;"",",",""),"¥",""),"￥","")),0))</f>
        <v/>
      </c>
      <c r="G1195">
        <f>IF(ISNUMBER(B1195),YEAR(B1195),"")</f>
        <v/>
      </c>
      <c r="H1195">
        <f>IF(ISNUMBER(B1195),MONTH(B1195),"")</f>
        <v/>
      </c>
      <c r="I1195">
        <f>IFERROR(IF($B$1=0,"",IF(ISNUMBER(INDEX(貼り付け!$A$1:$BZ$3001,1194,$B$1)),"",SUBSTITUTE(SUBSTITUTE(SUBSTITUTE(SUBSTITUTE(TRIM(LEFT(INDEX(貼り付け!$A$1:$BZ$3001,1194,$B$1)&amp;"",FIND(" ",TRIM(INDEX(貼り付け!$A$1:$BZ$3001,1194,$B$1)&amp;"")&amp;" ")-1)),"/","-"),"年","-"),"月","-"),"日",""))),"")</f>
        <v/>
      </c>
      <c r="J1195">
        <f>IFERROR(MID(I1195,FIND("-",I1195)+1,99),"")</f>
        <v/>
      </c>
    </row>
    <row r="1196">
      <c r="B1196">
        <f>IFERROR(IF($B$1=0,"",IF(INDEX(貼り付け!$A$1:$BZ$3001,1195,$B$1)="","",IF(ISNUMBER(INDEX(貼り付け!$A$1:$BZ$3001,1195,$B$1)),INT(INDEX(貼り付け!$A$1:$BZ$3001,1195,$B$1)),DATE(VALUE(LEFT(I1196,FIND("-",I1196)-1)),VALUE(LEFT(J1196,FIND("-",J1196)-1)),VALUE(MID(J1196,FIND("-",J1196)+1,99)))))),"")</f>
        <v/>
      </c>
      <c r="C1196">
        <f>IF($C$1=0,0,IFERROR(VALUE(SUBSTITUTE(SUBSTITUTE(SUBSTITUTE(INDEX(貼り付け!$A$1:$BZ$3001,1195,$C$1)&amp;"",",",""),"¥",""),"￥","")),0))</f>
        <v/>
      </c>
      <c r="D1196">
        <f>IF($D$1=0,0,IFERROR(VALUE(SUBSTITUTE(SUBSTITUTE(SUBSTITUTE(INDEX(貼り付け!$A$1:$BZ$3001,1195,$D$1)&amp;"",",",""),"¥",""),"￥","")),0))</f>
        <v/>
      </c>
      <c r="E1196">
        <f>IF($E$1=0,0,IFERROR(VALUE(SUBSTITUTE(SUBSTITUTE(SUBSTITUTE(INDEX(貼り付け!$A$1:$BZ$3001,1195,$E$1)&amp;"",",",""),"¥",""),"￥","")),0))</f>
        <v/>
      </c>
      <c r="F1196">
        <f>IF($F$1=0,0,IFERROR(VALUE(SUBSTITUTE(SUBSTITUTE(SUBSTITUTE(INDEX(貼り付け!$A$1:$BZ$3001,1195,$F$1)&amp;"",",",""),"¥",""),"￥","")),0))</f>
        <v/>
      </c>
      <c r="G1196">
        <f>IF(ISNUMBER(B1196),YEAR(B1196),"")</f>
        <v/>
      </c>
      <c r="H1196">
        <f>IF(ISNUMBER(B1196),MONTH(B1196),"")</f>
        <v/>
      </c>
      <c r="I1196">
        <f>IFERROR(IF($B$1=0,"",IF(ISNUMBER(INDEX(貼り付け!$A$1:$BZ$3001,1195,$B$1)),"",SUBSTITUTE(SUBSTITUTE(SUBSTITUTE(SUBSTITUTE(TRIM(LEFT(INDEX(貼り付け!$A$1:$BZ$3001,1195,$B$1)&amp;"",FIND(" ",TRIM(INDEX(貼り付け!$A$1:$BZ$3001,1195,$B$1)&amp;"")&amp;" ")-1)),"/","-"),"年","-"),"月","-"),"日",""))),"")</f>
        <v/>
      </c>
      <c r="J1196">
        <f>IFERROR(MID(I1196,FIND("-",I1196)+1,99),"")</f>
        <v/>
      </c>
    </row>
    <row r="1197">
      <c r="B1197">
        <f>IFERROR(IF($B$1=0,"",IF(INDEX(貼り付け!$A$1:$BZ$3001,1196,$B$1)="","",IF(ISNUMBER(INDEX(貼り付け!$A$1:$BZ$3001,1196,$B$1)),INT(INDEX(貼り付け!$A$1:$BZ$3001,1196,$B$1)),DATE(VALUE(LEFT(I1197,FIND("-",I1197)-1)),VALUE(LEFT(J1197,FIND("-",J1197)-1)),VALUE(MID(J1197,FIND("-",J1197)+1,99)))))),"")</f>
        <v/>
      </c>
      <c r="C1197">
        <f>IF($C$1=0,0,IFERROR(VALUE(SUBSTITUTE(SUBSTITUTE(SUBSTITUTE(INDEX(貼り付け!$A$1:$BZ$3001,1196,$C$1)&amp;"",",",""),"¥",""),"￥","")),0))</f>
        <v/>
      </c>
      <c r="D1197">
        <f>IF($D$1=0,0,IFERROR(VALUE(SUBSTITUTE(SUBSTITUTE(SUBSTITUTE(INDEX(貼り付け!$A$1:$BZ$3001,1196,$D$1)&amp;"",",",""),"¥",""),"￥","")),0))</f>
        <v/>
      </c>
      <c r="E1197">
        <f>IF($E$1=0,0,IFERROR(VALUE(SUBSTITUTE(SUBSTITUTE(SUBSTITUTE(INDEX(貼り付け!$A$1:$BZ$3001,1196,$E$1)&amp;"",",",""),"¥",""),"￥","")),0))</f>
        <v/>
      </c>
      <c r="F1197">
        <f>IF($F$1=0,0,IFERROR(VALUE(SUBSTITUTE(SUBSTITUTE(SUBSTITUTE(INDEX(貼り付け!$A$1:$BZ$3001,1196,$F$1)&amp;"",",",""),"¥",""),"￥","")),0))</f>
        <v/>
      </c>
      <c r="G1197">
        <f>IF(ISNUMBER(B1197),YEAR(B1197),"")</f>
        <v/>
      </c>
      <c r="H1197">
        <f>IF(ISNUMBER(B1197),MONTH(B1197),"")</f>
        <v/>
      </c>
      <c r="I1197">
        <f>IFERROR(IF($B$1=0,"",IF(ISNUMBER(INDEX(貼り付け!$A$1:$BZ$3001,1196,$B$1)),"",SUBSTITUTE(SUBSTITUTE(SUBSTITUTE(SUBSTITUTE(TRIM(LEFT(INDEX(貼り付け!$A$1:$BZ$3001,1196,$B$1)&amp;"",FIND(" ",TRIM(INDEX(貼り付け!$A$1:$BZ$3001,1196,$B$1)&amp;"")&amp;" ")-1)),"/","-"),"年","-"),"月","-"),"日",""))),"")</f>
        <v/>
      </c>
      <c r="J1197">
        <f>IFERROR(MID(I1197,FIND("-",I1197)+1,99),"")</f>
        <v/>
      </c>
    </row>
    <row r="1198">
      <c r="B1198">
        <f>IFERROR(IF($B$1=0,"",IF(INDEX(貼り付け!$A$1:$BZ$3001,1197,$B$1)="","",IF(ISNUMBER(INDEX(貼り付け!$A$1:$BZ$3001,1197,$B$1)),INT(INDEX(貼り付け!$A$1:$BZ$3001,1197,$B$1)),DATE(VALUE(LEFT(I1198,FIND("-",I1198)-1)),VALUE(LEFT(J1198,FIND("-",J1198)-1)),VALUE(MID(J1198,FIND("-",J1198)+1,99)))))),"")</f>
        <v/>
      </c>
      <c r="C1198">
        <f>IF($C$1=0,0,IFERROR(VALUE(SUBSTITUTE(SUBSTITUTE(SUBSTITUTE(INDEX(貼り付け!$A$1:$BZ$3001,1197,$C$1)&amp;"",",",""),"¥",""),"￥","")),0))</f>
        <v/>
      </c>
      <c r="D1198">
        <f>IF($D$1=0,0,IFERROR(VALUE(SUBSTITUTE(SUBSTITUTE(SUBSTITUTE(INDEX(貼り付け!$A$1:$BZ$3001,1197,$D$1)&amp;"",",",""),"¥",""),"￥","")),0))</f>
        <v/>
      </c>
      <c r="E1198">
        <f>IF($E$1=0,0,IFERROR(VALUE(SUBSTITUTE(SUBSTITUTE(SUBSTITUTE(INDEX(貼り付け!$A$1:$BZ$3001,1197,$E$1)&amp;"",",",""),"¥",""),"￥","")),0))</f>
        <v/>
      </c>
      <c r="F1198">
        <f>IF($F$1=0,0,IFERROR(VALUE(SUBSTITUTE(SUBSTITUTE(SUBSTITUTE(INDEX(貼り付け!$A$1:$BZ$3001,1197,$F$1)&amp;"",",",""),"¥",""),"￥","")),0))</f>
        <v/>
      </c>
      <c r="G1198">
        <f>IF(ISNUMBER(B1198),YEAR(B1198),"")</f>
        <v/>
      </c>
      <c r="H1198">
        <f>IF(ISNUMBER(B1198),MONTH(B1198),"")</f>
        <v/>
      </c>
      <c r="I1198">
        <f>IFERROR(IF($B$1=0,"",IF(ISNUMBER(INDEX(貼り付け!$A$1:$BZ$3001,1197,$B$1)),"",SUBSTITUTE(SUBSTITUTE(SUBSTITUTE(SUBSTITUTE(TRIM(LEFT(INDEX(貼り付け!$A$1:$BZ$3001,1197,$B$1)&amp;"",FIND(" ",TRIM(INDEX(貼り付け!$A$1:$BZ$3001,1197,$B$1)&amp;"")&amp;" ")-1)),"/","-"),"年","-"),"月","-"),"日",""))),"")</f>
        <v/>
      </c>
      <c r="J1198">
        <f>IFERROR(MID(I1198,FIND("-",I1198)+1,99),"")</f>
        <v/>
      </c>
    </row>
    <row r="1199">
      <c r="B1199">
        <f>IFERROR(IF($B$1=0,"",IF(INDEX(貼り付け!$A$1:$BZ$3001,1198,$B$1)="","",IF(ISNUMBER(INDEX(貼り付け!$A$1:$BZ$3001,1198,$B$1)),INT(INDEX(貼り付け!$A$1:$BZ$3001,1198,$B$1)),DATE(VALUE(LEFT(I1199,FIND("-",I1199)-1)),VALUE(LEFT(J1199,FIND("-",J1199)-1)),VALUE(MID(J1199,FIND("-",J1199)+1,99)))))),"")</f>
        <v/>
      </c>
      <c r="C1199">
        <f>IF($C$1=0,0,IFERROR(VALUE(SUBSTITUTE(SUBSTITUTE(SUBSTITUTE(INDEX(貼り付け!$A$1:$BZ$3001,1198,$C$1)&amp;"",",",""),"¥",""),"￥","")),0))</f>
        <v/>
      </c>
      <c r="D1199">
        <f>IF($D$1=0,0,IFERROR(VALUE(SUBSTITUTE(SUBSTITUTE(SUBSTITUTE(INDEX(貼り付け!$A$1:$BZ$3001,1198,$D$1)&amp;"",",",""),"¥",""),"￥","")),0))</f>
        <v/>
      </c>
      <c r="E1199">
        <f>IF($E$1=0,0,IFERROR(VALUE(SUBSTITUTE(SUBSTITUTE(SUBSTITUTE(INDEX(貼り付け!$A$1:$BZ$3001,1198,$E$1)&amp;"",",",""),"¥",""),"￥","")),0))</f>
        <v/>
      </c>
      <c r="F1199">
        <f>IF($F$1=0,0,IFERROR(VALUE(SUBSTITUTE(SUBSTITUTE(SUBSTITUTE(INDEX(貼り付け!$A$1:$BZ$3001,1198,$F$1)&amp;"",",",""),"¥",""),"￥","")),0))</f>
        <v/>
      </c>
      <c r="G1199">
        <f>IF(ISNUMBER(B1199),YEAR(B1199),"")</f>
        <v/>
      </c>
      <c r="H1199">
        <f>IF(ISNUMBER(B1199),MONTH(B1199),"")</f>
        <v/>
      </c>
      <c r="I1199">
        <f>IFERROR(IF($B$1=0,"",IF(ISNUMBER(INDEX(貼り付け!$A$1:$BZ$3001,1198,$B$1)),"",SUBSTITUTE(SUBSTITUTE(SUBSTITUTE(SUBSTITUTE(TRIM(LEFT(INDEX(貼り付け!$A$1:$BZ$3001,1198,$B$1)&amp;"",FIND(" ",TRIM(INDEX(貼り付け!$A$1:$BZ$3001,1198,$B$1)&amp;"")&amp;" ")-1)),"/","-"),"年","-"),"月","-"),"日",""))),"")</f>
        <v/>
      </c>
      <c r="J1199">
        <f>IFERROR(MID(I1199,FIND("-",I1199)+1,99),"")</f>
        <v/>
      </c>
    </row>
    <row r="1200">
      <c r="B1200">
        <f>IFERROR(IF($B$1=0,"",IF(INDEX(貼り付け!$A$1:$BZ$3001,1199,$B$1)="","",IF(ISNUMBER(INDEX(貼り付け!$A$1:$BZ$3001,1199,$B$1)),INT(INDEX(貼り付け!$A$1:$BZ$3001,1199,$B$1)),DATE(VALUE(LEFT(I1200,FIND("-",I1200)-1)),VALUE(LEFT(J1200,FIND("-",J1200)-1)),VALUE(MID(J1200,FIND("-",J1200)+1,99)))))),"")</f>
        <v/>
      </c>
      <c r="C1200">
        <f>IF($C$1=0,0,IFERROR(VALUE(SUBSTITUTE(SUBSTITUTE(SUBSTITUTE(INDEX(貼り付け!$A$1:$BZ$3001,1199,$C$1)&amp;"",",",""),"¥",""),"￥","")),0))</f>
        <v/>
      </c>
      <c r="D1200">
        <f>IF($D$1=0,0,IFERROR(VALUE(SUBSTITUTE(SUBSTITUTE(SUBSTITUTE(INDEX(貼り付け!$A$1:$BZ$3001,1199,$D$1)&amp;"",",",""),"¥",""),"￥","")),0))</f>
        <v/>
      </c>
      <c r="E1200">
        <f>IF($E$1=0,0,IFERROR(VALUE(SUBSTITUTE(SUBSTITUTE(SUBSTITUTE(INDEX(貼り付け!$A$1:$BZ$3001,1199,$E$1)&amp;"",",",""),"¥",""),"￥","")),0))</f>
        <v/>
      </c>
      <c r="F1200">
        <f>IF($F$1=0,0,IFERROR(VALUE(SUBSTITUTE(SUBSTITUTE(SUBSTITUTE(INDEX(貼り付け!$A$1:$BZ$3001,1199,$F$1)&amp;"",",",""),"¥",""),"￥","")),0))</f>
        <v/>
      </c>
      <c r="G1200">
        <f>IF(ISNUMBER(B1200),YEAR(B1200),"")</f>
        <v/>
      </c>
      <c r="H1200">
        <f>IF(ISNUMBER(B1200),MONTH(B1200),"")</f>
        <v/>
      </c>
      <c r="I1200">
        <f>IFERROR(IF($B$1=0,"",IF(ISNUMBER(INDEX(貼り付け!$A$1:$BZ$3001,1199,$B$1)),"",SUBSTITUTE(SUBSTITUTE(SUBSTITUTE(SUBSTITUTE(TRIM(LEFT(INDEX(貼り付け!$A$1:$BZ$3001,1199,$B$1)&amp;"",FIND(" ",TRIM(INDEX(貼り付け!$A$1:$BZ$3001,1199,$B$1)&amp;"")&amp;" ")-1)),"/","-"),"年","-"),"月","-"),"日",""))),"")</f>
        <v/>
      </c>
      <c r="J1200">
        <f>IFERROR(MID(I1200,FIND("-",I1200)+1,99),"")</f>
        <v/>
      </c>
    </row>
    <row r="1201">
      <c r="B1201">
        <f>IFERROR(IF($B$1=0,"",IF(INDEX(貼り付け!$A$1:$BZ$3001,1200,$B$1)="","",IF(ISNUMBER(INDEX(貼り付け!$A$1:$BZ$3001,1200,$B$1)),INT(INDEX(貼り付け!$A$1:$BZ$3001,1200,$B$1)),DATE(VALUE(LEFT(I1201,FIND("-",I1201)-1)),VALUE(LEFT(J1201,FIND("-",J1201)-1)),VALUE(MID(J1201,FIND("-",J1201)+1,99)))))),"")</f>
        <v/>
      </c>
      <c r="C1201">
        <f>IF($C$1=0,0,IFERROR(VALUE(SUBSTITUTE(SUBSTITUTE(SUBSTITUTE(INDEX(貼り付け!$A$1:$BZ$3001,1200,$C$1)&amp;"",",",""),"¥",""),"￥","")),0))</f>
        <v/>
      </c>
      <c r="D1201">
        <f>IF($D$1=0,0,IFERROR(VALUE(SUBSTITUTE(SUBSTITUTE(SUBSTITUTE(INDEX(貼り付け!$A$1:$BZ$3001,1200,$D$1)&amp;"",",",""),"¥",""),"￥","")),0))</f>
        <v/>
      </c>
      <c r="E1201">
        <f>IF($E$1=0,0,IFERROR(VALUE(SUBSTITUTE(SUBSTITUTE(SUBSTITUTE(INDEX(貼り付け!$A$1:$BZ$3001,1200,$E$1)&amp;"",",",""),"¥",""),"￥","")),0))</f>
        <v/>
      </c>
      <c r="F1201">
        <f>IF($F$1=0,0,IFERROR(VALUE(SUBSTITUTE(SUBSTITUTE(SUBSTITUTE(INDEX(貼り付け!$A$1:$BZ$3001,1200,$F$1)&amp;"",",",""),"¥",""),"￥","")),0))</f>
        <v/>
      </c>
      <c r="G1201">
        <f>IF(ISNUMBER(B1201),YEAR(B1201),"")</f>
        <v/>
      </c>
      <c r="H1201">
        <f>IF(ISNUMBER(B1201),MONTH(B1201),"")</f>
        <v/>
      </c>
      <c r="I1201">
        <f>IFERROR(IF($B$1=0,"",IF(ISNUMBER(INDEX(貼り付け!$A$1:$BZ$3001,1200,$B$1)),"",SUBSTITUTE(SUBSTITUTE(SUBSTITUTE(SUBSTITUTE(TRIM(LEFT(INDEX(貼り付け!$A$1:$BZ$3001,1200,$B$1)&amp;"",FIND(" ",TRIM(INDEX(貼り付け!$A$1:$BZ$3001,1200,$B$1)&amp;"")&amp;" ")-1)),"/","-"),"年","-"),"月","-"),"日",""))),"")</f>
        <v/>
      </c>
      <c r="J1201">
        <f>IFERROR(MID(I1201,FIND("-",I1201)+1,99),"")</f>
        <v/>
      </c>
    </row>
    <row r="1202">
      <c r="B1202">
        <f>IFERROR(IF($B$1=0,"",IF(INDEX(貼り付け!$A$1:$BZ$3001,1201,$B$1)="","",IF(ISNUMBER(INDEX(貼り付け!$A$1:$BZ$3001,1201,$B$1)),INT(INDEX(貼り付け!$A$1:$BZ$3001,1201,$B$1)),DATE(VALUE(LEFT(I1202,FIND("-",I1202)-1)),VALUE(LEFT(J1202,FIND("-",J1202)-1)),VALUE(MID(J1202,FIND("-",J1202)+1,99)))))),"")</f>
        <v/>
      </c>
      <c r="C1202">
        <f>IF($C$1=0,0,IFERROR(VALUE(SUBSTITUTE(SUBSTITUTE(SUBSTITUTE(INDEX(貼り付け!$A$1:$BZ$3001,1201,$C$1)&amp;"",",",""),"¥",""),"￥","")),0))</f>
        <v/>
      </c>
      <c r="D1202">
        <f>IF($D$1=0,0,IFERROR(VALUE(SUBSTITUTE(SUBSTITUTE(SUBSTITUTE(INDEX(貼り付け!$A$1:$BZ$3001,1201,$D$1)&amp;"",",",""),"¥",""),"￥","")),0))</f>
        <v/>
      </c>
      <c r="E1202">
        <f>IF($E$1=0,0,IFERROR(VALUE(SUBSTITUTE(SUBSTITUTE(SUBSTITUTE(INDEX(貼り付け!$A$1:$BZ$3001,1201,$E$1)&amp;"",",",""),"¥",""),"￥","")),0))</f>
        <v/>
      </c>
      <c r="F1202">
        <f>IF($F$1=0,0,IFERROR(VALUE(SUBSTITUTE(SUBSTITUTE(SUBSTITUTE(INDEX(貼り付け!$A$1:$BZ$3001,1201,$F$1)&amp;"",",",""),"¥",""),"￥","")),0))</f>
        <v/>
      </c>
      <c r="G1202">
        <f>IF(ISNUMBER(B1202),YEAR(B1202),"")</f>
        <v/>
      </c>
      <c r="H1202">
        <f>IF(ISNUMBER(B1202),MONTH(B1202),"")</f>
        <v/>
      </c>
      <c r="I1202">
        <f>IFERROR(IF($B$1=0,"",IF(ISNUMBER(INDEX(貼り付け!$A$1:$BZ$3001,1201,$B$1)),"",SUBSTITUTE(SUBSTITUTE(SUBSTITUTE(SUBSTITUTE(TRIM(LEFT(INDEX(貼り付け!$A$1:$BZ$3001,1201,$B$1)&amp;"",FIND(" ",TRIM(INDEX(貼り付け!$A$1:$BZ$3001,1201,$B$1)&amp;"")&amp;" ")-1)),"/","-"),"年","-"),"月","-"),"日",""))),"")</f>
        <v/>
      </c>
      <c r="J1202">
        <f>IFERROR(MID(I1202,FIND("-",I1202)+1,99),"")</f>
        <v/>
      </c>
    </row>
    <row r="1203">
      <c r="B1203">
        <f>IFERROR(IF($B$1=0,"",IF(INDEX(貼り付け!$A$1:$BZ$3001,1202,$B$1)="","",IF(ISNUMBER(INDEX(貼り付け!$A$1:$BZ$3001,1202,$B$1)),INT(INDEX(貼り付け!$A$1:$BZ$3001,1202,$B$1)),DATE(VALUE(LEFT(I1203,FIND("-",I1203)-1)),VALUE(LEFT(J1203,FIND("-",J1203)-1)),VALUE(MID(J1203,FIND("-",J1203)+1,99)))))),"")</f>
        <v/>
      </c>
      <c r="C1203">
        <f>IF($C$1=0,0,IFERROR(VALUE(SUBSTITUTE(SUBSTITUTE(SUBSTITUTE(INDEX(貼り付け!$A$1:$BZ$3001,1202,$C$1)&amp;"",",",""),"¥",""),"￥","")),0))</f>
        <v/>
      </c>
      <c r="D1203">
        <f>IF($D$1=0,0,IFERROR(VALUE(SUBSTITUTE(SUBSTITUTE(SUBSTITUTE(INDEX(貼り付け!$A$1:$BZ$3001,1202,$D$1)&amp;"",",",""),"¥",""),"￥","")),0))</f>
        <v/>
      </c>
      <c r="E1203">
        <f>IF($E$1=0,0,IFERROR(VALUE(SUBSTITUTE(SUBSTITUTE(SUBSTITUTE(INDEX(貼り付け!$A$1:$BZ$3001,1202,$E$1)&amp;"",",",""),"¥",""),"￥","")),0))</f>
        <v/>
      </c>
      <c r="F1203">
        <f>IF($F$1=0,0,IFERROR(VALUE(SUBSTITUTE(SUBSTITUTE(SUBSTITUTE(INDEX(貼り付け!$A$1:$BZ$3001,1202,$F$1)&amp;"",",",""),"¥",""),"￥","")),0))</f>
        <v/>
      </c>
      <c r="G1203">
        <f>IF(ISNUMBER(B1203),YEAR(B1203),"")</f>
        <v/>
      </c>
      <c r="H1203">
        <f>IF(ISNUMBER(B1203),MONTH(B1203),"")</f>
        <v/>
      </c>
      <c r="I1203">
        <f>IFERROR(IF($B$1=0,"",IF(ISNUMBER(INDEX(貼り付け!$A$1:$BZ$3001,1202,$B$1)),"",SUBSTITUTE(SUBSTITUTE(SUBSTITUTE(SUBSTITUTE(TRIM(LEFT(INDEX(貼り付け!$A$1:$BZ$3001,1202,$B$1)&amp;"",FIND(" ",TRIM(INDEX(貼り付け!$A$1:$BZ$3001,1202,$B$1)&amp;"")&amp;" ")-1)),"/","-"),"年","-"),"月","-"),"日",""))),"")</f>
        <v/>
      </c>
      <c r="J1203">
        <f>IFERROR(MID(I1203,FIND("-",I1203)+1,99),"")</f>
        <v/>
      </c>
    </row>
    <row r="1204">
      <c r="B1204">
        <f>IFERROR(IF($B$1=0,"",IF(INDEX(貼り付け!$A$1:$BZ$3001,1203,$B$1)="","",IF(ISNUMBER(INDEX(貼り付け!$A$1:$BZ$3001,1203,$B$1)),INT(INDEX(貼り付け!$A$1:$BZ$3001,1203,$B$1)),DATE(VALUE(LEFT(I1204,FIND("-",I1204)-1)),VALUE(LEFT(J1204,FIND("-",J1204)-1)),VALUE(MID(J1204,FIND("-",J1204)+1,99)))))),"")</f>
        <v/>
      </c>
      <c r="C1204">
        <f>IF($C$1=0,0,IFERROR(VALUE(SUBSTITUTE(SUBSTITUTE(SUBSTITUTE(INDEX(貼り付け!$A$1:$BZ$3001,1203,$C$1)&amp;"",",",""),"¥",""),"￥","")),0))</f>
        <v/>
      </c>
      <c r="D1204">
        <f>IF($D$1=0,0,IFERROR(VALUE(SUBSTITUTE(SUBSTITUTE(SUBSTITUTE(INDEX(貼り付け!$A$1:$BZ$3001,1203,$D$1)&amp;"",",",""),"¥",""),"￥","")),0))</f>
        <v/>
      </c>
      <c r="E1204">
        <f>IF($E$1=0,0,IFERROR(VALUE(SUBSTITUTE(SUBSTITUTE(SUBSTITUTE(INDEX(貼り付け!$A$1:$BZ$3001,1203,$E$1)&amp;"",",",""),"¥",""),"￥","")),0))</f>
        <v/>
      </c>
      <c r="F1204">
        <f>IF($F$1=0,0,IFERROR(VALUE(SUBSTITUTE(SUBSTITUTE(SUBSTITUTE(INDEX(貼り付け!$A$1:$BZ$3001,1203,$F$1)&amp;"",",",""),"¥",""),"￥","")),0))</f>
        <v/>
      </c>
      <c r="G1204">
        <f>IF(ISNUMBER(B1204),YEAR(B1204),"")</f>
        <v/>
      </c>
      <c r="H1204">
        <f>IF(ISNUMBER(B1204),MONTH(B1204),"")</f>
        <v/>
      </c>
      <c r="I1204">
        <f>IFERROR(IF($B$1=0,"",IF(ISNUMBER(INDEX(貼り付け!$A$1:$BZ$3001,1203,$B$1)),"",SUBSTITUTE(SUBSTITUTE(SUBSTITUTE(SUBSTITUTE(TRIM(LEFT(INDEX(貼り付け!$A$1:$BZ$3001,1203,$B$1)&amp;"",FIND(" ",TRIM(INDEX(貼り付け!$A$1:$BZ$3001,1203,$B$1)&amp;"")&amp;" ")-1)),"/","-"),"年","-"),"月","-"),"日",""))),"")</f>
        <v/>
      </c>
      <c r="J1204">
        <f>IFERROR(MID(I1204,FIND("-",I1204)+1,99),"")</f>
        <v/>
      </c>
    </row>
    <row r="1205">
      <c r="B1205">
        <f>IFERROR(IF($B$1=0,"",IF(INDEX(貼り付け!$A$1:$BZ$3001,1204,$B$1)="","",IF(ISNUMBER(INDEX(貼り付け!$A$1:$BZ$3001,1204,$B$1)),INT(INDEX(貼り付け!$A$1:$BZ$3001,1204,$B$1)),DATE(VALUE(LEFT(I1205,FIND("-",I1205)-1)),VALUE(LEFT(J1205,FIND("-",J1205)-1)),VALUE(MID(J1205,FIND("-",J1205)+1,99)))))),"")</f>
        <v/>
      </c>
      <c r="C1205">
        <f>IF($C$1=0,0,IFERROR(VALUE(SUBSTITUTE(SUBSTITUTE(SUBSTITUTE(INDEX(貼り付け!$A$1:$BZ$3001,1204,$C$1)&amp;"",",",""),"¥",""),"￥","")),0))</f>
        <v/>
      </c>
      <c r="D1205">
        <f>IF($D$1=0,0,IFERROR(VALUE(SUBSTITUTE(SUBSTITUTE(SUBSTITUTE(INDEX(貼り付け!$A$1:$BZ$3001,1204,$D$1)&amp;"",",",""),"¥",""),"￥","")),0))</f>
        <v/>
      </c>
      <c r="E1205">
        <f>IF($E$1=0,0,IFERROR(VALUE(SUBSTITUTE(SUBSTITUTE(SUBSTITUTE(INDEX(貼り付け!$A$1:$BZ$3001,1204,$E$1)&amp;"",",",""),"¥",""),"￥","")),0))</f>
        <v/>
      </c>
      <c r="F1205">
        <f>IF($F$1=0,0,IFERROR(VALUE(SUBSTITUTE(SUBSTITUTE(SUBSTITUTE(INDEX(貼り付け!$A$1:$BZ$3001,1204,$F$1)&amp;"",",",""),"¥",""),"￥","")),0))</f>
        <v/>
      </c>
      <c r="G1205">
        <f>IF(ISNUMBER(B1205),YEAR(B1205),"")</f>
        <v/>
      </c>
      <c r="H1205">
        <f>IF(ISNUMBER(B1205),MONTH(B1205),"")</f>
        <v/>
      </c>
      <c r="I1205">
        <f>IFERROR(IF($B$1=0,"",IF(ISNUMBER(INDEX(貼り付け!$A$1:$BZ$3001,1204,$B$1)),"",SUBSTITUTE(SUBSTITUTE(SUBSTITUTE(SUBSTITUTE(TRIM(LEFT(INDEX(貼り付け!$A$1:$BZ$3001,1204,$B$1)&amp;"",FIND(" ",TRIM(INDEX(貼り付け!$A$1:$BZ$3001,1204,$B$1)&amp;"")&amp;" ")-1)),"/","-"),"年","-"),"月","-"),"日",""))),"")</f>
        <v/>
      </c>
      <c r="J1205">
        <f>IFERROR(MID(I1205,FIND("-",I1205)+1,99),"")</f>
        <v/>
      </c>
    </row>
    <row r="1206">
      <c r="B1206">
        <f>IFERROR(IF($B$1=0,"",IF(INDEX(貼り付け!$A$1:$BZ$3001,1205,$B$1)="","",IF(ISNUMBER(INDEX(貼り付け!$A$1:$BZ$3001,1205,$B$1)),INT(INDEX(貼り付け!$A$1:$BZ$3001,1205,$B$1)),DATE(VALUE(LEFT(I1206,FIND("-",I1206)-1)),VALUE(LEFT(J1206,FIND("-",J1206)-1)),VALUE(MID(J1206,FIND("-",J1206)+1,99)))))),"")</f>
        <v/>
      </c>
      <c r="C1206">
        <f>IF($C$1=0,0,IFERROR(VALUE(SUBSTITUTE(SUBSTITUTE(SUBSTITUTE(INDEX(貼り付け!$A$1:$BZ$3001,1205,$C$1)&amp;"",",",""),"¥",""),"￥","")),0))</f>
        <v/>
      </c>
      <c r="D1206">
        <f>IF($D$1=0,0,IFERROR(VALUE(SUBSTITUTE(SUBSTITUTE(SUBSTITUTE(INDEX(貼り付け!$A$1:$BZ$3001,1205,$D$1)&amp;"",",",""),"¥",""),"￥","")),0))</f>
        <v/>
      </c>
      <c r="E1206">
        <f>IF($E$1=0,0,IFERROR(VALUE(SUBSTITUTE(SUBSTITUTE(SUBSTITUTE(INDEX(貼り付け!$A$1:$BZ$3001,1205,$E$1)&amp;"",",",""),"¥",""),"￥","")),0))</f>
        <v/>
      </c>
      <c r="F1206">
        <f>IF($F$1=0,0,IFERROR(VALUE(SUBSTITUTE(SUBSTITUTE(SUBSTITUTE(INDEX(貼り付け!$A$1:$BZ$3001,1205,$F$1)&amp;"",",",""),"¥",""),"￥","")),0))</f>
        <v/>
      </c>
      <c r="G1206">
        <f>IF(ISNUMBER(B1206),YEAR(B1206),"")</f>
        <v/>
      </c>
      <c r="H1206">
        <f>IF(ISNUMBER(B1206),MONTH(B1206),"")</f>
        <v/>
      </c>
      <c r="I1206">
        <f>IFERROR(IF($B$1=0,"",IF(ISNUMBER(INDEX(貼り付け!$A$1:$BZ$3001,1205,$B$1)),"",SUBSTITUTE(SUBSTITUTE(SUBSTITUTE(SUBSTITUTE(TRIM(LEFT(INDEX(貼り付け!$A$1:$BZ$3001,1205,$B$1)&amp;"",FIND(" ",TRIM(INDEX(貼り付け!$A$1:$BZ$3001,1205,$B$1)&amp;"")&amp;" ")-1)),"/","-"),"年","-"),"月","-"),"日",""))),"")</f>
        <v/>
      </c>
      <c r="J1206">
        <f>IFERROR(MID(I1206,FIND("-",I1206)+1,99),"")</f>
        <v/>
      </c>
    </row>
    <row r="1207">
      <c r="B1207">
        <f>IFERROR(IF($B$1=0,"",IF(INDEX(貼り付け!$A$1:$BZ$3001,1206,$B$1)="","",IF(ISNUMBER(INDEX(貼り付け!$A$1:$BZ$3001,1206,$B$1)),INT(INDEX(貼り付け!$A$1:$BZ$3001,1206,$B$1)),DATE(VALUE(LEFT(I1207,FIND("-",I1207)-1)),VALUE(LEFT(J1207,FIND("-",J1207)-1)),VALUE(MID(J1207,FIND("-",J1207)+1,99)))))),"")</f>
        <v/>
      </c>
      <c r="C1207">
        <f>IF($C$1=0,0,IFERROR(VALUE(SUBSTITUTE(SUBSTITUTE(SUBSTITUTE(INDEX(貼り付け!$A$1:$BZ$3001,1206,$C$1)&amp;"",",",""),"¥",""),"￥","")),0))</f>
        <v/>
      </c>
      <c r="D1207">
        <f>IF($D$1=0,0,IFERROR(VALUE(SUBSTITUTE(SUBSTITUTE(SUBSTITUTE(INDEX(貼り付け!$A$1:$BZ$3001,1206,$D$1)&amp;"",",",""),"¥",""),"￥","")),0))</f>
        <v/>
      </c>
      <c r="E1207">
        <f>IF($E$1=0,0,IFERROR(VALUE(SUBSTITUTE(SUBSTITUTE(SUBSTITUTE(INDEX(貼り付け!$A$1:$BZ$3001,1206,$E$1)&amp;"",",",""),"¥",""),"￥","")),0))</f>
        <v/>
      </c>
      <c r="F1207">
        <f>IF($F$1=0,0,IFERROR(VALUE(SUBSTITUTE(SUBSTITUTE(SUBSTITUTE(INDEX(貼り付け!$A$1:$BZ$3001,1206,$F$1)&amp;"",",",""),"¥",""),"￥","")),0))</f>
        <v/>
      </c>
      <c r="G1207">
        <f>IF(ISNUMBER(B1207),YEAR(B1207),"")</f>
        <v/>
      </c>
      <c r="H1207">
        <f>IF(ISNUMBER(B1207),MONTH(B1207),"")</f>
        <v/>
      </c>
      <c r="I1207">
        <f>IFERROR(IF($B$1=0,"",IF(ISNUMBER(INDEX(貼り付け!$A$1:$BZ$3001,1206,$B$1)),"",SUBSTITUTE(SUBSTITUTE(SUBSTITUTE(SUBSTITUTE(TRIM(LEFT(INDEX(貼り付け!$A$1:$BZ$3001,1206,$B$1)&amp;"",FIND(" ",TRIM(INDEX(貼り付け!$A$1:$BZ$3001,1206,$B$1)&amp;"")&amp;" ")-1)),"/","-"),"年","-"),"月","-"),"日",""))),"")</f>
        <v/>
      </c>
      <c r="J1207">
        <f>IFERROR(MID(I1207,FIND("-",I1207)+1,99),"")</f>
        <v/>
      </c>
    </row>
    <row r="1208">
      <c r="B1208">
        <f>IFERROR(IF($B$1=0,"",IF(INDEX(貼り付け!$A$1:$BZ$3001,1207,$B$1)="","",IF(ISNUMBER(INDEX(貼り付け!$A$1:$BZ$3001,1207,$B$1)),INT(INDEX(貼り付け!$A$1:$BZ$3001,1207,$B$1)),DATE(VALUE(LEFT(I1208,FIND("-",I1208)-1)),VALUE(LEFT(J1208,FIND("-",J1208)-1)),VALUE(MID(J1208,FIND("-",J1208)+1,99)))))),"")</f>
        <v/>
      </c>
      <c r="C1208">
        <f>IF($C$1=0,0,IFERROR(VALUE(SUBSTITUTE(SUBSTITUTE(SUBSTITUTE(INDEX(貼り付け!$A$1:$BZ$3001,1207,$C$1)&amp;"",",",""),"¥",""),"￥","")),0))</f>
        <v/>
      </c>
      <c r="D1208">
        <f>IF($D$1=0,0,IFERROR(VALUE(SUBSTITUTE(SUBSTITUTE(SUBSTITUTE(INDEX(貼り付け!$A$1:$BZ$3001,1207,$D$1)&amp;"",",",""),"¥",""),"￥","")),0))</f>
        <v/>
      </c>
      <c r="E1208">
        <f>IF($E$1=0,0,IFERROR(VALUE(SUBSTITUTE(SUBSTITUTE(SUBSTITUTE(INDEX(貼り付け!$A$1:$BZ$3001,1207,$E$1)&amp;"",",",""),"¥",""),"￥","")),0))</f>
        <v/>
      </c>
      <c r="F1208">
        <f>IF($F$1=0,0,IFERROR(VALUE(SUBSTITUTE(SUBSTITUTE(SUBSTITUTE(INDEX(貼り付け!$A$1:$BZ$3001,1207,$F$1)&amp;"",",",""),"¥",""),"￥","")),0))</f>
        <v/>
      </c>
      <c r="G1208">
        <f>IF(ISNUMBER(B1208),YEAR(B1208),"")</f>
        <v/>
      </c>
      <c r="H1208">
        <f>IF(ISNUMBER(B1208),MONTH(B1208),"")</f>
        <v/>
      </c>
      <c r="I1208">
        <f>IFERROR(IF($B$1=0,"",IF(ISNUMBER(INDEX(貼り付け!$A$1:$BZ$3001,1207,$B$1)),"",SUBSTITUTE(SUBSTITUTE(SUBSTITUTE(SUBSTITUTE(TRIM(LEFT(INDEX(貼り付け!$A$1:$BZ$3001,1207,$B$1)&amp;"",FIND(" ",TRIM(INDEX(貼り付け!$A$1:$BZ$3001,1207,$B$1)&amp;"")&amp;" ")-1)),"/","-"),"年","-"),"月","-"),"日",""))),"")</f>
        <v/>
      </c>
      <c r="J1208">
        <f>IFERROR(MID(I1208,FIND("-",I1208)+1,99),"")</f>
        <v/>
      </c>
    </row>
    <row r="1209">
      <c r="B1209">
        <f>IFERROR(IF($B$1=0,"",IF(INDEX(貼り付け!$A$1:$BZ$3001,1208,$B$1)="","",IF(ISNUMBER(INDEX(貼り付け!$A$1:$BZ$3001,1208,$B$1)),INT(INDEX(貼り付け!$A$1:$BZ$3001,1208,$B$1)),DATE(VALUE(LEFT(I1209,FIND("-",I1209)-1)),VALUE(LEFT(J1209,FIND("-",J1209)-1)),VALUE(MID(J1209,FIND("-",J1209)+1,99)))))),"")</f>
        <v/>
      </c>
      <c r="C1209">
        <f>IF($C$1=0,0,IFERROR(VALUE(SUBSTITUTE(SUBSTITUTE(SUBSTITUTE(INDEX(貼り付け!$A$1:$BZ$3001,1208,$C$1)&amp;"",",",""),"¥",""),"￥","")),0))</f>
        <v/>
      </c>
      <c r="D1209">
        <f>IF($D$1=0,0,IFERROR(VALUE(SUBSTITUTE(SUBSTITUTE(SUBSTITUTE(INDEX(貼り付け!$A$1:$BZ$3001,1208,$D$1)&amp;"",",",""),"¥",""),"￥","")),0))</f>
        <v/>
      </c>
      <c r="E1209">
        <f>IF($E$1=0,0,IFERROR(VALUE(SUBSTITUTE(SUBSTITUTE(SUBSTITUTE(INDEX(貼り付け!$A$1:$BZ$3001,1208,$E$1)&amp;"",",",""),"¥",""),"￥","")),0))</f>
        <v/>
      </c>
      <c r="F1209">
        <f>IF($F$1=0,0,IFERROR(VALUE(SUBSTITUTE(SUBSTITUTE(SUBSTITUTE(INDEX(貼り付け!$A$1:$BZ$3001,1208,$F$1)&amp;"",",",""),"¥",""),"￥","")),0))</f>
        <v/>
      </c>
      <c r="G1209">
        <f>IF(ISNUMBER(B1209),YEAR(B1209),"")</f>
        <v/>
      </c>
      <c r="H1209">
        <f>IF(ISNUMBER(B1209),MONTH(B1209),"")</f>
        <v/>
      </c>
      <c r="I1209">
        <f>IFERROR(IF($B$1=0,"",IF(ISNUMBER(INDEX(貼り付け!$A$1:$BZ$3001,1208,$B$1)),"",SUBSTITUTE(SUBSTITUTE(SUBSTITUTE(SUBSTITUTE(TRIM(LEFT(INDEX(貼り付け!$A$1:$BZ$3001,1208,$B$1)&amp;"",FIND(" ",TRIM(INDEX(貼り付け!$A$1:$BZ$3001,1208,$B$1)&amp;"")&amp;" ")-1)),"/","-"),"年","-"),"月","-"),"日",""))),"")</f>
        <v/>
      </c>
      <c r="J1209">
        <f>IFERROR(MID(I1209,FIND("-",I1209)+1,99),"")</f>
        <v/>
      </c>
    </row>
    <row r="1210">
      <c r="B1210">
        <f>IFERROR(IF($B$1=0,"",IF(INDEX(貼り付け!$A$1:$BZ$3001,1209,$B$1)="","",IF(ISNUMBER(INDEX(貼り付け!$A$1:$BZ$3001,1209,$B$1)),INT(INDEX(貼り付け!$A$1:$BZ$3001,1209,$B$1)),DATE(VALUE(LEFT(I1210,FIND("-",I1210)-1)),VALUE(LEFT(J1210,FIND("-",J1210)-1)),VALUE(MID(J1210,FIND("-",J1210)+1,99)))))),"")</f>
        <v/>
      </c>
      <c r="C1210">
        <f>IF($C$1=0,0,IFERROR(VALUE(SUBSTITUTE(SUBSTITUTE(SUBSTITUTE(INDEX(貼り付け!$A$1:$BZ$3001,1209,$C$1)&amp;"",",",""),"¥",""),"￥","")),0))</f>
        <v/>
      </c>
      <c r="D1210">
        <f>IF($D$1=0,0,IFERROR(VALUE(SUBSTITUTE(SUBSTITUTE(SUBSTITUTE(INDEX(貼り付け!$A$1:$BZ$3001,1209,$D$1)&amp;"",",",""),"¥",""),"￥","")),0))</f>
        <v/>
      </c>
      <c r="E1210">
        <f>IF($E$1=0,0,IFERROR(VALUE(SUBSTITUTE(SUBSTITUTE(SUBSTITUTE(INDEX(貼り付け!$A$1:$BZ$3001,1209,$E$1)&amp;"",",",""),"¥",""),"￥","")),0))</f>
        <v/>
      </c>
      <c r="F1210">
        <f>IF($F$1=0,0,IFERROR(VALUE(SUBSTITUTE(SUBSTITUTE(SUBSTITUTE(INDEX(貼り付け!$A$1:$BZ$3001,1209,$F$1)&amp;"",",",""),"¥",""),"￥","")),0))</f>
        <v/>
      </c>
      <c r="G1210">
        <f>IF(ISNUMBER(B1210),YEAR(B1210),"")</f>
        <v/>
      </c>
      <c r="H1210">
        <f>IF(ISNUMBER(B1210),MONTH(B1210),"")</f>
        <v/>
      </c>
      <c r="I1210">
        <f>IFERROR(IF($B$1=0,"",IF(ISNUMBER(INDEX(貼り付け!$A$1:$BZ$3001,1209,$B$1)),"",SUBSTITUTE(SUBSTITUTE(SUBSTITUTE(SUBSTITUTE(TRIM(LEFT(INDEX(貼り付け!$A$1:$BZ$3001,1209,$B$1)&amp;"",FIND(" ",TRIM(INDEX(貼り付け!$A$1:$BZ$3001,1209,$B$1)&amp;"")&amp;" ")-1)),"/","-"),"年","-"),"月","-"),"日",""))),"")</f>
        <v/>
      </c>
      <c r="J1210">
        <f>IFERROR(MID(I1210,FIND("-",I1210)+1,99),"")</f>
        <v/>
      </c>
    </row>
    <row r="1211">
      <c r="B1211">
        <f>IFERROR(IF($B$1=0,"",IF(INDEX(貼り付け!$A$1:$BZ$3001,1210,$B$1)="","",IF(ISNUMBER(INDEX(貼り付け!$A$1:$BZ$3001,1210,$B$1)),INT(INDEX(貼り付け!$A$1:$BZ$3001,1210,$B$1)),DATE(VALUE(LEFT(I1211,FIND("-",I1211)-1)),VALUE(LEFT(J1211,FIND("-",J1211)-1)),VALUE(MID(J1211,FIND("-",J1211)+1,99)))))),"")</f>
        <v/>
      </c>
      <c r="C1211">
        <f>IF($C$1=0,0,IFERROR(VALUE(SUBSTITUTE(SUBSTITUTE(SUBSTITUTE(INDEX(貼り付け!$A$1:$BZ$3001,1210,$C$1)&amp;"",",",""),"¥",""),"￥","")),0))</f>
        <v/>
      </c>
      <c r="D1211">
        <f>IF($D$1=0,0,IFERROR(VALUE(SUBSTITUTE(SUBSTITUTE(SUBSTITUTE(INDEX(貼り付け!$A$1:$BZ$3001,1210,$D$1)&amp;"",",",""),"¥",""),"￥","")),0))</f>
        <v/>
      </c>
      <c r="E1211">
        <f>IF($E$1=0,0,IFERROR(VALUE(SUBSTITUTE(SUBSTITUTE(SUBSTITUTE(INDEX(貼り付け!$A$1:$BZ$3001,1210,$E$1)&amp;"",",",""),"¥",""),"￥","")),0))</f>
        <v/>
      </c>
      <c r="F1211">
        <f>IF($F$1=0,0,IFERROR(VALUE(SUBSTITUTE(SUBSTITUTE(SUBSTITUTE(INDEX(貼り付け!$A$1:$BZ$3001,1210,$F$1)&amp;"",",",""),"¥",""),"￥","")),0))</f>
        <v/>
      </c>
      <c r="G1211">
        <f>IF(ISNUMBER(B1211),YEAR(B1211),"")</f>
        <v/>
      </c>
      <c r="H1211">
        <f>IF(ISNUMBER(B1211),MONTH(B1211),"")</f>
        <v/>
      </c>
      <c r="I1211">
        <f>IFERROR(IF($B$1=0,"",IF(ISNUMBER(INDEX(貼り付け!$A$1:$BZ$3001,1210,$B$1)),"",SUBSTITUTE(SUBSTITUTE(SUBSTITUTE(SUBSTITUTE(TRIM(LEFT(INDEX(貼り付け!$A$1:$BZ$3001,1210,$B$1)&amp;"",FIND(" ",TRIM(INDEX(貼り付け!$A$1:$BZ$3001,1210,$B$1)&amp;"")&amp;" ")-1)),"/","-"),"年","-"),"月","-"),"日",""))),"")</f>
        <v/>
      </c>
      <c r="J1211">
        <f>IFERROR(MID(I1211,FIND("-",I1211)+1,99),"")</f>
        <v/>
      </c>
    </row>
    <row r="1212">
      <c r="B1212">
        <f>IFERROR(IF($B$1=0,"",IF(INDEX(貼り付け!$A$1:$BZ$3001,1211,$B$1)="","",IF(ISNUMBER(INDEX(貼り付け!$A$1:$BZ$3001,1211,$B$1)),INT(INDEX(貼り付け!$A$1:$BZ$3001,1211,$B$1)),DATE(VALUE(LEFT(I1212,FIND("-",I1212)-1)),VALUE(LEFT(J1212,FIND("-",J1212)-1)),VALUE(MID(J1212,FIND("-",J1212)+1,99)))))),"")</f>
        <v/>
      </c>
      <c r="C1212">
        <f>IF($C$1=0,0,IFERROR(VALUE(SUBSTITUTE(SUBSTITUTE(SUBSTITUTE(INDEX(貼り付け!$A$1:$BZ$3001,1211,$C$1)&amp;"",",",""),"¥",""),"￥","")),0))</f>
        <v/>
      </c>
      <c r="D1212">
        <f>IF($D$1=0,0,IFERROR(VALUE(SUBSTITUTE(SUBSTITUTE(SUBSTITUTE(INDEX(貼り付け!$A$1:$BZ$3001,1211,$D$1)&amp;"",",",""),"¥",""),"￥","")),0))</f>
        <v/>
      </c>
      <c r="E1212">
        <f>IF($E$1=0,0,IFERROR(VALUE(SUBSTITUTE(SUBSTITUTE(SUBSTITUTE(INDEX(貼り付け!$A$1:$BZ$3001,1211,$E$1)&amp;"",",",""),"¥",""),"￥","")),0))</f>
        <v/>
      </c>
      <c r="F1212">
        <f>IF($F$1=0,0,IFERROR(VALUE(SUBSTITUTE(SUBSTITUTE(SUBSTITUTE(INDEX(貼り付け!$A$1:$BZ$3001,1211,$F$1)&amp;"",",",""),"¥",""),"￥","")),0))</f>
        <v/>
      </c>
      <c r="G1212">
        <f>IF(ISNUMBER(B1212),YEAR(B1212),"")</f>
        <v/>
      </c>
      <c r="H1212">
        <f>IF(ISNUMBER(B1212),MONTH(B1212),"")</f>
        <v/>
      </c>
      <c r="I1212">
        <f>IFERROR(IF($B$1=0,"",IF(ISNUMBER(INDEX(貼り付け!$A$1:$BZ$3001,1211,$B$1)),"",SUBSTITUTE(SUBSTITUTE(SUBSTITUTE(SUBSTITUTE(TRIM(LEFT(INDEX(貼り付け!$A$1:$BZ$3001,1211,$B$1)&amp;"",FIND(" ",TRIM(INDEX(貼り付け!$A$1:$BZ$3001,1211,$B$1)&amp;"")&amp;" ")-1)),"/","-"),"年","-"),"月","-"),"日",""))),"")</f>
        <v/>
      </c>
      <c r="J1212">
        <f>IFERROR(MID(I1212,FIND("-",I1212)+1,99),"")</f>
        <v/>
      </c>
    </row>
    <row r="1213">
      <c r="B1213">
        <f>IFERROR(IF($B$1=0,"",IF(INDEX(貼り付け!$A$1:$BZ$3001,1212,$B$1)="","",IF(ISNUMBER(INDEX(貼り付け!$A$1:$BZ$3001,1212,$B$1)),INT(INDEX(貼り付け!$A$1:$BZ$3001,1212,$B$1)),DATE(VALUE(LEFT(I1213,FIND("-",I1213)-1)),VALUE(LEFT(J1213,FIND("-",J1213)-1)),VALUE(MID(J1213,FIND("-",J1213)+1,99)))))),"")</f>
        <v/>
      </c>
      <c r="C1213">
        <f>IF($C$1=0,0,IFERROR(VALUE(SUBSTITUTE(SUBSTITUTE(SUBSTITUTE(INDEX(貼り付け!$A$1:$BZ$3001,1212,$C$1)&amp;"",",",""),"¥",""),"￥","")),0))</f>
        <v/>
      </c>
      <c r="D1213">
        <f>IF($D$1=0,0,IFERROR(VALUE(SUBSTITUTE(SUBSTITUTE(SUBSTITUTE(INDEX(貼り付け!$A$1:$BZ$3001,1212,$D$1)&amp;"",",",""),"¥",""),"￥","")),0))</f>
        <v/>
      </c>
      <c r="E1213">
        <f>IF($E$1=0,0,IFERROR(VALUE(SUBSTITUTE(SUBSTITUTE(SUBSTITUTE(INDEX(貼り付け!$A$1:$BZ$3001,1212,$E$1)&amp;"",",",""),"¥",""),"￥","")),0))</f>
        <v/>
      </c>
      <c r="F1213">
        <f>IF($F$1=0,0,IFERROR(VALUE(SUBSTITUTE(SUBSTITUTE(SUBSTITUTE(INDEX(貼り付け!$A$1:$BZ$3001,1212,$F$1)&amp;"",",",""),"¥",""),"￥","")),0))</f>
        <v/>
      </c>
      <c r="G1213">
        <f>IF(ISNUMBER(B1213),YEAR(B1213),"")</f>
        <v/>
      </c>
      <c r="H1213">
        <f>IF(ISNUMBER(B1213),MONTH(B1213),"")</f>
        <v/>
      </c>
      <c r="I1213">
        <f>IFERROR(IF($B$1=0,"",IF(ISNUMBER(INDEX(貼り付け!$A$1:$BZ$3001,1212,$B$1)),"",SUBSTITUTE(SUBSTITUTE(SUBSTITUTE(SUBSTITUTE(TRIM(LEFT(INDEX(貼り付け!$A$1:$BZ$3001,1212,$B$1)&amp;"",FIND(" ",TRIM(INDEX(貼り付け!$A$1:$BZ$3001,1212,$B$1)&amp;"")&amp;" ")-1)),"/","-"),"年","-"),"月","-"),"日",""))),"")</f>
        <v/>
      </c>
      <c r="J1213">
        <f>IFERROR(MID(I1213,FIND("-",I1213)+1,99),"")</f>
        <v/>
      </c>
    </row>
    <row r="1214">
      <c r="B1214">
        <f>IFERROR(IF($B$1=0,"",IF(INDEX(貼り付け!$A$1:$BZ$3001,1213,$B$1)="","",IF(ISNUMBER(INDEX(貼り付け!$A$1:$BZ$3001,1213,$B$1)),INT(INDEX(貼り付け!$A$1:$BZ$3001,1213,$B$1)),DATE(VALUE(LEFT(I1214,FIND("-",I1214)-1)),VALUE(LEFT(J1214,FIND("-",J1214)-1)),VALUE(MID(J1214,FIND("-",J1214)+1,99)))))),"")</f>
        <v/>
      </c>
      <c r="C1214">
        <f>IF($C$1=0,0,IFERROR(VALUE(SUBSTITUTE(SUBSTITUTE(SUBSTITUTE(INDEX(貼り付け!$A$1:$BZ$3001,1213,$C$1)&amp;"",",",""),"¥",""),"￥","")),0))</f>
        <v/>
      </c>
      <c r="D1214">
        <f>IF($D$1=0,0,IFERROR(VALUE(SUBSTITUTE(SUBSTITUTE(SUBSTITUTE(INDEX(貼り付け!$A$1:$BZ$3001,1213,$D$1)&amp;"",",",""),"¥",""),"￥","")),0))</f>
        <v/>
      </c>
      <c r="E1214">
        <f>IF($E$1=0,0,IFERROR(VALUE(SUBSTITUTE(SUBSTITUTE(SUBSTITUTE(INDEX(貼り付け!$A$1:$BZ$3001,1213,$E$1)&amp;"",",",""),"¥",""),"￥","")),0))</f>
        <v/>
      </c>
      <c r="F1214">
        <f>IF($F$1=0,0,IFERROR(VALUE(SUBSTITUTE(SUBSTITUTE(SUBSTITUTE(INDEX(貼り付け!$A$1:$BZ$3001,1213,$F$1)&amp;"",",",""),"¥",""),"￥","")),0))</f>
        <v/>
      </c>
      <c r="G1214">
        <f>IF(ISNUMBER(B1214),YEAR(B1214),"")</f>
        <v/>
      </c>
      <c r="H1214">
        <f>IF(ISNUMBER(B1214),MONTH(B1214),"")</f>
        <v/>
      </c>
      <c r="I1214">
        <f>IFERROR(IF($B$1=0,"",IF(ISNUMBER(INDEX(貼り付け!$A$1:$BZ$3001,1213,$B$1)),"",SUBSTITUTE(SUBSTITUTE(SUBSTITUTE(SUBSTITUTE(TRIM(LEFT(INDEX(貼り付け!$A$1:$BZ$3001,1213,$B$1)&amp;"",FIND(" ",TRIM(INDEX(貼り付け!$A$1:$BZ$3001,1213,$B$1)&amp;"")&amp;" ")-1)),"/","-"),"年","-"),"月","-"),"日",""))),"")</f>
        <v/>
      </c>
      <c r="J1214">
        <f>IFERROR(MID(I1214,FIND("-",I1214)+1,99),"")</f>
        <v/>
      </c>
    </row>
    <row r="1215">
      <c r="B1215">
        <f>IFERROR(IF($B$1=0,"",IF(INDEX(貼り付け!$A$1:$BZ$3001,1214,$B$1)="","",IF(ISNUMBER(INDEX(貼り付け!$A$1:$BZ$3001,1214,$B$1)),INT(INDEX(貼り付け!$A$1:$BZ$3001,1214,$B$1)),DATE(VALUE(LEFT(I1215,FIND("-",I1215)-1)),VALUE(LEFT(J1215,FIND("-",J1215)-1)),VALUE(MID(J1215,FIND("-",J1215)+1,99)))))),"")</f>
        <v/>
      </c>
      <c r="C1215">
        <f>IF($C$1=0,0,IFERROR(VALUE(SUBSTITUTE(SUBSTITUTE(SUBSTITUTE(INDEX(貼り付け!$A$1:$BZ$3001,1214,$C$1)&amp;"",",",""),"¥",""),"￥","")),0))</f>
        <v/>
      </c>
      <c r="D1215">
        <f>IF($D$1=0,0,IFERROR(VALUE(SUBSTITUTE(SUBSTITUTE(SUBSTITUTE(INDEX(貼り付け!$A$1:$BZ$3001,1214,$D$1)&amp;"",",",""),"¥",""),"￥","")),0))</f>
        <v/>
      </c>
      <c r="E1215">
        <f>IF($E$1=0,0,IFERROR(VALUE(SUBSTITUTE(SUBSTITUTE(SUBSTITUTE(INDEX(貼り付け!$A$1:$BZ$3001,1214,$E$1)&amp;"",",",""),"¥",""),"￥","")),0))</f>
        <v/>
      </c>
      <c r="F1215">
        <f>IF($F$1=0,0,IFERROR(VALUE(SUBSTITUTE(SUBSTITUTE(SUBSTITUTE(INDEX(貼り付け!$A$1:$BZ$3001,1214,$F$1)&amp;"",",",""),"¥",""),"￥","")),0))</f>
        <v/>
      </c>
      <c r="G1215">
        <f>IF(ISNUMBER(B1215),YEAR(B1215),"")</f>
        <v/>
      </c>
      <c r="H1215">
        <f>IF(ISNUMBER(B1215),MONTH(B1215),"")</f>
        <v/>
      </c>
      <c r="I1215">
        <f>IFERROR(IF($B$1=0,"",IF(ISNUMBER(INDEX(貼り付け!$A$1:$BZ$3001,1214,$B$1)),"",SUBSTITUTE(SUBSTITUTE(SUBSTITUTE(SUBSTITUTE(TRIM(LEFT(INDEX(貼り付け!$A$1:$BZ$3001,1214,$B$1)&amp;"",FIND(" ",TRIM(INDEX(貼り付け!$A$1:$BZ$3001,1214,$B$1)&amp;"")&amp;" ")-1)),"/","-"),"年","-"),"月","-"),"日",""))),"")</f>
        <v/>
      </c>
      <c r="J1215">
        <f>IFERROR(MID(I1215,FIND("-",I1215)+1,99),"")</f>
        <v/>
      </c>
    </row>
    <row r="1216">
      <c r="B1216">
        <f>IFERROR(IF($B$1=0,"",IF(INDEX(貼り付け!$A$1:$BZ$3001,1215,$B$1)="","",IF(ISNUMBER(INDEX(貼り付け!$A$1:$BZ$3001,1215,$B$1)),INT(INDEX(貼り付け!$A$1:$BZ$3001,1215,$B$1)),DATE(VALUE(LEFT(I1216,FIND("-",I1216)-1)),VALUE(LEFT(J1216,FIND("-",J1216)-1)),VALUE(MID(J1216,FIND("-",J1216)+1,99)))))),"")</f>
        <v/>
      </c>
      <c r="C1216">
        <f>IF($C$1=0,0,IFERROR(VALUE(SUBSTITUTE(SUBSTITUTE(SUBSTITUTE(INDEX(貼り付け!$A$1:$BZ$3001,1215,$C$1)&amp;"",",",""),"¥",""),"￥","")),0))</f>
        <v/>
      </c>
      <c r="D1216">
        <f>IF($D$1=0,0,IFERROR(VALUE(SUBSTITUTE(SUBSTITUTE(SUBSTITUTE(INDEX(貼り付け!$A$1:$BZ$3001,1215,$D$1)&amp;"",",",""),"¥",""),"￥","")),0))</f>
        <v/>
      </c>
      <c r="E1216">
        <f>IF($E$1=0,0,IFERROR(VALUE(SUBSTITUTE(SUBSTITUTE(SUBSTITUTE(INDEX(貼り付け!$A$1:$BZ$3001,1215,$E$1)&amp;"",",",""),"¥",""),"￥","")),0))</f>
        <v/>
      </c>
      <c r="F1216">
        <f>IF($F$1=0,0,IFERROR(VALUE(SUBSTITUTE(SUBSTITUTE(SUBSTITUTE(INDEX(貼り付け!$A$1:$BZ$3001,1215,$F$1)&amp;"",",",""),"¥",""),"￥","")),0))</f>
        <v/>
      </c>
      <c r="G1216">
        <f>IF(ISNUMBER(B1216),YEAR(B1216),"")</f>
        <v/>
      </c>
      <c r="H1216">
        <f>IF(ISNUMBER(B1216),MONTH(B1216),"")</f>
        <v/>
      </c>
      <c r="I1216">
        <f>IFERROR(IF($B$1=0,"",IF(ISNUMBER(INDEX(貼り付け!$A$1:$BZ$3001,1215,$B$1)),"",SUBSTITUTE(SUBSTITUTE(SUBSTITUTE(SUBSTITUTE(TRIM(LEFT(INDEX(貼り付け!$A$1:$BZ$3001,1215,$B$1)&amp;"",FIND(" ",TRIM(INDEX(貼り付け!$A$1:$BZ$3001,1215,$B$1)&amp;"")&amp;" ")-1)),"/","-"),"年","-"),"月","-"),"日",""))),"")</f>
        <v/>
      </c>
      <c r="J1216">
        <f>IFERROR(MID(I1216,FIND("-",I1216)+1,99),"")</f>
        <v/>
      </c>
    </row>
    <row r="1217">
      <c r="B1217">
        <f>IFERROR(IF($B$1=0,"",IF(INDEX(貼り付け!$A$1:$BZ$3001,1216,$B$1)="","",IF(ISNUMBER(INDEX(貼り付け!$A$1:$BZ$3001,1216,$B$1)),INT(INDEX(貼り付け!$A$1:$BZ$3001,1216,$B$1)),DATE(VALUE(LEFT(I1217,FIND("-",I1217)-1)),VALUE(LEFT(J1217,FIND("-",J1217)-1)),VALUE(MID(J1217,FIND("-",J1217)+1,99)))))),"")</f>
        <v/>
      </c>
      <c r="C1217">
        <f>IF($C$1=0,0,IFERROR(VALUE(SUBSTITUTE(SUBSTITUTE(SUBSTITUTE(INDEX(貼り付け!$A$1:$BZ$3001,1216,$C$1)&amp;"",",",""),"¥",""),"￥","")),0))</f>
        <v/>
      </c>
      <c r="D1217">
        <f>IF($D$1=0,0,IFERROR(VALUE(SUBSTITUTE(SUBSTITUTE(SUBSTITUTE(INDEX(貼り付け!$A$1:$BZ$3001,1216,$D$1)&amp;"",",",""),"¥",""),"￥","")),0))</f>
        <v/>
      </c>
      <c r="E1217">
        <f>IF($E$1=0,0,IFERROR(VALUE(SUBSTITUTE(SUBSTITUTE(SUBSTITUTE(INDEX(貼り付け!$A$1:$BZ$3001,1216,$E$1)&amp;"",",",""),"¥",""),"￥","")),0))</f>
        <v/>
      </c>
      <c r="F1217">
        <f>IF($F$1=0,0,IFERROR(VALUE(SUBSTITUTE(SUBSTITUTE(SUBSTITUTE(INDEX(貼り付け!$A$1:$BZ$3001,1216,$F$1)&amp;"",",",""),"¥",""),"￥","")),0))</f>
        <v/>
      </c>
      <c r="G1217">
        <f>IF(ISNUMBER(B1217),YEAR(B1217),"")</f>
        <v/>
      </c>
      <c r="H1217">
        <f>IF(ISNUMBER(B1217),MONTH(B1217),"")</f>
        <v/>
      </c>
      <c r="I1217">
        <f>IFERROR(IF($B$1=0,"",IF(ISNUMBER(INDEX(貼り付け!$A$1:$BZ$3001,1216,$B$1)),"",SUBSTITUTE(SUBSTITUTE(SUBSTITUTE(SUBSTITUTE(TRIM(LEFT(INDEX(貼り付け!$A$1:$BZ$3001,1216,$B$1)&amp;"",FIND(" ",TRIM(INDEX(貼り付け!$A$1:$BZ$3001,1216,$B$1)&amp;"")&amp;" ")-1)),"/","-"),"年","-"),"月","-"),"日",""))),"")</f>
        <v/>
      </c>
      <c r="J1217">
        <f>IFERROR(MID(I1217,FIND("-",I1217)+1,99),"")</f>
        <v/>
      </c>
    </row>
    <row r="1218">
      <c r="B1218">
        <f>IFERROR(IF($B$1=0,"",IF(INDEX(貼り付け!$A$1:$BZ$3001,1217,$B$1)="","",IF(ISNUMBER(INDEX(貼り付け!$A$1:$BZ$3001,1217,$B$1)),INT(INDEX(貼り付け!$A$1:$BZ$3001,1217,$B$1)),DATE(VALUE(LEFT(I1218,FIND("-",I1218)-1)),VALUE(LEFT(J1218,FIND("-",J1218)-1)),VALUE(MID(J1218,FIND("-",J1218)+1,99)))))),"")</f>
        <v/>
      </c>
      <c r="C1218">
        <f>IF($C$1=0,0,IFERROR(VALUE(SUBSTITUTE(SUBSTITUTE(SUBSTITUTE(INDEX(貼り付け!$A$1:$BZ$3001,1217,$C$1)&amp;"",",",""),"¥",""),"￥","")),0))</f>
        <v/>
      </c>
      <c r="D1218">
        <f>IF($D$1=0,0,IFERROR(VALUE(SUBSTITUTE(SUBSTITUTE(SUBSTITUTE(INDEX(貼り付け!$A$1:$BZ$3001,1217,$D$1)&amp;"",",",""),"¥",""),"￥","")),0))</f>
        <v/>
      </c>
      <c r="E1218">
        <f>IF($E$1=0,0,IFERROR(VALUE(SUBSTITUTE(SUBSTITUTE(SUBSTITUTE(INDEX(貼り付け!$A$1:$BZ$3001,1217,$E$1)&amp;"",",",""),"¥",""),"￥","")),0))</f>
        <v/>
      </c>
      <c r="F1218">
        <f>IF($F$1=0,0,IFERROR(VALUE(SUBSTITUTE(SUBSTITUTE(SUBSTITUTE(INDEX(貼り付け!$A$1:$BZ$3001,1217,$F$1)&amp;"",",",""),"¥",""),"￥","")),0))</f>
        <v/>
      </c>
      <c r="G1218">
        <f>IF(ISNUMBER(B1218),YEAR(B1218),"")</f>
        <v/>
      </c>
      <c r="H1218">
        <f>IF(ISNUMBER(B1218),MONTH(B1218),"")</f>
        <v/>
      </c>
      <c r="I1218">
        <f>IFERROR(IF($B$1=0,"",IF(ISNUMBER(INDEX(貼り付け!$A$1:$BZ$3001,1217,$B$1)),"",SUBSTITUTE(SUBSTITUTE(SUBSTITUTE(SUBSTITUTE(TRIM(LEFT(INDEX(貼り付け!$A$1:$BZ$3001,1217,$B$1)&amp;"",FIND(" ",TRIM(INDEX(貼り付け!$A$1:$BZ$3001,1217,$B$1)&amp;"")&amp;" ")-1)),"/","-"),"年","-"),"月","-"),"日",""))),"")</f>
        <v/>
      </c>
      <c r="J1218">
        <f>IFERROR(MID(I1218,FIND("-",I1218)+1,99),"")</f>
        <v/>
      </c>
    </row>
    <row r="1219">
      <c r="B1219">
        <f>IFERROR(IF($B$1=0,"",IF(INDEX(貼り付け!$A$1:$BZ$3001,1218,$B$1)="","",IF(ISNUMBER(INDEX(貼り付け!$A$1:$BZ$3001,1218,$B$1)),INT(INDEX(貼り付け!$A$1:$BZ$3001,1218,$B$1)),DATE(VALUE(LEFT(I1219,FIND("-",I1219)-1)),VALUE(LEFT(J1219,FIND("-",J1219)-1)),VALUE(MID(J1219,FIND("-",J1219)+1,99)))))),"")</f>
        <v/>
      </c>
      <c r="C1219">
        <f>IF($C$1=0,0,IFERROR(VALUE(SUBSTITUTE(SUBSTITUTE(SUBSTITUTE(INDEX(貼り付け!$A$1:$BZ$3001,1218,$C$1)&amp;"",",",""),"¥",""),"￥","")),0))</f>
        <v/>
      </c>
      <c r="D1219">
        <f>IF($D$1=0,0,IFERROR(VALUE(SUBSTITUTE(SUBSTITUTE(SUBSTITUTE(INDEX(貼り付け!$A$1:$BZ$3001,1218,$D$1)&amp;"",",",""),"¥",""),"￥","")),0))</f>
        <v/>
      </c>
      <c r="E1219">
        <f>IF($E$1=0,0,IFERROR(VALUE(SUBSTITUTE(SUBSTITUTE(SUBSTITUTE(INDEX(貼り付け!$A$1:$BZ$3001,1218,$E$1)&amp;"",",",""),"¥",""),"￥","")),0))</f>
        <v/>
      </c>
      <c r="F1219">
        <f>IF($F$1=0,0,IFERROR(VALUE(SUBSTITUTE(SUBSTITUTE(SUBSTITUTE(INDEX(貼り付け!$A$1:$BZ$3001,1218,$F$1)&amp;"",",",""),"¥",""),"￥","")),0))</f>
        <v/>
      </c>
      <c r="G1219">
        <f>IF(ISNUMBER(B1219),YEAR(B1219),"")</f>
        <v/>
      </c>
      <c r="H1219">
        <f>IF(ISNUMBER(B1219),MONTH(B1219),"")</f>
        <v/>
      </c>
      <c r="I1219">
        <f>IFERROR(IF($B$1=0,"",IF(ISNUMBER(INDEX(貼り付け!$A$1:$BZ$3001,1218,$B$1)),"",SUBSTITUTE(SUBSTITUTE(SUBSTITUTE(SUBSTITUTE(TRIM(LEFT(INDEX(貼り付け!$A$1:$BZ$3001,1218,$B$1)&amp;"",FIND(" ",TRIM(INDEX(貼り付け!$A$1:$BZ$3001,1218,$B$1)&amp;"")&amp;" ")-1)),"/","-"),"年","-"),"月","-"),"日",""))),"")</f>
        <v/>
      </c>
      <c r="J1219">
        <f>IFERROR(MID(I1219,FIND("-",I1219)+1,99),"")</f>
        <v/>
      </c>
    </row>
    <row r="1220">
      <c r="B1220">
        <f>IFERROR(IF($B$1=0,"",IF(INDEX(貼り付け!$A$1:$BZ$3001,1219,$B$1)="","",IF(ISNUMBER(INDEX(貼り付け!$A$1:$BZ$3001,1219,$B$1)),INT(INDEX(貼り付け!$A$1:$BZ$3001,1219,$B$1)),DATE(VALUE(LEFT(I1220,FIND("-",I1220)-1)),VALUE(LEFT(J1220,FIND("-",J1220)-1)),VALUE(MID(J1220,FIND("-",J1220)+1,99)))))),"")</f>
        <v/>
      </c>
      <c r="C1220">
        <f>IF($C$1=0,0,IFERROR(VALUE(SUBSTITUTE(SUBSTITUTE(SUBSTITUTE(INDEX(貼り付け!$A$1:$BZ$3001,1219,$C$1)&amp;"",",",""),"¥",""),"￥","")),0))</f>
        <v/>
      </c>
      <c r="D1220">
        <f>IF($D$1=0,0,IFERROR(VALUE(SUBSTITUTE(SUBSTITUTE(SUBSTITUTE(INDEX(貼り付け!$A$1:$BZ$3001,1219,$D$1)&amp;"",",",""),"¥",""),"￥","")),0))</f>
        <v/>
      </c>
      <c r="E1220">
        <f>IF($E$1=0,0,IFERROR(VALUE(SUBSTITUTE(SUBSTITUTE(SUBSTITUTE(INDEX(貼り付け!$A$1:$BZ$3001,1219,$E$1)&amp;"",",",""),"¥",""),"￥","")),0))</f>
        <v/>
      </c>
      <c r="F1220">
        <f>IF($F$1=0,0,IFERROR(VALUE(SUBSTITUTE(SUBSTITUTE(SUBSTITUTE(INDEX(貼り付け!$A$1:$BZ$3001,1219,$F$1)&amp;"",",",""),"¥",""),"￥","")),0))</f>
        <v/>
      </c>
      <c r="G1220">
        <f>IF(ISNUMBER(B1220),YEAR(B1220),"")</f>
        <v/>
      </c>
      <c r="H1220">
        <f>IF(ISNUMBER(B1220),MONTH(B1220),"")</f>
        <v/>
      </c>
      <c r="I1220">
        <f>IFERROR(IF($B$1=0,"",IF(ISNUMBER(INDEX(貼り付け!$A$1:$BZ$3001,1219,$B$1)),"",SUBSTITUTE(SUBSTITUTE(SUBSTITUTE(SUBSTITUTE(TRIM(LEFT(INDEX(貼り付け!$A$1:$BZ$3001,1219,$B$1)&amp;"",FIND(" ",TRIM(INDEX(貼り付け!$A$1:$BZ$3001,1219,$B$1)&amp;"")&amp;" ")-1)),"/","-"),"年","-"),"月","-"),"日",""))),"")</f>
        <v/>
      </c>
      <c r="J1220">
        <f>IFERROR(MID(I1220,FIND("-",I1220)+1,99),"")</f>
        <v/>
      </c>
    </row>
    <row r="1221">
      <c r="B1221">
        <f>IFERROR(IF($B$1=0,"",IF(INDEX(貼り付け!$A$1:$BZ$3001,1220,$B$1)="","",IF(ISNUMBER(INDEX(貼り付け!$A$1:$BZ$3001,1220,$B$1)),INT(INDEX(貼り付け!$A$1:$BZ$3001,1220,$B$1)),DATE(VALUE(LEFT(I1221,FIND("-",I1221)-1)),VALUE(LEFT(J1221,FIND("-",J1221)-1)),VALUE(MID(J1221,FIND("-",J1221)+1,99)))))),"")</f>
        <v/>
      </c>
      <c r="C1221">
        <f>IF($C$1=0,0,IFERROR(VALUE(SUBSTITUTE(SUBSTITUTE(SUBSTITUTE(INDEX(貼り付け!$A$1:$BZ$3001,1220,$C$1)&amp;"",",",""),"¥",""),"￥","")),0))</f>
        <v/>
      </c>
      <c r="D1221">
        <f>IF($D$1=0,0,IFERROR(VALUE(SUBSTITUTE(SUBSTITUTE(SUBSTITUTE(INDEX(貼り付け!$A$1:$BZ$3001,1220,$D$1)&amp;"",",",""),"¥",""),"￥","")),0))</f>
        <v/>
      </c>
      <c r="E1221">
        <f>IF($E$1=0,0,IFERROR(VALUE(SUBSTITUTE(SUBSTITUTE(SUBSTITUTE(INDEX(貼り付け!$A$1:$BZ$3001,1220,$E$1)&amp;"",",",""),"¥",""),"￥","")),0))</f>
        <v/>
      </c>
      <c r="F1221">
        <f>IF($F$1=0,0,IFERROR(VALUE(SUBSTITUTE(SUBSTITUTE(SUBSTITUTE(INDEX(貼り付け!$A$1:$BZ$3001,1220,$F$1)&amp;"",",",""),"¥",""),"￥","")),0))</f>
        <v/>
      </c>
      <c r="G1221">
        <f>IF(ISNUMBER(B1221),YEAR(B1221),"")</f>
        <v/>
      </c>
      <c r="H1221">
        <f>IF(ISNUMBER(B1221),MONTH(B1221),"")</f>
        <v/>
      </c>
      <c r="I1221">
        <f>IFERROR(IF($B$1=0,"",IF(ISNUMBER(INDEX(貼り付け!$A$1:$BZ$3001,1220,$B$1)),"",SUBSTITUTE(SUBSTITUTE(SUBSTITUTE(SUBSTITUTE(TRIM(LEFT(INDEX(貼り付け!$A$1:$BZ$3001,1220,$B$1)&amp;"",FIND(" ",TRIM(INDEX(貼り付け!$A$1:$BZ$3001,1220,$B$1)&amp;"")&amp;" ")-1)),"/","-"),"年","-"),"月","-"),"日",""))),"")</f>
        <v/>
      </c>
      <c r="J1221">
        <f>IFERROR(MID(I1221,FIND("-",I1221)+1,99),"")</f>
        <v/>
      </c>
    </row>
    <row r="1222">
      <c r="B1222">
        <f>IFERROR(IF($B$1=0,"",IF(INDEX(貼り付け!$A$1:$BZ$3001,1221,$B$1)="","",IF(ISNUMBER(INDEX(貼り付け!$A$1:$BZ$3001,1221,$B$1)),INT(INDEX(貼り付け!$A$1:$BZ$3001,1221,$B$1)),DATE(VALUE(LEFT(I1222,FIND("-",I1222)-1)),VALUE(LEFT(J1222,FIND("-",J1222)-1)),VALUE(MID(J1222,FIND("-",J1222)+1,99)))))),"")</f>
        <v/>
      </c>
      <c r="C1222">
        <f>IF($C$1=0,0,IFERROR(VALUE(SUBSTITUTE(SUBSTITUTE(SUBSTITUTE(INDEX(貼り付け!$A$1:$BZ$3001,1221,$C$1)&amp;"",",",""),"¥",""),"￥","")),0))</f>
        <v/>
      </c>
      <c r="D1222">
        <f>IF($D$1=0,0,IFERROR(VALUE(SUBSTITUTE(SUBSTITUTE(SUBSTITUTE(INDEX(貼り付け!$A$1:$BZ$3001,1221,$D$1)&amp;"",",",""),"¥",""),"￥","")),0))</f>
        <v/>
      </c>
      <c r="E1222">
        <f>IF($E$1=0,0,IFERROR(VALUE(SUBSTITUTE(SUBSTITUTE(SUBSTITUTE(INDEX(貼り付け!$A$1:$BZ$3001,1221,$E$1)&amp;"",",",""),"¥",""),"￥","")),0))</f>
        <v/>
      </c>
      <c r="F1222">
        <f>IF($F$1=0,0,IFERROR(VALUE(SUBSTITUTE(SUBSTITUTE(SUBSTITUTE(INDEX(貼り付け!$A$1:$BZ$3001,1221,$F$1)&amp;"",",",""),"¥",""),"￥","")),0))</f>
        <v/>
      </c>
      <c r="G1222">
        <f>IF(ISNUMBER(B1222),YEAR(B1222),"")</f>
        <v/>
      </c>
      <c r="H1222">
        <f>IF(ISNUMBER(B1222),MONTH(B1222),"")</f>
        <v/>
      </c>
      <c r="I1222">
        <f>IFERROR(IF($B$1=0,"",IF(ISNUMBER(INDEX(貼り付け!$A$1:$BZ$3001,1221,$B$1)),"",SUBSTITUTE(SUBSTITUTE(SUBSTITUTE(SUBSTITUTE(TRIM(LEFT(INDEX(貼り付け!$A$1:$BZ$3001,1221,$B$1)&amp;"",FIND(" ",TRIM(INDEX(貼り付け!$A$1:$BZ$3001,1221,$B$1)&amp;"")&amp;" ")-1)),"/","-"),"年","-"),"月","-"),"日",""))),"")</f>
        <v/>
      </c>
      <c r="J1222">
        <f>IFERROR(MID(I1222,FIND("-",I1222)+1,99),"")</f>
        <v/>
      </c>
    </row>
    <row r="1223">
      <c r="B1223">
        <f>IFERROR(IF($B$1=0,"",IF(INDEX(貼り付け!$A$1:$BZ$3001,1222,$B$1)="","",IF(ISNUMBER(INDEX(貼り付け!$A$1:$BZ$3001,1222,$B$1)),INT(INDEX(貼り付け!$A$1:$BZ$3001,1222,$B$1)),DATE(VALUE(LEFT(I1223,FIND("-",I1223)-1)),VALUE(LEFT(J1223,FIND("-",J1223)-1)),VALUE(MID(J1223,FIND("-",J1223)+1,99)))))),"")</f>
        <v/>
      </c>
      <c r="C1223">
        <f>IF($C$1=0,0,IFERROR(VALUE(SUBSTITUTE(SUBSTITUTE(SUBSTITUTE(INDEX(貼り付け!$A$1:$BZ$3001,1222,$C$1)&amp;"",",",""),"¥",""),"￥","")),0))</f>
        <v/>
      </c>
      <c r="D1223">
        <f>IF($D$1=0,0,IFERROR(VALUE(SUBSTITUTE(SUBSTITUTE(SUBSTITUTE(INDEX(貼り付け!$A$1:$BZ$3001,1222,$D$1)&amp;"",",",""),"¥",""),"￥","")),0))</f>
        <v/>
      </c>
      <c r="E1223">
        <f>IF($E$1=0,0,IFERROR(VALUE(SUBSTITUTE(SUBSTITUTE(SUBSTITUTE(INDEX(貼り付け!$A$1:$BZ$3001,1222,$E$1)&amp;"",",",""),"¥",""),"￥","")),0))</f>
        <v/>
      </c>
      <c r="F1223">
        <f>IF($F$1=0,0,IFERROR(VALUE(SUBSTITUTE(SUBSTITUTE(SUBSTITUTE(INDEX(貼り付け!$A$1:$BZ$3001,1222,$F$1)&amp;"",",",""),"¥",""),"￥","")),0))</f>
        <v/>
      </c>
      <c r="G1223">
        <f>IF(ISNUMBER(B1223),YEAR(B1223),"")</f>
        <v/>
      </c>
      <c r="H1223">
        <f>IF(ISNUMBER(B1223),MONTH(B1223),"")</f>
        <v/>
      </c>
      <c r="I1223">
        <f>IFERROR(IF($B$1=0,"",IF(ISNUMBER(INDEX(貼り付け!$A$1:$BZ$3001,1222,$B$1)),"",SUBSTITUTE(SUBSTITUTE(SUBSTITUTE(SUBSTITUTE(TRIM(LEFT(INDEX(貼り付け!$A$1:$BZ$3001,1222,$B$1)&amp;"",FIND(" ",TRIM(INDEX(貼り付け!$A$1:$BZ$3001,1222,$B$1)&amp;"")&amp;" ")-1)),"/","-"),"年","-"),"月","-"),"日",""))),"")</f>
        <v/>
      </c>
      <c r="J1223">
        <f>IFERROR(MID(I1223,FIND("-",I1223)+1,99),"")</f>
        <v/>
      </c>
    </row>
    <row r="1224">
      <c r="B1224">
        <f>IFERROR(IF($B$1=0,"",IF(INDEX(貼り付け!$A$1:$BZ$3001,1223,$B$1)="","",IF(ISNUMBER(INDEX(貼り付け!$A$1:$BZ$3001,1223,$B$1)),INT(INDEX(貼り付け!$A$1:$BZ$3001,1223,$B$1)),DATE(VALUE(LEFT(I1224,FIND("-",I1224)-1)),VALUE(LEFT(J1224,FIND("-",J1224)-1)),VALUE(MID(J1224,FIND("-",J1224)+1,99)))))),"")</f>
        <v/>
      </c>
      <c r="C1224">
        <f>IF($C$1=0,0,IFERROR(VALUE(SUBSTITUTE(SUBSTITUTE(SUBSTITUTE(INDEX(貼り付け!$A$1:$BZ$3001,1223,$C$1)&amp;"",",",""),"¥",""),"￥","")),0))</f>
        <v/>
      </c>
      <c r="D1224">
        <f>IF($D$1=0,0,IFERROR(VALUE(SUBSTITUTE(SUBSTITUTE(SUBSTITUTE(INDEX(貼り付け!$A$1:$BZ$3001,1223,$D$1)&amp;"",",",""),"¥",""),"￥","")),0))</f>
        <v/>
      </c>
      <c r="E1224">
        <f>IF($E$1=0,0,IFERROR(VALUE(SUBSTITUTE(SUBSTITUTE(SUBSTITUTE(INDEX(貼り付け!$A$1:$BZ$3001,1223,$E$1)&amp;"",",",""),"¥",""),"￥","")),0))</f>
        <v/>
      </c>
      <c r="F1224">
        <f>IF($F$1=0,0,IFERROR(VALUE(SUBSTITUTE(SUBSTITUTE(SUBSTITUTE(INDEX(貼り付け!$A$1:$BZ$3001,1223,$F$1)&amp;"",",",""),"¥",""),"￥","")),0))</f>
        <v/>
      </c>
      <c r="G1224">
        <f>IF(ISNUMBER(B1224),YEAR(B1224),"")</f>
        <v/>
      </c>
      <c r="H1224">
        <f>IF(ISNUMBER(B1224),MONTH(B1224),"")</f>
        <v/>
      </c>
      <c r="I1224">
        <f>IFERROR(IF($B$1=0,"",IF(ISNUMBER(INDEX(貼り付け!$A$1:$BZ$3001,1223,$B$1)),"",SUBSTITUTE(SUBSTITUTE(SUBSTITUTE(SUBSTITUTE(TRIM(LEFT(INDEX(貼り付け!$A$1:$BZ$3001,1223,$B$1)&amp;"",FIND(" ",TRIM(INDEX(貼り付け!$A$1:$BZ$3001,1223,$B$1)&amp;"")&amp;" ")-1)),"/","-"),"年","-"),"月","-"),"日",""))),"")</f>
        <v/>
      </c>
      <c r="J1224">
        <f>IFERROR(MID(I1224,FIND("-",I1224)+1,99),"")</f>
        <v/>
      </c>
    </row>
    <row r="1225">
      <c r="B1225">
        <f>IFERROR(IF($B$1=0,"",IF(INDEX(貼り付け!$A$1:$BZ$3001,1224,$B$1)="","",IF(ISNUMBER(INDEX(貼り付け!$A$1:$BZ$3001,1224,$B$1)),INT(INDEX(貼り付け!$A$1:$BZ$3001,1224,$B$1)),DATE(VALUE(LEFT(I1225,FIND("-",I1225)-1)),VALUE(LEFT(J1225,FIND("-",J1225)-1)),VALUE(MID(J1225,FIND("-",J1225)+1,99)))))),"")</f>
        <v/>
      </c>
      <c r="C1225">
        <f>IF($C$1=0,0,IFERROR(VALUE(SUBSTITUTE(SUBSTITUTE(SUBSTITUTE(INDEX(貼り付け!$A$1:$BZ$3001,1224,$C$1)&amp;"",",",""),"¥",""),"￥","")),0))</f>
        <v/>
      </c>
      <c r="D1225">
        <f>IF($D$1=0,0,IFERROR(VALUE(SUBSTITUTE(SUBSTITUTE(SUBSTITUTE(INDEX(貼り付け!$A$1:$BZ$3001,1224,$D$1)&amp;"",",",""),"¥",""),"￥","")),0))</f>
        <v/>
      </c>
      <c r="E1225">
        <f>IF($E$1=0,0,IFERROR(VALUE(SUBSTITUTE(SUBSTITUTE(SUBSTITUTE(INDEX(貼り付け!$A$1:$BZ$3001,1224,$E$1)&amp;"",",",""),"¥",""),"￥","")),0))</f>
        <v/>
      </c>
      <c r="F1225">
        <f>IF($F$1=0,0,IFERROR(VALUE(SUBSTITUTE(SUBSTITUTE(SUBSTITUTE(INDEX(貼り付け!$A$1:$BZ$3001,1224,$F$1)&amp;"",",",""),"¥",""),"￥","")),0))</f>
        <v/>
      </c>
      <c r="G1225">
        <f>IF(ISNUMBER(B1225),YEAR(B1225),"")</f>
        <v/>
      </c>
      <c r="H1225">
        <f>IF(ISNUMBER(B1225),MONTH(B1225),"")</f>
        <v/>
      </c>
      <c r="I1225">
        <f>IFERROR(IF($B$1=0,"",IF(ISNUMBER(INDEX(貼り付け!$A$1:$BZ$3001,1224,$B$1)),"",SUBSTITUTE(SUBSTITUTE(SUBSTITUTE(SUBSTITUTE(TRIM(LEFT(INDEX(貼り付け!$A$1:$BZ$3001,1224,$B$1)&amp;"",FIND(" ",TRIM(INDEX(貼り付け!$A$1:$BZ$3001,1224,$B$1)&amp;"")&amp;" ")-1)),"/","-"),"年","-"),"月","-"),"日",""))),"")</f>
        <v/>
      </c>
      <c r="J1225">
        <f>IFERROR(MID(I1225,FIND("-",I1225)+1,99),"")</f>
        <v/>
      </c>
    </row>
    <row r="1226">
      <c r="B1226">
        <f>IFERROR(IF($B$1=0,"",IF(INDEX(貼り付け!$A$1:$BZ$3001,1225,$B$1)="","",IF(ISNUMBER(INDEX(貼り付け!$A$1:$BZ$3001,1225,$B$1)),INT(INDEX(貼り付け!$A$1:$BZ$3001,1225,$B$1)),DATE(VALUE(LEFT(I1226,FIND("-",I1226)-1)),VALUE(LEFT(J1226,FIND("-",J1226)-1)),VALUE(MID(J1226,FIND("-",J1226)+1,99)))))),"")</f>
        <v/>
      </c>
      <c r="C1226">
        <f>IF($C$1=0,0,IFERROR(VALUE(SUBSTITUTE(SUBSTITUTE(SUBSTITUTE(INDEX(貼り付け!$A$1:$BZ$3001,1225,$C$1)&amp;"",",",""),"¥",""),"￥","")),0))</f>
        <v/>
      </c>
      <c r="D1226">
        <f>IF($D$1=0,0,IFERROR(VALUE(SUBSTITUTE(SUBSTITUTE(SUBSTITUTE(INDEX(貼り付け!$A$1:$BZ$3001,1225,$D$1)&amp;"",",",""),"¥",""),"￥","")),0))</f>
        <v/>
      </c>
      <c r="E1226">
        <f>IF($E$1=0,0,IFERROR(VALUE(SUBSTITUTE(SUBSTITUTE(SUBSTITUTE(INDEX(貼り付け!$A$1:$BZ$3001,1225,$E$1)&amp;"",",",""),"¥",""),"￥","")),0))</f>
        <v/>
      </c>
      <c r="F1226">
        <f>IF($F$1=0,0,IFERROR(VALUE(SUBSTITUTE(SUBSTITUTE(SUBSTITUTE(INDEX(貼り付け!$A$1:$BZ$3001,1225,$F$1)&amp;"",",",""),"¥",""),"￥","")),0))</f>
        <v/>
      </c>
      <c r="G1226">
        <f>IF(ISNUMBER(B1226),YEAR(B1226),"")</f>
        <v/>
      </c>
      <c r="H1226">
        <f>IF(ISNUMBER(B1226),MONTH(B1226),"")</f>
        <v/>
      </c>
      <c r="I1226">
        <f>IFERROR(IF($B$1=0,"",IF(ISNUMBER(INDEX(貼り付け!$A$1:$BZ$3001,1225,$B$1)),"",SUBSTITUTE(SUBSTITUTE(SUBSTITUTE(SUBSTITUTE(TRIM(LEFT(INDEX(貼り付け!$A$1:$BZ$3001,1225,$B$1)&amp;"",FIND(" ",TRIM(INDEX(貼り付け!$A$1:$BZ$3001,1225,$B$1)&amp;"")&amp;" ")-1)),"/","-"),"年","-"),"月","-"),"日",""))),"")</f>
        <v/>
      </c>
      <c r="J1226">
        <f>IFERROR(MID(I1226,FIND("-",I1226)+1,99),"")</f>
        <v/>
      </c>
    </row>
    <row r="1227">
      <c r="B1227">
        <f>IFERROR(IF($B$1=0,"",IF(INDEX(貼り付け!$A$1:$BZ$3001,1226,$B$1)="","",IF(ISNUMBER(INDEX(貼り付け!$A$1:$BZ$3001,1226,$B$1)),INT(INDEX(貼り付け!$A$1:$BZ$3001,1226,$B$1)),DATE(VALUE(LEFT(I1227,FIND("-",I1227)-1)),VALUE(LEFT(J1227,FIND("-",J1227)-1)),VALUE(MID(J1227,FIND("-",J1227)+1,99)))))),"")</f>
        <v/>
      </c>
      <c r="C1227">
        <f>IF($C$1=0,0,IFERROR(VALUE(SUBSTITUTE(SUBSTITUTE(SUBSTITUTE(INDEX(貼り付け!$A$1:$BZ$3001,1226,$C$1)&amp;"",",",""),"¥",""),"￥","")),0))</f>
        <v/>
      </c>
      <c r="D1227">
        <f>IF($D$1=0,0,IFERROR(VALUE(SUBSTITUTE(SUBSTITUTE(SUBSTITUTE(INDEX(貼り付け!$A$1:$BZ$3001,1226,$D$1)&amp;"",",",""),"¥",""),"￥","")),0))</f>
        <v/>
      </c>
      <c r="E1227">
        <f>IF($E$1=0,0,IFERROR(VALUE(SUBSTITUTE(SUBSTITUTE(SUBSTITUTE(INDEX(貼り付け!$A$1:$BZ$3001,1226,$E$1)&amp;"",",",""),"¥",""),"￥","")),0))</f>
        <v/>
      </c>
      <c r="F1227">
        <f>IF($F$1=0,0,IFERROR(VALUE(SUBSTITUTE(SUBSTITUTE(SUBSTITUTE(INDEX(貼り付け!$A$1:$BZ$3001,1226,$F$1)&amp;"",",",""),"¥",""),"￥","")),0))</f>
        <v/>
      </c>
      <c r="G1227">
        <f>IF(ISNUMBER(B1227),YEAR(B1227),"")</f>
        <v/>
      </c>
      <c r="H1227">
        <f>IF(ISNUMBER(B1227),MONTH(B1227),"")</f>
        <v/>
      </c>
      <c r="I1227">
        <f>IFERROR(IF($B$1=0,"",IF(ISNUMBER(INDEX(貼り付け!$A$1:$BZ$3001,1226,$B$1)),"",SUBSTITUTE(SUBSTITUTE(SUBSTITUTE(SUBSTITUTE(TRIM(LEFT(INDEX(貼り付け!$A$1:$BZ$3001,1226,$B$1)&amp;"",FIND(" ",TRIM(INDEX(貼り付け!$A$1:$BZ$3001,1226,$B$1)&amp;"")&amp;" ")-1)),"/","-"),"年","-"),"月","-"),"日",""))),"")</f>
        <v/>
      </c>
      <c r="J1227">
        <f>IFERROR(MID(I1227,FIND("-",I1227)+1,99),"")</f>
        <v/>
      </c>
    </row>
    <row r="1228">
      <c r="B1228">
        <f>IFERROR(IF($B$1=0,"",IF(INDEX(貼り付け!$A$1:$BZ$3001,1227,$B$1)="","",IF(ISNUMBER(INDEX(貼り付け!$A$1:$BZ$3001,1227,$B$1)),INT(INDEX(貼り付け!$A$1:$BZ$3001,1227,$B$1)),DATE(VALUE(LEFT(I1228,FIND("-",I1228)-1)),VALUE(LEFT(J1228,FIND("-",J1228)-1)),VALUE(MID(J1228,FIND("-",J1228)+1,99)))))),"")</f>
        <v/>
      </c>
      <c r="C1228">
        <f>IF($C$1=0,0,IFERROR(VALUE(SUBSTITUTE(SUBSTITUTE(SUBSTITUTE(INDEX(貼り付け!$A$1:$BZ$3001,1227,$C$1)&amp;"",",",""),"¥",""),"￥","")),0))</f>
        <v/>
      </c>
      <c r="D1228">
        <f>IF($D$1=0,0,IFERROR(VALUE(SUBSTITUTE(SUBSTITUTE(SUBSTITUTE(INDEX(貼り付け!$A$1:$BZ$3001,1227,$D$1)&amp;"",",",""),"¥",""),"￥","")),0))</f>
        <v/>
      </c>
      <c r="E1228">
        <f>IF($E$1=0,0,IFERROR(VALUE(SUBSTITUTE(SUBSTITUTE(SUBSTITUTE(INDEX(貼り付け!$A$1:$BZ$3001,1227,$E$1)&amp;"",",",""),"¥",""),"￥","")),0))</f>
        <v/>
      </c>
      <c r="F1228">
        <f>IF($F$1=0,0,IFERROR(VALUE(SUBSTITUTE(SUBSTITUTE(SUBSTITUTE(INDEX(貼り付け!$A$1:$BZ$3001,1227,$F$1)&amp;"",",",""),"¥",""),"￥","")),0))</f>
        <v/>
      </c>
      <c r="G1228">
        <f>IF(ISNUMBER(B1228),YEAR(B1228),"")</f>
        <v/>
      </c>
      <c r="H1228">
        <f>IF(ISNUMBER(B1228),MONTH(B1228),"")</f>
        <v/>
      </c>
      <c r="I1228">
        <f>IFERROR(IF($B$1=0,"",IF(ISNUMBER(INDEX(貼り付け!$A$1:$BZ$3001,1227,$B$1)),"",SUBSTITUTE(SUBSTITUTE(SUBSTITUTE(SUBSTITUTE(TRIM(LEFT(INDEX(貼り付け!$A$1:$BZ$3001,1227,$B$1)&amp;"",FIND(" ",TRIM(INDEX(貼り付け!$A$1:$BZ$3001,1227,$B$1)&amp;"")&amp;" ")-1)),"/","-"),"年","-"),"月","-"),"日",""))),"")</f>
        <v/>
      </c>
      <c r="J1228">
        <f>IFERROR(MID(I1228,FIND("-",I1228)+1,99),"")</f>
        <v/>
      </c>
    </row>
    <row r="1229">
      <c r="B1229">
        <f>IFERROR(IF($B$1=0,"",IF(INDEX(貼り付け!$A$1:$BZ$3001,1228,$B$1)="","",IF(ISNUMBER(INDEX(貼り付け!$A$1:$BZ$3001,1228,$B$1)),INT(INDEX(貼り付け!$A$1:$BZ$3001,1228,$B$1)),DATE(VALUE(LEFT(I1229,FIND("-",I1229)-1)),VALUE(LEFT(J1229,FIND("-",J1229)-1)),VALUE(MID(J1229,FIND("-",J1229)+1,99)))))),"")</f>
        <v/>
      </c>
      <c r="C1229">
        <f>IF($C$1=0,0,IFERROR(VALUE(SUBSTITUTE(SUBSTITUTE(SUBSTITUTE(INDEX(貼り付け!$A$1:$BZ$3001,1228,$C$1)&amp;"",",",""),"¥",""),"￥","")),0))</f>
        <v/>
      </c>
      <c r="D1229">
        <f>IF($D$1=0,0,IFERROR(VALUE(SUBSTITUTE(SUBSTITUTE(SUBSTITUTE(INDEX(貼り付け!$A$1:$BZ$3001,1228,$D$1)&amp;"",",",""),"¥",""),"￥","")),0))</f>
        <v/>
      </c>
      <c r="E1229">
        <f>IF($E$1=0,0,IFERROR(VALUE(SUBSTITUTE(SUBSTITUTE(SUBSTITUTE(INDEX(貼り付け!$A$1:$BZ$3001,1228,$E$1)&amp;"",",",""),"¥",""),"￥","")),0))</f>
        <v/>
      </c>
      <c r="F1229">
        <f>IF($F$1=0,0,IFERROR(VALUE(SUBSTITUTE(SUBSTITUTE(SUBSTITUTE(INDEX(貼り付け!$A$1:$BZ$3001,1228,$F$1)&amp;"",",",""),"¥",""),"￥","")),0))</f>
        <v/>
      </c>
      <c r="G1229">
        <f>IF(ISNUMBER(B1229),YEAR(B1229),"")</f>
        <v/>
      </c>
      <c r="H1229">
        <f>IF(ISNUMBER(B1229),MONTH(B1229),"")</f>
        <v/>
      </c>
      <c r="I1229">
        <f>IFERROR(IF($B$1=0,"",IF(ISNUMBER(INDEX(貼り付け!$A$1:$BZ$3001,1228,$B$1)),"",SUBSTITUTE(SUBSTITUTE(SUBSTITUTE(SUBSTITUTE(TRIM(LEFT(INDEX(貼り付け!$A$1:$BZ$3001,1228,$B$1)&amp;"",FIND(" ",TRIM(INDEX(貼り付け!$A$1:$BZ$3001,1228,$B$1)&amp;"")&amp;" ")-1)),"/","-"),"年","-"),"月","-"),"日",""))),"")</f>
        <v/>
      </c>
      <c r="J1229">
        <f>IFERROR(MID(I1229,FIND("-",I1229)+1,99),"")</f>
        <v/>
      </c>
    </row>
    <row r="1230">
      <c r="B1230">
        <f>IFERROR(IF($B$1=0,"",IF(INDEX(貼り付け!$A$1:$BZ$3001,1229,$B$1)="","",IF(ISNUMBER(INDEX(貼り付け!$A$1:$BZ$3001,1229,$B$1)),INT(INDEX(貼り付け!$A$1:$BZ$3001,1229,$B$1)),DATE(VALUE(LEFT(I1230,FIND("-",I1230)-1)),VALUE(LEFT(J1230,FIND("-",J1230)-1)),VALUE(MID(J1230,FIND("-",J1230)+1,99)))))),"")</f>
        <v/>
      </c>
      <c r="C1230">
        <f>IF($C$1=0,0,IFERROR(VALUE(SUBSTITUTE(SUBSTITUTE(SUBSTITUTE(INDEX(貼り付け!$A$1:$BZ$3001,1229,$C$1)&amp;"",",",""),"¥",""),"￥","")),0))</f>
        <v/>
      </c>
      <c r="D1230">
        <f>IF($D$1=0,0,IFERROR(VALUE(SUBSTITUTE(SUBSTITUTE(SUBSTITUTE(INDEX(貼り付け!$A$1:$BZ$3001,1229,$D$1)&amp;"",",",""),"¥",""),"￥","")),0))</f>
        <v/>
      </c>
      <c r="E1230">
        <f>IF($E$1=0,0,IFERROR(VALUE(SUBSTITUTE(SUBSTITUTE(SUBSTITUTE(INDEX(貼り付け!$A$1:$BZ$3001,1229,$E$1)&amp;"",",",""),"¥",""),"￥","")),0))</f>
        <v/>
      </c>
      <c r="F1230">
        <f>IF($F$1=0,0,IFERROR(VALUE(SUBSTITUTE(SUBSTITUTE(SUBSTITUTE(INDEX(貼り付け!$A$1:$BZ$3001,1229,$F$1)&amp;"",",",""),"¥",""),"￥","")),0))</f>
        <v/>
      </c>
      <c r="G1230">
        <f>IF(ISNUMBER(B1230),YEAR(B1230),"")</f>
        <v/>
      </c>
      <c r="H1230">
        <f>IF(ISNUMBER(B1230),MONTH(B1230),"")</f>
        <v/>
      </c>
      <c r="I1230">
        <f>IFERROR(IF($B$1=0,"",IF(ISNUMBER(INDEX(貼り付け!$A$1:$BZ$3001,1229,$B$1)),"",SUBSTITUTE(SUBSTITUTE(SUBSTITUTE(SUBSTITUTE(TRIM(LEFT(INDEX(貼り付け!$A$1:$BZ$3001,1229,$B$1)&amp;"",FIND(" ",TRIM(INDEX(貼り付け!$A$1:$BZ$3001,1229,$B$1)&amp;"")&amp;" ")-1)),"/","-"),"年","-"),"月","-"),"日",""))),"")</f>
        <v/>
      </c>
      <c r="J1230">
        <f>IFERROR(MID(I1230,FIND("-",I1230)+1,99),"")</f>
        <v/>
      </c>
    </row>
    <row r="1231">
      <c r="B1231">
        <f>IFERROR(IF($B$1=0,"",IF(INDEX(貼り付け!$A$1:$BZ$3001,1230,$B$1)="","",IF(ISNUMBER(INDEX(貼り付け!$A$1:$BZ$3001,1230,$B$1)),INT(INDEX(貼り付け!$A$1:$BZ$3001,1230,$B$1)),DATE(VALUE(LEFT(I1231,FIND("-",I1231)-1)),VALUE(LEFT(J1231,FIND("-",J1231)-1)),VALUE(MID(J1231,FIND("-",J1231)+1,99)))))),"")</f>
        <v/>
      </c>
      <c r="C1231">
        <f>IF($C$1=0,0,IFERROR(VALUE(SUBSTITUTE(SUBSTITUTE(SUBSTITUTE(INDEX(貼り付け!$A$1:$BZ$3001,1230,$C$1)&amp;"",",",""),"¥",""),"￥","")),0))</f>
        <v/>
      </c>
      <c r="D1231">
        <f>IF($D$1=0,0,IFERROR(VALUE(SUBSTITUTE(SUBSTITUTE(SUBSTITUTE(INDEX(貼り付け!$A$1:$BZ$3001,1230,$D$1)&amp;"",",",""),"¥",""),"￥","")),0))</f>
        <v/>
      </c>
      <c r="E1231">
        <f>IF($E$1=0,0,IFERROR(VALUE(SUBSTITUTE(SUBSTITUTE(SUBSTITUTE(INDEX(貼り付け!$A$1:$BZ$3001,1230,$E$1)&amp;"",",",""),"¥",""),"￥","")),0))</f>
        <v/>
      </c>
      <c r="F1231">
        <f>IF($F$1=0,0,IFERROR(VALUE(SUBSTITUTE(SUBSTITUTE(SUBSTITUTE(INDEX(貼り付け!$A$1:$BZ$3001,1230,$F$1)&amp;"",",",""),"¥",""),"￥","")),0))</f>
        <v/>
      </c>
      <c r="G1231">
        <f>IF(ISNUMBER(B1231),YEAR(B1231),"")</f>
        <v/>
      </c>
      <c r="H1231">
        <f>IF(ISNUMBER(B1231),MONTH(B1231),"")</f>
        <v/>
      </c>
      <c r="I1231">
        <f>IFERROR(IF($B$1=0,"",IF(ISNUMBER(INDEX(貼り付け!$A$1:$BZ$3001,1230,$B$1)),"",SUBSTITUTE(SUBSTITUTE(SUBSTITUTE(SUBSTITUTE(TRIM(LEFT(INDEX(貼り付け!$A$1:$BZ$3001,1230,$B$1)&amp;"",FIND(" ",TRIM(INDEX(貼り付け!$A$1:$BZ$3001,1230,$B$1)&amp;"")&amp;" ")-1)),"/","-"),"年","-"),"月","-"),"日",""))),"")</f>
        <v/>
      </c>
      <c r="J1231">
        <f>IFERROR(MID(I1231,FIND("-",I1231)+1,99),"")</f>
        <v/>
      </c>
    </row>
    <row r="1232">
      <c r="B1232">
        <f>IFERROR(IF($B$1=0,"",IF(INDEX(貼り付け!$A$1:$BZ$3001,1231,$B$1)="","",IF(ISNUMBER(INDEX(貼り付け!$A$1:$BZ$3001,1231,$B$1)),INT(INDEX(貼り付け!$A$1:$BZ$3001,1231,$B$1)),DATE(VALUE(LEFT(I1232,FIND("-",I1232)-1)),VALUE(LEFT(J1232,FIND("-",J1232)-1)),VALUE(MID(J1232,FIND("-",J1232)+1,99)))))),"")</f>
        <v/>
      </c>
      <c r="C1232">
        <f>IF($C$1=0,0,IFERROR(VALUE(SUBSTITUTE(SUBSTITUTE(SUBSTITUTE(INDEX(貼り付け!$A$1:$BZ$3001,1231,$C$1)&amp;"",",",""),"¥",""),"￥","")),0))</f>
        <v/>
      </c>
      <c r="D1232">
        <f>IF($D$1=0,0,IFERROR(VALUE(SUBSTITUTE(SUBSTITUTE(SUBSTITUTE(INDEX(貼り付け!$A$1:$BZ$3001,1231,$D$1)&amp;"",",",""),"¥",""),"￥","")),0))</f>
        <v/>
      </c>
      <c r="E1232">
        <f>IF($E$1=0,0,IFERROR(VALUE(SUBSTITUTE(SUBSTITUTE(SUBSTITUTE(INDEX(貼り付け!$A$1:$BZ$3001,1231,$E$1)&amp;"",",",""),"¥",""),"￥","")),0))</f>
        <v/>
      </c>
      <c r="F1232">
        <f>IF($F$1=0,0,IFERROR(VALUE(SUBSTITUTE(SUBSTITUTE(SUBSTITUTE(INDEX(貼り付け!$A$1:$BZ$3001,1231,$F$1)&amp;"",",",""),"¥",""),"￥","")),0))</f>
        <v/>
      </c>
      <c r="G1232">
        <f>IF(ISNUMBER(B1232),YEAR(B1232),"")</f>
        <v/>
      </c>
      <c r="H1232">
        <f>IF(ISNUMBER(B1232),MONTH(B1232),"")</f>
        <v/>
      </c>
      <c r="I1232">
        <f>IFERROR(IF($B$1=0,"",IF(ISNUMBER(INDEX(貼り付け!$A$1:$BZ$3001,1231,$B$1)),"",SUBSTITUTE(SUBSTITUTE(SUBSTITUTE(SUBSTITUTE(TRIM(LEFT(INDEX(貼り付け!$A$1:$BZ$3001,1231,$B$1)&amp;"",FIND(" ",TRIM(INDEX(貼り付け!$A$1:$BZ$3001,1231,$B$1)&amp;"")&amp;" ")-1)),"/","-"),"年","-"),"月","-"),"日",""))),"")</f>
        <v/>
      </c>
      <c r="J1232">
        <f>IFERROR(MID(I1232,FIND("-",I1232)+1,99),"")</f>
        <v/>
      </c>
    </row>
    <row r="1233">
      <c r="B1233">
        <f>IFERROR(IF($B$1=0,"",IF(INDEX(貼り付け!$A$1:$BZ$3001,1232,$B$1)="","",IF(ISNUMBER(INDEX(貼り付け!$A$1:$BZ$3001,1232,$B$1)),INT(INDEX(貼り付け!$A$1:$BZ$3001,1232,$B$1)),DATE(VALUE(LEFT(I1233,FIND("-",I1233)-1)),VALUE(LEFT(J1233,FIND("-",J1233)-1)),VALUE(MID(J1233,FIND("-",J1233)+1,99)))))),"")</f>
        <v/>
      </c>
      <c r="C1233">
        <f>IF($C$1=0,0,IFERROR(VALUE(SUBSTITUTE(SUBSTITUTE(SUBSTITUTE(INDEX(貼り付け!$A$1:$BZ$3001,1232,$C$1)&amp;"",",",""),"¥",""),"￥","")),0))</f>
        <v/>
      </c>
      <c r="D1233">
        <f>IF($D$1=0,0,IFERROR(VALUE(SUBSTITUTE(SUBSTITUTE(SUBSTITUTE(INDEX(貼り付け!$A$1:$BZ$3001,1232,$D$1)&amp;"",",",""),"¥",""),"￥","")),0))</f>
        <v/>
      </c>
      <c r="E1233">
        <f>IF($E$1=0,0,IFERROR(VALUE(SUBSTITUTE(SUBSTITUTE(SUBSTITUTE(INDEX(貼り付け!$A$1:$BZ$3001,1232,$E$1)&amp;"",",",""),"¥",""),"￥","")),0))</f>
        <v/>
      </c>
      <c r="F1233">
        <f>IF($F$1=0,0,IFERROR(VALUE(SUBSTITUTE(SUBSTITUTE(SUBSTITUTE(INDEX(貼り付け!$A$1:$BZ$3001,1232,$F$1)&amp;"",",",""),"¥",""),"￥","")),0))</f>
        <v/>
      </c>
      <c r="G1233">
        <f>IF(ISNUMBER(B1233),YEAR(B1233),"")</f>
        <v/>
      </c>
      <c r="H1233">
        <f>IF(ISNUMBER(B1233),MONTH(B1233),"")</f>
        <v/>
      </c>
      <c r="I1233">
        <f>IFERROR(IF($B$1=0,"",IF(ISNUMBER(INDEX(貼り付け!$A$1:$BZ$3001,1232,$B$1)),"",SUBSTITUTE(SUBSTITUTE(SUBSTITUTE(SUBSTITUTE(TRIM(LEFT(INDEX(貼り付け!$A$1:$BZ$3001,1232,$B$1)&amp;"",FIND(" ",TRIM(INDEX(貼り付け!$A$1:$BZ$3001,1232,$B$1)&amp;"")&amp;" ")-1)),"/","-"),"年","-"),"月","-"),"日",""))),"")</f>
        <v/>
      </c>
      <c r="J1233">
        <f>IFERROR(MID(I1233,FIND("-",I1233)+1,99),"")</f>
        <v/>
      </c>
    </row>
    <row r="1234">
      <c r="B1234">
        <f>IFERROR(IF($B$1=0,"",IF(INDEX(貼り付け!$A$1:$BZ$3001,1233,$B$1)="","",IF(ISNUMBER(INDEX(貼り付け!$A$1:$BZ$3001,1233,$B$1)),INT(INDEX(貼り付け!$A$1:$BZ$3001,1233,$B$1)),DATE(VALUE(LEFT(I1234,FIND("-",I1234)-1)),VALUE(LEFT(J1234,FIND("-",J1234)-1)),VALUE(MID(J1234,FIND("-",J1234)+1,99)))))),"")</f>
        <v/>
      </c>
      <c r="C1234">
        <f>IF($C$1=0,0,IFERROR(VALUE(SUBSTITUTE(SUBSTITUTE(SUBSTITUTE(INDEX(貼り付け!$A$1:$BZ$3001,1233,$C$1)&amp;"",",",""),"¥",""),"￥","")),0))</f>
        <v/>
      </c>
      <c r="D1234">
        <f>IF($D$1=0,0,IFERROR(VALUE(SUBSTITUTE(SUBSTITUTE(SUBSTITUTE(INDEX(貼り付け!$A$1:$BZ$3001,1233,$D$1)&amp;"",",",""),"¥",""),"￥","")),0))</f>
        <v/>
      </c>
      <c r="E1234">
        <f>IF($E$1=0,0,IFERROR(VALUE(SUBSTITUTE(SUBSTITUTE(SUBSTITUTE(INDEX(貼り付け!$A$1:$BZ$3001,1233,$E$1)&amp;"",",",""),"¥",""),"￥","")),0))</f>
        <v/>
      </c>
      <c r="F1234">
        <f>IF($F$1=0,0,IFERROR(VALUE(SUBSTITUTE(SUBSTITUTE(SUBSTITUTE(INDEX(貼り付け!$A$1:$BZ$3001,1233,$F$1)&amp;"",",",""),"¥",""),"￥","")),0))</f>
        <v/>
      </c>
      <c r="G1234">
        <f>IF(ISNUMBER(B1234),YEAR(B1234),"")</f>
        <v/>
      </c>
      <c r="H1234">
        <f>IF(ISNUMBER(B1234),MONTH(B1234),"")</f>
        <v/>
      </c>
      <c r="I1234">
        <f>IFERROR(IF($B$1=0,"",IF(ISNUMBER(INDEX(貼り付け!$A$1:$BZ$3001,1233,$B$1)),"",SUBSTITUTE(SUBSTITUTE(SUBSTITUTE(SUBSTITUTE(TRIM(LEFT(INDEX(貼り付け!$A$1:$BZ$3001,1233,$B$1)&amp;"",FIND(" ",TRIM(INDEX(貼り付け!$A$1:$BZ$3001,1233,$B$1)&amp;"")&amp;" ")-1)),"/","-"),"年","-"),"月","-"),"日",""))),"")</f>
        <v/>
      </c>
      <c r="J1234">
        <f>IFERROR(MID(I1234,FIND("-",I1234)+1,99),"")</f>
        <v/>
      </c>
    </row>
    <row r="1235">
      <c r="B1235">
        <f>IFERROR(IF($B$1=0,"",IF(INDEX(貼り付け!$A$1:$BZ$3001,1234,$B$1)="","",IF(ISNUMBER(INDEX(貼り付け!$A$1:$BZ$3001,1234,$B$1)),INT(INDEX(貼り付け!$A$1:$BZ$3001,1234,$B$1)),DATE(VALUE(LEFT(I1235,FIND("-",I1235)-1)),VALUE(LEFT(J1235,FIND("-",J1235)-1)),VALUE(MID(J1235,FIND("-",J1235)+1,99)))))),"")</f>
        <v/>
      </c>
      <c r="C1235">
        <f>IF($C$1=0,0,IFERROR(VALUE(SUBSTITUTE(SUBSTITUTE(SUBSTITUTE(INDEX(貼り付け!$A$1:$BZ$3001,1234,$C$1)&amp;"",",",""),"¥",""),"￥","")),0))</f>
        <v/>
      </c>
      <c r="D1235">
        <f>IF($D$1=0,0,IFERROR(VALUE(SUBSTITUTE(SUBSTITUTE(SUBSTITUTE(INDEX(貼り付け!$A$1:$BZ$3001,1234,$D$1)&amp;"",",",""),"¥",""),"￥","")),0))</f>
        <v/>
      </c>
      <c r="E1235">
        <f>IF($E$1=0,0,IFERROR(VALUE(SUBSTITUTE(SUBSTITUTE(SUBSTITUTE(INDEX(貼り付け!$A$1:$BZ$3001,1234,$E$1)&amp;"",",",""),"¥",""),"￥","")),0))</f>
        <v/>
      </c>
      <c r="F1235">
        <f>IF($F$1=0,0,IFERROR(VALUE(SUBSTITUTE(SUBSTITUTE(SUBSTITUTE(INDEX(貼り付け!$A$1:$BZ$3001,1234,$F$1)&amp;"",",",""),"¥",""),"￥","")),0))</f>
        <v/>
      </c>
      <c r="G1235">
        <f>IF(ISNUMBER(B1235),YEAR(B1235),"")</f>
        <v/>
      </c>
      <c r="H1235">
        <f>IF(ISNUMBER(B1235),MONTH(B1235),"")</f>
        <v/>
      </c>
      <c r="I1235">
        <f>IFERROR(IF($B$1=0,"",IF(ISNUMBER(INDEX(貼り付け!$A$1:$BZ$3001,1234,$B$1)),"",SUBSTITUTE(SUBSTITUTE(SUBSTITUTE(SUBSTITUTE(TRIM(LEFT(INDEX(貼り付け!$A$1:$BZ$3001,1234,$B$1)&amp;"",FIND(" ",TRIM(INDEX(貼り付け!$A$1:$BZ$3001,1234,$B$1)&amp;"")&amp;" ")-1)),"/","-"),"年","-"),"月","-"),"日",""))),"")</f>
        <v/>
      </c>
      <c r="J1235">
        <f>IFERROR(MID(I1235,FIND("-",I1235)+1,99),"")</f>
        <v/>
      </c>
    </row>
    <row r="1236">
      <c r="B1236">
        <f>IFERROR(IF($B$1=0,"",IF(INDEX(貼り付け!$A$1:$BZ$3001,1235,$B$1)="","",IF(ISNUMBER(INDEX(貼り付け!$A$1:$BZ$3001,1235,$B$1)),INT(INDEX(貼り付け!$A$1:$BZ$3001,1235,$B$1)),DATE(VALUE(LEFT(I1236,FIND("-",I1236)-1)),VALUE(LEFT(J1236,FIND("-",J1236)-1)),VALUE(MID(J1236,FIND("-",J1236)+1,99)))))),"")</f>
        <v/>
      </c>
      <c r="C1236">
        <f>IF($C$1=0,0,IFERROR(VALUE(SUBSTITUTE(SUBSTITUTE(SUBSTITUTE(INDEX(貼り付け!$A$1:$BZ$3001,1235,$C$1)&amp;"",",",""),"¥",""),"￥","")),0))</f>
        <v/>
      </c>
      <c r="D1236">
        <f>IF($D$1=0,0,IFERROR(VALUE(SUBSTITUTE(SUBSTITUTE(SUBSTITUTE(INDEX(貼り付け!$A$1:$BZ$3001,1235,$D$1)&amp;"",",",""),"¥",""),"￥","")),0))</f>
        <v/>
      </c>
      <c r="E1236">
        <f>IF($E$1=0,0,IFERROR(VALUE(SUBSTITUTE(SUBSTITUTE(SUBSTITUTE(INDEX(貼り付け!$A$1:$BZ$3001,1235,$E$1)&amp;"",",",""),"¥",""),"￥","")),0))</f>
        <v/>
      </c>
      <c r="F1236">
        <f>IF($F$1=0,0,IFERROR(VALUE(SUBSTITUTE(SUBSTITUTE(SUBSTITUTE(INDEX(貼り付け!$A$1:$BZ$3001,1235,$F$1)&amp;"",",",""),"¥",""),"￥","")),0))</f>
        <v/>
      </c>
      <c r="G1236">
        <f>IF(ISNUMBER(B1236),YEAR(B1236),"")</f>
        <v/>
      </c>
      <c r="H1236">
        <f>IF(ISNUMBER(B1236),MONTH(B1236),"")</f>
        <v/>
      </c>
      <c r="I1236">
        <f>IFERROR(IF($B$1=0,"",IF(ISNUMBER(INDEX(貼り付け!$A$1:$BZ$3001,1235,$B$1)),"",SUBSTITUTE(SUBSTITUTE(SUBSTITUTE(SUBSTITUTE(TRIM(LEFT(INDEX(貼り付け!$A$1:$BZ$3001,1235,$B$1)&amp;"",FIND(" ",TRIM(INDEX(貼り付け!$A$1:$BZ$3001,1235,$B$1)&amp;"")&amp;" ")-1)),"/","-"),"年","-"),"月","-"),"日",""))),"")</f>
        <v/>
      </c>
      <c r="J1236">
        <f>IFERROR(MID(I1236,FIND("-",I1236)+1,99),"")</f>
        <v/>
      </c>
    </row>
    <row r="1237">
      <c r="B1237">
        <f>IFERROR(IF($B$1=0,"",IF(INDEX(貼り付け!$A$1:$BZ$3001,1236,$B$1)="","",IF(ISNUMBER(INDEX(貼り付け!$A$1:$BZ$3001,1236,$B$1)),INT(INDEX(貼り付け!$A$1:$BZ$3001,1236,$B$1)),DATE(VALUE(LEFT(I1237,FIND("-",I1237)-1)),VALUE(LEFT(J1237,FIND("-",J1237)-1)),VALUE(MID(J1237,FIND("-",J1237)+1,99)))))),"")</f>
        <v/>
      </c>
      <c r="C1237">
        <f>IF($C$1=0,0,IFERROR(VALUE(SUBSTITUTE(SUBSTITUTE(SUBSTITUTE(INDEX(貼り付け!$A$1:$BZ$3001,1236,$C$1)&amp;"",",",""),"¥",""),"￥","")),0))</f>
        <v/>
      </c>
      <c r="D1237">
        <f>IF($D$1=0,0,IFERROR(VALUE(SUBSTITUTE(SUBSTITUTE(SUBSTITUTE(INDEX(貼り付け!$A$1:$BZ$3001,1236,$D$1)&amp;"",",",""),"¥",""),"￥","")),0))</f>
        <v/>
      </c>
      <c r="E1237">
        <f>IF($E$1=0,0,IFERROR(VALUE(SUBSTITUTE(SUBSTITUTE(SUBSTITUTE(INDEX(貼り付け!$A$1:$BZ$3001,1236,$E$1)&amp;"",",",""),"¥",""),"￥","")),0))</f>
        <v/>
      </c>
      <c r="F1237">
        <f>IF($F$1=0,0,IFERROR(VALUE(SUBSTITUTE(SUBSTITUTE(SUBSTITUTE(INDEX(貼り付け!$A$1:$BZ$3001,1236,$F$1)&amp;"",",",""),"¥",""),"￥","")),0))</f>
        <v/>
      </c>
      <c r="G1237">
        <f>IF(ISNUMBER(B1237),YEAR(B1237),"")</f>
        <v/>
      </c>
      <c r="H1237">
        <f>IF(ISNUMBER(B1237),MONTH(B1237),"")</f>
        <v/>
      </c>
      <c r="I1237">
        <f>IFERROR(IF($B$1=0,"",IF(ISNUMBER(INDEX(貼り付け!$A$1:$BZ$3001,1236,$B$1)),"",SUBSTITUTE(SUBSTITUTE(SUBSTITUTE(SUBSTITUTE(TRIM(LEFT(INDEX(貼り付け!$A$1:$BZ$3001,1236,$B$1)&amp;"",FIND(" ",TRIM(INDEX(貼り付け!$A$1:$BZ$3001,1236,$B$1)&amp;"")&amp;" ")-1)),"/","-"),"年","-"),"月","-"),"日",""))),"")</f>
        <v/>
      </c>
      <c r="J1237">
        <f>IFERROR(MID(I1237,FIND("-",I1237)+1,99),"")</f>
        <v/>
      </c>
    </row>
    <row r="1238">
      <c r="B1238">
        <f>IFERROR(IF($B$1=0,"",IF(INDEX(貼り付け!$A$1:$BZ$3001,1237,$B$1)="","",IF(ISNUMBER(INDEX(貼り付け!$A$1:$BZ$3001,1237,$B$1)),INT(INDEX(貼り付け!$A$1:$BZ$3001,1237,$B$1)),DATE(VALUE(LEFT(I1238,FIND("-",I1238)-1)),VALUE(LEFT(J1238,FIND("-",J1238)-1)),VALUE(MID(J1238,FIND("-",J1238)+1,99)))))),"")</f>
        <v/>
      </c>
      <c r="C1238">
        <f>IF($C$1=0,0,IFERROR(VALUE(SUBSTITUTE(SUBSTITUTE(SUBSTITUTE(INDEX(貼り付け!$A$1:$BZ$3001,1237,$C$1)&amp;"",",",""),"¥",""),"￥","")),0))</f>
        <v/>
      </c>
      <c r="D1238">
        <f>IF($D$1=0,0,IFERROR(VALUE(SUBSTITUTE(SUBSTITUTE(SUBSTITUTE(INDEX(貼り付け!$A$1:$BZ$3001,1237,$D$1)&amp;"",",",""),"¥",""),"￥","")),0))</f>
        <v/>
      </c>
      <c r="E1238">
        <f>IF($E$1=0,0,IFERROR(VALUE(SUBSTITUTE(SUBSTITUTE(SUBSTITUTE(INDEX(貼り付け!$A$1:$BZ$3001,1237,$E$1)&amp;"",",",""),"¥",""),"￥","")),0))</f>
        <v/>
      </c>
      <c r="F1238">
        <f>IF($F$1=0,0,IFERROR(VALUE(SUBSTITUTE(SUBSTITUTE(SUBSTITUTE(INDEX(貼り付け!$A$1:$BZ$3001,1237,$F$1)&amp;"",",",""),"¥",""),"￥","")),0))</f>
        <v/>
      </c>
      <c r="G1238">
        <f>IF(ISNUMBER(B1238),YEAR(B1238),"")</f>
        <v/>
      </c>
      <c r="H1238">
        <f>IF(ISNUMBER(B1238),MONTH(B1238),"")</f>
        <v/>
      </c>
      <c r="I1238">
        <f>IFERROR(IF($B$1=0,"",IF(ISNUMBER(INDEX(貼り付け!$A$1:$BZ$3001,1237,$B$1)),"",SUBSTITUTE(SUBSTITUTE(SUBSTITUTE(SUBSTITUTE(TRIM(LEFT(INDEX(貼り付け!$A$1:$BZ$3001,1237,$B$1)&amp;"",FIND(" ",TRIM(INDEX(貼り付け!$A$1:$BZ$3001,1237,$B$1)&amp;"")&amp;" ")-1)),"/","-"),"年","-"),"月","-"),"日",""))),"")</f>
        <v/>
      </c>
      <c r="J1238">
        <f>IFERROR(MID(I1238,FIND("-",I1238)+1,99),"")</f>
        <v/>
      </c>
    </row>
    <row r="1239">
      <c r="B1239">
        <f>IFERROR(IF($B$1=0,"",IF(INDEX(貼り付け!$A$1:$BZ$3001,1238,$B$1)="","",IF(ISNUMBER(INDEX(貼り付け!$A$1:$BZ$3001,1238,$B$1)),INT(INDEX(貼り付け!$A$1:$BZ$3001,1238,$B$1)),DATE(VALUE(LEFT(I1239,FIND("-",I1239)-1)),VALUE(LEFT(J1239,FIND("-",J1239)-1)),VALUE(MID(J1239,FIND("-",J1239)+1,99)))))),"")</f>
        <v/>
      </c>
      <c r="C1239">
        <f>IF($C$1=0,0,IFERROR(VALUE(SUBSTITUTE(SUBSTITUTE(SUBSTITUTE(INDEX(貼り付け!$A$1:$BZ$3001,1238,$C$1)&amp;"",",",""),"¥",""),"￥","")),0))</f>
        <v/>
      </c>
      <c r="D1239">
        <f>IF($D$1=0,0,IFERROR(VALUE(SUBSTITUTE(SUBSTITUTE(SUBSTITUTE(INDEX(貼り付け!$A$1:$BZ$3001,1238,$D$1)&amp;"",",",""),"¥",""),"￥","")),0))</f>
        <v/>
      </c>
      <c r="E1239">
        <f>IF($E$1=0,0,IFERROR(VALUE(SUBSTITUTE(SUBSTITUTE(SUBSTITUTE(INDEX(貼り付け!$A$1:$BZ$3001,1238,$E$1)&amp;"",",",""),"¥",""),"￥","")),0))</f>
        <v/>
      </c>
      <c r="F1239">
        <f>IF($F$1=0,0,IFERROR(VALUE(SUBSTITUTE(SUBSTITUTE(SUBSTITUTE(INDEX(貼り付け!$A$1:$BZ$3001,1238,$F$1)&amp;"",",",""),"¥",""),"￥","")),0))</f>
        <v/>
      </c>
      <c r="G1239">
        <f>IF(ISNUMBER(B1239),YEAR(B1239),"")</f>
        <v/>
      </c>
      <c r="H1239">
        <f>IF(ISNUMBER(B1239),MONTH(B1239),"")</f>
        <v/>
      </c>
      <c r="I1239">
        <f>IFERROR(IF($B$1=0,"",IF(ISNUMBER(INDEX(貼り付け!$A$1:$BZ$3001,1238,$B$1)),"",SUBSTITUTE(SUBSTITUTE(SUBSTITUTE(SUBSTITUTE(TRIM(LEFT(INDEX(貼り付け!$A$1:$BZ$3001,1238,$B$1)&amp;"",FIND(" ",TRIM(INDEX(貼り付け!$A$1:$BZ$3001,1238,$B$1)&amp;"")&amp;" ")-1)),"/","-"),"年","-"),"月","-"),"日",""))),"")</f>
        <v/>
      </c>
      <c r="J1239">
        <f>IFERROR(MID(I1239,FIND("-",I1239)+1,99),"")</f>
        <v/>
      </c>
    </row>
    <row r="1240">
      <c r="B1240">
        <f>IFERROR(IF($B$1=0,"",IF(INDEX(貼り付け!$A$1:$BZ$3001,1239,$B$1)="","",IF(ISNUMBER(INDEX(貼り付け!$A$1:$BZ$3001,1239,$B$1)),INT(INDEX(貼り付け!$A$1:$BZ$3001,1239,$B$1)),DATE(VALUE(LEFT(I1240,FIND("-",I1240)-1)),VALUE(LEFT(J1240,FIND("-",J1240)-1)),VALUE(MID(J1240,FIND("-",J1240)+1,99)))))),"")</f>
        <v/>
      </c>
      <c r="C1240">
        <f>IF($C$1=0,0,IFERROR(VALUE(SUBSTITUTE(SUBSTITUTE(SUBSTITUTE(INDEX(貼り付け!$A$1:$BZ$3001,1239,$C$1)&amp;"",",",""),"¥",""),"￥","")),0))</f>
        <v/>
      </c>
      <c r="D1240">
        <f>IF($D$1=0,0,IFERROR(VALUE(SUBSTITUTE(SUBSTITUTE(SUBSTITUTE(INDEX(貼り付け!$A$1:$BZ$3001,1239,$D$1)&amp;"",",",""),"¥",""),"￥","")),0))</f>
        <v/>
      </c>
      <c r="E1240">
        <f>IF($E$1=0,0,IFERROR(VALUE(SUBSTITUTE(SUBSTITUTE(SUBSTITUTE(INDEX(貼り付け!$A$1:$BZ$3001,1239,$E$1)&amp;"",",",""),"¥",""),"￥","")),0))</f>
        <v/>
      </c>
      <c r="F1240">
        <f>IF($F$1=0,0,IFERROR(VALUE(SUBSTITUTE(SUBSTITUTE(SUBSTITUTE(INDEX(貼り付け!$A$1:$BZ$3001,1239,$F$1)&amp;"",",",""),"¥",""),"￥","")),0))</f>
        <v/>
      </c>
      <c r="G1240">
        <f>IF(ISNUMBER(B1240),YEAR(B1240),"")</f>
        <v/>
      </c>
      <c r="H1240">
        <f>IF(ISNUMBER(B1240),MONTH(B1240),"")</f>
        <v/>
      </c>
      <c r="I1240">
        <f>IFERROR(IF($B$1=0,"",IF(ISNUMBER(INDEX(貼り付け!$A$1:$BZ$3001,1239,$B$1)),"",SUBSTITUTE(SUBSTITUTE(SUBSTITUTE(SUBSTITUTE(TRIM(LEFT(INDEX(貼り付け!$A$1:$BZ$3001,1239,$B$1)&amp;"",FIND(" ",TRIM(INDEX(貼り付け!$A$1:$BZ$3001,1239,$B$1)&amp;"")&amp;" ")-1)),"/","-"),"年","-"),"月","-"),"日",""))),"")</f>
        <v/>
      </c>
      <c r="J1240">
        <f>IFERROR(MID(I1240,FIND("-",I1240)+1,99),"")</f>
        <v/>
      </c>
    </row>
    <row r="1241">
      <c r="B1241">
        <f>IFERROR(IF($B$1=0,"",IF(INDEX(貼り付け!$A$1:$BZ$3001,1240,$B$1)="","",IF(ISNUMBER(INDEX(貼り付け!$A$1:$BZ$3001,1240,$B$1)),INT(INDEX(貼り付け!$A$1:$BZ$3001,1240,$B$1)),DATE(VALUE(LEFT(I1241,FIND("-",I1241)-1)),VALUE(LEFT(J1241,FIND("-",J1241)-1)),VALUE(MID(J1241,FIND("-",J1241)+1,99)))))),"")</f>
        <v/>
      </c>
      <c r="C1241">
        <f>IF($C$1=0,0,IFERROR(VALUE(SUBSTITUTE(SUBSTITUTE(SUBSTITUTE(INDEX(貼り付け!$A$1:$BZ$3001,1240,$C$1)&amp;"",",",""),"¥",""),"￥","")),0))</f>
        <v/>
      </c>
      <c r="D1241">
        <f>IF($D$1=0,0,IFERROR(VALUE(SUBSTITUTE(SUBSTITUTE(SUBSTITUTE(INDEX(貼り付け!$A$1:$BZ$3001,1240,$D$1)&amp;"",",",""),"¥",""),"￥","")),0))</f>
        <v/>
      </c>
      <c r="E1241">
        <f>IF($E$1=0,0,IFERROR(VALUE(SUBSTITUTE(SUBSTITUTE(SUBSTITUTE(INDEX(貼り付け!$A$1:$BZ$3001,1240,$E$1)&amp;"",",",""),"¥",""),"￥","")),0))</f>
        <v/>
      </c>
      <c r="F1241">
        <f>IF($F$1=0,0,IFERROR(VALUE(SUBSTITUTE(SUBSTITUTE(SUBSTITUTE(INDEX(貼り付け!$A$1:$BZ$3001,1240,$F$1)&amp;"",",",""),"¥",""),"￥","")),0))</f>
        <v/>
      </c>
      <c r="G1241">
        <f>IF(ISNUMBER(B1241),YEAR(B1241),"")</f>
        <v/>
      </c>
      <c r="H1241">
        <f>IF(ISNUMBER(B1241),MONTH(B1241),"")</f>
        <v/>
      </c>
      <c r="I1241">
        <f>IFERROR(IF($B$1=0,"",IF(ISNUMBER(INDEX(貼り付け!$A$1:$BZ$3001,1240,$B$1)),"",SUBSTITUTE(SUBSTITUTE(SUBSTITUTE(SUBSTITUTE(TRIM(LEFT(INDEX(貼り付け!$A$1:$BZ$3001,1240,$B$1)&amp;"",FIND(" ",TRIM(INDEX(貼り付け!$A$1:$BZ$3001,1240,$B$1)&amp;"")&amp;" ")-1)),"/","-"),"年","-"),"月","-"),"日",""))),"")</f>
        <v/>
      </c>
      <c r="J1241">
        <f>IFERROR(MID(I1241,FIND("-",I1241)+1,99),"")</f>
        <v/>
      </c>
    </row>
    <row r="1242">
      <c r="B1242">
        <f>IFERROR(IF($B$1=0,"",IF(INDEX(貼り付け!$A$1:$BZ$3001,1241,$B$1)="","",IF(ISNUMBER(INDEX(貼り付け!$A$1:$BZ$3001,1241,$B$1)),INT(INDEX(貼り付け!$A$1:$BZ$3001,1241,$B$1)),DATE(VALUE(LEFT(I1242,FIND("-",I1242)-1)),VALUE(LEFT(J1242,FIND("-",J1242)-1)),VALUE(MID(J1242,FIND("-",J1242)+1,99)))))),"")</f>
        <v/>
      </c>
      <c r="C1242">
        <f>IF($C$1=0,0,IFERROR(VALUE(SUBSTITUTE(SUBSTITUTE(SUBSTITUTE(INDEX(貼り付け!$A$1:$BZ$3001,1241,$C$1)&amp;"",",",""),"¥",""),"￥","")),0))</f>
        <v/>
      </c>
      <c r="D1242">
        <f>IF($D$1=0,0,IFERROR(VALUE(SUBSTITUTE(SUBSTITUTE(SUBSTITUTE(INDEX(貼り付け!$A$1:$BZ$3001,1241,$D$1)&amp;"",",",""),"¥",""),"￥","")),0))</f>
        <v/>
      </c>
      <c r="E1242">
        <f>IF($E$1=0,0,IFERROR(VALUE(SUBSTITUTE(SUBSTITUTE(SUBSTITUTE(INDEX(貼り付け!$A$1:$BZ$3001,1241,$E$1)&amp;"",",",""),"¥",""),"￥","")),0))</f>
        <v/>
      </c>
      <c r="F1242">
        <f>IF($F$1=0,0,IFERROR(VALUE(SUBSTITUTE(SUBSTITUTE(SUBSTITUTE(INDEX(貼り付け!$A$1:$BZ$3001,1241,$F$1)&amp;"",",",""),"¥",""),"￥","")),0))</f>
        <v/>
      </c>
      <c r="G1242">
        <f>IF(ISNUMBER(B1242),YEAR(B1242),"")</f>
        <v/>
      </c>
      <c r="H1242">
        <f>IF(ISNUMBER(B1242),MONTH(B1242),"")</f>
        <v/>
      </c>
      <c r="I1242">
        <f>IFERROR(IF($B$1=0,"",IF(ISNUMBER(INDEX(貼り付け!$A$1:$BZ$3001,1241,$B$1)),"",SUBSTITUTE(SUBSTITUTE(SUBSTITUTE(SUBSTITUTE(TRIM(LEFT(INDEX(貼り付け!$A$1:$BZ$3001,1241,$B$1)&amp;"",FIND(" ",TRIM(INDEX(貼り付け!$A$1:$BZ$3001,1241,$B$1)&amp;"")&amp;" ")-1)),"/","-"),"年","-"),"月","-"),"日",""))),"")</f>
        <v/>
      </c>
      <c r="J1242">
        <f>IFERROR(MID(I1242,FIND("-",I1242)+1,99),"")</f>
        <v/>
      </c>
    </row>
    <row r="1243">
      <c r="B1243">
        <f>IFERROR(IF($B$1=0,"",IF(INDEX(貼り付け!$A$1:$BZ$3001,1242,$B$1)="","",IF(ISNUMBER(INDEX(貼り付け!$A$1:$BZ$3001,1242,$B$1)),INT(INDEX(貼り付け!$A$1:$BZ$3001,1242,$B$1)),DATE(VALUE(LEFT(I1243,FIND("-",I1243)-1)),VALUE(LEFT(J1243,FIND("-",J1243)-1)),VALUE(MID(J1243,FIND("-",J1243)+1,99)))))),"")</f>
        <v/>
      </c>
      <c r="C1243">
        <f>IF($C$1=0,0,IFERROR(VALUE(SUBSTITUTE(SUBSTITUTE(SUBSTITUTE(INDEX(貼り付け!$A$1:$BZ$3001,1242,$C$1)&amp;"",",",""),"¥",""),"￥","")),0))</f>
        <v/>
      </c>
      <c r="D1243">
        <f>IF($D$1=0,0,IFERROR(VALUE(SUBSTITUTE(SUBSTITUTE(SUBSTITUTE(INDEX(貼り付け!$A$1:$BZ$3001,1242,$D$1)&amp;"",",",""),"¥",""),"￥","")),0))</f>
        <v/>
      </c>
      <c r="E1243">
        <f>IF($E$1=0,0,IFERROR(VALUE(SUBSTITUTE(SUBSTITUTE(SUBSTITUTE(INDEX(貼り付け!$A$1:$BZ$3001,1242,$E$1)&amp;"",",",""),"¥",""),"￥","")),0))</f>
        <v/>
      </c>
      <c r="F1243">
        <f>IF($F$1=0,0,IFERROR(VALUE(SUBSTITUTE(SUBSTITUTE(SUBSTITUTE(INDEX(貼り付け!$A$1:$BZ$3001,1242,$F$1)&amp;"",",",""),"¥",""),"￥","")),0))</f>
        <v/>
      </c>
      <c r="G1243">
        <f>IF(ISNUMBER(B1243),YEAR(B1243),"")</f>
        <v/>
      </c>
      <c r="H1243">
        <f>IF(ISNUMBER(B1243),MONTH(B1243),"")</f>
        <v/>
      </c>
      <c r="I1243">
        <f>IFERROR(IF($B$1=0,"",IF(ISNUMBER(INDEX(貼り付け!$A$1:$BZ$3001,1242,$B$1)),"",SUBSTITUTE(SUBSTITUTE(SUBSTITUTE(SUBSTITUTE(TRIM(LEFT(INDEX(貼り付け!$A$1:$BZ$3001,1242,$B$1)&amp;"",FIND(" ",TRIM(INDEX(貼り付け!$A$1:$BZ$3001,1242,$B$1)&amp;"")&amp;" ")-1)),"/","-"),"年","-"),"月","-"),"日",""))),"")</f>
        <v/>
      </c>
      <c r="J1243">
        <f>IFERROR(MID(I1243,FIND("-",I1243)+1,99),"")</f>
        <v/>
      </c>
    </row>
    <row r="1244">
      <c r="B1244">
        <f>IFERROR(IF($B$1=0,"",IF(INDEX(貼り付け!$A$1:$BZ$3001,1243,$B$1)="","",IF(ISNUMBER(INDEX(貼り付け!$A$1:$BZ$3001,1243,$B$1)),INT(INDEX(貼り付け!$A$1:$BZ$3001,1243,$B$1)),DATE(VALUE(LEFT(I1244,FIND("-",I1244)-1)),VALUE(LEFT(J1244,FIND("-",J1244)-1)),VALUE(MID(J1244,FIND("-",J1244)+1,99)))))),"")</f>
        <v/>
      </c>
      <c r="C1244">
        <f>IF($C$1=0,0,IFERROR(VALUE(SUBSTITUTE(SUBSTITUTE(SUBSTITUTE(INDEX(貼り付け!$A$1:$BZ$3001,1243,$C$1)&amp;"",",",""),"¥",""),"￥","")),0))</f>
        <v/>
      </c>
      <c r="D1244">
        <f>IF($D$1=0,0,IFERROR(VALUE(SUBSTITUTE(SUBSTITUTE(SUBSTITUTE(INDEX(貼り付け!$A$1:$BZ$3001,1243,$D$1)&amp;"",",",""),"¥",""),"￥","")),0))</f>
        <v/>
      </c>
      <c r="E1244">
        <f>IF($E$1=0,0,IFERROR(VALUE(SUBSTITUTE(SUBSTITUTE(SUBSTITUTE(INDEX(貼り付け!$A$1:$BZ$3001,1243,$E$1)&amp;"",",",""),"¥",""),"￥","")),0))</f>
        <v/>
      </c>
      <c r="F1244">
        <f>IF($F$1=0,0,IFERROR(VALUE(SUBSTITUTE(SUBSTITUTE(SUBSTITUTE(INDEX(貼り付け!$A$1:$BZ$3001,1243,$F$1)&amp;"",",",""),"¥",""),"￥","")),0))</f>
        <v/>
      </c>
      <c r="G1244">
        <f>IF(ISNUMBER(B1244),YEAR(B1244),"")</f>
        <v/>
      </c>
      <c r="H1244">
        <f>IF(ISNUMBER(B1244),MONTH(B1244),"")</f>
        <v/>
      </c>
      <c r="I1244">
        <f>IFERROR(IF($B$1=0,"",IF(ISNUMBER(INDEX(貼り付け!$A$1:$BZ$3001,1243,$B$1)),"",SUBSTITUTE(SUBSTITUTE(SUBSTITUTE(SUBSTITUTE(TRIM(LEFT(INDEX(貼り付け!$A$1:$BZ$3001,1243,$B$1)&amp;"",FIND(" ",TRIM(INDEX(貼り付け!$A$1:$BZ$3001,1243,$B$1)&amp;"")&amp;" ")-1)),"/","-"),"年","-"),"月","-"),"日",""))),"")</f>
        <v/>
      </c>
      <c r="J1244">
        <f>IFERROR(MID(I1244,FIND("-",I1244)+1,99),"")</f>
        <v/>
      </c>
    </row>
    <row r="1245">
      <c r="B1245">
        <f>IFERROR(IF($B$1=0,"",IF(INDEX(貼り付け!$A$1:$BZ$3001,1244,$B$1)="","",IF(ISNUMBER(INDEX(貼り付け!$A$1:$BZ$3001,1244,$B$1)),INT(INDEX(貼り付け!$A$1:$BZ$3001,1244,$B$1)),DATE(VALUE(LEFT(I1245,FIND("-",I1245)-1)),VALUE(LEFT(J1245,FIND("-",J1245)-1)),VALUE(MID(J1245,FIND("-",J1245)+1,99)))))),"")</f>
        <v/>
      </c>
      <c r="C1245">
        <f>IF($C$1=0,0,IFERROR(VALUE(SUBSTITUTE(SUBSTITUTE(SUBSTITUTE(INDEX(貼り付け!$A$1:$BZ$3001,1244,$C$1)&amp;"",",",""),"¥",""),"￥","")),0))</f>
        <v/>
      </c>
      <c r="D1245">
        <f>IF($D$1=0,0,IFERROR(VALUE(SUBSTITUTE(SUBSTITUTE(SUBSTITUTE(INDEX(貼り付け!$A$1:$BZ$3001,1244,$D$1)&amp;"",",",""),"¥",""),"￥","")),0))</f>
        <v/>
      </c>
      <c r="E1245">
        <f>IF($E$1=0,0,IFERROR(VALUE(SUBSTITUTE(SUBSTITUTE(SUBSTITUTE(INDEX(貼り付け!$A$1:$BZ$3001,1244,$E$1)&amp;"",",",""),"¥",""),"￥","")),0))</f>
        <v/>
      </c>
      <c r="F1245">
        <f>IF($F$1=0,0,IFERROR(VALUE(SUBSTITUTE(SUBSTITUTE(SUBSTITUTE(INDEX(貼り付け!$A$1:$BZ$3001,1244,$F$1)&amp;"",",",""),"¥",""),"￥","")),0))</f>
        <v/>
      </c>
      <c r="G1245">
        <f>IF(ISNUMBER(B1245),YEAR(B1245),"")</f>
        <v/>
      </c>
      <c r="H1245">
        <f>IF(ISNUMBER(B1245),MONTH(B1245),"")</f>
        <v/>
      </c>
      <c r="I1245">
        <f>IFERROR(IF($B$1=0,"",IF(ISNUMBER(INDEX(貼り付け!$A$1:$BZ$3001,1244,$B$1)),"",SUBSTITUTE(SUBSTITUTE(SUBSTITUTE(SUBSTITUTE(TRIM(LEFT(INDEX(貼り付け!$A$1:$BZ$3001,1244,$B$1)&amp;"",FIND(" ",TRIM(INDEX(貼り付け!$A$1:$BZ$3001,1244,$B$1)&amp;"")&amp;" ")-1)),"/","-"),"年","-"),"月","-"),"日",""))),"")</f>
        <v/>
      </c>
      <c r="J1245">
        <f>IFERROR(MID(I1245,FIND("-",I1245)+1,99),"")</f>
        <v/>
      </c>
    </row>
    <row r="1246">
      <c r="B1246">
        <f>IFERROR(IF($B$1=0,"",IF(INDEX(貼り付け!$A$1:$BZ$3001,1245,$B$1)="","",IF(ISNUMBER(INDEX(貼り付け!$A$1:$BZ$3001,1245,$B$1)),INT(INDEX(貼り付け!$A$1:$BZ$3001,1245,$B$1)),DATE(VALUE(LEFT(I1246,FIND("-",I1246)-1)),VALUE(LEFT(J1246,FIND("-",J1246)-1)),VALUE(MID(J1246,FIND("-",J1246)+1,99)))))),"")</f>
        <v/>
      </c>
      <c r="C1246">
        <f>IF($C$1=0,0,IFERROR(VALUE(SUBSTITUTE(SUBSTITUTE(SUBSTITUTE(INDEX(貼り付け!$A$1:$BZ$3001,1245,$C$1)&amp;"",",",""),"¥",""),"￥","")),0))</f>
        <v/>
      </c>
      <c r="D1246">
        <f>IF($D$1=0,0,IFERROR(VALUE(SUBSTITUTE(SUBSTITUTE(SUBSTITUTE(INDEX(貼り付け!$A$1:$BZ$3001,1245,$D$1)&amp;"",",",""),"¥",""),"￥","")),0))</f>
        <v/>
      </c>
      <c r="E1246">
        <f>IF($E$1=0,0,IFERROR(VALUE(SUBSTITUTE(SUBSTITUTE(SUBSTITUTE(INDEX(貼り付け!$A$1:$BZ$3001,1245,$E$1)&amp;"",",",""),"¥",""),"￥","")),0))</f>
        <v/>
      </c>
      <c r="F1246">
        <f>IF($F$1=0,0,IFERROR(VALUE(SUBSTITUTE(SUBSTITUTE(SUBSTITUTE(INDEX(貼り付け!$A$1:$BZ$3001,1245,$F$1)&amp;"",",",""),"¥",""),"￥","")),0))</f>
        <v/>
      </c>
      <c r="G1246">
        <f>IF(ISNUMBER(B1246),YEAR(B1246),"")</f>
        <v/>
      </c>
      <c r="H1246">
        <f>IF(ISNUMBER(B1246),MONTH(B1246),"")</f>
        <v/>
      </c>
      <c r="I1246">
        <f>IFERROR(IF($B$1=0,"",IF(ISNUMBER(INDEX(貼り付け!$A$1:$BZ$3001,1245,$B$1)),"",SUBSTITUTE(SUBSTITUTE(SUBSTITUTE(SUBSTITUTE(TRIM(LEFT(INDEX(貼り付け!$A$1:$BZ$3001,1245,$B$1)&amp;"",FIND(" ",TRIM(INDEX(貼り付け!$A$1:$BZ$3001,1245,$B$1)&amp;"")&amp;" ")-1)),"/","-"),"年","-"),"月","-"),"日",""))),"")</f>
        <v/>
      </c>
      <c r="J1246">
        <f>IFERROR(MID(I1246,FIND("-",I1246)+1,99),"")</f>
        <v/>
      </c>
    </row>
    <row r="1247">
      <c r="B1247">
        <f>IFERROR(IF($B$1=0,"",IF(INDEX(貼り付け!$A$1:$BZ$3001,1246,$B$1)="","",IF(ISNUMBER(INDEX(貼り付け!$A$1:$BZ$3001,1246,$B$1)),INT(INDEX(貼り付け!$A$1:$BZ$3001,1246,$B$1)),DATE(VALUE(LEFT(I1247,FIND("-",I1247)-1)),VALUE(LEFT(J1247,FIND("-",J1247)-1)),VALUE(MID(J1247,FIND("-",J1247)+1,99)))))),"")</f>
        <v/>
      </c>
      <c r="C1247">
        <f>IF($C$1=0,0,IFERROR(VALUE(SUBSTITUTE(SUBSTITUTE(SUBSTITUTE(INDEX(貼り付け!$A$1:$BZ$3001,1246,$C$1)&amp;"",",",""),"¥",""),"￥","")),0))</f>
        <v/>
      </c>
      <c r="D1247">
        <f>IF($D$1=0,0,IFERROR(VALUE(SUBSTITUTE(SUBSTITUTE(SUBSTITUTE(INDEX(貼り付け!$A$1:$BZ$3001,1246,$D$1)&amp;"",",",""),"¥",""),"￥","")),0))</f>
        <v/>
      </c>
      <c r="E1247">
        <f>IF($E$1=0,0,IFERROR(VALUE(SUBSTITUTE(SUBSTITUTE(SUBSTITUTE(INDEX(貼り付け!$A$1:$BZ$3001,1246,$E$1)&amp;"",",",""),"¥",""),"￥","")),0))</f>
        <v/>
      </c>
      <c r="F1247">
        <f>IF($F$1=0,0,IFERROR(VALUE(SUBSTITUTE(SUBSTITUTE(SUBSTITUTE(INDEX(貼り付け!$A$1:$BZ$3001,1246,$F$1)&amp;"",",",""),"¥",""),"￥","")),0))</f>
        <v/>
      </c>
      <c r="G1247">
        <f>IF(ISNUMBER(B1247),YEAR(B1247),"")</f>
        <v/>
      </c>
      <c r="H1247">
        <f>IF(ISNUMBER(B1247),MONTH(B1247),"")</f>
        <v/>
      </c>
      <c r="I1247">
        <f>IFERROR(IF($B$1=0,"",IF(ISNUMBER(INDEX(貼り付け!$A$1:$BZ$3001,1246,$B$1)),"",SUBSTITUTE(SUBSTITUTE(SUBSTITUTE(SUBSTITUTE(TRIM(LEFT(INDEX(貼り付け!$A$1:$BZ$3001,1246,$B$1)&amp;"",FIND(" ",TRIM(INDEX(貼り付け!$A$1:$BZ$3001,1246,$B$1)&amp;"")&amp;" ")-1)),"/","-"),"年","-"),"月","-"),"日",""))),"")</f>
        <v/>
      </c>
      <c r="J1247">
        <f>IFERROR(MID(I1247,FIND("-",I1247)+1,99),"")</f>
        <v/>
      </c>
    </row>
    <row r="1248">
      <c r="B1248">
        <f>IFERROR(IF($B$1=0,"",IF(INDEX(貼り付け!$A$1:$BZ$3001,1247,$B$1)="","",IF(ISNUMBER(INDEX(貼り付け!$A$1:$BZ$3001,1247,$B$1)),INT(INDEX(貼り付け!$A$1:$BZ$3001,1247,$B$1)),DATE(VALUE(LEFT(I1248,FIND("-",I1248)-1)),VALUE(LEFT(J1248,FIND("-",J1248)-1)),VALUE(MID(J1248,FIND("-",J1248)+1,99)))))),"")</f>
        <v/>
      </c>
      <c r="C1248">
        <f>IF($C$1=0,0,IFERROR(VALUE(SUBSTITUTE(SUBSTITUTE(SUBSTITUTE(INDEX(貼り付け!$A$1:$BZ$3001,1247,$C$1)&amp;"",",",""),"¥",""),"￥","")),0))</f>
        <v/>
      </c>
      <c r="D1248">
        <f>IF($D$1=0,0,IFERROR(VALUE(SUBSTITUTE(SUBSTITUTE(SUBSTITUTE(INDEX(貼り付け!$A$1:$BZ$3001,1247,$D$1)&amp;"",",",""),"¥",""),"￥","")),0))</f>
        <v/>
      </c>
      <c r="E1248">
        <f>IF($E$1=0,0,IFERROR(VALUE(SUBSTITUTE(SUBSTITUTE(SUBSTITUTE(INDEX(貼り付け!$A$1:$BZ$3001,1247,$E$1)&amp;"",",",""),"¥",""),"￥","")),0))</f>
        <v/>
      </c>
      <c r="F1248">
        <f>IF($F$1=0,0,IFERROR(VALUE(SUBSTITUTE(SUBSTITUTE(SUBSTITUTE(INDEX(貼り付け!$A$1:$BZ$3001,1247,$F$1)&amp;"",",",""),"¥",""),"￥","")),0))</f>
        <v/>
      </c>
      <c r="G1248">
        <f>IF(ISNUMBER(B1248),YEAR(B1248),"")</f>
        <v/>
      </c>
      <c r="H1248">
        <f>IF(ISNUMBER(B1248),MONTH(B1248),"")</f>
        <v/>
      </c>
      <c r="I1248">
        <f>IFERROR(IF($B$1=0,"",IF(ISNUMBER(INDEX(貼り付け!$A$1:$BZ$3001,1247,$B$1)),"",SUBSTITUTE(SUBSTITUTE(SUBSTITUTE(SUBSTITUTE(TRIM(LEFT(INDEX(貼り付け!$A$1:$BZ$3001,1247,$B$1)&amp;"",FIND(" ",TRIM(INDEX(貼り付け!$A$1:$BZ$3001,1247,$B$1)&amp;"")&amp;" ")-1)),"/","-"),"年","-"),"月","-"),"日",""))),"")</f>
        <v/>
      </c>
      <c r="J1248">
        <f>IFERROR(MID(I1248,FIND("-",I1248)+1,99),"")</f>
        <v/>
      </c>
    </row>
    <row r="1249">
      <c r="B1249">
        <f>IFERROR(IF($B$1=0,"",IF(INDEX(貼り付け!$A$1:$BZ$3001,1248,$B$1)="","",IF(ISNUMBER(INDEX(貼り付け!$A$1:$BZ$3001,1248,$B$1)),INT(INDEX(貼り付け!$A$1:$BZ$3001,1248,$B$1)),DATE(VALUE(LEFT(I1249,FIND("-",I1249)-1)),VALUE(LEFT(J1249,FIND("-",J1249)-1)),VALUE(MID(J1249,FIND("-",J1249)+1,99)))))),"")</f>
        <v/>
      </c>
      <c r="C1249">
        <f>IF($C$1=0,0,IFERROR(VALUE(SUBSTITUTE(SUBSTITUTE(SUBSTITUTE(INDEX(貼り付け!$A$1:$BZ$3001,1248,$C$1)&amp;"",",",""),"¥",""),"￥","")),0))</f>
        <v/>
      </c>
      <c r="D1249">
        <f>IF($D$1=0,0,IFERROR(VALUE(SUBSTITUTE(SUBSTITUTE(SUBSTITUTE(INDEX(貼り付け!$A$1:$BZ$3001,1248,$D$1)&amp;"",",",""),"¥",""),"￥","")),0))</f>
        <v/>
      </c>
      <c r="E1249">
        <f>IF($E$1=0,0,IFERROR(VALUE(SUBSTITUTE(SUBSTITUTE(SUBSTITUTE(INDEX(貼り付け!$A$1:$BZ$3001,1248,$E$1)&amp;"",",",""),"¥",""),"￥","")),0))</f>
        <v/>
      </c>
      <c r="F1249">
        <f>IF($F$1=0,0,IFERROR(VALUE(SUBSTITUTE(SUBSTITUTE(SUBSTITUTE(INDEX(貼り付け!$A$1:$BZ$3001,1248,$F$1)&amp;"",",",""),"¥",""),"￥","")),0))</f>
        <v/>
      </c>
      <c r="G1249">
        <f>IF(ISNUMBER(B1249),YEAR(B1249),"")</f>
        <v/>
      </c>
      <c r="H1249">
        <f>IF(ISNUMBER(B1249),MONTH(B1249),"")</f>
        <v/>
      </c>
      <c r="I1249">
        <f>IFERROR(IF($B$1=0,"",IF(ISNUMBER(INDEX(貼り付け!$A$1:$BZ$3001,1248,$B$1)),"",SUBSTITUTE(SUBSTITUTE(SUBSTITUTE(SUBSTITUTE(TRIM(LEFT(INDEX(貼り付け!$A$1:$BZ$3001,1248,$B$1)&amp;"",FIND(" ",TRIM(INDEX(貼り付け!$A$1:$BZ$3001,1248,$B$1)&amp;"")&amp;" ")-1)),"/","-"),"年","-"),"月","-"),"日",""))),"")</f>
        <v/>
      </c>
      <c r="J1249">
        <f>IFERROR(MID(I1249,FIND("-",I1249)+1,99),"")</f>
        <v/>
      </c>
    </row>
    <row r="1250">
      <c r="B1250">
        <f>IFERROR(IF($B$1=0,"",IF(INDEX(貼り付け!$A$1:$BZ$3001,1249,$B$1)="","",IF(ISNUMBER(INDEX(貼り付け!$A$1:$BZ$3001,1249,$B$1)),INT(INDEX(貼り付け!$A$1:$BZ$3001,1249,$B$1)),DATE(VALUE(LEFT(I1250,FIND("-",I1250)-1)),VALUE(LEFT(J1250,FIND("-",J1250)-1)),VALUE(MID(J1250,FIND("-",J1250)+1,99)))))),"")</f>
        <v/>
      </c>
      <c r="C1250">
        <f>IF($C$1=0,0,IFERROR(VALUE(SUBSTITUTE(SUBSTITUTE(SUBSTITUTE(INDEX(貼り付け!$A$1:$BZ$3001,1249,$C$1)&amp;"",",",""),"¥",""),"￥","")),0))</f>
        <v/>
      </c>
      <c r="D1250">
        <f>IF($D$1=0,0,IFERROR(VALUE(SUBSTITUTE(SUBSTITUTE(SUBSTITUTE(INDEX(貼り付け!$A$1:$BZ$3001,1249,$D$1)&amp;"",",",""),"¥",""),"￥","")),0))</f>
        <v/>
      </c>
      <c r="E1250">
        <f>IF($E$1=0,0,IFERROR(VALUE(SUBSTITUTE(SUBSTITUTE(SUBSTITUTE(INDEX(貼り付け!$A$1:$BZ$3001,1249,$E$1)&amp;"",",",""),"¥",""),"￥","")),0))</f>
        <v/>
      </c>
      <c r="F1250">
        <f>IF($F$1=0,0,IFERROR(VALUE(SUBSTITUTE(SUBSTITUTE(SUBSTITUTE(INDEX(貼り付け!$A$1:$BZ$3001,1249,$F$1)&amp;"",",",""),"¥",""),"￥","")),0))</f>
        <v/>
      </c>
      <c r="G1250">
        <f>IF(ISNUMBER(B1250),YEAR(B1250),"")</f>
        <v/>
      </c>
      <c r="H1250">
        <f>IF(ISNUMBER(B1250),MONTH(B1250),"")</f>
        <v/>
      </c>
      <c r="I1250">
        <f>IFERROR(IF($B$1=0,"",IF(ISNUMBER(INDEX(貼り付け!$A$1:$BZ$3001,1249,$B$1)),"",SUBSTITUTE(SUBSTITUTE(SUBSTITUTE(SUBSTITUTE(TRIM(LEFT(INDEX(貼り付け!$A$1:$BZ$3001,1249,$B$1)&amp;"",FIND(" ",TRIM(INDEX(貼り付け!$A$1:$BZ$3001,1249,$B$1)&amp;"")&amp;" ")-1)),"/","-"),"年","-"),"月","-"),"日",""))),"")</f>
        <v/>
      </c>
      <c r="J1250">
        <f>IFERROR(MID(I1250,FIND("-",I1250)+1,99),"")</f>
        <v/>
      </c>
    </row>
    <row r="1251">
      <c r="B1251">
        <f>IFERROR(IF($B$1=0,"",IF(INDEX(貼り付け!$A$1:$BZ$3001,1250,$B$1)="","",IF(ISNUMBER(INDEX(貼り付け!$A$1:$BZ$3001,1250,$B$1)),INT(INDEX(貼り付け!$A$1:$BZ$3001,1250,$B$1)),DATE(VALUE(LEFT(I1251,FIND("-",I1251)-1)),VALUE(LEFT(J1251,FIND("-",J1251)-1)),VALUE(MID(J1251,FIND("-",J1251)+1,99)))))),"")</f>
        <v/>
      </c>
      <c r="C1251">
        <f>IF($C$1=0,0,IFERROR(VALUE(SUBSTITUTE(SUBSTITUTE(SUBSTITUTE(INDEX(貼り付け!$A$1:$BZ$3001,1250,$C$1)&amp;"",",",""),"¥",""),"￥","")),0))</f>
        <v/>
      </c>
      <c r="D1251">
        <f>IF($D$1=0,0,IFERROR(VALUE(SUBSTITUTE(SUBSTITUTE(SUBSTITUTE(INDEX(貼り付け!$A$1:$BZ$3001,1250,$D$1)&amp;"",",",""),"¥",""),"￥","")),0))</f>
        <v/>
      </c>
      <c r="E1251">
        <f>IF($E$1=0,0,IFERROR(VALUE(SUBSTITUTE(SUBSTITUTE(SUBSTITUTE(INDEX(貼り付け!$A$1:$BZ$3001,1250,$E$1)&amp;"",",",""),"¥",""),"￥","")),0))</f>
        <v/>
      </c>
      <c r="F1251">
        <f>IF($F$1=0,0,IFERROR(VALUE(SUBSTITUTE(SUBSTITUTE(SUBSTITUTE(INDEX(貼り付け!$A$1:$BZ$3001,1250,$F$1)&amp;"",",",""),"¥",""),"￥","")),0))</f>
        <v/>
      </c>
      <c r="G1251">
        <f>IF(ISNUMBER(B1251),YEAR(B1251),"")</f>
        <v/>
      </c>
      <c r="H1251">
        <f>IF(ISNUMBER(B1251),MONTH(B1251),"")</f>
        <v/>
      </c>
      <c r="I1251">
        <f>IFERROR(IF($B$1=0,"",IF(ISNUMBER(INDEX(貼り付け!$A$1:$BZ$3001,1250,$B$1)),"",SUBSTITUTE(SUBSTITUTE(SUBSTITUTE(SUBSTITUTE(TRIM(LEFT(INDEX(貼り付け!$A$1:$BZ$3001,1250,$B$1)&amp;"",FIND(" ",TRIM(INDEX(貼り付け!$A$1:$BZ$3001,1250,$B$1)&amp;"")&amp;" ")-1)),"/","-"),"年","-"),"月","-"),"日",""))),"")</f>
        <v/>
      </c>
      <c r="J1251">
        <f>IFERROR(MID(I1251,FIND("-",I1251)+1,99),"")</f>
        <v/>
      </c>
    </row>
    <row r="1252">
      <c r="B1252">
        <f>IFERROR(IF($B$1=0,"",IF(INDEX(貼り付け!$A$1:$BZ$3001,1251,$B$1)="","",IF(ISNUMBER(INDEX(貼り付け!$A$1:$BZ$3001,1251,$B$1)),INT(INDEX(貼り付け!$A$1:$BZ$3001,1251,$B$1)),DATE(VALUE(LEFT(I1252,FIND("-",I1252)-1)),VALUE(LEFT(J1252,FIND("-",J1252)-1)),VALUE(MID(J1252,FIND("-",J1252)+1,99)))))),"")</f>
        <v/>
      </c>
      <c r="C1252">
        <f>IF($C$1=0,0,IFERROR(VALUE(SUBSTITUTE(SUBSTITUTE(SUBSTITUTE(INDEX(貼り付け!$A$1:$BZ$3001,1251,$C$1)&amp;"",",",""),"¥",""),"￥","")),0))</f>
        <v/>
      </c>
      <c r="D1252">
        <f>IF($D$1=0,0,IFERROR(VALUE(SUBSTITUTE(SUBSTITUTE(SUBSTITUTE(INDEX(貼り付け!$A$1:$BZ$3001,1251,$D$1)&amp;"",",",""),"¥",""),"￥","")),0))</f>
        <v/>
      </c>
      <c r="E1252">
        <f>IF($E$1=0,0,IFERROR(VALUE(SUBSTITUTE(SUBSTITUTE(SUBSTITUTE(INDEX(貼り付け!$A$1:$BZ$3001,1251,$E$1)&amp;"",",",""),"¥",""),"￥","")),0))</f>
        <v/>
      </c>
      <c r="F1252">
        <f>IF($F$1=0,0,IFERROR(VALUE(SUBSTITUTE(SUBSTITUTE(SUBSTITUTE(INDEX(貼り付け!$A$1:$BZ$3001,1251,$F$1)&amp;"",",",""),"¥",""),"￥","")),0))</f>
        <v/>
      </c>
      <c r="G1252">
        <f>IF(ISNUMBER(B1252),YEAR(B1252),"")</f>
        <v/>
      </c>
      <c r="H1252">
        <f>IF(ISNUMBER(B1252),MONTH(B1252),"")</f>
        <v/>
      </c>
      <c r="I1252">
        <f>IFERROR(IF($B$1=0,"",IF(ISNUMBER(INDEX(貼り付け!$A$1:$BZ$3001,1251,$B$1)),"",SUBSTITUTE(SUBSTITUTE(SUBSTITUTE(SUBSTITUTE(TRIM(LEFT(INDEX(貼り付け!$A$1:$BZ$3001,1251,$B$1)&amp;"",FIND(" ",TRIM(INDEX(貼り付け!$A$1:$BZ$3001,1251,$B$1)&amp;"")&amp;" ")-1)),"/","-"),"年","-"),"月","-"),"日",""))),"")</f>
        <v/>
      </c>
      <c r="J1252">
        <f>IFERROR(MID(I1252,FIND("-",I1252)+1,99),"")</f>
        <v/>
      </c>
    </row>
    <row r="1253">
      <c r="B1253">
        <f>IFERROR(IF($B$1=0,"",IF(INDEX(貼り付け!$A$1:$BZ$3001,1252,$B$1)="","",IF(ISNUMBER(INDEX(貼り付け!$A$1:$BZ$3001,1252,$B$1)),INT(INDEX(貼り付け!$A$1:$BZ$3001,1252,$B$1)),DATE(VALUE(LEFT(I1253,FIND("-",I1253)-1)),VALUE(LEFT(J1253,FIND("-",J1253)-1)),VALUE(MID(J1253,FIND("-",J1253)+1,99)))))),"")</f>
        <v/>
      </c>
      <c r="C1253">
        <f>IF($C$1=0,0,IFERROR(VALUE(SUBSTITUTE(SUBSTITUTE(SUBSTITUTE(INDEX(貼り付け!$A$1:$BZ$3001,1252,$C$1)&amp;"",",",""),"¥",""),"￥","")),0))</f>
        <v/>
      </c>
      <c r="D1253">
        <f>IF($D$1=0,0,IFERROR(VALUE(SUBSTITUTE(SUBSTITUTE(SUBSTITUTE(INDEX(貼り付け!$A$1:$BZ$3001,1252,$D$1)&amp;"",",",""),"¥",""),"￥","")),0))</f>
        <v/>
      </c>
      <c r="E1253">
        <f>IF($E$1=0,0,IFERROR(VALUE(SUBSTITUTE(SUBSTITUTE(SUBSTITUTE(INDEX(貼り付け!$A$1:$BZ$3001,1252,$E$1)&amp;"",",",""),"¥",""),"￥","")),0))</f>
        <v/>
      </c>
      <c r="F1253">
        <f>IF($F$1=0,0,IFERROR(VALUE(SUBSTITUTE(SUBSTITUTE(SUBSTITUTE(INDEX(貼り付け!$A$1:$BZ$3001,1252,$F$1)&amp;"",",",""),"¥",""),"￥","")),0))</f>
        <v/>
      </c>
      <c r="G1253">
        <f>IF(ISNUMBER(B1253),YEAR(B1253),"")</f>
        <v/>
      </c>
      <c r="H1253">
        <f>IF(ISNUMBER(B1253),MONTH(B1253),"")</f>
        <v/>
      </c>
      <c r="I1253">
        <f>IFERROR(IF($B$1=0,"",IF(ISNUMBER(INDEX(貼り付け!$A$1:$BZ$3001,1252,$B$1)),"",SUBSTITUTE(SUBSTITUTE(SUBSTITUTE(SUBSTITUTE(TRIM(LEFT(INDEX(貼り付け!$A$1:$BZ$3001,1252,$B$1)&amp;"",FIND(" ",TRIM(INDEX(貼り付け!$A$1:$BZ$3001,1252,$B$1)&amp;"")&amp;" ")-1)),"/","-"),"年","-"),"月","-"),"日",""))),"")</f>
        <v/>
      </c>
      <c r="J1253">
        <f>IFERROR(MID(I1253,FIND("-",I1253)+1,99),"")</f>
        <v/>
      </c>
    </row>
    <row r="1254">
      <c r="B1254">
        <f>IFERROR(IF($B$1=0,"",IF(INDEX(貼り付け!$A$1:$BZ$3001,1253,$B$1)="","",IF(ISNUMBER(INDEX(貼り付け!$A$1:$BZ$3001,1253,$B$1)),INT(INDEX(貼り付け!$A$1:$BZ$3001,1253,$B$1)),DATE(VALUE(LEFT(I1254,FIND("-",I1254)-1)),VALUE(LEFT(J1254,FIND("-",J1254)-1)),VALUE(MID(J1254,FIND("-",J1254)+1,99)))))),"")</f>
        <v/>
      </c>
      <c r="C1254">
        <f>IF($C$1=0,0,IFERROR(VALUE(SUBSTITUTE(SUBSTITUTE(SUBSTITUTE(INDEX(貼り付け!$A$1:$BZ$3001,1253,$C$1)&amp;"",",",""),"¥",""),"￥","")),0))</f>
        <v/>
      </c>
      <c r="D1254">
        <f>IF($D$1=0,0,IFERROR(VALUE(SUBSTITUTE(SUBSTITUTE(SUBSTITUTE(INDEX(貼り付け!$A$1:$BZ$3001,1253,$D$1)&amp;"",",",""),"¥",""),"￥","")),0))</f>
        <v/>
      </c>
      <c r="E1254">
        <f>IF($E$1=0,0,IFERROR(VALUE(SUBSTITUTE(SUBSTITUTE(SUBSTITUTE(INDEX(貼り付け!$A$1:$BZ$3001,1253,$E$1)&amp;"",",",""),"¥",""),"￥","")),0))</f>
        <v/>
      </c>
      <c r="F1254">
        <f>IF($F$1=0,0,IFERROR(VALUE(SUBSTITUTE(SUBSTITUTE(SUBSTITUTE(INDEX(貼り付け!$A$1:$BZ$3001,1253,$F$1)&amp;"",",",""),"¥",""),"￥","")),0))</f>
        <v/>
      </c>
      <c r="G1254">
        <f>IF(ISNUMBER(B1254),YEAR(B1254),"")</f>
        <v/>
      </c>
      <c r="H1254">
        <f>IF(ISNUMBER(B1254),MONTH(B1254),"")</f>
        <v/>
      </c>
      <c r="I1254">
        <f>IFERROR(IF($B$1=0,"",IF(ISNUMBER(INDEX(貼り付け!$A$1:$BZ$3001,1253,$B$1)),"",SUBSTITUTE(SUBSTITUTE(SUBSTITUTE(SUBSTITUTE(TRIM(LEFT(INDEX(貼り付け!$A$1:$BZ$3001,1253,$B$1)&amp;"",FIND(" ",TRIM(INDEX(貼り付け!$A$1:$BZ$3001,1253,$B$1)&amp;"")&amp;" ")-1)),"/","-"),"年","-"),"月","-"),"日",""))),"")</f>
        <v/>
      </c>
      <c r="J1254">
        <f>IFERROR(MID(I1254,FIND("-",I1254)+1,99),"")</f>
        <v/>
      </c>
    </row>
    <row r="1255">
      <c r="B1255">
        <f>IFERROR(IF($B$1=0,"",IF(INDEX(貼り付け!$A$1:$BZ$3001,1254,$B$1)="","",IF(ISNUMBER(INDEX(貼り付け!$A$1:$BZ$3001,1254,$B$1)),INT(INDEX(貼り付け!$A$1:$BZ$3001,1254,$B$1)),DATE(VALUE(LEFT(I1255,FIND("-",I1255)-1)),VALUE(LEFT(J1255,FIND("-",J1255)-1)),VALUE(MID(J1255,FIND("-",J1255)+1,99)))))),"")</f>
        <v/>
      </c>
      <c r="C1255">
        <f>IF($C$1=0,0,IFERROR(VALUE(SUBSTITUTE(SUBSTITUTE(SUBSTITUTE(INDEX(貼り付け!$A$1:$BZ$3001,1254,$C$1)&amp;"",",",""),"¥",""),"￥","")),0))</f>
        <v/>
      </c>
      <c r="D1255">
        <f>IF($D$1=0,0,IFERROR(VALUE(SUBSTITUTE(SUBSTITUTE(SUBSTITUTE(INDEX(貼り付け!$A$1:$BZ$3001,1254,$D$1)&amp;"",",",""),"¥",""),"￥","")),0))</f>
        <v/>
      </c>
      <c r="E1255">
        <f>IF($E$1=0,0,IFERROR(VALUE(SUBSTITUTE(SUBSTITUTE(SUBSTITUTE(INDEX(貼り付け!$A$1:$BZ$3001,1254,$E$1)&amp;"",",",""),"¥",""),"￥","")),0))</f>
        <v/>
      </c>
      <c r="F1255">
        <f>IF($F$1=0,0,IFERROR(VALUE(SUBSTITUTE(SUBSTITUTE(SUBSTITUTE(INDEX(貼り付け!$A$1:$BZ$3001,1254,$F$1)&amp;"",",",""),"¥",""),"￥","")),0))</f>
        <v/>
      </c>
      <c r="G1255">
        <f>IF(ISNUMBER(B1255),YEAR(B1255),"")</f>
        <v/>
      </c>
      <c r="H1255">
        <f>IF(ISNUMBER(B1255),MONTH(B1255),"")</f>
        <v/>
      </c>
      <c r="I1255">
        <f>IFERROR(IF($B$1=0,"",IF(ISNUMBER(INDEX(貼り付け!$A$1:$BZ$3001,1254,$B$1)),"",SUBSTITUTE(SUBSTITUTE(SUBSTITUTE(SUBSTITUTE(TRIM(LEFT(INDEX(貼り付け!$A$1:$BZ$3001,1254,$B$1)&amp;"",FIND(" ",TRIM(INDEX(貼り付け!$A$1:$BZ$3001,1254,$B$1)&amp;"")&amp;" ")-1)),"/","-"),"年","-"),"月","-"),"日",""))),"")</f>
        <v/>
      </c>
      <c r="J1255">
        <f>IFERROR(MID(I1255,FIND("-",I1255)+1,99),"")</f>
        <v/>
      </c>
    </row>
    <row r="1256">
      <c r="B1256">
        <f>IFERROR(IF($B$1=0,"",IF(INDEX(貼り付け!$A$1:$BZ$3001,1255,$B$1)="","",IF(ISNUMBER(INDEX(貼り付け!$A$1:$BZ$3001,1255,$B$1)),INT(INDEX(貼り付け!$A$1:$BZ$3001,1255,$B$1)),DATE(VALUE(LEFT(I1256,FIND("-",I1256)-1)),VALUE(LEFT(J1256,FIND("-",J1256)-1)),VALUE(MID(J1256,FIND("-",J1256)+1,99)))))),"")</f>
        <v/>
      </c>
      <c r="C1256">
        <f>IF($C$1=0,0,IFERROR(VALUE(SUBSTITUTE(SUBSTITUTE(SUBSTITUTE(INDEX(貼り付け!$A$1:$BZ$3001,1255,$C$1)&amp;"",",",""),"¥",""),"￥","")),0))</f>
        <v/>
      </c>
      <c r="D1256">
        <f>IF($D$1=0,0,IFERROR(VALUE(SUBSTITUTE(SUBSTITUTE(SUBSTITUTE(INDEX(貼り付け!$A$1:$BZ$3001,1255,$D$1)&amp;"",",",""),"¥",""),"￥","")),0))</f>
        <v/>
      </c>
      <c r="E1256">
        <f>IF($E$1=0,0,IFERROR(VALUE(SUBSTITUTE(SUBSTITUTE(SUBSTITUTE(INDEX(貼り付け!$A$1:$BZ$3001,1255,$E$1)&amp;"",",",""),"¥",""),"￥","")),0))</f>
        <v/>
      </c>
      <c r="F1256">
        <f>IF($F$1=0,0,IFERROR(VALUE(SUBSTITUTE(SUBSTITUTE(SUBSTITUTE(INDEX(貼り付け!$A$1:$BZ$3001,1255,$F$1)&amp;"",",",""),"¥",""),"￥","")),0))</f>
        <v/>
      </c>
      <c r="G1256">
        <f>IF(ISNUMBER(B1256),YEAR(B1256),"")</f>
        <v/>
      </c>
      <c r="H1256">
        <f>IF(ISNUMBER(B1256),MONTH(B1256),"")</f>
        <v/>
      </c>
      <c r="I1256">
        <f>IFERROR(IF($B$1=0,"",IF(ISNUMBER(INDEX(貼り付け!$A$1:$BZ$3001,1255,$B$1)),"",SUBSTITUTE(SUBSTITUTE(SUBSTITUTE(SUBSTITUTE(TRIM(LEFT(INDEX(貼り付け!$A$1:$BZ$3001,1255,$B$1)&amp;"",FIND(" ",TRIM(INDEX(貼り付け!$A$1:$BZ$3001,1255,$B$1)&amp;"")&amp;" ")-1)),"/","-"),"年","-"),"月","-"),"日",""))),"")</f>
        <v/>
      </c>
      <c r="J1256">
        <f>IFERROR(MID(I1256,FIND("-",I1256)+1,99),"")</f>
        <v/>
      </c>
    </row>
    <row r="1257">
      <c r="B1257">
        <f>IFERROR(IF($B$1=0,"",IF(INDEX(貼り付け!$A$1:$BZ$3001,1256,$B$1)="","",IF(ISNUMBER(INDEX(貼り付け!$A$1:$BZ$3001,1256,$B$1)),INT(INDEX(貼り付け!$A$1:$BZ$3001,1256,$B$1)),DATE(VALUE(LEFT(I1257,FIND("-",I1257)-1)),VALUE(LEFT(J1257,FIND("-",J1257)-1)),VALUE(MID(J1257,FIND("-",J1257)+1,99)))))),"")</f>
        <v/>
      </c>
      <c r="C1257">
        <f>IF($C$1=0,0,IFERROR(VALUE(SUBSTITUTE(SUBSTITUTE(SUBSTITUTE(INDEX(貼り付け!$A$1:$BZ$3001,1256,$C$1)&amp;"",",",""),"¥",""),"￥","")),0))</f>
        <v/>
      </c>
      <c r="D1257">
        <f>IF($D$1=0,0,IFERROR(VALUE(SUBSTITUTE(SUBSTITUTE(SUBSTITUTE(INDEX(貼り付け!$A$1:$BZ$3001,1256,$D$1)&amp;"",",",""),"¥",""),"￥","")),0))</f>
        <v/>
      </c>
      <c r="E1257">
        <f>IF($E$1=0,0,IFERROR(VALUE(SUBSTITUTE(SUBSTITUTE(SUBSTITUTE(INDEX(貼り付け!$A$1:$BZ$3001,1256,$E$1)&amp;"",",",""),"¥",""),"￥","")),0))</f>
        <v/>
      </c>
      <c r="F1257">
        <f>IF($F$1=0,0,IFERROR(VALUE(SUBSTITUTE(SUBSTITUTE(SUBSTITUTE(INDEX(貼り付け!$A$1:$BZ$3001,1256,$F$1)&amp;"",",",""),"¥",""),"￥","")),0))</f>
        <v/>
      </c>
      <c r="G1257">
        <f>IF(ISNUMBER(B1257),YEAR(B1257),"")</f>
        <v/>
      </c>
      <c r="H1257">
        <f>IF(ISNUMBER(B1257),MONTH(B1257),"")</f>
        <v/>
      </c>
      <c r="I1257">
        <f>IFERROR(IF($B$1=0,"",IF(ISNUMBER(INDEX(貼り付け!$A$1:$BZ$3001,1256,$B$1)),"",SUBSTITUTE(SUBSTITUTE(SUBSTITUTE(SUBSTITUTE(TRIM(LEFT(INDEX(貼り付け!$A$1:$BZ$3001,1256,$B$1)&amp;"",FIND(" ",TRIM(INDEX(貼り付け!$A$1:$BZ$3001,1256,$B$1)&amp;"")&amp;" ")-1)),"/","-"),"年","-"),"月","-"),"日",""))),"")</f>
        <v/>
      </c>
      <c r="J1257">
        <f>IFERROR(MID(I1257,FIND("-",I1257)+1,99),"")</f>
        <v/>
      </c>
    </row>
    <row r="1258">
      <c r="B1258">
        <f>IFERROR(IF($B$1=0,"",IF(INDEX(貼り付け!$A$1:$BZ$3001,1257,$B$1)="","",IF(ISNUMBER(INDEX(貼り付け!$A$1:$BZ$3001,1257,$B$1)),INT(INDEX(貼り付け!$A$1:$BZ$3001,1257,$B$1)),DATE(VALUE(LEFT(I1258,FIND("-",I1258)-1)),VALUE(LEFT(J1258,FIND("-",J1258)-1)),VALUE(MID(J1258,FIND("-",J1258)+1,99)))))),"")</f>
        <v/>
      </c>
      <c r="C1258">
        <f>IF($C$1=0,0,IFERROR(VALUE(SUBSTITUTE(SUBSTITUTE(SUBSTITUTE(INDEX(貼り付け!$A$1:$BZ$3001,1257,$C$1)&amp;"",",",""),"¥",""),"￥","")),0))</f>
        <v/>
      </c>
      <c r="D1258">
        <f>IF($D$1=0,0,IFERROR(VALUE(SUBSTITUTE(SUBSTITUTE(SUBSTITUTE(INDEX(貼り付け!$A$1:$BZ$3001,1257,$D$1)&amp;"",",",""),"¥",""),"￥","")),0))</f>
        <v/>
      </c>
      <c r="E1258">
        <f>IF($E$1=0,0,IFERROR(VALUE(SUBSTITUTE(SUBSTITUTE(SUBSTITUTE(INDEX(貼り付け!$A$1:$BZ$3001,1257,$E$1)&amp;"",",",""),"¥",""),"￥","")),0))</f>
        <v/>
      </c>
      <c r="F1258">
        <f>IF($F$1=0,0,IFERROR(VALUE(SUBSTITUTE(SUBSTITUTE(SUBSTITUTE(INDEX(貼り付け!$A$1:$BZ$3001,1257,$F$1)&amp;"",",",""),"¥",""),"￥","")),0))</f>
        <v/>
      </c>
      <c r="G1258">
        <f>IF(ISNUMBER(B1258),YEAR(B1258),"")</f>
        <v/>
      </c>
      <c r="H1258">
        <f>IF(ISNUMBER(B1258),MONTH(B1258),"")</f>
        <v/>
      </c>
      <c r="I1258">
        <f>IFERROR(IF($B$1=0,"",IF(ISNUMBER(INDEX(貼り付け!$A$1:$BZ$3001,1257,$B$1)),"",SUBSTITUTE(SUBSTITUTE(SUBSTITUTE(SUBSTITUTE(TRIM(LEFT(INDEX(貼り付け!$A$1:$BZ$3001,1257,$B$1)&amp;"",FIND(" ",TRIM(INDEX(貼り付け!$A$1:$BZ$3001,1257,$B$1)&amp;"")&amp;" ")-1)),"/","-"),"年","-"),"月","-"),"日",""))),"")</f>
        <v/>
      </c>
      <c r="J1258">
        <f>IFERROR(MID(I1258,FIND("-",I1258)+1,99),"")</f>
        <v/>
      </c>
    </row>
    <row r="1259">
      <c r="B1259">
        <f>IFERROR(IF($B$1=0,"",IF(INDEX(貼り付け!$A$1:$BZ$3001,1258,$B$1)="","",IF(ISNUMBER(INDEX(貼り付け!$A$1:$BZ$3001,1258,$B$1)),INT(INDEX(貼り付け!$A$1:$BZ$3001,1258,$B$1)),DATE(VALUE(LEFT(I1259,FIND("-",I1259)-1)),VALUE(LEFT(J1259,FIND("-",J1259)-1)),VALUE(MID(J1259,FIND("-",J1259)+1,99)))))),"")</f>
        <v/>
      </c>
      <c r="C1259">
        <f>IF($C$1=0,0,IFERROR(VALUE(SUBSTITUTE(SUBSTITUTE(SUBSTITUTE(INDEX(貼り付け!$A$1:$BZ$3001,1258,$C$1)&amp;"",",",""),"¥",""),"￥","")),0))</f>
        <v/>
      </c>
      <c r="D1259">
        <f>IF($D$1=0,0,IFERROR(VALUE(SUBSTITUTE(SUBSTITUTE(SUBSTITUTE(INDEX(貼り付け!$A$1:$BZ$3001,1258,$D$1)&amp;"",",",""),"¥",""),"￥","")),0))</f>
        <v/>
      </c>
      <c r="E1259">
        <f>IF($E$1=0,0,IFERROR(VALUE(SUBSTITUTE(SUBSTITUTE(SUBSTITUTE(INDEX(貼り付け!$A$1:$BZ$3001,1258,$E$1)&amp;"",",",""),"¥",""),"￥","")),0))</f>
        <v/>
      </c>
      <c r="F1259">
        <f>IF($F$1=0,0,IFERROR(VALUE(SUBSTITUTE(SUBSTITUTE(SUBSTITUTE(INDEX(貼り付け!$A$1:$BZ$3001,1258,$F$1)&amp;"",",",""),"¥",""),"￥","")),0))</f>
        <v/>
      </c>
      <c r="G1259">
        <f>IF(ISNUMBER(B1259),YEAR(B1259),"")</f>
        <v/>
      </c>
      <c r="H1259">
        <f>IF(ISNUMBER(B1259),MONTH(B1259),"")</f>
        <v/>
      </c>
      <c r="I1259">
        <f>IFERROR(IF($B$1=0,"",IF(ISNUMBER(INDEX(貼り付け!$A$1:$BZ$3001,1258,$B$1)),"",SUBSTITUTE(SUBSTITUTE(SUBSTITUTE(SUBSTITUTE(TRIM(LEFT(INDEX(貼り付け!$A$1:$BZ$3001,1258,$B$1)&amp;"",FIND(" ",TRIM(INDEX(貼り付け!$A$1:$BZ$3001,1258,$B$1)&amp;"")&amp;" ")-1)),"/","-"),"年","-"),"月","-"),"日",""))),"")</f>
        <v/>
      </c>
      <c r="J1259">
        <f>IFERROR(MID(I1259,FIND("-",I1259)+1,99),"")</f>
        <v/>
      </c>
    </row>
    <row r="1260">
      <c r="B1260">
        <f>IFERROR(IF($B$1=0,"",IF(INDEX(貼り付け!$A$1:$BZ$3001,1259,$B$1)="","",IF(ISNUMBER(INDEX(貼り付け!$A$1:$BZ$3001,1259,$B$1)),INT(INDEX(貼り付け!$A$1:$BZ$3001,1259,$B$1)),DATE(VALUE(LEFT(I1260,FIND("-",I1260)-1)),VALUE(LEFT(J1260,FIND("-",J1260)-1)),VALUE(MID(J1260,FIND("-",J1260)+1,99)))))),"")</f>
        <v/>
      </c>
      <c r="C1260">
        <f>IF($C$1=0,0,IFERROR(VALUE(SUBSTITUTE(SUBSTITUTE(SUBSTITUTE(INDEX(貼り付け!$A$1:$BZ$3001,1259,$C$1)&amp;"",",",""),"¥",""),"￥","")),0))</f>
        <v/>
      </c>
      <c r="D1260">
        <f>IF($D$1=0,0,IFERROR(VALUE(SUBSTITUTE(SUBSTITUTE(SUBSTITUTE(INDEX(貼り付け!$A$1:$BZ$3001,1259,$D$1)&amp;"",",",""),"¥",""),"￥","")),0))</f>
        <v/>
      </c>
      <c r="E1260">
        <f>IF($E$1=0,0,IFERROR(VALUE(SUBSTITUTE(SUBSTITUTE(SUBSTITUTE(INDEX(貼り付け!$A$1:$BZ$3001,1259,$E$1)&amp;"",",",""),"¥",""),"￥","")),0))</f>
        <v/>
      </c>
      <c r="F1260">
        <f>IF($F$1=0,0,IFERROR(VALUE(SUBSTITUTE(SUBSTITUTE(SUBSTITUTE(INDEX(貼り付け!$A$1:$BZ$3001,1259,$F$1)&amp;"",",",""),"¥",""),"￥","")),0))</f>
        <v/>
      </c>
      <c r="G1260">
        <f>IF(ISNUMBER(B1260),YEAR(B1260),"")</f>
        <v/>
      </c>
      <c r="H1260">
        <f>IF(ISNUMBER(B1260),MONTH(B1260),"")</f>
        <v/>
      </c>
      <c r="I1260">
        <f>IFERROR(IF($B$1=0,"",IF(ISNUMBER(INDEX(貼り付け!$A$1:$BZ$3001,1259,$B$1)),"",SUBSTITUTE(SUBSTITUTE(SUBSTITUTE(SUBSTITUTE(TRIM(LEFT(INDEX(貼り付け!$A$1:$BZ$3001,1259,$B$1)&amp;"",FIND(" ",TRIM(INDEX(貼り付け!$A$1:$BZ$3001,1259,$B$1)&amp;"")&amp;" ")-1)),"/","-"),"年","-"),"月","-"),"日",""))),"")</f>
        <v/>
      </c>
      <c r="J1260">
        <f>IFERROR(MID(I1260,FIND("-",I1260)+1,99),"")</f>
        <v/>
      </c>
    </row>
    <row r="1261">
      <c r="B1261">
        <f>IFERROR(IF($B$1=0,"",IF(INDEX(貼り付け!$A$1:$BZ$3001,1260,$B$1)="","",IF(ISNUMBER(INDEX(貼り付け!$A$1:$BZ$3001,1260,$B$1)),INT(INDEX(貼り付け!$A$1:$BZ$3001,1260,$B$1)),DATE(VALUE(LEFT(I1261,FIND("-",I1261)-1)),VALUE(LEFT(J1261,FIND("-",J1261)-1)),VALUE(MID(J1261,FIND("-",J1261)+1,99)))))),"")</f>
        <v/>
      </c>
      <c r="C1261">
        <f>IF($C$1=0,0,IFERROR(VALUE(SUBSTITUTE(SUBSTITUTE(SUBSTITUTE(INDEX(貼り付け!$A$1:$BZ$3001,1260,$C$1)&amp;"",",",""),"¥",""),"￥","")),0))</f>
        <v/>
      </c>
      <c r="D1261">
        <f>IF($D$1=0,0,IFERROR(VALUE(SUBSTITUTE(SUBSTITUTE(SUBSTITUTE(INDEX(貼り付け!$A$1:$BZ$3001,1260,$D$1)&amp;"",",",""),"¥",""),"￥","")),0))</f>
        <v/>
      </c>
      <c r="E1261">
        <f>IF($E$1=0,0,IFERROR(VALUE(SUBSTITUTE(SUBSTITUTE(SUBSTITUTE(INDEX(貼り付け!$A$1:$BZ$3001,1260,$E$1)&amp;"",",",""),"¥",""),"￥","")),0))</f>
        <v/>
      </c>
      <c r="F1261">
        <f>IF($F$1=0,0,IFERROR(VALUE(SUBSTITUTE(SUBSTITUTE(SUBSTITUTE(INDEX(貼り付け!$A$1:$BZ$3001,1260,$F$1)&amp;"",",",""),"¥",""),"￥","")),0))</f>
        <v/>
      </c>
      <c r="G1261">
        <f>IF(ISNUMBER(B1261),YEAR(B1261),"")</f>
        <v/>
      </c>
      <c r="H1261">
        <f>IF(ISNUMBER(B1261),MONTH(B1261),"")</f>
        <v/>
      </c>
      <c r="I1261">
        <f>IFERROR(IF($B$1=0,"",IF(ISNUMBER(INDEX(貼り付け!$A$1:$BZ$3001,1260,$B$1)),"",SUBSTITUTE(SUBSTITUTE(SUBSTITUTE(SUBSTITUTE(TRIM(LEFT(INDEX(貼り付け!$A$1:$BZ$3001,1260,$B$1)&amp;"",FIND(" ",TRIM(INDEX(貼り付け!$A$1:$BZ$3001,1260,$B$1)&amp;"")&amp;" ")-1)),"/","-"),"年","-"),"月","-"),"日",""))),"")</f>
        <v/>
      </c>
      <c r="J1261">
        <f>IFERROR(MID(I1261,FIND("-",I1261)+1,99),"")</f>
        <v/>
      </c>
    </row>
    <row r="1262">
      <c r="B1262">
        <f>IFERROR(IF($B$1=0,"",IF(INDEX(貼り付け!$A$1:$BZ$3001,1261,$B$1)="","",IF(ISNUMBER(INDEX(貼り付け!$A$1:$BZ$3001,1261,$B$1)),INT(INDEX(貼り付け!$A$1:$BZ$3001,1261,$B$1)),DATE(VALUE(LEFT(I1262,FIND("-",I1262)-1)),VALUE(LEFT(J1262,FIND("-",J1262)-1)),VALUE(MID(J1262,FIND("-",J1262)+1,99)))))),"")</f>
        <v/>
      </c>
      <c r="C1262">
        <f>IF($C$1=0,0,IFERROR(VALUE(SUBSTITUTE(SUBSTITUTE(SUBSTITUTE(INDEX(貼り付け!$A$1:$BZ$3001,1261,$C$1)&amp;"",",",""),"¥",""),"￥","")),0))</f>
        <v/>
      </c>
      <c r="D1262">
        <f>IF($D$1=0,0,IFERROR(VALUE(SUBSTITUTE(SUBSTITUTE(SUBSTITUTE(INDEX(貼り付け!$A$1:$BZ$3001,1261,$D$1)&amp;"",",",""),"¥",""),"￥","")),0))</f>
        <v/>
      </c>
      <c r="E1262">
        <f>IF($E$1=0,0,IFERROR(VALUE(SUBSTITUTE(SUBSTITUTE(SUBSTITUTE(INDEX(貼り付け!$A$1:$BZ$3001,1261,$E$1)&amp;"",",",""),"¥",""),"￥","")),0))</f>
        <v/>
      </c>
      <c r="F1262">
        <f>IF($F$1=0,0,IFERROR(VALUE(SUBSTITUTE(SUBSTITUTE(SUBSTITUTE(INDEX(貼り付け!$A$1:$BZ$3001,1261,$F$1)&amp;"",",",""),"¥",""),"￥","")),0))</f>
        <v/>
      </c>
      <c r="G1262">
        <f>IF(ISNUMBER(B1262),YEAR(B1262),"")</f>
        <v/>
      </c>
      <c r="H1262">
        <f>IF(ISNUMBER(B1262),MONTH(B1262),"")</f>
        <v/>
      </c>
      <c r="I1262">
        <f>IFERROR(IF($B$1=0,"",IF(ISNUMBER(INDEX(貼り付け!$A$1:$BZ$3001,1261,$B$1)),"",SUBSTITUTE(SUBSTITUTE(SUBSTITUTE(SUBSTITUTE(TRIM(LEFT(INDEX(貼り付け!$A$1:$BZ$3001,1261,$B$1)&amp;"",FIND(" ",TRIM(INDEX(貼り付け!$A$1:$BZ$3001,1261,$B$1)&amp;"")&amp;" ")-1)),"/","-"),"年","-"),"月","-"),"日",""))),"")</f>
        <v/>
      </c>
      <c r="J1262">
        <f>IFERROR(MID(I1262,FIND("-",I1262)+1,99),"")</f>
        <v/>
      </c>
    </row>
    <row r="1263">
      <c r="B1263">
        <f>IFERROR(IF($B$1=0,"",IF(INDEX(貼り付け!$A$1:$BZ$3001,1262,$B$1)="","",IF(ISNUMBER(INDEX(貼り付け!$A$1:$BZ$3001,1262,$B$1)),INT(INDEX(貼り付け!$A$1:$BZ$3001,1262,$B$1)),DATE(VALUE(LEFT(I1263,FIND("-",I1263)-1)),VALUE(LEFT(J1263,FIND("-",J1263)-1)),VALUE(MID(J1263,FIND("-",J1263)+1,99)))))),"")</f>
        <v/>
      </c>
      <c r="C1263">
        <f>IF($C$1=0,0,IFERROR(VALUE(SUBSTITUTE(SUBSTITUTE(SUBSTITUTE(INDEX(貼り付け!$A$1:$BZ$3001,1262,$C$1)&amp;"",",",""),"¥",""),"￥","")),0))</f>
        <v/>
      </c>
      <c r="D1263">
        <f>IF($D$1=0,0,IFERROR(VALUE(SUBSTITUTE(SUBSTITUTE(SUBSTITUTE(INDEX(貼り付け!$A$1:$BZ$3001,1262,$D$1)&amp;"",",",""),"¥",""),"￥","")),0))</f>
        <v/>
      </c>
      <c r="E1263">
        <f>IF($E$1=0,0,IFERROR(VALUE(SUBSTITUTE(SUBSTITUTE(SUBSTITUTE(INDEX(貼り付け!$A$1:$BZ$3001,1262,$E$1)&amp;"",",",""),"¥",""),"￥","")),0))</f>
        <v/>
      </c>
      <c r="F1263">
        <f>IF($F$1=0,0,IFERROR(VALUE(SUBSTITUTE(SUBSTITUTE(SUBSTITUTE(INDEX(貼り付け!$A$1:$BZ$3001,1262,$F$1)&amp;"",",",""),"¥",""),"￥","")),0))</f>
        <v/>
      </c>
      <c r="G1263">
        <f>IF(ISNUMBER(B1263),YEAR(B1263),"")</f>
        <v/>
      </c>
      <c r="H1263">
        <f>IF(ISNUMBER(B1263),MONTH(B1263),"")</f>
        <v/>
      </c>
      <c r="I1263">
        <f>IFERROR(IF($B$1=0,"",IF(ISNUMBER(INDEX(貼り付け!$A$1:$BZ$3001,1262,$B$1)),"",SUBSTITUTE(SUBSTITUTE(SUBSTITUTE(SUBSTITUTE(TRIM(LEFT(INDEX(貼り付け!$A$1:$BZ$3001,1262,$B$1)&amp;"",FIND(" ",TRIM(INDEX(貼り付け!$A$1:$BZ$3001,1262,$B$1)&amp;"")&amp;" ")-1)),"/","-"),"年","-"),"月","-"),"日",""))),"")</f>
        <v/>
      </c>
      <c r="J1263">
        <f>IFERROR(MID(I1263,FIND("-",I1263)+1,99),"")</f>
        <v/>
      </c>
    </row>
    <row r="1264">
      <c r="B1264">
        <f>IFERROR(IF($B$1=0,"",IF(INDEX(貼り付け!$A$1:$BZ$3001,1263,$B$1)="","",IF(ISNUMBER(INDEX(貼り付け!$A$1:$BZ$3001,1263,$B$1)),INT(INDEX(貼り付け!$A$1:$BZ$3001,1263,$B$1)),DATE(VALUE(LEFT(I1264,FIND("-",I1264)-1)),VALUE(LEFT(J1264,FIND("-",J1264)-1)),VALUE(MID(J1264,FIND("-",J1264)+1,99)))))),"")</f>
        <v/>
      </c>
      <c r="C1264">
        <f>IF($C$1=0,0,IFERROR(VALUE(SUBSTITUTE(SUBSTITUTE(SUBSTITUTE(INDEX(貼り付け!$A$1:$BZ$3001,1263,$C$1)&amp;"",",",""),"¥",""),"￥","")),0))</f>
        <v/>
      </c>
      <c r="D1264">
        <f>IF($D$1=0,0,IFERROR(VALUE(SUBSTITUTE(SUBSTITUTE(SUBSTITUTE(INDEX(貼り付け!$A$1:$BZ$3001,1263,$D$1)&amp;"",",",""),"¥",""),"￥","")),0))</f>
        <v/>
      </c>
      <c r="E1264">
        <f>IF($E$1=0,0,IFERROR(VALUE(SUBSTITUTE(SUBSTITUTE(SUBSTITUTE(INDEX(貼り付け!$A$1:$BZ$3001,1263,$E$1)&amp;"",",",""),"¥",""),"￥","")),0))</f>
        <v/>
      </c>
      <c r="F1264">
        <f>IF($F$1=0,0,IFERROR(VALUE(SUBSTITUTE(SUBSTITUTE(SUBSTITUTE(INDEX(貼り付け!$A$1:$BZ$3001,1263,$F$1)&amp;"",",",""),"¥",""),"￥","")),0))</f>
        <v/>
      </c>
      <c r="G1264">
        <f>IF(ISNUMBER(B1264),YEAR(B1264),"")</f>
        <v/>
      </c>
      <c r="H1264">
        <f>IF(ISNUMBER(B1264),MONTH(B1264),"")</f>
        <v/>
      </c>
      <c r="I1264">
        <f>IFERROR(IF($B$1=0,"",IF(ISNUMBER(INDEX(貼り付け!$A$1:$BZ$3001,1263,$B$1)),"",SUBSTITUTE(SUBSTITUTE(SUBSTITUTE(SUBSTITUTE(TRIM(LEFT(INDEX(貼り付け!$A$1:$BZ$3001,1263,$B$1)&amp;"",FIND(" ",TRIM(INDEX(貼り付け!$A$1:$BZ$3001,1263,$B$1)&amp;"")&amp;" ")-1)),"/","-"),"年","-"),"月","-"),"日",""))),"")</f>
        <v/>
      </c>
      <c r="J1264">
        <f>IFERROR(MID(I1264,FIND("-",I1264)+1,99),"")</f>
        <v/>
      </c>
    </row>
    <row r="1265">
      <c r="B1265">
        <f>IFERROR(IF($B$1=0,"",IF(INDEX(貼り付け!$A$1:$BZ$3001,1264,$B$1)="","",IF(ISNUMBER(INDEX(貼り付け!$A$1:$BZ$3001,1264,$B$1)),INT(INDEX(貼り付け!$A$1:$BZ$3001,1264,$B$1)),DATE(VALUE(LEFT(I1265,FIND("-",I1265)-1)),VALUE(LEFT(J1265,FIND("-",J1265)-1)),VALUE(MID(J1265,FIND("-",J1265)+1,99)))))),"")</f>
        <v/>
      </c>
      <c r="C1265">
        <f>IF($C$1=0,0,IFERROR(VALUE(SUBSTITUTE(SUBSTITUTE(SUBSTITUTE(INDEX(貼り付け!$A$1:$BZ$3001,1264,$C$1)&amp;"",",",""),"¥",""),"￥","")),0))</f>
        <v/>
      </c>
      <c r="D1265">
        <f>IF($D$1=0,0,IFERROR(VALUE(SUBSTITUTE(SUBSTITUTE(SUBSTITUTE(INDEX(貼り付け!$A$1:$BZ$3001,1264,$D$1)&amp;"",",",""),"¥",""),"￥","")),0))</f>
        <v/>
      </c>
      <c r="E1265">
        <f>IF($E$1=0,0,IFERROR(VALUE(SUBSTITUTE(SUBSTITUTE(SUBSTITUTE(INDEX(貼り付け!$A$1:$BZ$3001,1264,$E$1)&amp;"",",",""),"¥",""),"￥","")),0))</f>
        <v/>
      </c>
      <c r="F1265">
        <f>IF($F$1=0,0,IFERROR(VALUE(SUBSTITUTE(SUBSTITUTE(SUBSTITUTE(INDEX(貼り付け!$A$1:$BZ$3001,1264,$F$1)&amp;"",",",""),"¥",""),"￥","")),0))</f>
        <v/>
      </c>
      <c r="G1265">
        <f>IF(ISNUMBER(B1265),YEAR(B1265),"")</f>
        <v/>
      </c>
      <c r="H1265">
        <f>IF(ISNUMBER(B1265),MONTH(B1265),"")</f>
        <v/>
      </c>
      <c r="I1265">
        <f>IFERROR(IF($B$1=0,"",IF(ISNUMBER(INDEX(貼り付け!$A$1:$BZ$3001,1264,$B$1)),"",SUBSTITUTE(SUBSTITUTE(SUBSTITUTE(SUBSTITUTE(TRIM(LEFT(INDEX(貼り付け!$A$1:$BZ$3001,1264,$B$1)&amp;"",FIND(" ",TRIM(INDEX(貼り付け!$A$1:$BZ$3001,1264,$B$1)&amp;"")&amp;" ")-1)),"/","-"),"年","-"),"月","-"),"日",""))),"")</f>
        <v/>
      </c>
      <c r="J1265">
        <f>IFERROR(MID(I1265,FIND("-",I1265)+1,99),"")</f>
        <v/>
      </c>
    </row>
    <row r="1266">
      <c r="B1266">
        <f>IFERROR(IF($B$1=0,"",IF(INDEX(貼り付け!$A$1:$BZ$3001,1265,$B$1)="","",IF(ISNUMBER(INDEX(貼り付け!$A$1:$BZ$3001,1265,$B$1)),INT(INDEX(貼り付け!$A$1:$BZ$3001,1265,$B$1)),DATE(VALUE(LEFT(I1266,FIND("-",I1266)-1)),VALUE(LEFT(J1266,FIND("-",J1266)-1)),VALUE(MID(J1266,FIND("-",J1266)+1,99)))))),"")</f>
        <v/>
      </c>
      <c r="C1266">
        <f>IF($C$1=0,0,IFERROR(VALUE(SUBSTITUTE(SUBSTITUTE(SUBSTITUTE(INDEX(貼り付け!$A$1:$BZ$3001,1265,$C$1)&amp;"",",",""),"¥",""),"￥","")),0))</f>
        <v/>
      </c>
      <c r="D1266">
        <f>IF($D$1=0,0,IFERROR(VALUE(SUBSTITUTE(SUBSTITUTE(SUBSTITUTE(INDEX(貼り付け!$A$1:$BZ$3001,1265,$D$1)&amp;"",",",""),"¥",""),"￥","")),0))</f>
        <v/>
      </c>
      <c r="E1266">
        <f>IF($E$1=0,0,IFERROR(VALUE(SUBSTITUTE(SUBSTITUTE(SUBSTITUTE(INDEX(貼り付け!$A$1:$BZ$3001,1265,$E$1)&amp;"",",",""),"¥",""),"￥","")),0))</f>
        <v/>
      </c>
      <c r="F1266">
        <f>IF($F$1=0,0,IFERROR(VALUE(SUBSTITUTE(SUBSTITUTE(SUBSTITUTE(INDEX(貼り付け!$A$1:$BZ$3001,1265,$F$1)&amp;"",",",""),"¥",""),"￥","")),0))</f>
        <v/>
      </c>
      <c r="G1266">
        <f>IF(ISNUMBER(B1266),YEAR(B1266),"")</f>
        <v/>
      </c>
      <c r="H1266">
        <f>IF(ISNUMBER(B1266),MONTH(B1266),"")</f>
        <v/>
      </c>
      <c r="I1266">
        <f>IFERROR(IF($B$1=0,"",IF(ISNUMBER(INDEX(貼り付け!$A$1:$BZ$3001,1265,$B$1)),"",SUBSTITUTE(SUBSTITUTE(SUBSTITUTE(SUBSTITUTE(TRIM(LEFT(INDEX(貼り付け!$A$1:$BZ$3001,1265,$B$1)&amp;"",FIND(" ",TRIM(INDEX(貼り付け!$A$1:$BZ$3001,1265,$B$1)&amp;"")&amp;" ")-1)),"/","-"),"年","-"),"月","-"),"日",""))),"")</f>
        <v/>
      </c>
      <c r="J1266">
        <f>IFERROR(MID(I1266,FIND("-",I1266)+1,99),"")</f>
        <v/>
      </c>
    </row>
    <row r="1267">
      <c r="B1267">
        <f>IFERROR(IF($B$1=0,"",IF(INDEX(貼り付け!$A$1:$BZ$3001,1266,$B$1)="","",IF(ISNUMBER(INDEX(貼り付け!$A$1:$BZ$3001,1266,$B$1)),INT(INDEX(貼り付け!$A$1:$BZ$3001,1266,$B$1)),DATE(VALUE(LEFT(I1267,FIND("-",I1267)-1)),VALUE(LEFT(J1267,FIND("-",J1267)-1)),VALUE(MID(J1267,FIND("-",J1267)+1,99)))))),"")</f>
        <v/>
      </c>
      <c r="C1267">
        <f>IF($C$1=0,0,IFERROR(VALUE(SUBSTITUTE(SUBSTITUTE(SUBSTITUTE(INDEX(貼り付け!$A$1:$BZ$3001,1266,$C$1)&amp;"",",",""),"¥",""),"￥","")),0))</f>
        <v/>
      </c>
      <c r="D1267">
        <f>IF($D$1=0,0,IFERROR(VALUE(SUBSTITUTE(SUBSTITUTE(SUBSTITUTE(INDEX(貼り付け!$A$1:$BZ$3001,1266,$D$1)&amp;"",",",""),"¥",""),"￥","")),0))</f>
        <v/>
      </c>
      <c r="E1267">
        <f>IF($E$1=0,0,IFERROR(VALUE(SUBSTITUTE(SUBSTITUTE(SUBSTITUTE(INDEX(貼り付け!$A$1:$BZ$3001,1266,$E$1)&amp;"",",",""),"¥",""),"￥","")),0))</f>
        <v/>
      </c>
      <c r="F1267">
        <f>IF($F$1=0,0,IFERROR(VALUE(SUBSTITUTE(SUBSTITUTE(SUBSTITUTE(INDEX(貼り付け!$A$1:$BZ$3001,1266,$F$1)&amp;"",",",""),"¥",""),"￥","")),0))</f>
        <v/>
      </c>
      <c r="G1267">
        <f>IF(ISNUMBER(B1267),YEAR(B1267),"")</f>
        <v/>
      </c>
      <c r="H1267">
        <f>IF(ISNUMBER(B1267),MONTH(B1267),"")</f>
        <v/>
      </c>
      <c r="I1267">
        <f>IFERROR(IF($B$1=0,"",IF(ISNUMBER(INDEX(貼り付け!$A$1:$BZ$3001,1266,$B$1)),"",SUBSTITUTE(SUBSTITUTE(SUBSTITUTE(SUBSTITUTE(TRIM(LEFT(INDEX(貼り付け!$A$1:$BZ$3001,1266,$B$1)&amp;"",FIND(" ",TRIM(INDEX(貼り付け!$A$1:$BZ$3001,1266,$B$1)&amp;"")&amp;" ")-1)),"/","-"),"年","-"),"月","-"),"日",""))),"")</f>
        <v/>
      </c>
      <c r="J1267">
        <f>IFERROR(MID(I1267,FIND("-",I1267)+1,99),"")</f>
        <v/>
      </c>
    </row>
    <row r="1268">
      <c r="B1268">
        <f>IFERROR(IF($B$1=0,"",IF(INDEX(貼り付け!$A$1:$BZ$3001,1267,$B$1)="","",IF(ISNUMBER(INDEX(貼り付け!$A$1:$BZ$3001,1267,$B$1)),INT(INDEX(貼り付け!$A$1:$BZ$3001,1267,$B$1)),DATE(VALUE(LEFT(I1268,FIND("-",I1268)-1)),VALUE(LEFT(J1268,FIND("-",J1268)-1)),VALUE(MID(J1268,FIND("-",J1268)+1,99)))))),"")</f>
        <v/>
      </c>
      <c r="C1268">
        <f>IF($C$1=0,0,IFERROR(VALUE(SUBSTITUTE(SUBSTITUTE(SUBSTITUTE(INDEX(貼り付け!$A$1:$BZ$3001,1267,$C$1)&amp;"",",",""),"¥",""),"￥","")),0))</f>
        <v/>
      </c>
      <c r="D1268">
        <f>IF($D$1=0,0,IFERROR(VALUE(SUBSTITUTE(SUBSTITUTE(SUBSTITUTE(INDEX(貼り付け!$A$1:$BZ$3001,1267,$D$1)&amp;"",",",""),"¥",""),"￥","")),0))</f>
        <v/>
      </c>
      <c r="E1268">
        <f>IF($E$1=0,0,IFERROR(VALUE(SUBSTITUTE(SUBSTITUTE(SUBSTITUTE(INDEX(貼り付け!$A$1:$BZ$3001,1267,$E$1)&amp;"",",",""),"¥",""),"￥","")),0))</f>
        <v/>
      </c>
      <c r="F1268">
        <f>IF($F$1=0,0,IFERROR(VALUE(SUBSTITUTE(SUBSTITUTE(SUBSTITUTE(INDEX(貼り付け!$A$1:$BZ$3001,1267,$F$1)&amp;"",",",""),"¥",""),"￥","")),0))</f>
        <v/>
      </c>
      <c r="G1268">
        <f>IF(ISNUMBER(B1268),YEAR(B1268),"")</f>
        <v/>
      </c>
      <c r="H1268">
        <f>IF(ISNUMBER(B1268),MONTH(B1268),"")</f>
        <v/>
      </c>
      <c r="I1268">
        <f>IFERROR(IF($B$1=0,"",IF(ISNUMBER(INDEX(貼り付け!$A$1:$BZ$3001,1267,$B$1)),"",SUBSTITUTE(SUBSTITUTE(SUBSTITUTE(SUBSTITUTE(TRIM(LEFT(INDEX(貼り付け!$A$1:$BZ$3001,1267,$B$1)&amp;"",FIND(" ",TRIM(INDEX(貼り付け!$A$1:$BZ$3001,1267,$B$1)&amp;"")&amp;" ")-1)),"/","-"),"年","-"),"月","-"),"日",""))),"")</f>
        <v/>
      </c>
      <c r="J1268">
        <f>IFERROR(MID(I1268,FIND("-",I1268)+1,99),"")</f>
        <v/>
      </c>
    </row>
    <row r="1269">
      <c r="B1269">
        <f>IFERROR(IF($B$1=0,"",IF(INDEX(貼り付け!$A$1:$BZ$3001,1268,$B$1)="","",IF(ISNUMBER(INDEX(貼り付け!$A$1:$BZ$3001,1268,$B$1)),INT(INDEX(貼り付け!$A$1:$BZ$3001,1268,$B$1)),DATE(VALUE(LEFT(I1269,FIND("-",I1269)-1)),VALUE(LEFT(J1269,FIND("-",J1269)-1)),VALUE(MID(J1269,FIND("-",J1269)+1,99)))))),"")</f>
        <v/>
      </c>
      <c r="C1269">
        <f>IF($C$1=0,0,IFERROR(VALUE(SUBSTITUTE(SUBSTITUTE(SUBSTITUTE(INDEX(貼り付け!$A$1:$BZ$3001,1268,$C$1)&amp;"",",",""),"¥",""),"￥","")),0))</f>
        <v/>
      </c>
      <c r="D1269">
        <f>IF($D$1=0,0,IFERROR(VALUE(SUBSTITUTE(SUBSTITUTE(SUBSTITUTE(INDEX(貼り付け!$A$1:$BZ$3001,1268,$D$1)&amp;"",",",""),"¥",""),"￥","")),0))</f>
        <v/>
      </c>
      <c r="E1269">
        <f>IF($E$1=0,0,IFERROR(VALUE(SUBSTITUTE(SUBSTITUTE(SUBSTITUTE(INDEX(貼り付け!$A$1:$BZ$3001,1268,$E$1)&amp;"",",",""),"¥",""),"￥","")),0))</f>
        <v/>
      </c>
      <c r="F1269">
        <f>IF($F$1=0,0,IFERROR(VALUE(SUBSTITUTE(SUBSTITUTE(SUBSTITUTE(INDEX(貼り付け!$A$1:$BZ$3001,1268,$F$1)&amp;"",",",""),"¥",""),"￥","")),0))</f>
        <v/>
      </c>
      <c r="G1269">
        <f>IF(ISNUMBER(B1269),YEAR(B1269),"")</f>
        <v/>
      </c>
      <c r="H1269">
        <f>IF(ISNUMBER(B1269),MONTH(B1269),"")</f>
        <v/>
      </c>
      <c r="I1269">
        <f>IFERROR(IF($B$1=0,"",IF(ISNUMBER(INDEX(貼り付け!$A$1:$BZ$3001,1268,$B$1)),"",SUBSTITUTE(SUBSTITUTE(SUBSTITUTE(SUBSTITUTE(TRIM(LEFT(INDEX(貼り付け!$A$1:$BZ$3001,1268,$B$1)&amp;"",FIND(" ",TRIM(INDEX(貼り付け!$A$1:$BZ$3001,1268,$B$1)&amp;"")&amp;" ")-1)),"/","-"),"年","-"),"月","-"),"日",""))),"")</f>
        <v/>
      </c>
      <c r="J1269">
        <f>IFERROR(MID(I1269,FIND("-",I1269)+1,99),"")</f>
        <v/>
      </c>
    </row>
    <row r="1270">
      <c r="B1270">
        <f>IFERROR(IF($B$1=0,"",IF(INDEX(貼り付け!$A$1:$BZ$3001,1269,$B$1)="","",IF(ISNUMBER(INDEX(貼り付け!$A$1:$BZ$3001,1269,$B$1)),INT(INDEX(貼り付け!$A$1:$BZ$3001,1269,$B$1)),DATE(VALUE(LEFT(I1270,FIND("-",I1270)-1)),VALUE(LEFT(J1270,FIND("-",J1270)-1)),VALUE(MID(J1270,FIND("-",J1270)+1,99)))))),"")</f>
        <v/>
      </c>
      <c r="C1270">
        <f>IF($C$1=0,0,IFERROR(VALUE(SUBSTITUTE(SUBSTITUTE(SUBSTITUTE(INDEX(貼り付け!$A$1:$BZ$3001,1269,$C$1)&amp;"",",",""),"¥",""),"￥","")),0))</f>
        <v/>
      </c>
      <c r="D1270">
        <f>IF($D$1=0,0,IFERROR(VALUE(SUBSTITUTE(SUBSTITUTE(SUBSTITUTE(INDEX(貼り付け!$A$1:$BZ$3001,1269,$D$1)&amp;"",",",""),"¥",""),"￥","")),0))</f>
        <v/>
      </c>
      <c r="E1270">
        <f>IF($E$1=0,0,IFERROR(VALUE(SUBSTITUTE(SUBSTITUTE(SUBSTITUTE(INDEX(貼り付け!$A$1:$BZ$3001,1269,$E$1)&amp;"",",",""),"¥",""),"￥","")),0))</f>
        <v/>
      </c>
      <c r="F1270">
        <f>IF($F$1=0,0,IFERROR(VALUE(SUBSTITUTE(SUBSTITUTE(SUBSTITUTE(INDEX(貼り付け!$A$1:$BZ$3001,1269,$F$1)&amp;"",",",""),"¥",""),"￥","")),0))</f>
        <v/>
      </c>
      <c r="G1270">
        <f>IF(ISNUMBER(B1270),YEAR(B1270),"")</f>
        <v/>
      </c>
      <c r="H1270">
        <f>IF(ISNUMBER(B1270),MONTH(B1270),"")</f>
        <v/>
      </c>
      <c r="I1270">
        <f>IFERROR(IF($B$1=0,"",IF(ISNUMBER(INDEX(貼り付け!$A$1:$BZ$3001,1269,$B$1)),"",SUBSTITUTE(SUBSTITUTE(SUBSTITUTE(SUBSTITUTE(TRIM(LEFT(INDEX(貼り付け!$A$1:$BZ$3001,1269,$B$1)&amp;"",FIND(" ",TRIM(INDEX(貼り付け!$A$1:$BZ$3001,1269,$B$1)&amp;"")&amp;" ")-1)),"/","-"),"年","-"),"月","-"),"日",""))),"")</f>
        <v/>
      </c>
      <c r="J1270">
        <f>IFERROR(MID(I1270,FIND("-",I1270)+1,99),"")</f>
        <v/>
      </c>
    </row>
    <row r="1271">
      <c r="B1271">
        <f>IFERROR(IF($B$1=0,"",IF(INDEX(貼り付け!$A$1:$BZ$3001,1270,$B$1)="","",IF(ISNUMBER(INDEX(貼り付け!$A$1:$BZ$3001,1270,$B$1)),INT(INDEX(貼り付け!$A$1:$BZ$3001,1270,$B$1)),DATE(VALUE(LEFT(I1271,FIND("-",I1271)-1)),VALUE(LEFT(J1271,FIND("-",J1271)-1)),VALUE(MID(J1271,FIND("-",J1271)+1,99)))))),"")</f>
        <v/>
      </c>
      <c r="C1271">
        <f>IF($C$1=0,0,IFERROR(VALUE(SUBSTITUTE(SUBSTITUTE(SUBSTITUTE(INDEX(貼り付け!$A$1:$BZ$3001,1270,$C$1)&amp;"",",",""),"¥",""),"￥","")),0))</f>
        <v/>
      </c>
      <c r="D1271">
        <f>IF($D$1=0,0,IFERROR(VALUE(SUBSTITUTE(SUBSTITUTE(SUBSTITUTE(INDEX(貼り付け!$A$1:$BZ$3001,1270,$D$1)&amp;"",",",""),"¥",""),"￥","")),0))</f>
        <v/>
      </c>
      <c r="E1271">
        <f>IF($E$1=0,0,IFERROR(VALUE(SUBSTITUTE(SUBSTITUTE(SUBSTITUTE(INDEX(貼り付け!$A$1:$BZ$3001,1270,$E$1)&amp;"",",",""),"¥",""),"￥","")),0))</f>
        <v/>
      </c>
      <c r="F1271">
        <f>IF($F$1=0,0,IFERROR(VALUE(SUBSTITUTE(SUBSTITUTE(SUBSTITUTE(INDEX(貼り付け!$A$1:$BZ$3001,1270,$F$1)&amp;"",",",""),"¥",""),"￥","")),0))</f>
        <v/>
      </c>
      <c r="G1271">
        <f>IF(ISNUMBER(B1271),YEAR(B1271),"")</f>
        <v/>
      </c>
      <c r="H1271">
        <f>IF(ISNUMBER(B1271),MONTH(B1271),"")</f>
        <v/>
      </c>
      <c r="I1271">
        <f>IFERROR(IF($B$1=0,"",IF(ISNUMBER(INDEX(貼り付け!$A$1:$BZ$3001,1270,$B$1)),"",SUBSTITUTE(SUBSTITUTE(SUBSTITUTE(SUBSTITUTE(TRIM(LEFT(INDEX(貼り付け!$A$1:$BZ$3001,1270,$B$1)&amp;"",FIND(" ",TRIM(INDEX(貼り付け!$A$1:$BZ$3001,1270,$B$1)&amp;"")&amp;" ")-1)),"/","-"),"年","-"),"月","-"),"日",""))),"")</f>
        <v/>
      </c>
      <c r="J1271">
        <f>IFERROR(MID(I1271,FIND("-",I1271)+1,99),"")</f>
        <v/>
      </c>
    </row>
    <row r="1272">
      <c r="B1272">
        <f>IFERROR(IF($B$1=0,"",IF(INDEX(貼り付け!$A$1:$BZ$3001,1271,$B$1)="","",IF(ISNUMBER(INDEX(貼り付け!$A$1:$BZ$3001,1271,$B$1)),INT(INDEX(貼り付け!$A$1:$BZ$3001,1271,$B$1)),DATE(VALUE(LEFT(I1272,FIND("-",I1272)-1)),VALUE(LEFT(J1272,FIND("-",J1272)-1)),VALUE(MID(J1272,FIND("-",J1272)+1,99)))))),"")</f>
        <v/>
      </c>
      <c r="C1272">
        <f>IF($C$1=0,0,IFERROR(VALUE(SUBSTITUTE(SUBSTITUTE(SUBSTITUTE(INDEX(貼り付け!$A$1:$BZ$3001,1271,$C$1)&amp;"",",",""),"¥",""),"￥","")),0))</f>
        <v/>
      </c>
      <c r="D1272">
        <f>IF($D$1=0,0,IFERROR(VALUE(SUBSTITUTE(SUBSTITUTE(SUBSTITUTE(INDEX(貼り付け!$A$1:$BZ$3001,1271,$D$1)&amp;"",",",""),"¥",""),"￥","")),0))</f>
        <v/>
      </c>
      <c r="E1272">
        <f>IF($E$1=0,0,IFERROR(VALUE(SUBSTITUTE(SUBSTITUTE(SUBSTITUTE(INDEX(貼り付け!$A$1:$BZ$3001,1271,$E$1)&amp;"",",",""),"¥",""),"￥","")),0))</f>
        <v/>
      </c>
      <c r="F1272">
        <f>IF($F$1=0,0,IFERROR(VALUE(SUBSTITUTE(SUBSTITUTE(SUBSTITUTE(INDEX(貼り付け!$A$1:$BZ$3001,1271,$F$1)&amp;"",",",""),"¥",""),"￥","")),0))</f>
        <v/>
      </c>
      <c r="G1272">
        <f>IF(ISNUMBER(B1272),YEAR(B1272),"")</f>
        <v/>
      </c>
      <c r="H1272">
        <f>IF(ISNUMBER(B1272),MONTH(B1272),"")</f>
        <v/>
      </c>
      <c r="I1272">
        <f>IFERROR(IF($B$1=0,"",IF(ISNUMBER(INDEX(貼り付け!$A$1:$BZ$3001,1271,$B$1)),"",SUBSTITUTE(SUBSTITUTE(SUBSTITUTE(SUBSTITUTE(TRIM(LEFT(INDEX(貼り付け!$A$1:$BZ$3001,1271,$B$1)&amp;"",FIND(" ",TRIM(INDEX(貼り付け!$A$1:$BZ$3001,1271,$B$1)&amp;"")&amp;" ")-1)),"/","-"),"年","-"),"月","-"),"日",""))),"")</f>
        <v/>
      </c>
      <c r="J1272">
        <f>IFERROR(MID(I1272,FIND("-",I1272)+1,99),"")</f>
        <v/>
      </c>
    </row>
    <row r="1273">
      <c r="B1273">
        <f>IFERROR(IF($B$1=0,"",IF(INDEX(貼り付け!$A$1:$BZ$3001,1272,$B$1)="","",IF(ISNUMBER(INDEX(貼り付け!$A$1:$BZ$3001,1272,$B$1)),INT(INDEX(貼り付け!$A$1:$BZ$3001,1272,$B$1)),DATE(VALUE(LEFT(I1273,FIND("-",I1273)-1)),VALUE(LEFT(J1273,FIND("-",J1273)-1)),VALUE(MID(J1273,FIND("-",J1273)+1,99)))))),"")</f>
        <v/>
      </c>
      <c r="C1273">
        <f>IF($C$1=0,0,IFERROR(VALUE(SUBSTITUTE(SUBSTITUTE(SUBSTITUTE(INDEX(貼り付け!$A$1:$BZ$3001,1272,$C$1)&amp;"",",",""),"¥",""),"￥","")),0))</f>
        <v/>
      </c>
      <c r="D1273">
        <f>IF($D$1=0,0,IFERROR(VALUE(SUBSTITUTE(SUBSTITUTE(SUBSTITUTE(INDEX(貼り付け!$A$1:$BZ$3001,1272,$D$1)&amp;"",",",""),"¥",""),"￥","")),0))</f>
        <v/>
      </c>
      <c r="E1273">
        <f>IF($E$1=0,0,IFERROR(VALUE(SUBSTITUTE(SUBSTITUTE(SUBSTITUTE(INDEX(貼り付け!$A$1:$BZ$3001,1272,$E$1)&amp;"",",",""),"¥",""),"￥","")),0))</f>
        <v/>
      </c>
      <c r="F1273">
        <f>IF($F$1=0,0,IFERROR(VALUE(SUBSTITUTE(SUBSTITUTE(SUBSTITUTE(INDEX(貼り付け!$A$1:$BZ$3001,1272,$F$1)&amp;"",",",""),"¥",""),"￥","")),0))</f>
        <v/>
      </c>
      <c r="G1273">
        <f>IF(ISNUMBER(B1273),YEAR(B1273),"")</f>
        <v/>
      </c>
      <c r="H1273">
        <f>IF(ISNUMBER(B1273),MONTH(B1273),"")</f>
        <v/>
      </c>
      <c r="I1273">
        <f>IFERROR(IF($B$1=0,"",IF(ISNUMBER(INDEX(貼り付け!$A$1:$BZ$3001,1272,$B$1)),"",SUBSTITUTE(SUBSTITUTE(SUBSTITUTE(SUBSTITUTE(TRIM(LEFT(INDEX(貼り付け!$A$1:$BZ$3001,1272,$B$1)&amp;"",FIND(" ",TRIM(INDEX(貼り付け!$A$1:$BZ$3001,1272,$B$1)&amp;"")&amp;" ")-1)),"/","-"),"年","-"),"月","-"),"日",""))),"")</f>
        <v/>
      </c>
      <c r="J1273">
        <f>IFERROR(MID(I1273,FIND("-",I1273)+1,99),"")</f>
        <v/>
      </c>
    </row>
    <row r="1274">
      <c r="B1274">
        <f>IFERROR(IF($B$1=0,"",IF(INDEX(貼り付け!$A$1:$BZ$3001,1273,$B$1)="","",IF(ISNUMBER(INDEX(貼り付け!$A$1:$BZ$3001,1273,$B$1)),INT(INDEX(貼り付け!$A$1:$BZ$3001,1273,$B$1)),DATE(VALUE(LEFT(I1274,FIND("-",I1274)-1)),VALUE(LEFT(J1274,FIND("-",J1274)-1)),VALUE(MID(J1274,FIND("-",J1274)+1,99)))))),"")</f>
        <v/>
      </c>
      <c r="C1274">
        <f>IF($C$1=0,0,IFERROR(VALUE(SUBSTITUTE(SUBSTITUTE(SUBSTITUTE(INDEX(貼り付け!$A$1:$BZ$3001,1273,$C$1)&amp;"",",",""),"¥",""),"￥","")),0))</f>
        <v/>
      </c>
      <c r="D1274">
        <f>IF($D$1=0,0,IFERROR(VALUE(SUBSTITUTE(SUBSTITUTE(SUBSTITUTE(INDEX(貼り付け!$A$1:$BZ$3001,1273,$D$1)&amp;"",",",""),"¥",""),"￥","")),0))</f>
        <v/>
      </c>
      <c r="E1274">
        <f>IF($E$1=0,0,IFERROR(VALUE(SUBSTITUTE(SUBSTITUTE(SUBSTITUTE(INDEX(貼り付け!$A$1:$BZ$3001,1273,$E$1)&amp;"",",",""),"¥",""),"￥","")),0))</f>
        <v/>
      </c>
      <c r="F1274">
        <f>IF($F$1=0,0,IFERROR(VALUE(SUBSTITUTE(SUBSTITUTE(SUBSTITUTE(INDEX(貼り付け!$A$1:$BZ$3001,1273,$F$1)&amp;"",",",""),"¥",""),"￥","")),0))</f>
        <v/>
      </c>
      <c r="G1274">
        <f>IF(ISNUMBER(B1274),YEAR(B1274),"")</f>
        <v/>
      </c>
      <c r="H1274">
        <f>IF(ISNUMBER(B1274),MONTH(B1274),"")</f>
        <v/>
      </c>
      <c r="I1274">
        <f>IFERROR(IF($B$1=0,"",IF(ISNUMBER(INDEX(貼り付け!$A$1:$BZ$3001,1273,$B$1)),"",SUBSTITUTE(SUBSTITUTE(SUBSTITUTE(SUBSTITUTE(TRIM(LEFT(INDEX(貼り付け!$A$1:$BZ$3001,1273,$B$1)&amp;"",FIND(" ",TRIM(INDEX(貼り付け!$A$1:$BZ$3001,1273,$B$1)&amp;"")&amp;" ")-1)),"/","-"),"年","-"),"月","-"),"日",""))),"")</f>
        <v/>
      </c>
      <c r="J1274">
        <f>IFERROR(MID(I1274,FIND("-",I1274)+1,99),"")</f>
        <v/>
      </c>
    </row>
    <row r="1275">
      <c r="B1275">
        <f>IFERROR(IF($B$1=0,"",IF(INDEX(貼り付け!$A$1:$BZ$3001,1274,$B$1)="","",IF(ISNUMBER(INDEX(貼り付け!$A$1:$BZ$3001,1274,$B$1)),INT(INDEX(貼り付け!$A$1:$BZ$3001,1274,$B$1)),DATE(VALUE(LEFT(I1275,FIND("-",I1275)-1)),VALUE(LEFT(J1275,FIND("-",J1275)-1)),VALUE(MID(J1275,FIND("-",J1275)+1,99)))))),"")</f>
        <v/>
      </c>
      <c r="C1275">
        <f>IF($C$1=0,0,IFERROR(VALUE(SUBSTITUTE(SUBSTITUTE(SUBSTITUTE(INDEX(貼り付け!$A$1:$BZ$3001,1274,$C$1)&amp;"",",",""),"¥",""),"￥","")),0))</f>
        <v/>
      </c>
      <c r="D1275">
        <f>IF($D$1=0,0,IFERROR(VALUE(SUBSTITUTE(SUBSTITUTE(SUBSTITUTE(INDEX(貼り付け!$A$1:$BZ$3001,1274,$D$1)&amp;"",",",""),"¥",""),"￥","")),0))</f>
        <v/>
      </c>
      <c r="E1275">
        <f>IF($E$1=0,0,IFERROR(VALUE(SUBSTITUTE(SUBSTITUTE(SUBSTITUTE(INDEX(貼り付け!$A$1:$BZ$3001,1274,$E$1)&amp;"",",",""),"¥",""),"￥","")),0))</f>
        <v/>
      </c>
      <c r="F1275">
        <f>IF($F$1=0,0,IFERROR(VALUE(SUBSTITUTE(SUBSTITUTE(SUBSTITUTE(INDEX(貼り付け!$A$1:$BZ$3001,1274,$F$1)&amp;"",",",""),"¥",""),"￥","")),0))</f>
        <v/>
      </c>
      <c r="G1275">
        <f>IF(ISNUMBER(B1275),YEAR(B1275),"")</f>
        <v/>
      </c>
      <c r="H1275">
        <f>IF(ISNUMBER(B1275),MONTH(B1275),"")</f>
        <v/>
      </c>
      <c r="I1275">
        <f>IFERROR(IF($B$1=0,"",IF(ISNUMBER(INDEX(貼り付け!$A$1:$BZ$3001,1274,$B$1)),"",SUBSTITUTE(SUBSTITUTE(SUBSTITUTE(SUBSTITUTE(TRIM(LEFT(INDEX(貼り付け!$A$1:$BZ$3001,1274,$B$1)&amp;"",FIND(" ",TRIM(INDEX(貼り付け!$A$1:$BZ$3001,1274,$B$1)&amp;"")&amp;" ")-1)),"/","-"),"年","-"),"月","-"),"日",""))),"")</f>
        <v/>
      </c>
      <c r="J1275">
        <f>IFERROR(MID(I1275,FIND("-",I1275)+1,99),"")</f>
        <v/>
      </c>
    </row>
    <row r="1276">
      <c r="B1276">
        <f>IFERROR(IF($B$1=0,"",IF(INDEX(貼り付け!$A$1:$BZ$3001,1275,$B$1)="","",IF(ISNUMBER(INDEX(貼り付け!$A$1:$BZ$3001,1275,$B$1)),INT(INDEX(貼り付け!$A$1:$BZ$3001,1275,$B$1)),DATE(VALUE(LEFT(I1276,FIND("-",I1276)-1)),VALUE(LEFT(J1276,FIND("-",J1276)-1)),VALUE(MID(J1276,FIND("-",J1276)+1,99)))))),"")</f>
        <v/>
      </c>
      <c r="C1276">
        <f>IF($C$1=0,0,IFERROR(VALUE(SUBSTITUTE(SUBSTITUTE(SUBSTITUTE(INDEX(貼り付け!$A$1:$BZ$3001,1275,$C$1)&amp;"",",",""),"¥",""),"￥","")),0))</f>
        <v/>
      </c>
      <c r="D1276">
        <f>IF($D$1=0,0,IFERROR(VALUE(SUBSTITUTE(SUBSTITUTE(SUBSTITUTE(INDEX(貼り付け!$A$1:$BZ$3001,1275,$D$1)&amp;"",",",""),"¥",""),"￥","")),0))</f>
        <v/>
      </c>
      <c r="E1276">
        <f>IF($E$1=0,0,IFERROR(VALUE(SUBSTITUTE(SUBSTITUTE(SUBSTITUTE(INDEX(貼り付け!$A$1:$BZ$3001,1275,$E$1)&amp;"",",",""),"¥",""),"￥","")),0))</f>
        <v/>
      </c>
      <c r="F1276">
        <f>IF($F$1=0,0,IFERROR(VALUE(SUBSTITUTE(SUBSTITUTE(SUBSTITUTE(INDEX(貼り付け!$A$1:$BZ$3001,1275,$F$1)&amp;"",",",""),"¥",""),"￥","")),0))</f>
        <v/>
      </c>
      <c r="G1276">
        <f>IF(ISNUMBER(B1276),YEAR(B1276),"")</f>
        <v/>
      </c>
      <c r="H1276">
        <f>IF(ISNUMBER(B1276),MONTH(B1276),"")</f>
        <v/>
      </c>
      <c r="I1276">
        <f>IFERROR(IF($B$1=0,"",IF(ISNUMBER(INDEX(貼り付け!$A$1:$BZ$3001,1275,$B$1)),"",SUBSTITUTE(SUBSTITUTE(SUBSTITUTE(SUBSTITUTE(TRIM(LEFT(INDEX(貼り付け!$A$1:$BZ$3001,1275,$B$1)&amp;"",FIND(" ",TRIM(INDEX(貼り付け!$A$1:$BZ$3001,1275,$B$1)&amp;"")&amp;" ")-1)),"/","-"),"年","-"),"月","-"),"日",""))),"")</f>
        <v/>
      </c>
      <c r="J1276">
        <f>IFERROR(MID(I1276,FIND("-",I1276)+1,99),"")</f>
        <v/>
      </c>
    </row>
    <row r="1277">
      <c r="B1277">
        <f>IFERROR(IF($B$1=0,"",IF(INDEX(貼り付け!$A$1:$BZ$3001,1276,$B$1)="","",IF(ISNUMBER(INDEX(貼り付け!$A$1:$BZ$3001,1276,$B$1)),INT(INDEX(貼り付け!$A$1:$BZ$3001,1276,$B$1)),DATE(VALUE(LEFT(I1277,FIND("-",I1277)-1)),VALUE(LEFT(J1277,FIND("-",J1277)-1)),VALUE(MID(J1277,FIND("-",J1277)+1,99)))))),"")</f>
        <v/>
      </c>
      <c r="C1277">
        <f>IF($C$1=0,0,IFERROR(VALUE(SUBSTITUTE(SUBSTITUTE(SUBSTITUTE(INDEX(貼り付け!$A$1:$BZ$3001,1276,$C$1)&amp;"",",",""),"¥",""),"￥","")),0))</f>
        <v/>
      </c>
      <c r="D1277">
        <f>IF($D$1=0,0,IFERROR(VALUE(SUBSTITUTE(SUBSTITUTE(SUBSTITUTE(INDEX(貼り付け!$A$1:$BZ$3001,1276,$D$1)&amp;"",",",""),"¥",""),"￥","")),0))</f>
        <v/>
      </c>
      <c r="E1277">
        <f>IF($E$1=0,0,IFERROR(VALUE(SUBSTITUTE(SUBSTITUTE(SUBSTITUTE(INDEX(貼り付け!$A$1:$BZ$3001,1276,$E$1)&amp;"",",",""),"¥",""),"￥","")),0))</f>
        <v/>
      </c>
      <c r="F1277">
        <f>IF($F$1=0,0,IFERROR(VALUE(SUBSTITUTE(SUBSTITUTE(SUBSTITUTE(INDEX(貼り付け!$A$1:$BZ$3001,1276,$F$1)&amp;"",",",""),"¥",""),"￥","")),0))</f>
        <v/>
      </c>
      <c r="G1277">
        <f>IF(ISNUMBER(B1277),YEAR(B1277),"")</f>
        <v/>
      </c>
      <c r="H1277">
        <f>IF(ISNUMBER(B1277),MONTH(B1277),"")</f>
        <v/>
      </c>
      <c r="I1277">
        <f>IFERROR(IF($B$1=0,"",IF(ISNUMBER(INDEX(貼り付け!$A$1:$BZ$3001,1276,$B$1)),"",SUBSTITUTE(SUBSTITUTE(SUBSTITUTE(SUBSTITUTE(TRIM(LEFT(INDEX(貼り付け!$A$1:$BZ$3001,1276,$B$1)&amp;"",FIND(" ",TRIM(INDEX(貼り付け!$A$1:$BZ$3001,1276,$B$1)&amp;"")&amp;" ")-1)),"/","-"),"年","-"),"月","-"),"日",""))),"")</f>
        <v/>
      </c>
      <c r="J1277">
        <f>IFERROR(MID(I1277,FIND("-",I1277)+1,99),"")</f>
        <v/>
      </c>
    </row>
    <row r="1278">
      <c r="B1278">
        <f>IFERROR(IF($B$1=0,"",IF(INDEX(貼り付け!$A$1:$BZ$3001,1277,$B$1)="","",IF(ISNUMBER(INDEX(貼り付け!$A$1:$BZ$3001,1277,$B$1)),INT(INDEX(貼り付け!$A$1:$BZ$3001,1277,$B$1)),DATE(VALUE(LEFT(I1278,FIND("-",I1278)-1)),VALUE(LEFT(J1278,FIND("-",J1278)-1)),VALUE(MID(J1278,FIND("-",J1278)+1,99)))))),"")</f>
        <v/>
      </c>
      <c r="C1278">
        <f>IF($C$1=0,0,IFERROR(VALUE(SUBSTITUTE(SUBSTITUTE(SUBSTITUTE(INDEX(貼り付け!$A$1:$BZ$3001,1277,$C$1)&amp;"",",",""),"¥",""),"￥","")),0))</f>
        <v/>
      </c>
      <c r="D1278">
        <f>IF($D$1=0,0,IFERROR(VALUE(SUBSTITUTE(SUBSTITUTE(SUBSTITUTE(INDEX(貼り付け!$A$1:$BZ$3001,1277,$D$1)&amp;"",",",""),"¥",""),"￥","")),0))</f>
        <v/>
      </c>
      <c r="E1278">
        <f>IF($E$1=0,0,IFERROR(VALUE(SUBSTITUTE(SUBSTITUTE(SUBSTITUTE(INDEX(貼り付け!$A$1:$BZ$3001,1277,$E$1)&amp;"",",",""),"¥",""),"￥","")),0))</f>
        <v/>
      </c>
      <c r="F1278">
        <f>IF($F$1=0,0,IFERROR(VALUE(SUBSTITUTE(SUBSTITUTE(SUBSTITUTE(INDEX(貼り付け!$A$1:$BZ$3001,1277,$F$1)&amp;"",",",""),"¥",""),"￥","")),0))</f>
        <v/>
      </c>
      <c r="G1278">
        <f>IF(ISNUMBER(B1278),YEAR(B1278),"")</f>
        <v/>
      </c>
      <c r="H1278">
        <f>IF(ISNUMBER(B1278),MONTH(B1278),"")</f>
        <v/>
      </c>
      <c r="I1278">
        <f>IFERROR(IF($B$1=0,"",IF(ISNUMBER(INDEX(貼り付け!$A$1:$BZ$3001,1277,$B$1)),"",SUBSTITUTE(SUBSTITUTE(SUBSTITUTE(SUBSTITUTE(TRIM(LEFT(INDEX(貼り付け!$A$1:$BZ$3001,1277,$B$1)&amp;"",FIND(" ",TRIM(INDEX(貼り付け!$A$1:$BZ$3001,1277,$B$1)&amp;"")&amp;" ")-1)),"/","-"),"年","-"),"月","-"),"日",""))),"")</f>
        <v/>
      </c>
      <c r="J1278">
        <f>IFERROR(MID(I1278,FIND("-",I1278)+1,99),"")</f>
        <v/>
      </c>
    </row>
    <row r="1279">
      <c r="B1279">
        <f>IFERROR(IF($B$1=0,"",IF(INDEX(貼り付け!$A$1:$BZ$3001,1278,$B$1)="","",IF(ISNUMBER(INDEX(貼り付け!$A$1:$BZ$3001,1278,$B$1)),INT(INDEX(貼り付け!$A$1:$BZ$3001,1278,$B$1)),DATE(VALUE(LEFT(I1279,FIND("-",I1279)-1)),VALUE(LEFT(J1279,FIND("-",J1279)-1)),VALUE(MID(J1279,FIND("-",J1279)+1,99)))))),"")</f>
        <v/>
      </c>
      <c r="C1279">
        <f>IF($C$1=0,0,IFERROR(VALUE(SUBSTITUTE(SUBSTITUTE(SUBSTITUTE(INDEX(貼り付け!$A$1:$BZ$3001,1278,$C$1)&amp;"",",",""),"¥",""),"￥","")),0))</f>
        <v/>
      </c>
      <c r="D1279">
        <f>IF($D$1=0,0,IFERROR(VALUE(SUBSTITUTE(SUBSTITUTE(SUBSTITUTE(INDEX(貼り付け!$A$1:$BZ$3001,1278,$D$1)&amp;"",",",""),"¥",""),"￥","")),0))</f>
        <v/>
      </c>
      <c r="E1279">
        <f>IF($E$1=0,0,IFERROR(VALUE(SUBSTITUTE(SUBSTITUTE(SUBSTITUTE(INDEX(貼り付け!$A$1:$BZ$3001,1278,$E$1)&amp;"",",",""),"¥",""),"￥","")),0))</f>
        <v/>
      </c>
      <c r="F1279">
        <f>IF($F$1=0,0,IFERROR(VALUE(SUBSTITUTE(SUBSTITUTE(SUBSTITUTE(INDEX(貼り付け!$A$1:$BZ$3001,1278,$F$1)&amp;"",",",""),"¥",""),"￥","")),0))</f>
        <v/>
      </c>
      <c r="G1279">
        <f>IF(ISNUMBER(B1279),YEAR(B1279),"")</f>
        <v/>
      </c>
      <c r="H1279">
        <f>IF(ISNUMBER(B1279),MONTH(B1279),"")</f>
        <v/>
      </c>
      <c r="I1279">
        <f>IFERROR(IF($B$1=0,"",IF(ISNUMBER(INDEX(貼り付け!$A$1:$BZ$3001,1278,$B$1)),"",SUBSTITUTE(SUBSTITUTE(SUBSTITUTE(SUBSTITUTE(TRIM(LEFT(INDEX(貼り付け!$A$1:$BZ$3001,1278,$B$1)&amp;"",FIND(" ",TRIM(INDEX(貼り付け!$A$1:$BZ$3001,1278,$B$1)&amp;"")&amp;" ")-1)),"/","-"),"年","-"),"月","-"),"日",""))),"")</f>
        <v/>
      </c>
      <c r="J1279">
        <f>IFERROR(MID(I1279,FIND("-",I1279)+1,99),"")</f>
        <v/>
      </c>
    </row>
    <row r="1280">
      <c r="B1280">
        <f>IFERROR(IF($B$1=0,"",IF(INDEX(貼り付け!$A$1:$BZ$3001,1279,$B$1)="","",IF(ISNUMBER(INDEX(貼り付け!$A$1:$BZ$3001,1279,$B$1)),INT(INDEX(貼り付け!$A$1:$BZ$3001,1279,$B$1)),DATE(VALUE(LEFT(I1280,FIND("-",I1280)-1)),VALUE(LEFT(J1280,FIND("-",J1280)-1)),VALUE(MID(J1280,FIND("-",J1280)+1,99)))))),"")</f>
        <v/>
      </c>
      <c r="C1280">
        <f>IF($C$1=0,0,IFERROR(VALUE(SUBSTITUTE(SUBSTITUTE(SUBSTITUTE(INDEX(貼り付け!$A$1:$BZ$3001,1279,$C$1)&amp;"",",",""),"¥",""),"￥","")),0))</f>
        <v/>
      </c>
      <c r="D1280">
        <f>IF($D$1=0,0,IFERROR(VALUE(SUBSTITUTE(SUBSTITUTE(SUBSTITUTE(INDEX(貼り付け!$A$1:$BZ$3001,1279,$D$1)&amp;"",",",""),"¥",""),"￥","")),0))</f>
        <v/>
      </c>
      <c r="E1280">
        <f>IF($E$1=0,0,IFERROR(VALUE(SUBSTITUTE(SUBSTITUTE(SUBSTITUTE(INDEX(貼り付け!$A$1:$BZ$3001,1279,$E$1)&amp;"",",",""),"¥",""),"￥","")),0))</f>
        <v/>
      </c>
      <c r="F1280">
        <f>IF($F$1=0,0,IFERROR(VALUE(SUBSTITUTE(SUBSTITUTE(SUBSTITUTE(INDEX(貼り付け!$A$1:$BZ$3001,1279,$F$1)&amp;"",",",""),"¥",""),"￥","")),0))</f>
        <v/>
      </c>
      <c r="G1280">
        <f>IF(ISNUMBER(B1280),YEAR(B1280),"")</f>
        <v/>
      </c>
      <c r="H1280">
        <f>IF(ISNUMBER(B1280),MONTH(B1280),"")</f>
        <v/>
      </c>
      <c r="I1280">
        <f>IFERROR(IF($B$1=0,"",IF(ISNUMBER(INDEX(貼り付け!$A$1:$BZ$3001,1279,$B$1)),"",SUBSTITUTE(SUBSTITUTE(SUBSTITUTE(SUBSTITUTE(TRIM(LEFT(INDEX(貼り付け!$A$1:$BZ$3001,1279,$B$1)&amp;"",FIND(" ",TRIM(INDEX(貼り付け!$A$1:$BZ$3001,1279,$B$1)&amp;"")&amp;" ")-1)),"/","-"),"年","-"),"月","-"),"日",""))),"")</f>
        <v/>
      </c>
      <c r="J1280">
        <f>IFERROR(MID(I1280,FIND("-",I1280)+1,99),"")</f>
        <v/>
      </c>
    </row>
    <row r="1281">
      <c r="B1281">
        <f>IFERROR(IF($B$1=0,"",IF(INDEX(貼り付け!$A$1:$BZ$3001,1280,$B$1)="","",IF(ISNUMBER(INDEX(貼り付け!$A$1:$BZ$3001,1280,$B$1)),INT(INDEX(貼り付け!$A$1:$BZ$3001,1280,$B$1)),DATE(VALUE(LEFT(I1281,FIND("-",I1281)-1)),VALUE(LEFT(J1281,FIND("-",J1281)-1)),VALUE(MID(J1281,FIND("-",J1281)+1,99)))))),"")</f>
        <v/>
      </c>
      <c r="C1281">
        <f>IF($C$1=0,0,IFERROR(VALUE(SUBSTITUTE(SUBSTITUTE(SUBSTITUTE(INDEX(貼り付け!$A$1:$BZ$3001,1280,$C$1)&amp;"",",",""),"¥",""),"￥","")),0))</f>
        <v/>
      </c>
      <c r="D1281">
        <f>IF($D$1=0,0,IFERROR(VALUE(SUBSTITUTE(SUBSTITUTE(SUBSTITUTE(INDEX(貼り付け!$A$1:$BZ$3001,1280,$D$1)&amp;"",",",""),"¥",""),"￥","")),0))</f>
        <v/>
      </c>
      <c r="E1281">
        <f>IF($E$1=0,0,IFERROR(VALUE(SUBSTITUTE(SUBSTITUTE(SUBSTITUTE(INDEX(貼り付け!$A$1:$BZ$3001,1280,$E$1)&amp;"",",",""),"¥",""),"￥","")),0))</f>
        <v/>
      </c>
      <c r="F1281">
        <f>IF($F$1=0,0,IFERROR(VALUE(SUBSTITUTE(SUBSTITUTE(SUBSTITUTE(INDEX(貼り付け!$A$1:$BZ$3001,1280,$F$1)&amp;"",",",""),"¥",""),"￥","")),0))</f>
        <v/>
      </c>
      <c r="G1281">
        <f>IF(ISNUMBER(B1281),YEAR(B1281),"")</f>
        <v/>
      </c>
      <c r="H1281">
        <f>IF(ISNUMBER(B1281),MONTH(B1281),"")</f>
        <v/>
      </c>
      <c r="I1281">
        <f>IFERROR(IF($B$1=0,"",IF(ISNUMBER(INDEX(貼り付け!$A$1:$BZ$3001,1280,$B$1)),"",SUBSTITUTE(SUBSTITUTE(SUBSTITUTE(SUBSTITUTE(TRIM(LEFT(INDEX(貼り付け!$A$1:$BZ$3001,1280,$B$1)&amp;"",FIND(" ",TRIM(INDEX(貼り付け!$A$1:$BZ$3001,1280,$B$1)&amp;"")&amp;" ")-1)),"/","-"),"年","-"),"月","-"),"日",""))),"")</f>
        <v/>
      </c>
      <c r="J1281">
        <f>IFERROR(MID(I1281,FIND("-",I1281)+1,99),"")</f>
        <v/>
      </c>
    </row>
    <row r="1282">
      <c r="B1282">
        <f>IFERROR(IF($B$1=0,"",IF(INDEX(貼り付け!$A$1:$BZ$3001,1281,$B$1)="","",IF(ISNUMBER(INDEX(貼り付け!$A$1:$BZ$3001,1281,$B$1)),INT(INDEX(貼り付け!$A$1:$BZ$3001,1281,$B$1)),DATE(VALUE(LEFT(I1282,FIND("-",I1282)-1)),VALUE(LEFT(J1282,FIND("-",J1282)-1)),VALUE(MID(J1282,FIND("-",J1282)+1,99)))))),"")</f>
        <v/>
      </c>
      <c r="C1282">
        <f>IF($C$1=0,0,IFERROR(VALUE(SUBSTITUTE(SUBSTITUTE(SUBSTITUTE(INDEX(貼り付け!$A$1:$BZ$3001,1281,$C$1)&amp;"",",",""),"¥",""),"￥","")),0))</f>
        <v/>
      </c>
      <c r="D1282">
        <f>IF($D$1=0,0,IFERROR(VALUE(SUBSTITUTE(SUBSTITUTE(SUBSTITUTE(INDEX(貼り付け!$A$1:$BZ$3001,1281,$D$1)&amp;"",",",""),"¥",""),"￥","")),0))</f>
        <v/>
      </c>
      <c r="E1282">
        <f>IF($E$1=0,0,IFERROR(VALUE(SUBSTITUTE(SUBSTITUTE(SUBSTITUTE(INDEX(貼り付け!$A$1:$BZ$3001,1281,$E$1)&amp;"",",",""),"¥",""),"￥","")),0))</f>
        <v/>
      </c>
      <c r="F1282">
        <f>IF($F$1=0,0,IFERROR(VALUE(SUBSTITUTE(SUBSTITUTE(SUBSTITUTE(INDEX(貼り付け!$A$1:$BZ$3001,1281,$F$1)&amp;"",",",""),"¥",""),"￥","")),0))</f>
        <v/>
      </c>
      <c r="G1282">
        <f>IF(ISNUMBER(B1282),YEAR(B1282),"")</f>
        <v/>
      </c>
      <c r="H1282">
        <f>IF(ISNUMBER(B1282),MONTH(B1282),"")</f>
        <v/>
      </c>
      <c r="I1282">
        <f>IFERROR(IF($B$1=0,"",IF(ISNUMBER(INDEX(貼り付け!$A$1:$BZ$3001,1281,$B$1)),"",SUBSTITUTE(SUBSTITUTE(SUBSTITUTE(SUBSTITUTE(TRIM(LEFT(INDEX(貼り付け!$A$1:$BZ$3001,1281,$B$1)&amp;"",FIND(" ",TRIM(INDEX(貼り付け!$A$1:$BZ$3001,1281,$B$1)&amp;"")&amp;" ")-1)),"/","-"),"年","-"),"月","-"),"日",""))),"")</f>
        <v/>
      </c>
      <c r="J1282">
        <f>IFERROR(MID(I1282,FIND("-",I1282)+1,99),"")</f>
        <v/>
      </c>
    </row>
    <row r="1283">
      <c r="B1283">
        <f>IFERROR(IF($B$1=0,"",IF(INDEX(貼り付け!$A$1:$BZ$3001,1282,$B$1)="","",IF(ISNUMBER(INDEX(貼り付け!$A$1:$BZ$3001,1282,$B$1)),INT(INDEX(貼り付け!$A$1:$BZ$3001,1282,$B$1)),DATE(VALUE(LEFT(I1283,FIND("-",I1283)-1)),VALUE(LEFT(J1283,FIND("-",J1283)-1)),VALUE(MID(J1283,FIND("-",J1283)+1,99)))))),"")</f>
        <v/>
      </c>
      <c r="C1283">
        <f>IF($C$1=0,0,IFERROR(VALUE(SUBSTITUTE(SUBSTITUTE(SUBSTITUTE(INDEX(貼り付け!$A$1:$BZ$3001,1282,$C$1)&amp;"",",",""),"¥",""),"￥","")),0))</f>
        <v/>
      </c>
      <c r="D1283">
        <f>IF($D$1=0,0,IFERROR(VALUE(SUBSTITUTE(SUBSTITUTE(SUBSTITUTE(INDEX(貼り付け!$A$1:$BZ$3001,1282,$D$1)&amp;"",",",""),"¥",""),"￥","")),0))</f>
        <v/>
      </c>
      <c r="E1283">
        <f>IF($E$1=0,0,IFERROR(VALUE(SUBSTITUTE(SUBSTITUTE(SUBSTITUTE(INDEX(貼り付け!$A$1:$BZ$3001,1282,$E$1)&amp;"",",",""),"¥",""),"￥","")),0))</f>
        <v/>
      </c>
      <c r="F1283">
        <f>IF($F$1=0,0,IFERROR(VALUE(SUBSTITUTE(SUBSTITUTE(SUBSTITUTE(INDEX(貼り付け!$A$1:$BZ$3001,1282,$F$1)&amp;"",",",""),"¥",""),"￥","")),0))</f>
        <v/>
      </c>
      <c r="G1283">
        <f>IF(ISNUMBER(B1283),YEAR(B1283),"")</f>
        <v/>
      </c>
      <c r="H1283">
        <f>IF(ISNUMBER(B1283),MONTH(B1283),"")</f>
        <v/>
      </c>
      <c r="I1283">
        <f>IFERROR(IF($B$1=0,"",IF(ISNUMBER(INDEX(貼り付け!$A$1:$BZ$3001,1282,$B$1)),"",SUBSTITUTE(SUBSTITUTE(SUBSTITUTE(SUBSTITUTE(TRIM(LEFT(INDEX(貼り付け!$A$1:$BZ$3001,1282,$B$1)&amp;"",FIND(" ",TRIM(INDEX(貼り付け!$A$1:$BZ$3001,1282,$B$1)&amp;"")&amp;" ")-1)),"/","-"),"年","-"),"月","-"),"日",""))),"")</f>
        <v/>
      </c>
      <c r="J1283">
        <f>IFERROR(MID(I1283,FIND("-",I1283)+1,99),"")</f>
        <v/>
      </c>
    </row>
    <row r="1284">
      <c r="B1284">
        <f>IFERROR(IF($B$1=0,"",IF(INDEX(貼り付け!$A$1:$BZ$3001,1283,$B$1)="","",IF(ISNUMBER(INDEX(貼り付け!$A$1:$BZ$3001,1283,$B$1)),INT(INDEX(貼り付け!$A$1:$BZ$3001,1283,$B$1)),DATE(VALUE(LEFT(I1284,FIND("-",I1284)-1)),VALUE(LEFT(J1284,FIND("-",J1284)-1)),VALUE(MID(J1284,FIND("-",J1284)+1,99)))))),"")</f>
        <v/>
      </c>
      <c r="C1284">
        <f>IF($C$1=0,0,IFERROR(VALUE(SUBSTITUTE(SUBSTITUTE(SUBSTITUTE(INDEX(貼り付け!$A$1:$BZ$3001,1283,$C$1)&amp;"",",",""),"¥",""),"￥","")),0))</f>
        <v/>
      </c>
      <c r="D1284">
        <f>IF($D$1=0,0,IFERROR(VALUE(SUBSTITUTE(SUBSTITUTE(SUBSTITUTE(INDEX(貼り付け!$A$1:$BZ$3001,1283,$D$1)&amp;"",",",""),"¥",""),"￥","")),0))</f>
        <v/>
      </c>
      <c r="E1284">
        <f>IF($E$1=0,0,IFERROR(VALUE(SUBSTITUTE(SUBSTITUTE(SUBSTITUTE(INDEX(貼り付け!$A$1:$BZ$3001,1283,$E$1)&amp;"",",",""),"¥",""),"￥","")),0))</f>
        <v/>
      </c>
      <c r="F1284">
        <f>IF($F$1=0,0,IFERROR(VALUE(SUBSTITUTE(SUBSTITUTE(SUBSTITUTE(INDEX(貼り付け!$A$1:$BZ$3001,1283,$F$1)&amp;"",",",""),"¥",""),"￥","")),0))</f>
        <v/>
      </c>
      <c r="G1284">
        <f>IF(ISNUMBER(B1284),YEAR(B1284),"")</f>
        <v/>
      </c>
      <c r="H1284">
        <f>IF(ISNUMBER(B1284),MONTH(B1284),"")</f>
        <v/>
      </c>
      <c r="I1284">
        <f>IFERROR(IF($B$1=0,"",IF(ISNUMBER(INDEX(貼り付け!$A$1:$BZ$3001,1283,$B$1)),"",SUBSTITUTE(SUBSTITUTE(SUBSTITUTE(SUBSTITUTE(TRIM(LEFT(INDEX(貼り付け!$A$1:$BZ$3001,1283,$B$1)&amp;"",FIND(" ",TRIM(INDEX(貼り付け!$A$1:$BZ$3001,1283,$B$1)&amp;"")&amp;" ")-1)),"/","-"),"年","-"),"月","-"),"日",""))),"")</f>
        <v/>
      </c>
      <c r="J1284">
        <f>IFERROR(MID(I1284,FIND("-",I1284)+1,99),"")</f>
        <v/>
      </c>
    </row>
    <row r="1285">
      <c r="B1285">
        <f>IFERROR(IF($B$1=0,"",IF(INDEX(貼り付け!$A$1:$BZ$3001,1284,$B$1)="","",IF(ISNUMBER(INDEX(貼り付け!$A$1:$BZ$3001,1284,$B$1)),INT(INDEX(貼り付け!$A$1:$BZ$3001,1284,$B$1)),DATE(VALUE(LEFT(I1285,FIND("-",I1285)-1)),VALUE(LEFT(J1285,FIND("-",J1285)-1)),VALUE(MID(J1285,FIND("-",J1285)+1,99)))))),"")</f>
        <v/>
      </c>
      <c r="C1285">
        <f>IF($C$1=0,0,IFERROR(VALUE(SUBSTITUTE(SUBSTITUTE(SUBSTITUTE(INDEX(貼り付け!$A$1:$BZ$3001,1284,$C$1)&amp;"",",",""),"¥",""),"￥","")),0))</f>
        <v/>
      </c>
      <c r="D1285">
        <f>IF($D$1=0,0,IFERROR(VALUE(SUBSTITUTE(SUBSTITUTE(SUBSTITUTE(INDEX(貼り付け!$A$1:$BZ$3001,1284,$D$1)&amp;"",",",""),"¥",""),"￥","")),0))</f>
        <v/>
      </c>
      <c r="E1285">
        <f>IF($E$1=0,0,IFERROR(VALUE(SUBSTITUTE(SUBSTITUTE(SUBSTITUTE(INDEX(貼り付け!$A$1:$BZ$3001,1284,$E$1)&amp;"",",",""),"¥",""),"￥","")),0))</f>
        <v/>
      </c>
      <c r="F1285">
        <f>IF($F$1=0,0,IFERROR(VALUE(SUBSTITUTE(SUBSTITUTE(SUBSTITUTE(INDEX(貼り付け!$A$1:$BZ$3001,1284,$F$1)&amp;"",",",""),"¥",""),"￥","")),0))</f>
        <v/>
      </c>
      <c r="G1285">
        <f>IF(ISNUMBER(B1285),YEAR(B1285),"")</f>
        <v/>
      </c>
      <c r="H1285">
        <f>IF(ISNUMBER(B1285),MONTH(B1285),"")</f>
        <v/>
      </c>
      <c r="I1285">
        <f>IFERROR(IF($B$1=0,"",IF(ISNUMBER(INDEX(貼り付け!$A$1:$BZ$3001,1284,$B$1)),"",SUBSTITUTE(SUBSTITUTE(SUBSTITUTE(SUBSTITUTE(TRIM(LEFT(INDEX(貼り付け!$A$1:$BZ$3001,1284,$B$1)&amp;"",FIND(" ",TRIM(INDEX(貼り付け!$A$1:$BZ$3001,1284,$B$1)&amp;"")&amp;" ")-1)),"/","-"),"年","-"),"月","-"),"日",""))),"")</f>
        <v/>
      </c>
      <c r="J1285">
        <f>IFERROR(MID(I1285,FIND("-",I1285)+1,99),"")</f>
        <v/>
      </c>
    </row>
    <row r="1286">
      <c r="B1286">
        <f>IFERROR(IF($B$1=0,"",IF(INDEX(貼り付け!$A$1:$BZ$3001,1285,$B$1)="","",IF(ISNUMBER(INDEX(貼り付け!$A$1:$BZ$3001,1285,$B$1)),INT(INDEX(貼り付け!$A$1:$BZ$3001,1285,$B$1)),DATE(VALUE(LEFT(I1286,FIND("-",I1286)-1)),VALUE(LEFT(J1286,FIND("-",J1286)-1)),VALUE(MID(J1286,FIND("-",J1286)+1,99)))))),"")</f>
        <v/>
      </c>
      <c r="C1286">
        <f>IF($C$1=0,0,IFERROR(VALUE(SUBSTITUTE(SUBSTITUTE(SUBSTITUTE(INDEX(貼り付け!$A$1:$BZ$3001,1285,$C$1)&amp;"",",",""),"¥",""),"￥","")),0))</f>
        <v/>
      </c>
      <c r="D1286">
        <f>IF($D$1=0,0,IFERROR(VALUE(SUBSTITUTE(SUBSTITUTE(SUBSTITUTE(INDEX(貼り付け!$A$1:$BZ$3001,1285,$D$1)&amp;"",",",""),"¥",""),"￥","")),0))</f>
        <v/>
      </c>
      <c r="E1286">
        <f>IF($E$1=0,0,IFERROR(VALUE(SUBSTITUTE(SUBSTITUTE(SUBSTITUTE(INDEX(貼り付け!$A$1:$BZ$3001,1285,$E$1)&amp;"",",",""),"¥",""),"￥","")),0))</f>
        <v/>
      </c>
      <c r="F1286">
        <f>IF($F$1=0,0,IFERROR(VALUE(SUBSTITUTE(SUBSTITUTE(SUBSTITUTE(INDEX(貼り付け!$A$1:$BZ$3001,1285,$F$1)&amp;"",",",""),"¥",""),"￥","")),0))</f>
        <v/>
      </c>
      <c r="G1286">
        <f>IF(ISNUMBER(B1286),YEAR(B1286),"")</f>
        <v/>
      </c>
      <c r="H1286">
        <f>IF(ISNUMBER(B1286),MONTH(B1286),"")</f>
        <v/>
      </c>
      <c r="I1286">
        <f>IFERROR(IF($B$1=0,"",IF(ISNUMBER(INDEX(貼り付け!$A$1:$BZ$3001,1285,$B$1)),"",SUBSTITUTE(SUBSTITUTE(SUBSTITUTE(SUBSTITUTE(TRIM(LEFT(INDEX(貼り付け!$A$1:$BZ$3001,1285,$B$1)&amp;"",FIND(" ",TRIM(INDEX(貼り付け!$A$1:$BZ$3001,1285,$B$1)&amp;"")&amp;" ")-1)),"/","-"),"年","-"),"月","-"),"日",""))),"")</f>
        <v/>
      </c>
      <c r="J1286">
        <f>IFERROR(MID(I1286,FIND("-",I1286)+1,99),"")</f>
        <v/>
      </c>
    </row>
    <row r="1287">
      <c r="B1287">
        <f>IFERROR(IF($B$1=0,"",IF(INDEX(貼り付け!$A$1:$BZ$3001,1286,$B$1)="","",IF(ISNUMBER(INDEX(貼り付け!$A$1:$BZ$3001,1286,$B$1)),INT(INDEX(貼り付け!$A$1:$BZ$3001,1286,$B$1)),DATE(VALUE(LEFT(I1287,FIND("-",I1287)-1)),VALUE(LEFT(J1287,FIND("-",J1287)-1)),VALUE(MID(J1287,FIND("-",J1287)+1,99)))))),"")</f>
        <v/>
      </c>
      <c r="C1287">
        <f>IF($C$1=0,0,IFERROR(VALUE(SUBSTITUTE(SUBSTITUTE(SUBSTITUTE(INDEX(貼り付け!$A$1:$BZ$3001,1286,$C$1)&amp;"",",",""),"¥",""),"￥","")),0))</f>
        <v/>
      </c>
      <c r="D1287">
        <f>IF($D$1=0,0,IFERROR(VALUE(SUBSTITUTE(SUBSTITUTE(SUBSTITUTE(INDEX(貼り付け!$A$1:$BZ$3001,1286,$D$1)&amp;"",",",""),"¥",""),"￥","")),0))</f>
        <v/>
      </c>
      <c r="E1287">
        <f>IF($E$1=0,0,IFERROR(VALUE(SUBSTITUTE(SUBSTITUTE(SUBSTITUTE(INDEX(貼り付け!$A$1:$BZ$3001,1286,$E$1)&amp;"",",",""),"¥",""),"￥","")),0))</f>
        <v/>
      </c>
      <c r="F1287">
        <f>IF($F$1=0,0,IFERROR(VALUE(SUBSTITUTE(SUBSTITUTE(SUBSTITUTE(INDEX(貼り付け!$A$1:$BZ$3001,1286,$F$1)&amp;"",",",""),"¥",""),"￥","")),0))</f>
        <v/>
      </c>
      <c r="G1287">
        <f>IF(ISNUMBER(B1287),YEAR(B1287),"")</f>
        <v/>
      </c>
      <c r="H1287">
        <f>IF(ISNUMBER(B1287),MONTH(B1287),"")</f>
        <v/>
      </c>
      <c r="I1287">
        <f>IFERROR(IF($B$1=0,"",IF(ISNUMBER(INDEX(貼り付け!$A$1:$BZ$3001,1286,$B$1)),"",SUBSTITUTE(SUBSTITUTE(SUBSTITUTE(SUBSTITUTE(TRIM(LEFT(INDEX(貼り付け!$A$1:$BZ$3001,1286,$B$1)&amp;"",FIND(" ",TRIM(INDEX(貼り付け!$A$1:$BZ$3001,1286,$B$1)&amp;"")&amp;" ")-1)),"/","-"),"年","-"),"月","-"),"日",""))),"")</f>
        <v/>
      </c>
      <c r="J1287">
        <f>IFERROR(MID(I1287,FIND("-",I1287)+1,99),"")</f>
        <v/>
      </c>
    </row>
    <row r="1288">
      <c r="B1288">
        <f>IFERROR(IF($B$1=0,"",IF(INDEX(貼り付け!$A$1:$BZ$3001,1287,$B$1)="","",IF(ISNUMBER(INDEX(貼り付け!$A$1:$BZ$3001,1287,$B$1)),INT(INDEX(貼り付け!$A$1:$BZ$3001,1287,$B$1)),DATE(VALUE(LEFT(I1288,FIND("-",I1288)-1)),VALUE(LEFT(J1288,FIND("-",J1288)-1)),VALUE(MID(J1288,FIND("-",J1288)+1,99)))))),"")</f>
        <v/>
      </c>
      <c r="C1288">
        <f>IF($C$1=0,0,IFERROR(VALUE(SUBSTITUTE(SUBSTITUTE(SUBSTITUTE(INDEX(貼り付け!$A$1:$BZ$3001,1287,$C$1)&amp;"",",",""),"¥",""),"￥","")),0))</f>
        <v/>
      </c>
      <c r="D1288">
        <f>IF($D$1=0,0,IFERROR(VALUE(SUBSTITUTE(SUBSTITUTE(SUBSTITUTE(INDEX(貼り付け!$A$1:$BZ$3001,1287,$D$1)&amp;"",",",""),"¥",""),"￥","")),0))</f>
        <v/>
      </c>
      <c r="E1288">
        <f>IF($E$1=0,0,IFERROR(VALUE(SUBSTITUTE(SUBSTITUTE(SUBSTITUTE(INDEX(貼り付け!$A$1:$BZ$3001,1287,$E$1)&amp;"",",",""),"¥",""),"￥","")),0))</f>
        <v/>
      </c>
      <c r="F1288">
        <f>IF($F$1=0,0,IFERROR(VALUE(SUBSTITUTE(SUBSTITUTE(SUBSTITUTE(INDEX(貼り付け!$A$1:$BZ$3001,1287,$F$1)&amp;"",",",""),"¥",""),"￥","")),0))</f>
        <v/>
      </c>
      <c r="G1288">
        <f>IF(ISNUMBER(B1288),YEAR(B1288),"")</f>
        <v/>
      </c>
      <c r="H1288">
        <f>IF(ISNUMBER(B1288),MONTH(B1288),"")</f>
        <v/>
      </c>
      <c r="I1288">
        <f>IFERROR(IF($B$1=0,"",IF(ISNUMBER(INDEX(貼り付け!$A$1:$BZ$3001,1287,$B$1)),"",SUBSTITUTE(SUBSTITUTE(SUBSTITUTE(SUBSTITUTE(TRIM(LEFT(INDEX(貼り付け!$A$1:$BZ$3001,1287,$B$1)&amp;"",FIND(" ",TRIM(INDEX(貼り付け!$A$1:$BZ$3001,1287,$B$1)&amp;"")&amp;" ")-1)),"/","-"),"年","-"),"月","-"),"日",""))),"")</f>
        <v/>
      </c>
      <c r="J1288">
        <f>IFERROR(MID(I1288,FIND("-",I1288)+1,99),"")</f>
        <v/>
      </c>
    </row>
    <row r="1289">
      <c r="B1289">
        <f>IFERROR(IF($B$1=0,"",IF(INDEX(貼り付け!$A$1:$BZ$3001,1288,$B$1)="","",IF(ISNUMBER(INDEX(貼り付け!$A$1:$BZ$3001,1288,$B$1)),INT(INDEX(貼り付け!$A$1:$BZ$3001,1288,$B$1)),DATE(VALUE(LEFT(I1289,FIND("-",I1289)-1)),VALUE(LEFT(J1289,FIND("-",J1289)-1)),VALUE(MID(J1289,FIND("-",J1289)+1,99)))))),"")</f>
        <v/>
      </c>
      <c r="C1289">
        <f>IF($C$1=0,0,IFERROR(VALUE(SUBSTITUTE(SUBSTITUTE(SUBSTITUTE(INDEX(貼り付け!$A$1:$BZ$3001,1288,$C$1)&amp;"",",",""),"¥",""),"￥","")),0))</f>
        <v/>
      </c>
      <c r="D1289">
        <f>IF($D$1=0,0,IFERROR(VALUE(SUBSTITUTE(SUBSTITUTE(SUBSTITUTE(INDEX(貼り付け!$A$1:$BZ$3001,1288,$D$1)&amp;"",",",""),"¥",""),"￥","")),0))</f>
        <v/>
      </c>
      <c r="E1289">
        <f>IF($E$1=0,0,IFERROR(VALUE(SUBSTITUTE(SUBSTITUTE(SUBSTITUTE(INDEX(貼り付け!$A$1:$BZ$3001,1288,$E$1)&amp;"",",",""),"¥",""),"￥","")),0))</f>
        <v/>
      </c>
      <c r="F1289">
        <f>IF($F$1=0,0,IFERROR(VALUE(SUBSTITUTE(SUBSTITUTE(SUBSTITUTE(INDEX(貼り付け!$A$1:$BZ$3001,1288,$F$1)&amp;"",",",""),"¥",""),"￥","")),0))</f>
        <v/>
      </c>
      <c r="G1289">
        <f>IF(ISNUMBER(B1289),YEAR(B1289),"")</f>
        <v/>
      </c>
      <c r="H1289">
        <f>IF(ISNUMBER(B1289),MONTH(B1289),"")</f>
        <v/>
      </c>
      <c r="I1289">
        <f>IFERROR(IF($B$1=0,"",IF(ISNUMBER(INDEX(貼り付け!$A$1:$BZ$3001,1288,$B$1)),"",SUBSTITUTE(SUBSTITUTE(SUBSTITUTE(SUBSTITUTE(TRIM(LEFT(INDEX(貼り付け!$A$1:$BZ$3001,1288,$B$1)&amp;"",FIND(" ",TRIM(INDEX(貼り付け!$A$1:$BZ$3001,1288,$B$1)&amp;"")&amp;" ")-1)),"/","-"),"年","-"),"月","-"),"日",""))),"")</f>
        <v/>
      </c>
      <c r="J1289">
        <f>IFERROR(MID(I1289,FIND("-",I1289)+1,99),"")</f>
        <v/>
      </c>
    </row>
    <row r="1290">
      <c r="B1290">
        <f>IFERROR(IF($B$1=0,"",IF(INDEX(貼り付け!$A$1:$BZ$3001,1289,$B$1)="","",IF(ISNUMBER(INDEX(貼り付け!$A$1:$BZ$3001,1289,$B$1)),INT(INDEX(貼り付け!$A$1:$BZ$3001,1289,$B$1)),DATE(VALUE(LEFT(I1290,FIND("-",I1290)-1)),VALUE(LEFT(J1290,FIND("-",J1290)-1)),VALUE(MID(J1290,FIND("-",J1290)+1,99)))))),"")</f>
        <v/>
      </c>
      <c r="C1290">
        <f>IF($C$1=0,0,IFERROR(VALUE(SUBSTITUTE(SUBSTITUTE(SUBSTITUTE(INDEX(貼り付け!$A$1:$BZ$3001,1289,$C$1)&amp;"",",",""),"¥",""),"￥","")),0))</f>
        <v/>
      </c>
      <c r="D1290">
        <f>IF($D$1=0,0,IFERROR(VALUE(SUBSTITUTE(SUBSTITUTE(SUBSTITUTE(INDEX(貼り付け!$A$1:$BZ$3001,1289,$D$1)&amp;"",",",""),"¥",""),"￥","")),0))</f>
        <v/>
      </c>
      <c r="E1290">
        <f>IF($E$1=0,0,IFERROR(VALUE(SUBSTITUTE(SUBSTITUTE(SUBSTITUTE(INDEX(貼り付け!$A$1:$BZ$3001,1289,$E$1)&amp;"",",",""),"¥",""),"￥","")),0))</f>
        <v/>
      </c>
      <c r="F1290">
        <f>IF($F$1=0,0,IFERROR(VALUE(SUBSTITUTE(SUBSTITUTE(SUBSTITUTE(INDEX(貼り付け!$A$1:$BZ$3001,1289,$F$1)&amp;"",",",""),"¥",""),"￥","")),0))</f>
        <v/>
      </c>
      <c r="G1290">
        <f>IF(ISNUMBER(B1290),YEAR(B1290),"")</f>
        <v/>
      </c>
      <c r="H1290">
        <f>IF(ISNUMBER(B1290),MONTH(B1290),"")</f>
        <v/>
      </c>
      <c r="I1290">
        <f>IFERROR(IF($B$1=0,"",IF(ISNUMBER(INDEX(貼り付け!$A$1:$BZ$3001,1289,$B$1)),"",SUBSTITUTE(SUBSTITUTE(SUBSTITUTE(SUBSTITUTE(TRIM(LEFT(INDEX(貼り付け!$A$1:$BZ$3001,1289,$B$1)&amp;"",FIND(" ",TRIM(INDEX(貼り付け!$A$1:$BZ$3001,1289,$B$1)&amp;"")&amp;" ")-1)),"/","-"),"年","-"),"月","-"),"日",""))),"")</f>
        <v/>
      </c>
      <c r="J1290">
        <f>IFERROR(MID(I1290,FIND("-",I1290)+1,99),"")</f>
        <v/>
      </c>
    </row>
    <row r="1291">
      <c r="B1291">
        <f>IFERROR(IF($B$1=0,"",IF(INDEX(貼り付け!$A$1:$BZ$3001,1290,$B$1)="","",IF(ISNUMBER(INDEX(貼り付け!$A$1:$BZ$3001,1290,$B$1)),INT(INDEX(貼り付け!$A$1:$BZ$3001,1290,$B$1)),DATE(VALUE(LEFT(I1291,FIND("-",I1291)-1)),VALUE(LEFT(J1291,FIND("-",J1291)-1)),VALUE(MID(J1291,FIND("-",J1291)+1,99)))))),"")</f>
        <v/>
      </c>
      <c r="C1291">
        <f>IF($C$1=0,0,IFERROR(VALUE(SUBSTITUTE(SUBSTITUTE(SUBSTITUTE(INDEX(貼り付け!$A$1:$BZ$3001,1290,$C$1)&amp;"",",",""),"¥",""),"￥","")),0))</f>
        <v/>
      </c>
      <c r="D1291">
        <f>IF($D$1=0,0,IFERROR(VALUE(SUBSTITUTE(SUBSTITUTE(SUBSTITUTE(INDEX(貼り付け!$A$1:$BZ$3001,1290,$D$1)&amp;"",",",""),"¥",""),"￥","")),0))</f>
        <v/>
      </c>
      <c r="E1291">
        <f>IF($E$1=0,0,IFERROR(VALUE(SUBSTITUTE(SUBSTITUTE(SUBSTITUTE(INDEX(貼り付け!$A$1:$BZ$3001,1290,$E$1)&amp;"",",",""),"¥",""),"￥","")),0))</f>
        <v/>
      </c>
      <c r="F1291">
        <f>IF($F$1=0,0,IFERROR(VALUE(SUBSTITUTE(SUBSTITUTE(SUBSTITUTE(INDEX(貼り付け!$A$1:$BZ$3001,1290,$F$1)&amp;"",",",""),"¥",""),"￥","")),0))</f>
        <v/>
      </c>
      <c r="G1291">
        <f>IF(ISNUMBER(B1291),YEAR(B1291),"")</f>
        <v/>
      </c>
      <c r="H1291">
        <f>IF(ISNUMBER(B1291),MONTH(B1291),"")</f>
        <v/>
      </c>
      <c r="I1291">
        <f>IFERROR(IF($B$1=0,"",IF(ISNUMBER(INDEX(貼り付け!$A$1:$BZ$3001,1290,$B$1)),"",SUBSTITUTE(SUBSTITUTE(SUBSTITUTE(SUBSTITUTE(TRIM(LEFT(INDEX(貼り付け!$A$1:$BZ$3001,1290,$B$1)&amp;"",FIND(" ",TRIM(INDEX(貼り付け!$A$1:$BZ$3001,1290,$B$1)&amp;"")&amp;" ")-1)),"/","-"),"年","-"),"月","-"),"日",""))),"")</f>
        <v/>
      </c>
      <c r="J1291">
        <f>IFERROR(MID(I1291,FIND("-",I1291)+1,99),"")</f>
        <v/>
      </c>
    </row>
    <row r="1292">
      <c r="B1292">
        <f>IFERROR(IF($B$1=0,"",IF(INDEX(貼り付け!$A$1:$BZ$3001,1291,$B$1)="","",IF(ISNUMBER(INDEX(貼り付け!$A$1:$BZ$3001,1291,$B$1)),INT(INDEX(貼り付け!$A$1:$BZ$3001,1291,$B$1)),DATE(VALUE(LEFT(I1292,FIND("-",I1292)-1)),VALUE(LEFT(J1292,FIND("-",J1292)-1)),VALUE(MID(J1292,FIND("-",J1292)+1,99)))))),"")</f>
        <v/>
      </c>
      <c r="C1292">
        <f>IF($C$1=0,0,IFERROR(VALUE(SUBSTITUTE(SUBSTITUTE(SUBSTITUTE(INDEX(貼り付け!$A$1:$BZ$3001,1291,$C$1)&amp;"",",",""),"¥",""),"￥","")),0))</f>
        <v/>
      </c>
      <c r="D1292">
        <f>IF($D$1=0,0,IFERROR(VALUE(SUBSTITUTE(SUBSTITUTE(SUBSTITUTE(INDEX(貼り付け!$A$1:$BZ$3001,1291,$D$1)&amp;"",",",""),"¥",""),"￥","")),0))</f>
        <v/>
      </c>
      <c r="E1292">
        <f>IF($E$1=0,0,IFERROR(VALUE(SUBSTITUTE(SUBSTITUTE(SUBSTITUTE(INDEX(貼り付け!$A$1:$BZ$3001,1291,$E$1)&amp;"",",",""),"¥",""),"￥","")),0))</f>
        <v/>
      </c>
      <c r="F1292">
        <f>IF($F$1=0,0,IFERROR(VALUE(SUBSTITUTE(SUBSTITUTE(SUBSTITUTE(INDEX(貼り付け!$A$1:$BZ$3001,1291,$F$1)&amp;"",",",""),"¥",""),"￥","")),0))</f>
        <v/>
      </c>
      <c r="G1292">
        <f>IF(ISNUMBER(B1292),YEAR(B1292),"")</f>
        <v/>
      </c>
      <c r="H1292">
        <f>IF(ISNUMBER(B1292),MONTH(B1292),"")</f>
        <v/>
      </c>
      <c r="I1292">
        <f>IFERROR(IF($B$1=0,"",IF(ISNUMBER(INDEX(貼り付け!$A$1:$BZ$3001,1291,$B$1)),"",SUBSTITUTE(SUBSTITUTE(SUBSTITUTE(SUBSTITUTE(TRIM(LEFT(INDEX(貼り付け!$A$1:$BZ$3001,1291,$B$1)&amp;"",FIND(" ",TRIM(INDEX(貼り付け!$A$1:$BZ$3001,1291,$B$1)&amp;"")&amp;" ")-1)),"/","-"),"年","-"),"月","-"),"日",""))),"")</f>
        <v/>
      </c>
      <c r="J1292">
        <f>IFERROR(MID(I1292,FIND("-",I1292)+1,99),"")</f>
        <v/>
      </c>
    </row>
    <row r="1293">
      <c r="B1293">
        <f>IFERROR(IF($B$1=0,"",IF(INDEX(貼り付け!$A$1:$BZ$3001,1292,$B$1)="","",IF(ISNUMBER(INDEX(貼り付け!$A$1:$BZ$3001,1292,$B$1)),INT(INDEX(貼り付け!$A$1:$BZ$3001,1292,$B$1)),DATE(VALUE(LEFT(I1293,FIND("-",I1293)-1)),VALUE(LEFT(J1293,FIND("-",J1293)-1)),VALUE(MID(J1293,FIND("-",J1293)+1,99)))))),"")</f>
        <v/>
      </c>
      <c r="C1293">
        <f>IF($C$1=0,0,IFERROR(VALUE(SUBSTITUTE(SUBSTITUTE(SUBSTITUTE(INDEX(貼り付け!$A$1:$BZ$3001,1292,$C$1)&amp;"",",",""),"¥",""),"￥","")),0))</f>
        <v/>
      </c>
      <c r="D1293">
        <f>IF($D$1=0,0,IFERROR(VALUE(SUBSTITUTE(SUBSTITUTE(SUBSTITUTE(INDEX(貼り付け!$A$1:$BZ$3001,1292,$D$1)&amp;"",",",""),"¥",""),"￥","")),0))</f>
        <v/>
      </c>
      <c r="E1293">
        <f>IF($E$1=0,0,IFERROR(VALUE(SUBSTITUTE(SUBSTITUTE(SUBSTITUTE(INDEX(貼り付け!$A$1:$BZ$3001,1292,$E$1)&amp;"",",",""),"¥",""),"￥","")),0))</f>
        <v/>
      </c>
      <c r="F1293">
        <f>IF($F$1=0,0,IFERROR(VALUE(SUBSTITUTE(SUBSTITUTE(SUBSTITUTE(INDEX(貼り付け!$A$1:$BZ$3001,1292,$F$1)&amp;"",",",""),"¥",""),"￥","")),0))</f>
        <v/>
      </c>
      <c r="G1293">
        <f>IF(ISNUMBER(B1293),YEAR(B1293),"")</f>
        <v/>
      </c>
      <c r="H1293">
        <f>IF(ISNUMBER(B1293),MONTH(B1293),"")</f>
        <v/>
      </c>
      <c r="I1293">
        <f>IFERROR(IF($B$1=0,"",IF(ISNUMBER(INDEX(貼り付け!$A$1:$BZ$3001,1292,$B$1)),"",SUBSTITUTE(SUBSTITUTE(SUBSTITUTE(SUBSTITUTE(TRIM(LEFT(INDEX(貼り付け!$A$1:$BZ$3001,1292,$B$1)&amp;"",FIND(" ",TRIM(INDEX(貼り付け!$A$1:$BZ$3001,1292,$B$1)&amp;"")&amp;" ")-1)),"/","-"),"年","-"),"月","-"),"日",""))),"")</f>
        <v/>
      </c>
      <c r="J1293">
        <f>IFERROR(MID(I1293,FIND("-",I1293)+1,99),"")</f>
        <v/>
      </c>
    </row>
    <row r="1294">
      <c r="B1294">
        <f>IFERROR(IF($B$1=0,"",IF(INDEX(貼り付け!$A$1:$BZ$3001,1293,$B$1)="","",IF(ISNUMBER(INDEX(貼り付け!$A$1:$BZ$3001,1293,$B$1)),INT(INDEX(貼り付け!$A$1:$BZ$3001,1293,$B$1)),DATE(VALUE(LEFT(I1294,FIND("-",I1294)-1)),VALUE(LEFT(J1294,FIND("-",J1294)-1)),VALUE(MID(J1294,FIND("-",J1294)+1,99)))))),"")</f>
        <v/>
      </c>
      <c r="C1294">
        <f>IF($C$1=0,0,IFERROR(VALUE(SUBSTITUTE(SUBSTITUTE(SUBSTITUTE(INDEX(貼り付け!$A$1:$BZ$3001,1293,$C$1)&amp;"",",",""),"¥",""),"￥","")),0))</f>
        <v/>
      </c>
      <c r="D1294">
        <f>IF($D$1=0,0,IFERROR(VALUE(SUBSTITUTE(SUBSTITUTE(SUBSTITUTE(INDEX(貼り付け!$A$1:$BZ$3001,1293,$D$1)&amp;"",",",""),"¥",""),"￥","")),0))</f>
        <v/>
      </c>
      <c r="E1294">
        <f>IF($E$1=0,0,IFERROR(VALUE(SUBSTITUTE(SUBSTITUTE(SUBSTITUTE(INDEX(貼り付け!$A$1:$BZ$3001,1293,$E$1)&amp;"",",",""),"¥",""),"￥","")),0))</f>
        <v/>
      </c>
      <c r="F1294">
        <f>IF($F$1=0,0,IFERROR(VALUE(SUBSTITUTE(SUBSTITUTE(SUBSTITUTE(INDEX(貼り付け!$A$1:$BZ$3001,1293,$F$1)&amp;"",",",""),"¥",""),"￥","")),0))</f>
        <v/>
      </c>
      <c r="G1294">
        <f>IF(ISNUMBER(B1294),YEAR(B1294),"")</f>
        <v/>
      </c>
      <c r="H1294">
        <f>IF(ISNUMBER(B1294),MONTH(B1294),"")</f>
        <v/>
      </c>
      <c r="I1294">
        <f>IFERROR(IF($B$1=0,"",IF(ISNUMBER(INDEX(貼り付け!$A$1:$BZ$3001,1293,$B$1)),"",SUBSTITUTE(SUBSTITUTE(SUBSTITUTE(SUBSTITUTE(TRIM(LEFT(INDEX(貼り付け!$A$1:$BZ$3001,1293,$B$1)&amp;"",FIND(" ",TRIM(INDEX(貼り付け!$A$1:$BZ$3001,1293,$B$1)&amp;"")&amp;" ")-1)),"/","-"),"年","-"),"月","-"),"日",""))),"")</f>
        <v/>
      </c>
      <c r="J1294">
        <f>IFERROR(MID(I1294,FIND("-",I1294)+1,99),"")</f>
        <v/>
      </c>
    </row>
    <row r="1295">
      <c r="B1295">
        <f>IFERROR(IF($B$1=0,"",IF(INDEX(貼り付け!$A$1:$BZ$3001,1294,$B$1)="","",IF(ISNUMBER(INDEX(貼り付け!$A$1:$BZ$3001,1294,$B$1)),INT(INDEX(貼り付け!$A$1:$BZ$3001,1294,$B$1)),DATE(VALUE(LEFT(I1295,FIND("-",I1295)-1)),VALUE(LEFT(J1295,FIND("-",J1295)-1)),VALUE(MID(J1295,FIND("-",J1295)+1,99)))))),"")</f>
        <v/>
      </c>
      <c r="C1295">
        <f>IF($C$1=0,0,IFERROR(VALUE(SUBSTITUTE(SUBSTITUTE(SUBSTITUTE(INDEX(貼り付け!$A$1:$BZ$3001,1294,$C$1)&amp;"",",",""),"¥",""),"￥","")),0))</f>
        <v/>
      </c>
      <c r="D1295">
        <f>IF($D$1=0,0,IFERROR(VALUE(SUBSTITUTE(SUBSTITUTE(SUBSTITUTE(INDEX(貼り付け!$A$1:$BZ$3001,1294,$D$1)&amp;"",",",""),"¥",""),"￥","")),0))</f>
        <v/>
      </c>
      <c r="E1295">
        <f>IF($E$1=0,0,IFERROR(VALUE(SUBSTITUTE(SUBSTITUTE(SUBSTITUTE(INDEX(貼り付け!$A$1:$BZ$3001,1294,$E$1)&amp;"",",",""),"¥",""),"￥","")),0))</f>
        <v/>
      </c>
      <c r="F1295">
        <f>IF($F$1=0,0,IFERROR(VALUE(SUBSTITUTE(SUBSTITUTE(SUBSTITUTE(INDEX(貼り付け!$A$1:$BZ$3001,1294,$F$1)&amp;"",",",""),"¥",""),"￥","")),0))</f>
        <v/>
      </c>
      <c r="G1295">
        <f>IF(ISNUMBER(B1295),YEAR(B1295),"")</f>
        <v/>
      </c>
      <c r="H1295">
        <f>IF(ISNUMBER(B1295),MONTH(B1295),"")</f>
        <v/>
      </c>
      <c r="I1295">
        <f>IFERROR(IF($B$1=0,"",IF(ISNUMBER(INDEX(貼り付け!$A$1:$BZ$3001,1294,$B$1)),"",SUBSTITUTE(SUBSTITUTE(SUBSTITUTE(SUBSTITUTE(TRIM(LEFT(INDEX(貼り付け!$A$1:$BZ$3001,1294,$B$1)&amp;"",FIND(" ",TRIM(INDEX(貼り付け!$A$1:$BZ$3001,1294,$B$1)&amp;"")&amp;" ")-1)),"/","-"),"年","-"),"月","-"),"日",""))),"")</f>
        <v/>
      </c>
      <c r="J1295">
        <f>IFERROR(MID(I1295,FIND("-",I1295)+1,99),"")</f>
        <v/>
      </c>
    </row>
    <row r="1296">
      <c r="B1296">
        <f>IFERROR(IF($B$1=0,"",IF(INDEX(貼り付け!$A$1:$BZ$3001,1295,$B$1)="","",IF(ISNUMBER(INDEX(貼り付け!$A$1:$BZ$3001,1295,$B$1)),INT(INDEX(貼り付け!$A$1:$BZ$3001,1295,$B$1)),DATE(VALUE(LEFT(I1296,FIND("-",I1296)-1)),VALUE(LEFT(J1296,FIND("-",J1296)-1)),VALUE(MID(J1296,FIND("-",J1296)+1,99)))))),"")</f>
        <v/>
      </c>
      <c r="C1296">
        <f>IF($C$1=0,0,IFERROR(VALUE(SUBSTITUTE(SUBSTITUTE(SUBSTITUTE(INDEX(貼り付け!$A$1:$BZ$3001,1295,$C$1)&amp;"",",",""),"¥",""),"￥","")),0))</f>
        <v/>
      </c>
      <c r="D1296">
        <f>IF($D$1=0,0,IFERROR(VALUE(SUBSTITUTE(SUBSTITUTE(SUBSTITUTE(INDEX(貼り付け!$A$1:$BZ$3001,1295,$D$1)&amp;"",",",""),"¥",""),"￥","")),0))</f>
        <v/>
      </c>
      <c r="E1296">
        <f>IF($E$1=0,0,IFERROR(VALUE(SUBSTITUTE(SUBSTITUTE(SUBSTITUTE(INDEX(貼り付け!$A$1:$BZ$3001,1295,$E$1)&amp;"",",",""),"¥",""),"￥","")),0))</f>
        <v/>
      </c>
      <c r="F1296">
        <f>IF($F$1=0,0,IFERROR(VALUE(SUBSTITUTE(SUBSTITUTE(SUBSTITUTE(INDEX(貼り付け!$A$1:$BZ$3001,1295,$F$1)&amp;"",",",""),"¥",""),"￥","")),0))</f>
        <v/>
      </c>
      <c r="G1296">
        <f>IF(ISNUMBER(B1296),YEAR(B1296),"")</f>
        <v/>
      </c>
      <c r="H1296">
        <f>IF(ISNUMBER(B1296),MONTH(B1296),"")</f>
        <v/>
      </c>
      <c r="I1296">
        <f>IFERROR(IF($B$1=0,"",IF(ISNUMBER(INDEX(貼り付け!$A$1:$BZ$3001,1295,$B$1)),"",SUBSTITUTE(SUBSTITUTE(SUBSTITUTE(SUBSTITUTE(TRIM(LEFT(INDEX(貼り付け!$A$1:$BZ$3001,1295,$B$1)&amp;"",FIND(" ",TRIM(INDEX(貼り付け!$A$1:$BZ$3001,1295,$B$1)&amp;"")&amp;" ")-1)),"/","-"),"年","-"),"月","-"),"日",""))),"")</f>
        <v/>
      </c>
      <c r="J1296">
        <f>IFERROR(MID(I1296,FIND("-",I1296)+1,99),"")</f>
        <v/>
      </c>
    </row>
    <row r="1297">
      <c r="B1297">
        <f>IFERROR(IF($B$1=0,"",IF(INDEX(貼り付け!$A$1:$BZ$3001,1296,$B$1)="","",IF(ISNUMBER(INDEX(貼り付け!$A$1:$BZ$3001,1296,$B$1)),INT(INDEX(貼り付け!$A$1:$BZ$3001,1296,$B$1)),DATE(VALUE(LEFT(I1297,FIND("-",I1297)-1)),VALUE(LEFT(J1297,FIND("-",J1297)-1)),VALUE(MID(J1297,FIND("-",J1297)+1,99)))))),"")</f>
        <v/>
      </c>
      <c r="C1297">
        <f>IF($C$1=0,0,IFERROR(VALUE(SUBSTITUTE(SUBSTITUTE(SUBSTITUTE(INDEX(貼り付け!$A$1:$BZ$3001,1296,$C$1)&amp;"",",",""),"¥",""),"￥","")),0))</f>
        <v/>
      </c>
      <c r="D1297">
        <f>IF($D$1=0,0,IFERROR(VALUE(SUBSTITUTE(SUBSTITUTE(SUBSTITUTE(INDEX(貼り付け!$A$1:$BZ$3001,1296,$D$1)&amp;"",",",""),"¥",""),"￥","")),0))</f>
        <v/>
      </c>
      <c r="E1297">
        <f>IF($E$1=0,0,IFERROR(VALUE(SUBSTITUTE(SUBSTITUTE(SUBSTITUTE(INDEX(貼り付け!$A$1:$BZ$3001,1296,$E$1)&amp;"",",",""),"¥",""),"￥","")),0))</f>
        <v/>
      </c>
      <c r="F1297">
        <f>IF($F$1=0,0,IFERROR(VALUE(SUBSTITUTE(SUBSTITUTE(SUBSTITUTE(INDEX(貼り付け!$A$1:$BZ$3001,1296,$F$1)&amp;"",",",""),"¥",""),"￥","")),0))</f>
        <v/>
      </c>
      <c r="G1297">
        <f>IF(ISNUMBER(B1297),YEAR(B1297),"")</f>
        <v/>
      </c>
      <c r="H1297">
        <f>IF(ISNUMBER(B1297),MONTH(B1297),"")</f>
        <v/>
      </c>
      <c r="I1297">
        <f>IFERROR(IF($B$1=0,"",IF(ISNUMBER(INDEX(貼り付け!$A$1:$BZ$3001,1296,$B$1)),"",SUBSTITUTE(SUBSTITUTE(SUBSTITUTE(SUBSTITUTE(TRIM(LEFT(INDEX(貼り付け!$A$1:$BZ$3001,1296,$B$1)&amp;"",FIND(" ",TRIM(INDEX(貼り付け!$A$1:$BZ$3001,1296,$B$1)&amp;"")&amp;" ")-1)),"/","-"),"年","-"),"月","-"),"日",""))),"")</f>
        <v/>
      </c>
      <c r="J1297">
        <f>IFERROR(MID(I1297,FIND("-",I1297)+1,99),"")</f>
        <v/>
      </c>
    </row>
    <row r="1298">
      <c r="B1298">
        <f>IFERROR(IF($B$1=0,"",IF(INDEX(貼り付け!$A$1:$BZ$3001,1297,$B$1)="","",IF(ISNUMBER(INDEX(貼り付け!$A$1:$BZ$3001,1297,$B$1)),INT(INDEX(貼り付け!$A$1:$BZ$3001,1297,$B$1)),DATE(VALUE(LEFT(I1298,FIND("-",I1298)-1)),VALUE(LEFT(J1298,FIND("-",J1298)-1)),VALUE(MID(J1298,FIND("-",J1298)+1,99)))))),"")</f>
        <v/>
      </c>
      <c r="C1298">
        <f>IF($C$1=0,0,IFERROR(VALUE(SUBSTITUTE(SUBSTITUTE(SUBSTITUTE(INDEX(貼り付け!$A$1:$BZ$3001,1297,$C$1)&amp;"",",",""),"¥",""),"￥","")),0))</f>
        <v/>
      </c>
      <c r="D1298">
        <f>IF($D$1=0,0,IFERROR(VALUE(SUBSTITUTE(SUBSTITUTE(SUBSTITUTE(INDEX(貼り付け!$A$1:$BZ$3001,1297,$D$1)&amp;"",",",""),"¥",""),"￥","")),0))</f>
        <v/>
      </c>
      <c r="E1298">
        <f>IF($E$1=0,0,IFERROR(VALUE(SUBSTITUTE(SUBSTITUTE(SUBSTITUTE(INDEX(貼り付け!$A$1:$BZ$3001,1297,$E$1)&amp;"",",",""),"¥",""),"￥","")),0))</f>
        <v/>
      </c>
      <c r="F1298">
        <f>IF($F$1=0,0,IFERROR(VALUE(SUBSTITUTE(SUBSTITUTE(SUBSTITUTE(INDEX(貼り付け!$A$1:$BZ$3001,1297,$F$1)&amp;"",",",""),"¥",""),"￥","")),0))</f>
        <v/>
      </c>
      <c r="G1298">
        <f>IF(ISNUMBER(B1298),YEAR(B1298),"")</f>
        <v/>
      </c>
      <c r="H1298">
        <f>IF(ISNUMBER(B1298),MONTH(B1298),"")</f>
        <v/>
      </c>
      <c r="I1298">
        <f>IFERROR(IF($B$1=0,"",IF(ISNUMBER(INDEX(貼り付け!$A$1:$BZ$3001,1297,$B$1)),"",SUBSTITUTE(SUBSTITUTE(SUBSTITUTE(SUBSTITUTE(TRIM(LEFT(INDEX(貼り付け!$A$1:$BZ$3001,1297,$B$1)&amp;"",FIND(" ",TRIM(INDEX(貼り付け!$A$1:$BZ$3001,1297,$B$1)&amp;"")&amp;" ")-1)),"/","-"),"年","-"),"月","-"),"日",""))),"")</f>
        <v/>
      </c>
      <c r="J1298">
        <f>IFERROR(MID(I1298,FIND("-",I1298)+1,99),"")</f>
        <v/>
      </c>
    </row>
    <row r="1299">
      <c r="B1299">
        <f>IFERROR(IF($B$1=0,"",IF(INDEX(貼り付け!$A$1:$BZ$3001,1298,$B$1)="","",IF(ISNUMBER(INDEX(貼り付け!$A$1:$BZ$3001,1298,$B$1)),INT(INDEX(貼り付け!$A$1:$BZ$3001,1298,$B$1)),DATE(VALUE(LEFT(I1299,FIND("-",I1299)-1)),VALUE(LEFT(J1299,FIND("-",J1299)-1)),VALUE(MID(J1299,FIND("-",J1299)+1,99)))))),"")</f>
        <v/>
      </c>
      <c r="C1299">
        <f>IF($C$1=0,0,IFERROR(VALUE(SUBSTITUTE(SUBSTITUTE(SUBSTITUTE(INDEX(貼り付け!$A$1:$BZ$3001,1298,$C$1)&amp;"",",",""),"¥",""),"￥","")),0))</f>
        <v/>
      </c>
      <c r="D1299">
        <f>IF($D$1=0,0,IFERROR(VALUE(SUBSTITUTE(SUBSTITUTE(SUBSTITUTE(INDEX(貼り付け!$A$1:$BZ$3001,1298,$D$1)&amp;"",",",""),"¥",""),"￥","")),0))</f>
        <v/>
      </c>
      <c r="E1299">
        <f>IF($E$1=0,0,IFERROR(VALUE(SUBSTITUTE(SUBSTITUTE(SUBSTITUTE(INDEX(貼り付け!$A$1:$BZ$3001,1298,$E$1)&amp;"",",",""),"¥",""),"￥","")),0))</f>
        <v/>
      </c>
      <c r="F1299">
        <f>IF($F$1=0,0,IFERROR(VALUE(SUBSTITUTE(SUBSTITUTE(SUBSTITUTE(INDEX(貼り付け!$A$1:$BZ$3001,1298,$F$1)&amp;"",",",""),"¥",""),"￥","")),0))</f>
        <v/>
      </c>
      <c r="G1299">
        <f>IF(ISNUMBER(B1299),YEAR(B1299),"")</f>
        <v/>
      </c>
      <c r="H1299">
        <f>IF(ISNUMBER(B1299),MONTH(B1299),"")</f>
        <v/>
      </c>
      <c r="I1299">
        <f>IFERROR(IF($B$1=0,"",IF(ISNUMBER(INDEX(貼り付け!$A$1:$BZ$3001,1298,$B$1)),"",SUBSTITUTE(SUBSTITUTE(SUBSTITUTE(SUBSTITUTE(TRIM(LEFT(INDEX(貼り付け!$A$1:$BZ$3001,1298,$B$1)&amp;"",FIND(" ",TRIM(INDEX(貼り付け!$A$1:$BZ$3001,1298,$B$1)&amp;"")&amp;" ")-1)),"/","-"),"年","-"),"月","-"),"日",""))),"")</f>
        <v/>
      </c>
      <c r="J1299">
        <f>IFERROR(MID(I1299,FIND("-",I1299)+1,99),"")</f>
        <v/>
      </c>
    </row>
    <row r="1300">
      <c r="B1300">
        <f>IFERROR(IF($B$1=0,"",IF(INDEX(貼り付け!$A$1:$BZ$3001,1299,$B$1)="","",IF(ISNUMBER(INDEX(貼り付け!$A$1:$BZ$3001,1299,$B$1)),INT(INDEX(貼り付け!$A$1:$BZ$3001,1299,$B$1)),DATE(VALUE(LEFT(I1300,FIND("-",I1300)-1)),VALUE(LEFT(J1300,FIND("-",J1300)-1)),VALUE(MID(J1300,FIND("-",J1300)+1,99)))))),"")</f>
        <v/>
      </c>
      <c r="C1300">
        <f>IF($C$1=0,0,IFERROR(VALUE(SUBSTITUTE(SUBSTITUTE(SUBSTITUTE(INDEX(貼り付け!$A$1:$BZ$3001,1299,$C$1)&amp;"",",",""),"¥",""),"￥","")),0))</f>
        <v/>
      </c>
      <c r="D1300">
        <f>IF($D$1=0,0,IFERROR(VALUE(SUBSTITUTE(SUBSTITUTE(SUBSTITUTE(INDEX(貼り付け!$A$1:$BZ$3001,1299,$D$1)&amp;"",",",""),"¥",""),"￥","")),0))</f>
        <v/>
      </c>
      <c r="E1300">
        <f>IF($E$1=0,0,IFERROR(VALUE(SUBSTITUTE(SUBSTITUTE(SUBSTITUTE(INDEX(貼り付け!$A$1:$BZ$3001,1299,$E$1)&amp;"",",",""),"¥",""),"￥","")),0))</f>
        <v/>
      </c>
      <c r="F1300">
        <f>IF($F$1=0,0,IFERROR(VALUE(SUBSTITUTE(SUBSTITUTE(SUBSTITUTE(INDEX(貼り付け!$A$1:$BZ$3001,1299,$F$1)&amp;"",",",""),"¥",""),"￥","")),0))</f>
        <v/>
      </c>
      <c r="G1300">
        <f>IF(ISNUMBER(B1300),YEAR(B1300),"")</f>
        <v/>
      </c>
      <c r="H1300">
        <f>IF(ISNUMBER(B1300),MONTH(B1300),"")</f>
        <v/>
      </c>
      <c r="I1300">
        <f>IFERROR(IF($B$1=0,"",IF(ISNUMBER(INDEX(貼り付け!$A$1:$BZ$3001,1299,$B$1)),"",SUBSTITUTE(SUBSTITUTE(SUBSTITUTE(SUBSTITUTE(TRIM(LEFT(INDEX(貼り付け!$A$1:$BZ$3001,1299,$B$1)&amp;"",FIND(" ",TRIM(INDEX(貼り付け!$A$1:$BZ$3001,1299,$B$1)&amp;"")&amp;" ")-1)),"/","-"),"年","-"),"月","-"),"日",""))),"")</f>
        <v/>
      </c>
      <c r="J1300">
        <f>IFERROR(MID(I1300,FIND("-",I1300)+1,99),"")</f>
        <v/>
      </c>
    </row>
    <row r="1301">
      <c r="B1301">
        <f>IFERROR(IF($B$1=0,"",IF(INDEX(貼り付け!$A$1:$BZ$3001,1300,$B$1)="","",IF(ISNUMBER(INDEX(貼り付け!$A$1:$BZ$3001,1300,$B$1)),INT(INDEX(貼り付け!$A$1:$BZ$3001,1300,$B$1)),DATE(VALUE(LEFT(I1301,FIND("-",I1301)-1)),VALUE(LEFT(J1301,FIND("-",J1301)-1)),VALUE(MID(J1301,FIND("-",J1301)+1,99)))))),"")</f>
        <v/>
      </c>
      <c r="C1301">
        <f>IF($C$1=0,0,IFERROR(VALUE(SUBSTITUTE(SUBSTITUTE(SUBSTITUTE(INDEX(貼り付け!$A$1:$BZ$3001,1300,$C$1)&amp;"",",",""),"¥",""),"￥","")),0))</f>
        <v/>
      </c>
      <c r="D1301">
        <f>IF($D$1=0,0,IFERROR(VALUE(SUBSTITUTE(SUBSTITUTE(SUBSTITUTE(INDEX(貼り付け!$A$1:$BZ$3001,1300,$D$1)&amp;"",",",""),"¥",""),"￥","")),0))</f>
        <v/>
      </c>
      <c r="E1301">
        <f>IF($E$1=0,0,IFERROR(VALUE(SUBSTITUTE(SUBSTITUTE(SUBSTITUTE(INDEX(貼り付け!$A$1:$BZ$3001,1300,$E$1)&amp;"",",",""),"¥",""),"￥","")),0))</f>
        <v/>
      </c>
      <c r="F1301">
        <f>IF($F$1=0,0,IFERROR(VALUE(SUBSTITUTE(SUBSTITUTE(SUBSTITUTE(INDEX(貼り付け!$A$1:$BZ$3001,1300,$F$1)&amp;"",",",""),"¥",""),"￥","")),0))</f>
        <v/>
      </c>
      <c r="G1301">
        <f>IF(ISNUMBER(B1301),YEAR(B1301),"")</f>
        <v/>
      </c>
      <c r="H1301">
        <f>IF(ISNUMBER(B1301),MONTH(B1301),"")</f>
        <v/>
      </c>
      <c r="I1301">
        <f>IFERROR(IF($B$1=0,"",IF(ISNUMBER(INDEX(貼り付け!$A$1:$BZ$3001,1300,$B$1)),"",SUBSTITUTE(SUBSTITUTE(SUBSTITUTE(SUBSTITUTE(TRIM(LEFT(INDEX(貼り付け!$A$1:$BZ$3001,1300,$B$1)&amp;"",FIND(" ",TRIM(INDEX(貼り付け!$A$1:$BZ$3001,1300,$B$1)&amp;"")&amp;" ")-1)),"/","-"),"年","-"),"月","-"),"日",""))),"")</f>
        <v/>
      </c>
      <c r="J1301">
        <f>IFERROR(MID(I1301,FIND("-",I1301)+1,99),"")</f>
        <v/>
      </c>
    </row>
    <row r="1302">
      <c r="B1302">
        <f>IFERROR(IF($B$1=0,"",IF(INDEX(貼り付け!$A$1:$BZ$3001,1301,$B$1)="","",IF(ISNUMBER(INDEX(貼り付け!$A$1:$BZ$3001,1301,$B$1)),INT(INDEX(貼り付け!$A$1:$BZ$3001,1301,$B$1)),DATE(VALUE(LEFT(I1302,FIND("-",I1302)-1)),VALUE(LEFT(J1302,FIND("-",J1302)-1)),VALUE(MID(J1302,FIND("-",J1302)+1,99)))))),"")</f>
        <v/>
      </c>
      <c r="C1302">
        <f>IF($C$1=0,0,IFERROR(VALUE(SUBSTITUTE(SUBSTITUTE(SUBSTITUTE(INDEX(貼り付け!$A$1:$BZ$3001,1301,$C$1)&amp;"",",",""),"¥",""),"￥","")),0))</f>
        <v/>
      </c>
      <c r="D1302">
        <f>IF($D$1=0,0,IFERROR(VALUE(SUBSTITUTE(SUBSTITUTE(SUBSTITUTE(INDEX(貼り付け!$A$1:$BZ$3001,1301,$D$1)&amp;"",",",""),"¥",""),"￥","")),0))</f>
        <v/>
      </c>
      <c r="E1302">
        <f>IF($E$1=0,0,IFERROR(VALUE(SUBSTITUTE(SUBSTITUTE(SUBSTITUTE(INDEX(貼り付け!$A$1:$BZ$3001,1301,$E$1)&amp;"",",",""),"¥",""),"￥","")),0))</f>
        <v/>
      </c>
      <c r="F1302">
        <f>IF($F$1=0,0,IFERROR(VALUE(SUBSTITUTE(SUBSTITUTE(SUBSTITUTE(INDEX(貼り付け!$A$1:$BZ$3001,1301,$F$1)&amp;"",",",""),"¥",""),"￥","")),0))</f>
        <v/>
      </c>
      <c r="G1302">
        <f>IF(ISNUMBER(B1302),YEAR(B1302),"")</f>
        <v/>
      </c>
      <c r="H1302">
        <f>IF(ISNUMBER(B1302),MONTH(B1302),"")</f>
        <v/>
      </c>
      <c r="I1302">
        <f>IFERROR(IF($B$1=0,"",IF(ISNUMBER(INDEX(貼り付け!$A$1:$BZ$3001,1301,$B$1)),"",SUBSTITUTE(SUBSTITUTE(SUBSTITUTE(SUBSTITUTE(TRIM(LEFT(INDEX(貼り付け!$A$1:$BZ$3001,1301,$B$1)&amp;"",FIND(" ",TRIM(INDEX(貼り付け!$A$1:$BZ$3001,1301,$B$1)&amp;"")&amp;" ")-1)),"/","-"),"年","-"),"月","-"),"日",""))),"")</f>
        <v/>
      </c>
      <c r="J1302">
        <f>IFERROR(MID(I1302,FIND("-",I1302)+1,99),"")</f>
        <v/>
      </c>
    </row>
    <row r="1303">
      <c r="B1303">
        <f>IFERROR(IF($B$1=0,"",IF(INDEX(貼り付け!$A$1:$BZ$3001,1302,$B$1)="","",IF(ISNUMBER(INDEX(貼り付け!$A$1:$BZ$3001,1302,$B$1)),INT(INDEX(貼り付け!$A$1:$BZ$3001,1302,$B$1)),DATE(VALUE(LEFT(I1303,FIND("-",I1303)-1)),VALUE(LEFT(J1303,FIND("-",J1303)-1)),VALUE(MID(J1303,FIND("-",J1303)+1,99)))))),"")</f>
        <v/>
      </c>
      <c r="C1303">
        <f>IF($C$1=0,0,IFERROR(VALUE(SUBSTITUTE(SUBSTITUTE(SUBSTITUTE(INDEX(貼り付け!$A$1:$BZ$3001,1302,$C$1)&amp;"",",",""),"¥",""),"￥","")),0))</f>
        <v/>
      </c>
      <c r="D1303">
        <f>IF($D$1=0,0,IFERROR(VALUE(SUBSTITUTE(SUBSTITUTE(SUBSTITUTE(INDEX(貼り付け!$A$1:$BZ$3001,1302,$D$1)&amp;"",",",""),"¥",""),"￥","")),0))</f>
        <v/>
      </c>
      <c r="E1303">
        <f>IF($E$1=0,0,IFERROR(VALUE(SUBSTITUTE(SUBSTITUTE(SUBSTITUTE(INDEX(貼り付け!$A$1:$BZ$3001,1302,$E$1)&amp;"",",",""),"¥",""),"￥","")),0))</f>
        <v/>
      </c>
      <c r="F1303">
        <f>IF($F$1=0,0,IFERROR(VALUE(SUBSTITUTE(SUBSTITUTE(SUBSTITUTE(INDEX(貼り付け!$A$1:$BZ$3001,1302,$F$1)&amp;"",",",""),"¥",""),"￥","")),0))</f>
        <v/>
      </c>
      <c r="G1303">
        <f>IF(ISNUMBER(B1303),YEAR(B1303),"")</f>
        <v/>
      </c>
      <c r="H1303">
        <f>IF(ISNUMBER(B1303),MONTH(B1303),"")</f>
        <v/>
      </c>
      <c r="I1303">
        <f>IFERROR(IF($B$1=0,"",IF(ISNUMBER(INDEX(貼り付け!$A$1:$BZ$3001,1302,$B$1)),"",SUBSTITUTE(SUBSTITUTE(SUBSTITUTE(SUBSTITUTE(TRIM(LEFT(INDEX(貼り付け!$A$1:$BZ$3001,1302,$B$1)&amp;"",FIND(" ",TRIM(INDEX(貼り付け!$A$1:$BZ$3001,1302,$B$1)&amp;"")&amp;" ")-1)),"/","-"),"年","-"),"月","-"),"日",""))),"")</f>
        <v/>
      </c>
      <c r="J1303">
        <f>IFERROR(MID(I1303,FIND("-",I1303)+1,99),"")</f>
        <v/>
      </c>
    </row>
    <row r="1304">
      <c r="B1304">
        <f>IFERROR(IF($B$1=0,"",IF(INDEX(貼り付け!$A$1:$BZ$3001,1303,$B$1)="","",IF(ISNUMBER(INDEX(貼り付け!$A$1:$BZ$3001,1303,$B$1)),INT(INDEX(貼り付け!$A$1:$BZ$3001,1303,$B$1)),DATE(VALUE(LEFT(I1304,FIND("-",I1304)-1)),VALUE(LEFT(J1304,FIND("-",J1304)-1)),VALUE(MID(J1304,FIND("-",J1304)+1,99)))))),"")</f>
        <v/>
      </c>
      <c r="C1304">
        <f>IF($C$1=0,0,IFERROR(VALUE(SUBSTITUTE(SUBSTITUTE(SUBSTITUTE(INDEX(貼り付け!$A$1:$BZ$3001,1303,$C$1)&amp;"",",",""),"¥",""),"￥","")),0))</f>
        <v/>
      </c>
      <c r="D1304">
        <f>IF($D$1=0,0,IFERROR(VALUE(SUBSTITUTE(SUBSTITUTE(SUBSTITUTE(INDEX(貼り付け!$A$1:$BZ$3001,1303,$D$1)&amp;"",",",""),"¥",""),"￥","")),0))</f>
        <v/>
      </c>
      <c r="E1304">
        <f>IF($E$1=0,0,IFERROR(VALUE(SUBSTITUTE(SUBSTITUTE(SUBSTITUTE(INDEX(貼り付け!$A$1:$BZ$3001,1303,$E$1)&amp;"",",",""),"¥",""),"￥","")),0))</f>
        <v/>
      </c>
      <c r="F1304">
        <f>IF($F$1=0,0,IFERROR(VALUE(SUBSTITUTE(SUBSTITUTE(SUBSTITUTE(INDEX(貼り付け!$A$1:$BZ$3001,1303,$F$1)&amp;"",",",""),"¥",""),"￥","")),0))</f>
        <v/>
      </c>
      <c r="G1304">
        <f>IF(ISNUMBER(B1304),YEAR(B1304),"")</f>
        <v/>
      </c>
      <c r="H1304">
        <f>IF(ISNUMBER(B1304),MONTH(B1304),"")</f>
        <v/>
      </c>
      <c r="I1304">
        <f>IFERROR(IF($B$1=0,"",IF(ISNUMBER(INDEX(貼り付け!$A$1:$BZ$3001,1303,$B$1)),"",SUBSTITUTE(SUBSTITUTE(SUBSTITUTE(SUBSTITUTE(TRIM(LEFT(INDEX(貼り付け!$A$1:$BZ$3001,1303,$B$1)&amp;"",FIND(" ",TRIM(INDEX(貼り付け!$A$1:$BZ$3001,1303,$B$1)&amp;"")&amp;" ")-1)),"/","-"),"年","-"),"月","-"),"日",""))),"")</f>
        <v/>
      </c>
      <c r="J1304">
        <f>IFERROR(MID(I1304,FIND("-",I1304)+1,99),"")</f>
        <v/>
      </c>
    </row>
    <row r="1305">
      <c r="B1305">
        <f>IFERROR(IF($B$1=0,"",IF(INDEX(貼り付け!$A$1:$BZ$3001,1304,$B$1)="","",IF(ISNUMBER(INDEX(貼り付け!$A$1:$BZ$3001,1304,$B$1)),INT(INDEX(貼り付け!$A$1:$BZ$3001,1304,$B$1)),DATE(VALUE(LEFT(I1305,FIND("-",I1305)-1)),VALUE(LEFT(J1305,FIND("-",J1305)-1)),VALUE(MID(J1305,FIND("-",J1305)+1,99)))))),"")</f>
        <v/>
      </c>
      <c r="C1305">
        <f>IF($C$1=0,0,IFERROR(VALUE(SUBSTITUTE(SUBSTITUTE(SUBSTITUTE(INDEX(貼り付け!$A$1:$BZ$3001,1304,$C$1)&amp;"",",",""),"¥",""),"￥","")),0))</f>
        <v/>
      </c>
      <c r="D1305">
        <f>IF($D$1=0,0,IFERROR(VALUE(SUBSTITUTE(SUBSTITUTE(SUBSTITUTE(INDEX(貼り付け!$A$1:$BZ$3001,1304,$D$1)&amp;"",",",""),"¥",""),"￥","")),0))</f>
        <v/>
      </c>
      <c r="E1305">
        <f>IF($E$1=0,0,IFERROR(VALUE(SUBSTITUTE(SUBSTITUTE(SUBSTITUTE(INDEX(貼り付け!$A$1:$BZ$3001,1304,$E$1)&amp;"",",",""),"¥",""),"￥","")),0))</f>
        <v/>
      </c>
      <c r="F1305">
        <f>IF($F$1=0,0,IFERROR(VALUE(SUBSTITUTE(SUBSTITUTE(SUBSTITUTE(INDEX(貼り付け!$A$1:$BZ$3001,1304,$F$1)&amp;"",",",""),"¥",""),"￥","")),0))</f>
        <v/>
      </c>
      <c r="G1305">
        <f>IF(ISNUMBER(B1305),YEAR(B1305),"")</f>
        <v/>
      </c>
      <c r="H1305">
        <f>IF(ISNUMBER(B1305),MONTH(B1305),"")</f>
        <v/>
      </c>
      <c r="I1305">
        <f>IFERROR(IF($B$1=0,"",IF(ISNUMBER(INDEX(貼り付け!$A$1:$BZ$3001,1304,$B$1)),"",SUBSTITUTE(SUBSTITUTE(SUBSTITUTE(SUBSTITUTE(TRIM(LEFT(INDEX(貼り付け!$A$1:$BZ$3001,1304,$B$1)&amp;"",FIND(" ",TRIM(INDEX(貼り付け!$A$1:$BZ$3001,1304,$B$1)&amp;"")&amp;" ")-1)),"/","-"),"年","-"),"月","-"),"日",""))),"")</f>
        <v/>
      </c>
      <c r="J1305">
        <f>IFERROR(MID(I1305,FIND("-",I1305)+1,99),"")</f>
        <v/>
      </c>
    </row>
    <row r="1306">
      <c r="B1306">
        <f>IFERROR(IF($B$1=0,"",IF(INDEX(貼り付け!$A$1:$BZ$3001,1305,$B$1)="","",IF(ISNUMBER(INDEX(貼り付け!$A$1:$BZ$3001,1305,$B$1)),INT(INDEX(貼り付け!$A$1:$BZ$3001,1305,$B$1)),DATE(VALUE(LEFT(I1306,FIND("-",I1306)-1)),VALUE(LEFT(J1306,FIND("-",J1306)-1)),VALUE(MID(J1306,FIND("-",J1306)+1,99)))))),"")</f>
        <v/>
      </c>
      <c r="C1306">
        <f>IF($C$1=0,0,IFERROR(VALUE(SUBSTITUTE(SUBSTITUTE(SUBSTITUTE(INDEX(貼り付け!$A$1:$BZ$3001,1305,$C$1)&amp;"",",",""),"¥",""),"￥","")),0))</f>
        <v/>
      </c>
      <c r="D1306">
        <f>IF($D$1=0,0,IFERROR(VALUE(SUBSTITUTE(SUBSTITUTE(SUBSTITUTE(INDEX(貼り付け!$A$1:$BZ$3001,1305,$D$1)&amp;"",",",""),"¥",""),"￥","")),0))</f>
        <v/>
      </c>
      <c r="E1306">
        <f>IF($E$1=0,0,IFERROR(VALUE(SUBSTITUTE(SUBSTITUTE(SUBSTITUTE(INDEX(貼り付け!$A$1:$BZ$3001,1305,$E$1)&amp;"",",",""),"¥",""),"￥","")),0))</f>
        <v/>
      </c>
      <c r="F1306">
        <f>IF($F$1=0,0,IFERROR(VALUE(SUBSTITUTE(SUBSTITUTE(SUBSTITUTE(INDEX(貼り付け!$A$1:$BZ$3001,1305,$F$1)&amp;"",",",""),"¥",""),"￥","")),0))</f>
        <v/>
      </c>
      <c r="G1306">
        <f>IF(ISNUMBER(B1306),YEAR(B1306),"")</f>
        <v/>
      </c>
      <c r="H1306">
        <f>IF(ISNUMBER(B1306),MONTH(B1306),"")</f>
        <v/>
      </c>
      <c r="I1306">
        <f>IFERROR(IF($B$1=0,"",IF(ISNUMBER(INDEX(貼り付け!$A$1:$BZ$3001,1305,$B$1)),"",SUBSTITUTE(SUBSTITUTE(SUBSTITUTE(SUBSTITUTE(TRIM(LEFT(INDEX(貼り付け!$A$1:$BZ$3001,1305,$B$1)&amp;"",FIND(" ",TRIM(INDEX(貼り付け!$A$1:$BZ$3001,1305,$B$1)&amp;"")&amp;" ")-1)),"/","-"),"年","-"),"月","-"),"日",""))),"")</f>
        <v/>
      </c>
      <c r="J1306">
        <f>IFERROR(MID(I1306,FIND("-",I1306)+1,99),"")</f>
        <v/>
      </c>
    </row>
    <row r="1307">
      <c r="B1307">
        <f>IFERROR(IF($B$1=0,"",IF(INDEX(貼り付け!$A$1:$BZ$3001,1306,$B$1)="","",IF(ISNUMBER(INDEX(貼り付け!$A$1:$BZ$3001,1306,$B$1)),INT(INDEX(貼り付け!$A$1:$BZ$3001,1306,$B$1)),DATE(VALUE(LEFT(I1307,FIND("-",I1307)-1)),VALUE(LEFT(J1307,FIND("-",J1307)-1)),VALUE(MID(J1307,FIND("-",J1307)+1,99)))))),"")</f>
        <v/>
      </c>
      <c r="C1307">
        <f>IF($C$1=0,0,IFERROR(VALUE(SUBSTITUTE(SUBSTITUTE(SUBSTITUTE(INDEX(貼り付け!$A$1:$BZ$3001,1306,$C$1)&amp;"",",",""),"¥",""),"￥","")),0))</f>
        <v/>
      </c>
      <c r="D1307">
        <f>IF($D$1=0,0,IFERROR(VALUE(SUBSTITUTE(SUBSTITUTE(SUBSTITUTE(INDEX(貼り付け!$A$1:$BZ$3001,1306,$D$1)&amp;"",",",""),"¥",""),"￥","")),0))</f>
        <v/>
      </c>
      <c r="E1307">
        <f>IF($E$1=0,0,IFERROR(VALUE(SUBSTITUTE(SUBSTITUTE(SUBSTITUTE(INDEX(貼り付け!$A$1:$BZ$3001,1306,$E$1)&amp;"",",",""),"¥",""),"￥","")),0))</f>
        <v/>
      </c>
      <c r="F1307">
        <f>IF($F$1=0,0,IFERROR(VALUE(SUBSTITUTE(SUBSTITUTE(SUBSTITUTE(INDEX(貼り付け!$A$1:$BZ$3001,1306,$F$1)&amp;"",",",""),"¥",""),"￥","")),0))</f>
        <v/>
      </c>
      <c r="G1307">
        <f>IF(ISNUMBER(B1307),YEAR(B1307),"")</f>
        <v/>
      </c>
      <c r="H1307">
        <f>IF(ISNUMBER(B1307),MONTH(B1307),"")</f>
        <v/>
      </c>
      <c r="I1307">
        <f>IFERROR(IF($B$1=0,"",IF(ISNUMBER(INDEX(貼り付け!$A$1:$BZ$3001,1306,$B$1)),"",SUBSTITUTE(SUBSTITUTE(SUBSTITUTE(SUBSTITUTE(TRIM(LEFT(INDEX(貼り付け!$A$1:$BZ$3001,1306,$B$1)&amp;"",FIND(" ",TRIM(INDEX(貼り付け!$A$1:$BZ$3001,1306,$B$1)&amp;"")&amp;" ")-1)),"/","-"),"年","-"),"月","-"),"日",""))),"")</f>
        <v/>
      </c>
      <c r="J1307">
        <f>IFERROR(MID(I1307,FIND("-",I1307)+1,99),"")</f>
        <v/>
      </c>
    </row>
    <row r="1308">
      <c r="B1308">
        <f>IFERROR(IF($B$1=0,"",IF(INDEX(貼り付け!$A$1:$BZ$3001,1307,$B$1)="","",IF(ISNUMBER(INDEX(貼り付け!$A$1:$BZ$3001,1307,$B$1)),INT(INDEX(貼り付け!$A$1:$BZ$3001,1307,$B$1)),DATE(VALUE(LEFT(I1308,FIND("-",I1308)-1)),VALUE(LEFT(J1308,FIND("-",J1308)-1)),VALUE(MID(J1308,FIND("-",J1308)+1,99)))))),"")</f>
        <v/>
      </c>
      <c r="C1308">
        <f>IF($C$1=0,0,IFERROR(VALUE(SUBSTITUTE(SUBSTITUTE(SUBSTITUTE(INDEX(貼り付け!$A$1:$BZ$3001,1307,$C$1)&amp;"",",",""),"¥",""),"￥","")),0))</f>
        <v/>
      </c>
      <c r="D1308">
        <f>IF($D$1=0,0,IFERROR(VALUE(SUBSTITUTE(SUBSTITUTE(SUBSTITUTE(INDEX(貼り付け!$A$1:$BZ$3001,1307,$D$1)&amp;"",",",""),"¥",""),"￥","")),0))</f>
        <v/>
      </c>
      <c r="E1308">
        <f>IF($E$1=0,0,IFERROR(VALUE(SUBSTITUTE(SUBSTITUTE(SUBSTITUTE(INDEX(貼り付け!$A$1:$BZ$3001,1307,$E$1)&amp;"",",",""),"¥",""),"￥","")),0))</f>
        <v/>
      </c>
      <c r="F1308">
        <f>IF($F$1=0,0,IFERROR(VALUE(SUBSTITUTE(SUBSTITUTE(SUBSTITUTE(INDEX(貼り付け!$A$1:$BZ$3001,1307,$F$1)&amp;"",",",""),"¥",""),"￥","")),0))</f>
        <v/>
      </c>
      <c r="G1308">
        <f>IF(ISNUMBER(B1308),YEAR(B1308),"")</f>
        <v/>
      </c>
      <c r="H1308">
        <f>IF(ISNUMBER(B1308),MONTH(B1308),"")</f>
        <v/>
      </c>
      <c r="I1308">
        <f>IFERROR(IF($B$1=0,"",IF(ISNUMBER(INDEX(貼り付け!$A$1:$BZ$3001,1307,$B$1)),"",SUBSTITUTE(SUBSTITUTE(SUBSTITUTE(SUBSTITUTE(TRIM(LEFT(INDEX(貼り付け!$A$1:$BZ$3001,1307,$B$1)&amp;"",FIND(" ",TRIM(INDEX(貼り付け!$A$1:$BZ$3001,1307,$B$1)&amp;"")&amp;" ")-1)),"/","-"),"年","-"),"月","-"),"日",""))),"")</f>
        <v/>
      </c>
      <c r="J1308">
        <f>IFERROR(MID(I1308,FIND("-",I1308)+1,99),"")</f>
        <v/>
      </c>
    </row>
    <row r="1309">
      <c r="B1309">
        <f>IFERROR(IF($B$1=0,"",IF(INDEX(貼り付け!$A$1:$BZ$3001,1308,$B$1)="","",IF(ISNUMBER(INDEX(貼り付け!$A$1:$BZ$3001,1308,$B$1)),INT(INDEX(貼り付け!$A$1:$BZ$3001,1308,$B$1)),DATE(VALUE(LEFT(I1309,FIND("-",I1309)-1)),VALUE(LEFT(J1309,FIND("-",J1309)-1)),VALUE(MID(J1309,FIND("-",J1309)+1,99)))))),"")</f>
        <v/>
      </c>
      <c r="C1309">
        <f>IF($C$1=0,0,IFERROR(VALUE(SUBSTITUTE(SUBSTITUTE(SUBSTITUTE(INDEX(貼り付け!$A$1:$BZ$3001,1308,$C$1)&amp;"",",",""),"¥",""),"￥","")),0))</f>
        <v/>
      </c>
      <c r="D1309">
        <f>IF($D$1=0,0,IFERROR(VALUE(SUBSTITUTE(SUBSTITUTE(SUBSTITUTE(INDEX(貼り付け!$A$1:$BZ$3001,1308,$D$1)&amp;"",",",""),"¥",""),"￥","")),0))</f>
        <v/>
      </c>
      <c r="E1309">
        <f>IF($E$1=0,0,IFERROR(VALUE(SUBSTITUTE(SUBSTITUTE(SUBSTITUTE(INDEX(貼り付け!$A$1:$BZ$3001,1308,$E$1)&amp;"",",",""),"¥",""),"￥","")),0))</f>
        <v/>
      </c>
      <c r="F1309">
        <f>IF($F$1=0,0,IFERROR(VALUE(SUBSTITUTE(SUBSTITUTE(SUBSTITUTE(INDEX(貼り付け!$A$1:$BZ$3001,1308,$F$1)&amp;"",",",""),"¥",""),"￥","")),0))</f>
        <v/>
      </c>
      <c r="G1309">
        <f>IF(ISNUMBER(B1309),YEAR(B1309),"")</f>
        <v/>
      </c>
      <c r="H1309">
        <f>IF(ISNUMBER(B1309),MONTH(B1309),"")</f>
        <v/>
      </c>
      <c r="I1309">
        <f>IFERROR(IF($B$1=0,"",IF(ISNUMBER(INDEX(貼り付け!$A$1:$BZ$3001,1308,$B$1)),"",SUBSTITUTE(SUBSTITUTE(SUBSTITUTE(SUBSTITUTE(TRIM(LEFT(INDEX(貼り付け!$A$1:$BZ$3001,1308,$B$1)&amp;"",FIND(" ",TRIM(INDEX(貼り付け!$A$1:$BZ$3001,1308,$B$1)&amp;"")&amp;" ")-1)),"/","-"),"年","-"),"月","-"),"日",""))),"")</f>
        <v/>
      </c>
      <c r="J1309">
        <f>IFERROR(MID(I1309,FIND("-",I1309)+1,99),"")</f>
        <v/>
      </c>
    </row>
    <row r="1310">
      <c r="B1310">
        <f>IFERROR(IF($B$1=0,"",IF(INDEX(貼り付け!$A$1:$BZ$3001,1309,$B$1)="","",IF(ISNUMBER(INDEX(貼り付け!$A$1:$BZ$3001,1309,$B$1)),INT(INDEX(貼り付け!$A$1:$BZ$3001,1309,$B$1)),DATE(VALUE(LEFT(I1310,FIND("-",I1310)-1)),VALUE(LEFT(J1310,FIND("-",J1310)-1)),VALUE(MID(J1310,FIND("-",J1310)+1,99)))))),"")</f>
        <v/>
      </c>
      <c r="C1310">
        <f>IF($C$1=0,0,IFERROR(VALUE(SUBSTITUTE(SUBSTITUTE(SUBSTITUTE(INDEX(貼り付け!$A$1:$BZ$3001,1309,$C$1)&amp;"",",",""),"¥",""),"￥","")),0))</f>
        <v/>
      </c>
      <c r="D1310">
        <f>IF($D$1=0,0,IFERROR(VALUE(SUBSTITUTE(SUBSTITUTE(SUBSTITUTE(INDEX(貼り付け!$A$1:$BZ$3001,1309,$D$1)&amp;"",",",""),"¥",""),"￥","")),0))</f>
        <v/>
      </c>
      <c r="E1310">
        <f>IF($E$1=0,0,IFERROR(VALUE(SUBSTITUTE(SUBSTITUTE(SUBSTITUTE(INDEX(貼り付け!$A$1:$BZ$3001,1309,$E$1)&amp;"",",",""),"¥",""),"￥","")),0))</f>
        <v/>
      </c>
      <c r="F1310">
        <f>IF($F$1=0,0,IFERROR(VALUE(SUBSTITUTE(SUBSTITUTE(SUBSTITUTE(INDEX(貼り付け!$A$1:$BZ$3001,1309,$F$1)&amp;"",",",""),"¥",""),"￥","")),0))</f>
        <v/>
      </c>
      <c r="G1310">
        <f>IF(ISNUMBER(B1310),YEAR(B1310),"")</f>
        <v/>
      </c>
      <c r="H1310">
        <f>IF(ISNUMBER(B1310),MONTH(B1310),"")</f>
        <v/>
      </c>
      <c r="I1310">
        <f>IFERROR(IF($B$1=0,"",IF(ISNUMBER(INDEX(貼り付け!$A$1:$BZ$3001,1309,$B$1)),"",SUBSTITUTE(SUBSTITUTE(SUBSTITUTE(SUBSTITUTE(TRIM(LEFT(INDEX(貼り付け!$A$1:$BZ$3001,1309,$B$1)&amp;"",FIND(" ",TRIM(INDEX(貼り付け!$A$1:$BZ$3001,1309,$B$1)&amp;"")&amp;" ")-1)),"/","-"),"年","-"),"月","-"),"日",""))),"")</f>
        <v/>
      </c>
      <c r="J1310">
        <f>IFERROR(MID(I1310,FIND("-",I1310)+1,99),"")</f>
        <v/>
      </c>
    </row>
    <row r="1311">
      <c r="B1311">
        <f>IFERROR(IF($B$1=0,"",IF(INDEX(貼り付け!$A$1:$BZ$3001,1310,$B$1)="","",IF(ISNUMBER(INDEX(貼り付け!$A$1:$BZ$3001,1310,$B$1)),INT(INDEX(貼り付け!$A$1:$BZ$3001,1310,$B$1)),DATE(VALUE(LEFT(I1311,FIND("-",I1311)-1)),VALUE(LEFT(J1311,FIND("-",J1311)-1)),VALUE(MID(J1311,FIND("-",J1311)+1,99)))))),"")</f>
        <v/>
      </c>
      <c r="C1311">
        <f>IF($C$1=0,0,IFERROR(VALUE(SUBSTITUTE(SUBSTITUTE(SUBSTITUTE(INDEX(貼り付け!$A$1:$BZ$3001,1310,$C$1)&amp;"",",",""),"¥",""),"￥","")),0))</f>
        <v/>
      </c>
      <c r="D1311">
        <f>IF($D$1=0,0,IFERROR(VALUE(SUBSTITUTE(SUBSTITUTE(SUBSTITUTE(INDEX(貼り付け!$A$1:$BZ$3001,1310,$D$1)&amp;"",",",""),"¥",""),"￥","")),0))</f>
        <v/>
      </c>
      <c r="E1311">
        <f>IF($E$1=0,0,IFERROR(VALUE(SUBSTITUTE(SUBSTITUTE(SUBSTITUTE(INDEX(貼り付け!$A$1:$BZ$3001,1310,$E$1)&amp;"",",",""),"¥",""),"￥","")),0))</f>
        <v/>
      </c>
      <c r="F1311">
        <f>IF($F$1=0,0,IFERROR(VALUE(SUBSTITUTE(SUBSTITUTE(SUBSTITUTE(INDEX(貼り付け!$A$1:$BZ$3001,1310,$F$1)&amp;"",",",""),"¥",""),"￥","")),0))</f>
        <v/>
      </c>
      <c r="G1311">
        <f>IF(ISNUMBER(B1311),YEAR(B1311),"")</f>
        <v/>
      </c>
      <c r="H1311">
        <f>IF(ISNUMBER(B1311),MONTH(B1311),"")</f>
        <v/>
      </c>
      <c r="I1311">
        <f>IFERROR(IF($B$1=0,"",IF(ISNUMBER(INDEX(貼り付け!$A$1:$BZ$3001,1310,$B$1)),"",SUBSTITUTE(SUBSTITUTE(SUBSTITUTE(SUBSTITUTE(TRIM(LEFT(INDEX(貼り付け!$A$1:$BZ$3001,1310,$B$1)&amp;"",FIND(" ",TRIM(INDEX(貼り付け!$A$1:$BZ$3001,1310,$B$1)&amp;"")&amp;" ")-1)),"/","-"),"年","-"),"月","-"),"日",""))),"")</f>
        <v/>
      </c>
      <c r="J1311">
        <f>IFERROR(MID(I1311,FIND("-",I1311)+1,99),"")</f>
        <v/>
      </c>
    </row>
    <row r="1312">
      <c r="B1312">
        <f>IFERROR(IF($B$1=0,"",IF(INDEX(貼り付け!$A$1:$BZ$3001,1311,$B$1)="","",IF(ISNUMBER(INDEX(貼り付け!$A$1:$BZ$3001,1311,$B$1)),INT(INDEX(貼り付け!$A$1:$BZ$3001,1311,$B$1)),DATE(VALUE(LEFT(I1312,FIND("-",I1312)-1)),VALUE(LEFT(J1312,FIND("-",J1312)-1)),VALUE(MID(J1312,FIND("-",J1312)+1,99)))))),"")</f>
        <v/>
      </c>
      <c r="C1312">
        <f>IF($C$1=0,0,IFERROR(VALUE(SUBSTITUTE(SUBSTITUTE(SUBSTITUTE(INDEX(貼り付け!$A$1:$BZ$3001,1311,$C$1)&amp;"",",",""),"¥",""),"￥","")),0))</f>
        <v/>
      </c>
      <c r="D1312">
        <f>IF($D$1=0,0,IFERROR(VALUE(SUBSTITUTE(SUBSTITUTE(SUBSTITUTE(INDEX(貼り付け!$A$1:$BZ$3001,1311,$D$1)&amp;"",",",""),"¥",""),"￥","")),0))</f>
        <v/>
      </c>
      <c r="E1312">
        <f>IF($E$1=0,0,IFERROR(VALUE(SUBSTITUTE(SUBSTITUTE(SUBSTITUTE(INDEX(貼り付け!$A$1:$BZ$3001,1311,$E$1)&amp;"",",",""),"¥",""),"￥","")),0))</f>
        <v/>
      </c>
      <c r="F1312">
        <f>IF($F$1=0,0,IFERROR(VALUE(SUBSTITUTE(SUBSTITUTE(SUBSTITUTE(INDEX(貼り付け!$A$1:$BZ$3001,1311,$F$1)&amp;"",",",""),"¥",""),"￥","")),0))</f>
        <v/>
      </c>
      <c r="G1312">
        <f>IF(ISNUMBER(B1312),YEAR(B1312),"")</f>
        <v/>
      </c>
      <c r="H1312">
        <f>IF(ISNUMBER(B1312),MONTH(B1312),"")</f>
        <v/>
      </c>
      <c r="I1312">
        <f>IFERROR(IF($B$1=0,"",IF(ISNUMBER(INDEX(貼り付け!$A$1:$BZ$3001,1311,$B$1)),"",SUBSTITUTE(SUBSTITUTE(SUBSTITUTE(SUBSTITUTE(TRIM(LEFT(INDEX(貼り付け!$A$1:$BZ$3001,1311,$B$1)&amp;"",FIND(" ",TRIM(INDEX(貼り付け!$A$1:$BZ$3001,1311,$B$1)&amp;"")&amp;" ")-1)),"/","-"),"年","-"),"月","-"),"日",""))),"")</f>
        <v/>
      </c>
      <c r="J1312">
        <f>IFERROR(MID(I1312,FIND("-",I1312)+1,99),"")</f>
        <v/>
      </c>
    </row>
    <row r="1313">
      <c r="B1313">
        <f>IFERROR(IF($B$1=0,"",IF(INDEX(貼り付け!$A$1:$BZ$3001,1312,$B$1)="","",IF(ISNUMBER(INDEX(貼り付け!$A$1:$BZ$3001,1312,$B$1)),INT(INDEX(貼り付け!$A$1:$BZ$3001,1312,$B$1)),DATE(VALUE(LEFT(I1313,FIND("-",I1313)-1)),VALUE(LEFT(J1313,FIND("-",J1313)-1)),VALUE(MID(J1313,FIND("-",J1313)+1,99)))))),"")</f>
        <v/>
      </c>
      <c r="C1313">
        <f>IF($C$1=0,0,IFERROR(VALUE(SUBSTITUTE(SUBSTITUTE(SUBSTITUTE(INDEX(貼り付け!$A$1:$BZ$3001,1312,$C$1)&amp;"",",",""),"¥",""),"￥","")),0))</f>
        <v/>
      </c>
      <c r="D1313">
        <f>IF($D$1=0,0,IFERROR(VALUE(SUBSTITUTE(SUBSTITUTE(SUBSTITUTE(INDEX(貼り付け!$A$1:$BZ$3001,1312,$D$1)&amp;"",",",""),"¥",""),"￥","")),0))</f>
        <v/>
      </c>
      <c r="E1313">
        <f>IF($E$1=0,0,IFERROR(VALUE(SUBSTITUTE(SUBSTITUTE(SUBSTITUTE(INDEX(貼り付け!$A$1:$BZ$3001,1312,$E$1)&amp;"",",",""),"¥",""),"￥","")),0))</f>
        <v/>
      </c>
      <c r="F1313">
        <f>IF($F$1=0,0,IFERROR(VALUE(SUBSTITUTE(SUBSTITUTE(SUBSTITUTE(INDEX(貼り付け!$A$1:$BZ$3001,1312,$F$1)&amp;"",",",""),"¥",""),"￥","")),0))</f>
        <v/>
      </c>
      <c r="G1313">
        <f>IF(ISNUMBER(B1313),YEAR(B1313),"")</f>
        <v/>
      </c>
      <c r="H1313">
        <f>IF(ISNUMBER(B1313),MONTH(B1313),"")</f>
        <v/>
      </c>
      <c r="I1313">
        <f>IFERROR(IF($B$1=0,"",IF(ISNUMBER(INDEX(貼り付け!$A$1:$BZ$3001,1312,$B$1)),"",SUBSTITUTE(SUBSTITUTE(SUBSTITUTE(SUBSTITUTE(TRIM(LEFT(INDEX(貼り付け!$A$1:$BZ$3001,1312,$B$1)&amp;"",FIND(" ",TRIM(INDEX(貼り付け!$A$1:$BZ$3001,1312,$B$1)&amp;"")&amp;" ")-1)),"/","-"),"年","-"),"月","-"),"日",""))),"")</f>
        <v/>
      </c>
      <c r="J1313">
        <f>IFERROR(MID(I1313,FIND("-",I1313)+1,99),"")</f>
        <v/>
      </c>
    </row>
    <row r="1314">
      <c r="B1314">
        <f>IFERROR(IF($B$1=0,"",IF(INDEX(貼り付け!$A$1:$BZ$3001,1313,$B$1)="","",IF(ISNUMBER(INDEX(貼り付け!$A$1:$BZ$3001,1313,$B$1)),INT(INDEX(貼り付け!$A$1:$BZ$3001,1313,$B$1)),DATE(VALUE(LEFT(I1314,FIND("-",I1314)-1)),VALUE(LEFT(J1314,FIND("-",J1314)-1)),VALUE(MID(J1314,FIND("-",J1314)+1,99)))))),"")</f>
        <v/>
      </c>
      <c r="C1314">
        <f>IF($C$1=0,0,IFERROR(VALUE(SUBSTITUTE(SUBSTITUTE(SUBSTITUTE(INDEX(貼り付け!$A$1:$BZ$3001,1313,$C$1)&amp;"",",",""),"¥",""),"￥","")),0))</f>
        <v/>
      </c>
      <c r="D1314">
        <f>IF($D$1=0,0,IFERROR(VALUE(SUBSTITUTE(SUBSTITUTE(SUBSTITUTE(INDEX(貼り付け!$A$1:$BZ$3001,1313,$D$1)&amp;"",",",""),"¥",""),"￥","")),0))</f>
        <v/>
      </c>
      <c r="E1314">
        <f>IF($E$1=0,0,IFERROR(VALUE(SUBSTITUTE(SUBSTITUTE(SUBSTITUTE(INDEX(貼り付け!$A$1:$BZ$3001,1313,$E$1)&amp;"",",",""),"¥",""),"￥","")),0))</f>
        <v/>
      </c>
      <c r="F1314">
        <f>IF($F$1=0,0,IFERROR(VALUE(SUBSTITUTE(SUBSTITUTE(SUBSTITUTE(INDEX(貼り付け!$A$1:$BZ$3001,1313,$F$1)&amp;"",",",""),"¥",""),"￥","")),0))</f>
        <v/>
      </c>
      <c r="G1314">
        <f>IF(ISNUMBER(B1314),YEAR(B1314),"")</f>
        <v/>
      </c>
      <c r="H1314">
        <f>IF(ISNUMBER(B1314),MONTH(B1314),"")</f>
        <v/>
      </c>
      <c r="I1314">
        <f>IFERROR(IF($B$1=0,"",IF(ISNUMBER(INDEX(貼り付け!$A$1:$BZ$3001,1313,$B$1)),"",SUBSTITUTE(SUBSTITUTE(SUBSTITUTE(SUBSTITUTE(TRIM(LEFT(INDEX(貼り付け!$A$1:$BZ$3001,1313,$B$1)&amp;"",FIND(" ",TRIM(INDEX(貼り付け!$A$1:$BZ$3001,1313,$B$1)&amp;"")&amp;" ")-1)),"/","-"),"年","-"),"月","-"),"日",""))),"")</f>
        <v/>
      </c>
      <c r="J1314">
        <f>IFERROR(MID(I1314,FIND("-",I1314)+1,99),"")</f>
        <v/>
      </c>
    </row>
    <row r="1315">
      <c r="B1315">
        <f>IFERROR(IF($B$1=0,"",IF(INDEX(貼り付け!$A$1:$BZ$3001,1314,$B$1)="","",IF(ISNUMBER(INDEX(貼り付け!$A$1:$BZ$3001,1314,$B$1)),INT(INDEX(貼り付け!$A$1:$BZ$3001,1314,$B$1)),DATE(VALUE(LEFT(I1315,FIND("-",I1315)-1)),VALUE(LEFT(J1315,FIND("-",J1315)-1)),VALUE(MID(J1315,FIND("-",J1315)+1,99)))))),"")</f>
        <v/>
      </c>
      <c r="C1315">
        <f>IF($C$1=0,0,IFERROR(VALUE(SUBSTITUTE(SUBSTITUTE(SUBSTITUTE(INDEX(貼り付け!$A$1:$BZ$3001,1314,$C$1)&amp;"",",",""),"¥",""),"￥","")),0))</f>
        <v/>
      </c>
      <c r="D1315">
        <f>IF($D$1=0,0,IFERROR(VALUE(SUBSTITUTE(SUBSTITUTE(SUBSTITUTE(INDEX(貼り付け!$A$1:$BZ$3001,1314,$D$1)&amp;"",",",""),"¥",""),"￥","")),0))</f>
        <v/>
      </c>
      <c r="E1315">
        <f>IF($E$1=0,0,IFERROR(VALUE(SUBSTITUTE(SUBSTITUTE(SUBSTITUTE(INDEX(貼り付け!$A$1:$BZ$3001,1314,$E$1)&amp;"",",",""),"¥",""),"￥","")),0))</f>
        <v/>
      </c>
      <c r="F1315">
        <f>IF($F$1=0,0,IFERROR(VALUE(SUBSTITUTE(SUBSTITUTE(SUBSTITUTE(INDEX(貼り付け!$A$1:$BZ$3001,1314,$F$1)&amp;"",",",""),"¥",""),"￥","")),0))</f>
        <v/>
      </c>
      <c r="G1315">
        <f>IF(ISNUMBER(B1315),YEAR(B1315),"")</f>
        <v/>
      </c>
      <c r="H1315">
        <f>IF(ISNUMBER(B1315),MONTH(B1315),"")</f>
        <v/>
      </c>
      <c r="I1315">
        <f>IFERROR(IF($B$1=0,"",IF(ISNUMBER(INDEX(貼り付け!$A$1:$BZ$3001,1314,$B$1)),"",SUBSTITUTE(SUBSTITUTE(SUBSTITUTE(SUBSTITUTE(TRIM(LEFT(INDEX(貼り付け!$A$1:$BZ$3001,1314,$B$1)&amp;"",FIND(" ",TRIM(INDEX(貼り付け!$A$1:$BZ$3001,1314,$B$1)&amp;"")&amp;" ")-1)),"/","-"),"年","-"),"月","-"),"日",""))),"")</f>
        <v/>
      </c>
      <c r="J1315">
        <f>IFERROR(MID(I1315,FIND("-",I1315)+1,99),"")</f>
        <v/>
      </c>
    </row>
    <row r="1316">
      <c r="B1316">
        <f>IFERROR(IF($B$1=0,"",IF(INDEX(貼り付け!$A$1:$BZ$3001,1315,$B$1)="","",IF(ISNUMBER(INDEX(貼り付け!$A$1:$BZ$3001,1315,$B$1)),INT(INDEX(貼り付け!$A$1:$BZ$3001,1315,$B$1)),DATE(VALUE(LEFT(I1316,FIND("-",I1316)-1)),VALUE(LEFT(J1316,FIND("-",J1316)-1)),VALUE(MID(J1316,FIND("-",J1316)+1,99)))))),"")</f>
        <v/>
      </c>
      <c r="C1316">
        <f>IF($C$1=0,0,IFERROR(VALUE(SUBSTITUTE(SUBSTITUTE(SUBSTITUTE(INDEX(貼り付け!$A$1:$BZ$3001,1315,$C$1)&amp;"",",",""),"¥",""),"￥","")),0))</f>
        <v/>
      </c>
      <c r="D1316">
        <f>IF($D$1=0,0,IFERROR(VALUE(SUBSTITUTE(SUBSTITUTE(SUBSTITUTE(INDEX(貼り付け!$A$1:$BZ$3001,1315,$D$1)&amp;"",",",""),"¥",""),"￥","")),0))</f>
        <v/>
      </c>
      <c r="E1316">
        <f>IF($E$1=0,0,IFERROR(VALUE(SUBSTITUTE(SUBSTITUTE(SUBSTITUTE(INDEX(貼り付け!$A$1:$BZ$3001,1315,$E$1)&amp;"",",",""),"¥",""),"￥","")),0))</f>
        <v/>
      </c>
      <c r="F1316">
        <f>IF($F$1=0,0,IFERROR(VALUE(SUBSTITUTE(SUBSTITUTE(SUBSTITUTE(INDEX(貼り付け!$A$1:$BZ$3001,1315,$F$1)&amp;"",",",""),"¥",""),"￥","")),0))</f>
        <v/>
      </c>
      <c r="G1316">
        <f>IF(ISNUMBER(B1316),YEAR(B1316),"")</f>
        <v/>
      </c>
      <c r="H1316">
        <f>IF(ISNUMBER(B1316),MONTH(B1316),"")</f>
        <v/>
      </c>
      <c r="I1316">
        <f>IFERROR(IF($B$1=0,"",IF(ISNUMBER(INDEX(貼り付け!$A$1:$BZ$3001,1315,$B$1)),"",SUBSTITUTE(SUBSTITUTE(SUBSTITUTE(SUBSTITUTE(TRIM(LEFT(INDEX(貼り付け!$A$1:$BZ$3001,1315,$B$1)&amp;"",FIND(" ",TRIM(INDEX(貼り付け!$A$1:$BZ$3001,1315,$B$1)&amp;"")&amp;" ")-1)),"/","-"),"年","-"),"月","-"),"日",""))),"")</f>
        <v/>
      </c>
      <c r="J1316">
        <f>IFERROR(MID(I1316,FIND("-",I1316)+1,99),"")</f>
        <v/>
      </c>
    </row>
    <row r="1317">
      <c r="B1317">
        <f>IFERROR(IF($B$1=0,"",IF(INDEX(貼り付け!$A$1:$BZ$3001,1316,$B$1)="","",IF(ISNUMBER(INDEX(貼り付け!$A$1:$BZ$3001,1316,$B$1)),INT(INDEX(貼り付け!$A$1:$BZ$3001,1316,$B$1)),DATE(VALUE(LEFT(I1317,FIND("-",I1317)-1)),VALUE(LEFT(J1317,FIND("-",J1317)-1)),VALUE(MID(J1317,FIND("-",J1317)+1,99)))))),"")</f>
        <v/>
      </c>
      <c r="C1317">
        <f>IF($C$1=0,0,IFERROR(VALUE(SUBSTITUTE(SUBSTITUTE(SUBSTITUTE(INDEX(貼り付け!$A$1:$BZ$3001,1316,$C$1)&amp;"",",",""),"¥",""),"￥","")),0))</f>
        <v/>
      </c>
      <c r="D1317">
        <f>IF($D$1=0,0,IFERROR(VALUE(SUBSTITUTE(SUBSTITUTE(SUBSTITUTE(INDEX(貼り付け!$A$1:$BZ$3001,1316,$D$1)&amp;"",",",""),"¥",""),"￥","")),0))</f>
        <v/>
      </c>
      <c r="E1317">
        <f>IF($E$1=0,0,IFERROR(VALUE(SUBSTITUTE(SUBSTITUTE(SUBSTITUTE(INDEX(貼り付け!$A$1:$BZ$3001,1316,$E$1)&amp;"",",",""),"¥",""),"￥","")),0))</f>
        <v/>
      </c>
      <c r="F1317">
        <f>IF($F$1=0,0,IFERROR(VALUE(SUBSTITUTE(SUBSTITUTE(SUBSTITUTE(INDEX(貼り付け!$A$1:$BZ$3001,1316,$F$1)&amp;"",",",""),"¥",""),"￥","")),0))</f>
        <v/>
      </c>
      <c r="G1317">
        <f>IF(ISNUMBER(B1317),YEAR(B1317),"")</f>
        <v/>
      </c>
      <c r="H1317">
        <f>IF(ISNUMBER(B1317),MONTH(B1317),"")</f>
        <v/>
      </c>
      <c r="I1317">
        <f>IFERROR(IF($B$1=0,"",IF(ISNUMBER(INDEX(貼り付け!$A$1:$BZ$3001,1316,$B$1)),"",SUBSTITUTE(SUBSTITUTE(SUBSTITUTE(SUBSTITUTE(TRIM(LEFT(INDEX(貼り付け!$A$1:$BZ$3001,1316,$B$1)&amp;"",FIND(" ",TRIM(INDEX(貼り付け!$A$1:$BZ$3001,1316,$B$1)&amp;"")&amp;" ")-1)),"/","-"),"年","-"),"月","-"),"日",""))),"")</f>
        <v/>
      </c>
      <c r="J1317">
        <f>IFERROR(MID(I1317,FIND("-",I1317)+1,99),"")</f>
        <v/>
      </c>
    </row>
    <row r="1318">
      <c r="B1318">
        <f>IFERROR(IF($B$1=0,"",IF(INDEX(貼り付け!$A$1:$BZ$3001,1317,$B$1)="","",IF(ISNUMBER(INDEX(貼り付け!$A$1:$BZ$3001,1317,$B$1)),INT(INDEX(貼り付け!$A$1:$BZ$3001,1317,$B$1)),DATE(VALUE(LEFT(I1318,FIND("-",I1318)-1)),VALUE(LEFT(J1318,FIND("-",J1318)-1)),VALUE(MID(J1318,FIND("-",J1318)+1,99)))))),"")</f>
        <v/>
      </c>
      <c r="C1318">
        <f>IF($C$1=0,0,IFERROR(VALUE(SUBSTITUTE(SUBSTITUTE(SUBSTITUTE(INDEX(貼り付け!$A$1:$BZ$3001,1317,$C$1)&amp;"",",",""),"¥",""),"￥","")),0))</f>
        <v/>
      </c>
      <c r="D1318">
        <f>IF($D$1=0,0,IFERROR(VALUE(SUBSTITUTE(SUBSTITUTE(SUBSTITUTE(INDEX(貼り付け!$A$1:$BZ$3001,1317,$D$1)&amp;"",",",""),"¥",""),"￥","")),0))</f>
        <v/>
      </c>
      <c r="E1318">
        <f>IF($E$1=0,0,IFERROR(VALUE(SUBSTITUTE(SUBSTITUTE(SUBSTITUTE(INDEX(貼り付け!$A$1:$BZ$3001,1317,$E$1)&amp;"",",",""),"¥",""),"￥","")),0))</f>
        <v/>
      </c>
      <c r="F1318">
        <f>IF($F$1=0,0,IFERROR(VALUE(SUBSTITUTE(SUBSTITUTE(SUBSTITUTE(INDEX(貼り付け!$A$1:$BZ$3001,1317,$F$1)&amp;"",",",""),"¥",""),"￥","")),0))</f>
        <v/>
      </c>
      <c r="G1318">
        <f>IF(ISNUMBER(B1318),YEAR(B1318),"")</f>
        <v/>
      </c>
      <c r="H1318">
        <f>IF(ISNUMBER(B1318),MONTH(B1318),"")</f>
        <v/>
      </c>
      <c r="I1318">
        <f>IFERROR(IF($B$1=0,"",IF(ISNUMBER(INDEX(貼り付け!$A$1:$BZ$3001,1317,$B$1)),"",SUBSTITUTE(SUBSTITUTE(SUBSTITUTE(SUBSTITUTE(TRIM(LEFT(INDEX(貼り付け!$A$1:$BZ$3001,1317,$B$1)&amp;"",FIND(" ",TRIM(INDEX(貼り付け!$A$1:$BZ$3001,1317,$B$1)&amp;"")&amp;" ")-1)),"/","-"),"年","-"),"月","-"),"日",""))),"")</f>
        <v/>
      </c>
      <c r="J1318">
        <f>IFERROR(MID(I1318,FIND("-",I1318)+1,99),"")</f>
        <v/>
      </c>
    </row>
    <row r="1319">
      <c r="B1319">
        <f>IFERROR(IF($B$1=0,"",IF(INDEX(貼り付け!$A$1:$BZ$3001,1318,$B$1)="","",IF(ISNUMBER(INDEX(貼り付け!$A$1:$BZ$3001,1318,$B$1)),INT(INDEX(貼り付け!$A$1:$BZ$3001,1318,$B$1)),DATE(VALUE(LEFT(I1319,FIND("-",I1319)-1)),VALUE(LEFT(J1319,FIND("-",J1319)-1)),VALUE(MID(J1319,FIND("-",J1319)+1,99)))))),"")</f>
        <v/>
      </c>
      <c r="C1319">
        <f>IF($C$1=0,0,IFERROR(VALUE(SUBSTITUTE(SUBSTITUTE(SUBSTITUTE(INDEX(貼り付け!$A$1:$BZ$3001,1318,$C$1)&amp;"",",",""),"¥",""),"￥","")),0))</f>
        <v/>
      </c>
      <c r="D1319">
        <f>IF($D$1=0,0,IFERROR(VALUE(SUBSTITUTE(SUBSTITUTE(SUBSTITUTE(INDEX(貼り付け!$A$1:$BZ$3001,1318,$D$1)&amp;"",",",""),"¥",""),"￥","")),0))</f>
        <v/>
      </c>
      <c r="E1319">
        <f>IF($E$1=0,0,IFERROR(VALUE(SUBSTITUTE(SUBSTITUTE(SUBSTITUTE(INDEX(貼り付け!$A$1:$BZ$3001,1318,$E$1)&amp;"",",",""),"¥",""),"￥","")),0))</f>
        <v/>
      </c>
      <c r="F1319">
        <f>IF($F$1=0,0,IFERROR(VALUE(SUBSTITUTE(SUBSTITUTE(SUBSTITUTE(INDEX(貼り付け!$A$1:$BZ$3001,1318,$F$1)&amp;"",",",""),"¥",""),"￥","")),0))</f>
        <v/>
      </c>
      <c r="G1319">
        <f>IF(ISNUMBER(B1319),YEAR(B1319),"")</f>
        <v/>
      </c>
      <c r="H1319">
        <f>IF(ISNUMBER(B1319),MONTH(B1319),"")</f>
        <v/>
      </c>
      <c r="I1319">
        <f>IFERROR(IF($B$1=0,"",IF(ISNUMBER(INDEX(貼り付け!$A$1:$BZ$3001,1318,$B$1)),"",SUBSTITUTE(SUBSTITUTE(SUBSTITUTE(SUBSTITUTE(TRIM(LEFT(INDEX(貼り付け!$A$1:$BZ$3001,1318,$B$1)&amp;"",FIND(" ",TRIM(INDEX(貼り付け!$A$1:$BZ$3001,1318,$B$1)&amp;"")&amp;" ")-1)),"/","-"),"年","-"),"月","-"),"日",""))),"")</f>
        <v/>
      </c>
      <c r="J1319">
        <f>IFERROR(MID(I1319,FIND("-",I1319)+1,99),"")</f>
        <v/>
      </c>
    </row>
    <row r="1320">
      <c r="B1320">
        <f>IFERROR(IF($B$1=0,"",IF(INDEX(貼り付け!$A$1:$BZ$3001,1319,$B$1)="","",IF(ISNUMBER(INDEX(貼り付け!$A$1:$BZ$3001,1319,$B$1)),INT(INDEX(貼り付け!$A$1:$BZ$3001,1319,$B$1)),DATE(VALUE(LEFT(I1320,FIND("-",I1320)-1)),VALUE(LEFT(J1320,FIND("-",J1320)-1)),VALUE(MID(J1320,FIND("-",J1320)+1,99)))))),"")</f>
        <v/>
      </c>
      <c r="C1320">
        <f>IF($C$1=0,0,IFERROR(VALUE(SUBSTITUTE(SUBSTITUTE(SUBSTITUTE(INDEX(貼り付け!$A$1:$BZ$3001,1319,$C$1)&amp;"",",",""),"¥",""),"￥","")),0))</f>
        <v/>
      </c>
      <c r="D1320">
        <f>IF($D$1=0,0,IFERROR(VALUE(SUBSTITUTE(SUBSTITUTE(SUBSTITUTE(INDEX(貼り付け!$A$1:$BZ$3001,1319,$D$1)&amp;"",",",""),"¥",""),"￥","")),0))</f>
        <v/>
      </c>
      <c r="E1320">
        <f>IF($E$1=0,0,IFERROR(VALUE(SUBSTITUTE(SUBSTITUTE(SUBSTITUTE(INDEX(貼り付け!$A$1:$BZ$3001,1319,$E$1)&amp;"",",",""),"¥",""),"￥","")),0))</f>
        <v/>
      </c>
      <c r="F1320">
        <f>IF($F$1=0,0,IFERROR(VALUE(SUBSTITUTE(SUBSTITUTE(SUBSTITUTE(INDEX(貼り付け!$A$1:$BZ$3001,1319,$F$1)&amp;"",",",""),"¥",""),"￥","")),0))</f>
        <v/>
      </c>
      <c r="G1320">
        <f>IF(ISNUMBER(B1320),YEAR(B1320),"")</f>
        <v/>
      </c>
      <c r="H1320">
        <f>IF(ISNUMBER(B1320),MONTH(B1320),"")</f>
        <v/>
      </c>
      <c r="I1320">
        <f>IFERROR(IF($B$1=0,"",IF(ISNUMBER(INDEX(貼り付け!$A$1:$BZ$3001,1319,$B$1)),"",SUBSTITUTE(SUBSTITUTE(SUBSTITUTE(SUBSTITUTE(TRIM(LEFT(INDEX(貼り付け!$A$1:$BZ$3001,1319,$B$1)&amp;"",FIND(" ",TRIM(INDEX(貼り付け!$A$1:$BZ$3001,1319,$B$1)&amp;"")&amp;" ")-1)),"/","-"),"年","-"),"月","-"),"日",""))),"")</f>
        <v/>
      </c>
      <c r="J1320">
        <f>IFERROR(MID(I1320,FIND("-",I1320)+1,99),"")</f>
        <v/>
      </c>
    </row>
    <row r="1321">
      <c r="B1321">
        <f>IFERROR(IF($B$1=0,"",IF(INDEX(貼り付け!$A$1:$BZ$3001,1320,$B$1)="","",IF(ISNUMBER(INDEX(貼り付け!$A$1:$BZ$3001,1320,$B$1)),INT(INDEX(貼り付け!$A$1:$BZ$3001,1320,$B$1)),DATE(VALUE(LEFT(I1321,FIND("-",I1321)-1)),VALUE(LEFT(J1321,FIND("-",J1321)-1)),VALUE(MID(J1321,FIND("-",J1321)+1,99)))))),"")</f>
        <v/>
      </c>
      <c r="C1321">
        <f>IF($C$1=0,0,IFERROR(VALUE(SUBSTITUTE(SUBSTITUTE(SUBSTITUTE(INDEX(貼り付け!$A$1:$BZ$3001,1320,$C$1)&amp;"",",",""),"¥",""),"￥","")),0))</f>
        <v/>
      </c>
      <c r="D1321">
        <f>IF($D$1=0,0,IFERROR(VALUE(SUBSTITUTE(SUBSTITUTE(SUBSTITUTE(INDEX(貼り付け!$A$1:$BZ$3001,1320,$D$1)&amp;"",",",""),"¥",""),"￥","")),0))</f>
        <v/>
      </c>
      <c r="E1321">
        <f>IF($E$1=0,0,IFERROR(VALUE(SUBSTITUTE(SUBSTITUTE(SUBSTITUTE(INDEX(貼り付け!$A$1:$BZ$3001,1320,$E$1)&amp;"",",",""),"¥",""),"￥","")),0))</f>
        <v/>
      </c>
      <c r="F1321">
        <f>IF($F$1=0,0,IFERROR(VALUE(SUBSTITUTE(SUBSTITUTE(SUBSTITUTE(INDEX(貼り付け!$A$1:$BZ$3001,1320,$F$1)&amp;"",",",""),"¥",""),"￥","")),0))</f>
        <v/>
      </c>
      <c r="G1321">
        <f>IF(ISNUMBER(B1321),YEAR(B1321),"")</f>
        <v/>
      </c>
      <c r="H1321">
        <f>IF(ISNUMBER(B1321),MONTH(B1321),"")</f>
        <v/>
      </c>
      <c r="I1321">
        <f>IFERROR(IF($B$1=0,"",IF(ISNUMBER(INDEX(貼り付け!$A$1:$BZ$3001,1320,$B$1)),"",SUBSTITUTE(SUBSTITUTE(SUBSTITUTE(SUBSTITUTE(TRIM(LEFT(INDEX(貼り付け!$A$1:$BZ$3001,1320,$B$1)&amp;"",FIND(" ",TRIM(INDEX(貼り付け!$A$1:$BZ$3001,1320,$B$1)&amp;"")&amp;" ")-1)),"/","-"),"年","-"),"月","-"),"日",""))),"")</f>
        <v/>
      </c>
      <c r="J1321">
        <f>IFERROR(MID(I1321,FIND("-",I1321)+1,99),"")</f>
        <v/>
      </c>
    </row>
    <row r="1322">
      <c r="B1322">
        <f>IFERROR(IF($B$1=0,"",IF(INDEX(貼り付け!$A$1:$BZ$3001,1321,$B$1)="","",IF(ISNUMBER(INDEX(貼り付け!$A$1:$BZ$3001,1321,$B$1)),INT(INDEX(貼り付け!$A$1:$BZ$3001,1321,$B$1)),DATE(VALUE(LEFT(I1322,FIND("-",I1322)-1)),VALUE(LEFT(J1322,FIND("-",J1322)-1)),VALUE(MID(J1322,FIND("-",J1322)+1,99)))))),"")</f>
        <v/>
      </c>
      <c r="C1322">
        <f>IF($C$1=0,0,IFERROR(VALUE(SUBSTITUTE(SUBSTITUTE(SUBSTITUTE(INDEX(貼り付け!$A$1:$BZ$3001,1321,$C$1)&amp;"",",",""),"¥",""),"￥","")),0))</f>
        <v/>
      </c>
      <c r="D1322">
        <f>IF($D$1=0,0,IFERROR(VALUE(SUBSTITUTE(SUBSTITUTE(SUBSTITUTE(INDEX(貼り付け!$A$1:$BZ$3001,1321,$D$1)&amp;"",",",""),"¥",""),"￥","")),0))</f>
        <v/>
      </c>
      <c r="E1322">
        <f>IF($E$1=0,0,IFERROR(VALUE(SUBSTITUTE(SUBSTITUTE(SUBSTITUTE(INDEX(貼り付け!$A$1:$BZ$3001,1321,$E$1)&amp;"",",",""),"¥",""),"￥","")),0))</f>
        <v/>
      </c>
      <c r="F1322">
        <f>IF($F$1=0,0,IFERROR(VALUE(SUBSTITUTE(SUBSTITUTE(SUBSTITUTE(INDEX(貼り付け!$A$1:$BZ$3001,1321,$F$1)&amp;"",",",""),"¥",""),"￥","")),0))</f>
        <v/>
      </c>
      <c r="G1322">
        <f>IF(ISNUMBER(B1322),YEAR(B1322),"")</f>
        <v/>
      </c>
      <c r="H1322">
        <f>IF(ISNUMBER(B1322),MONTH(B1322),"")</f>
        <v/>
      </c>
      <c r="I1322">
        <f>IFERROR(IF($B$1=0,"",IF(ISNUMBER(INDEX(貼り付け!$A$1:$BZ$3001,1321,$B$1)),"",SUBSTITUTE(SUBSTITUTE(SUBSTITUTE(SUBSTITUTE(TRIM(LEFT(INDEX(貼り付け!$A$1:$BZ$3001,1321,$B$1)&amp;"",FIND(" ",TRIM(INDEX(貼り付け!$A$1:$BZ$3001,1321,$B$1)&amp;"")&amp;" ")-1)),"/","-"),"年","-"),"月","-"),"日",""))),"")</f>
        <v/>
      </c>
      <c r="J1322">
        <f>IFERROR(MID(I1322,FIND("-",I1322)+1,99),"")</f>
        <v/>
      </c>
    </row>
    <row r="1323">
      <c r="B1323">
        <f>IFERROR(IF($B$1=0,"",IF(INDEX(貼り付け!$A$1:$BZ$3001,1322,$B$1)="","",IF(ISNUMBER(INDEX(貼り付け!$A$1:$BZ$3001,1322,$B$1)),INT(INDEX(貼り付け!$A$1:$BZ$3001,1322,$B$1)),DATE(VALUE(LEFT(I1323,FIND("-",I1323)-1)),VALUE(LEFT(J1323,FIND("-",J1323)-1)),VALUE(MID(J1323,FIND("-",J1323)+1,99)))))),"")</f>
        <v/>
      </c>
      <c r="C1323">
        <f>IF($C$1=0,0,IFERROR(VALUE(SUBSTITUTE(SUBSTITUTE(SUBSTITUTE(INDEX(貼り付け!$A$1:$BZ$3001,1322,$C$1)&amp;"",",",""),"¥",""),"￥","")),0))</f>
        <v/>
      </c>
      <c r="D1323">
        <f>IF($D$1=0,0,IFERROR(VALUE(SUBSTITUTE(SUBSTITUTE(SUBSTITUTE(INDEX(貼り付け!$A$1:$BZ$3001,1322,$D$1)&amp;"",",",""),"¥",""),"￥","")),0))</f>
        <v/>
      </c>
      <c r="E1323">
        <f>IF($E$1=0,0,IFERROR(VALUE(SUBSTITUTE(SUBSTITUTE(SUBSTITUTE(INDEX(貼り付け!$A$1:$BZ$3001,1322,$E$1)&amp;"",",",""),"¥",""),"￥","")),0))</f>
        <v/>
      </c>
      <c r="F1323">
        <f>IF($F$1=0,0,IFERROR(VALUE(SUBSTITUTE(SUBSTITUTE(SUBSTITUTE(INDEX(貼り付け!$A$1:$BZ$3001,1322,$F$1)&amp;"",",",""),"¥",""),"￥","")),0))</f>
        <v/>
      </c>
      <c r="G1323">
        <f>IF(ISNUMBER(B1323),YEAR(B1323),"")</f>
        <v/>
      </c>
      <c r="H1323">
        <f>IF(ISNUMBER(B1323),MONTH(B1323),"")</f>
        <v/>
      </c>
      <c r="I1323">
        <f>IFERROR(IF($B$1=0,"",IF(ISNUMBER(INDEX(貼り付け!$A$1:$BZ$3001,1322,$B$1)),"",SUBSTITUTE(SUBSTITUTE(SUBSTITUTE(SUBSTITUTE(TRIM(LEFT(INDEX(貼り付け!$A$1:$BZ$3001,1322,$B$1)&amp;"",FIND(" ",TRIM(INDEX(貼り付け!$A$1:$BZ$3001,1322,$B$1)&amp;"")&amp;" ")-1)),"/","-"),"年","-"),"月","-"),"日",""))),"")</f>
        <v/>
      </c>
      <c r="J1323">
        <f>IFERROR(MID(I1323,FIND("-",I1323)+1,99),"")</f>
        <v/>
      </c>
    </row>
    <row r="1324">
      <c r="B1324">
        <f>IFERROR(IF($B$1=0,"",IF(INDEX(貼り付け!$A$1:$BZ$3001,1323,$B$1)="","",IF(ISNUMBER(INDEX(貼り付け!$A$1:$BZ$3001,1323,$B$1)),INT(INDEX(貼り付け!$A$1:$BZ$3001,1323,$B$1)),DATE(VALUE(LEFT(I1324,FIND("-",I1324)-1)),VALUE(LEFT(J1324,FIND("-",J1324)-1)),VALUE(MID(J1324,FIND("-",J1324)+1,99)))))),"")</f>
        <v/>
      </c>
      <c r="C1324">
        <f>IF($C$1=0,0,IFERROR(VALUE(SUBSTITUTE(SUBSTITUTE(SUBSTITUTE(INDEX(貼り付け!$A$1:$BZ$3001,1323,$C$1)&amp;"",",",""),"¥",""),"￥","")),0))</f>
        <v/>
      </c>
      <c r="D1324">
        <f>IF($D$1=0,0,IFERROR(VALUE(SUBSTITUTE(SUBSTITUTE(SUBSTITUTE(INDEX(貼り付け!$A$1:$BZ$3001,1323,$D$1)&amp;"",",",""),"¥",""),"￥","")),0))</f>
        <v/>
      </c>
      <c r="E1324">
        <f>IF($E$1=0,0,IFERROR(VALUE(SUBSTITUTE(SUBSTITUTE(SUBSTITUTE(INDEX(貼り付け!$A$1:$BZ$3001,1323,$E$1)&amp;"",",",""),"¥",""),"￥","")),0))</f>
        <v/>
      </c>
      <c r="F1324">
        <f>IF($F$1=0,0,IFERROR(VALUE(SUBSTITUTE(SUBSTITUTE(SUBSTITUTE(INDEX(貼り付け!$A$1:$BZ$3001,1323,$F$1)&amp;"",",",""),"¥",""),"￥","")),0))</f>
        <v/>
      </c>
      <c r="G1324">
        <f>IF(ISNUMBER(B1324),YEAR(B1324),"")</f>
        <v/>
      </c>
      <c r="H1324">
        <f>IF(ISNUMBER(B1324),MONTH(B1324),"")</f>
        <v/>
      </c>
      <c r="I1324">
        <f>IFERROR(IF($B$1=0,"",IF(ISNUMBER(INDEX(貼り付け!$A$1:$BZ$3001,1323,$B$1)),"",SUBSTITUTE(SUBSTITUTE(SUBSTITUTE(SUBSTITUTE(TRIM(LEFT(INDEX(貼り付け!$A$1:$BZ$3001,1323,$B$1)&amp;"",FIND(" ",TRIM(INDEX(貼り付け!$A$1:$BZ$3001,1323,$B$1)&amp;"")&amp;" ")-1)),"/","-"),"年","-"),"月","-"),"日",""))),"")</f>
        <v/>
      </c>
      <c r="J1324">
        <f>IFERROR(MID(I1324,FIND("-",I1324)+1,99),"")</f>
        <v/>
      </c>
    </row>
    <row r="1325">
      <c r="B1325">
        <f>IFERROR(IF($B$1=0,"",IF(INDEX(貼り付け!$A$1:$BZ$3001,1324,$B$1)="","",IF(ISNUMBER(INDEX(貼り付け!$A$1:$BZ$3001,1324,$B$1)),INT(INDEX(貼り付け!$A$1:$BZ$3001,1324,$B$1)),DATE(VALUE(LEFT(I1325,FIND("-",I1325)-1)),VALUE(LEFT(J1325,FIND("-",J1325)-1)),VALUE(MID(J1325,FIND("-",J1325)+1,99)))))),"")</f>
        <v/>
      </c>
      <c r="C1325">
        <f>IF($C$1=0,0,IFERROR(VALUE(SUBSTITUTE(SUBSTITUTE(SUBSTITUTE(INDEX(貼り付け!$A$1:$BZ$3001,1324,$C$1)&amp;"",",",""),"¥",""),"￥","")),0))</f>
        <v/>
      </c>
      <c r="D1325">
        <f>IF($D$1=0,0,IFERROR(VALUE(SUBSTITUTE(SUBSTITUTE(SUBSTITUTE(INDEX(貼り付け!$A$1:$BZ$3001,1324,$D$1)&amp;"",",",""),"¥",""),"￥","")),0))</f>
        <v/>
      </c>
      <c r="E1325">
        <f>IF($E$1=0,0,IFERROR(VALUE(SUBSTITUTE(SUBSTITUTE(SUBSTITUTE(INDEX(貼り付け!$A$1:$BZ$3001,1324,$E$1)&amp;"",",",""),"¥",""),"￥","")),0))</f>
        <v/>
      </c>
      <c r="F1325">
        <f>IF($F$1=0,0,IFERROR(VALUE(SUBSTITUTE(SUBSTITUTE(SUBSTITUTE(INDEX(貼り付け!$A$1:$BZ$3001,1324,$F$1)&amp;"",",",""),"¥",""),"￥","")),0))</f>
        <v/>
      </c>
      <c r="G1325">
        <f>IF(ISNUMBER(B1325),YEAR(B1325),"")</f>
        <v/>
      </c>
      <c r="H1325">
        <f>IF(ISNUMBER(B1325),MONTH(B1325),"")</f>
        <v/>
      </c>
      <c r="I1325">
        <f>IFERROR(IF($B$1=0,"",IF(ISNUMBER(INDEX(貼り付け!$A$1:$BZ$3001,1324,$B$1)),"",SUBSTITUTE(SUBSTITUTE(SUBSTITUTE(SUBSTITUTE(TRIM(LEFT(INDEX(貼り付け!$A$1:$BZ$3001,1324,$B$1)&amp;"",FIND(" ",TRIM(INDEX(貼り付け!$A$1:$BZ$3001,1324,$B$1)&amp;"")&amp;" ")-1)),"/","-"),"年","-"),"月","-"),"日",""))),"")</f>
        <v/>
      </c>
      <c r="J1325">
        <f>IFERROR(MID(I1325,FIND("-",I1325)+1,99),"")</f>
        <v/>
      </c>
    </row>
    <row r="1326">
      <c r="B1326">
        <f>IFERROR(IF($B$1=0,"",IF(INDEX(貼り付け!$A$1:$BZ$3001,1325,$B$1)="","",IF(ISNUMBER(INDEX(貼り付け!$A$1:$BZ$3001,1325,$B$1)),INT(INDEX(貼り付け!$A$1:$BZ$3001,1325,$B$1)),DATE(VALUE(LEFT(I1326,FIND("-",I1326)-1)),VALUE(LEFT(J1326,FIND("-",J1326)-1)),VALUE(MID(J1326,FIND("-",J1326)+1,99)))))),"")</f>
        <v/>
      </c>
      <c r="C1326">
        <f>IF($C$1=0,0,IFERROR(VALUE(SUBSTITUTE(SUBSTITUTE(SUBSTITUTE(INDEX(貼り付け!$A$1:$BZ$3001,1325,$C$1)&amp;"",",",""),"¥",""),"￥","")),0))</f>
        <v/>
      </c>
      <c r="D1326">
        <f>IF($D$1=0,0,IFERROR(VALUE(SUBSTITUTE(SUBSTITUTE(SUBSTITUTE(INDEX(貼り付け!$A$1:$BZ$3001,1325,$D$1)&amp;"",",",""),"¥",""),"￥","")),0))</f>
        <v/>
      </c>
      <c r="E1326">
        <f>IF($E$1=0,0,IFERROR(VALUE(SUBSTITUTE(SUBSTITUTE(SUBSTITUTE(INDEX(貼り付け!$A$1:$BZ$3001,1325,$E$1)&amp;"",",",""),"¥",""),"￥","")),0))</f>
        <v/>
      </c>
      <c r="F1326">
        <f>IF($F$1=0,0,IFERROR(VALUE(SUBSTITUTE(SUBSTITUTE(SUBSTITUTE(INDEX(貼り付け!$A$1:$BZ$3001,1325,$F$1)&amp;"",",",""),"¥",""),"￥","")),0))</f>
        <v/>
      </c>
      <c r="G1326">
        <f>IF(ISNUMBER(B1326),YEAR(B1326),"")</f>
        <v/>
      </c>
      <c r="H1326">
        <f>IF(ISNUMBER(B1326),MONTH(B1326),"")</f>
        <v/>
      </c>
      <c r="I1326">
        <f>IFERROR(IF($B$1=0,"",IF(ISNUMBER(INDEX(貼り付け!$A$1:$BZ$3001,1325,$B$1)),"",SUBSTITUTE(SUBSTITUTE(SUBSTITUTE(SUBSTITUTE(TRIM(LEFT(INDEX(貼り付け!$A$1:$BZ$3001,1325,$B$1)&amp;"",FIND(" ",TRIM(INDEX(貼り付け!$A$1:$BZ$3001,1325,$B$1)&amp;"")&amp;" ")-1)),"/","-"),"年","-"),"月","-"),"日",""))),"")</f>
        <v/>
      </c>
      <c r="J1326">
        <f>IFERROR(MID(I1326,FIND("-",I1326)+1,99),"")</f>
        <v/>
      </c>
    </row>
    <row r="1327">
      <c r="B1327">
        <f>IFERROR(IF($B$1=0,"",IF(INDEX(貼り付け!$A$1:$BZ$3001,1326,$B$1)="","",IF(ISNUMBER(INDEX(貼り付け!$A$1:$BZ$3001,1326,$B$1)),INT(INDEX(貼り付け!$A$1:$BZ$3001,1326,$B$1)),DATE(VALUE(LEFT(I1327,FIND("-",I1327)-1)),VALUE(LEFT(J1327,FIND("-",J1327)-1)),VALUE(MID(J1327,FIND("-",J1327)+1,99)))))),"")</f>
        <v/>
      </c>
      <c r="C1327">
        <f>IF($C$1=0,0,IFERROR(VALUE(SUBSTITUTE(SUBSTITUTE(SUBSTITUTE(INDEX(貼り付け!$A$1:$BZ$3001,1326,$C$1)&amp;"",",",""),"¥",""),"￥","")),0))</f>
        <v/>
      </c>
      <c r="D1327">
        <f>IF($D$1=0,0,IFERROR(VALUE(SUBSTITUTE(SUBSTITUTE(SUBSTITUTE(INDEX(貼り付け!$A$1:$BZ$3001,1326,$D$1)&amp;"",",",""),"¥",""),"￥","")),0))</f>
        <v/>
      </c>
      <c r="E1327">
        <f>IF($E$1=0,0,IFERROR(VALUE(SUBSTITUTE(SUBSTITUTE(SUBSTITUTE(INDEX(貼り付け!$A$1:$BZ$3001,1326,$E$1)&amp;"",",",""),"¥",""),"￥","")),0))</f>
        <v/>
      </c>
      <c r="F1327">
        <f>IF($F$1=0,0,IFERROR(VALUE(SUBSTITUTE(SUBSTITUTE(SUBSTITUTE(INDEX(貼り付け!$A$1:$BZ$3001,1326,$F$1)&amp;"",",",""),"¥",""),"￥","")),0))</f>
        <v/>
      </c>
      <c r="G1327">
        <f>IF(ISNUMBER(B1327),YEAR(B1327),"")</f>
        <v/>
      </c>
      <c r="H1327">
        <f>IF(ISNUMBER(B1327),MONTH(B1327),"")</f>
        <v/>
      </c>
      <c r="I1327">
        <f>IFERROR(IF($B$1=0,"",IF(ISNUMBER(INDEX(貼り付け!$A$1:$BZ$3001,1326,$B$1)),"",SUBSTITUTE(SUBSTITUTE(SUBSTITUTE(SUBSTITUTE(TRIM(LEFT(INDEX(貼り付け!$A$1:$BZ$3001,1326,$B$1)&amp;"",FIND(" ",TRIM(INDEX(貼り付け!$A$1:$BZ$3001,1326,$B$1)&amp;"")&amp;" ")-1)),"/","-"),"年","-"),"月","-"),"日",""))),"")</f>
        <v/>
      </c>
      <c r="J1327">
        <f>IFERROR(MID(I1327,FIND("-",I1327)+1,99),"")</f>
        <v/>
      </c>
    </row>
    <row r="1328">
      <c r="B1328">
        <f>IFERROR(IF($B$1=0,"",IF(INDEX(貼り付け!$A$1:$BZ$3001,1327,$B$1)="","",IF(ISNUMBER(INDEX(貼り付け!$A$1:$BZ$3001,1327,$B$1)),INT(INDEX(貼り付け!$A$1:$BZ$3001,1327,$B$1)),DATE(VALUE(LEFT(I1328,FIND("-",I1328)-1)),VALUE(LEFT(J1328,FIND("-",J1328)-1)),VALUE(MID(J1328,FIND("-",J1328)+1,99)))))),"")</f>
        <v/>
      </c>
      <c r="C1328">
        <f>IF($C$1=0,0,IFERROR(VALUE(SUBSTITUTE(SUBSTITUTE(SUBSTITUTE(INDEX(貼り付け!$A$1:$BZ$3001,1327,$C$1)&amp;"",",",""),"¥",""),"￥","")),0))</f>
        <v/>
      </c>
      <c r="D1328">
        <f>IF($D$1=0,0,IFERROR(VALUE(SUBSTITUTE(SUBSTITUTE(SUBSTITUTE(INDEX(貼り付け!$A$1:$BZ$3001,1327,$D$1)&amp;"",",",""),"¥",""),"￥","")),0))</f>
        <v/>
      </c>
      <c r="E1328">
        <f>IF($E$1=0,0,IFERROR(VALUE(SUBSTITUTE(SUBSTITUTE(SUBSTITUTE(INDEX(貼り付け!$A$1:$BZ$3001,1327,$E$1)&amp;"",",",""),"¥",""),"￥","")),0))</f>
        <v/>
      </c>
      <c r="F1328">
        <f>IF($F$1=0,0,IFERROR(VALUE(SUBSTITUTE(SUBSTITUTE(SUBSTITUTE(INDEX(貼り付け!$A$1:$BZ$3001,1327,$F$1)&amp;"",",",""),"¥",""),"￥","")),0))</f>
        <v/>
      </c>
      <c r="G1328">
        <f>IF(ISNUMBER(B1328),YEAR(B1328),"")</f>
        <v/>
      </c>
      <c r="H1328">
        <f>IF(ISNUMBER(B1328),MONTH(B1328),"")</f>
        <v/>
      </c>
      <c r="I1328">
        <f>IFERROR(IF($B$1=0,"",IF(ISNUMBER(INDEX(貼り付け!$A$1:$BZ$3001,1327,$B$1)),"",SUBSTITUTE(SUBSTITUTE(SUBSTITUTE(SUBSTITUTE(TRIM(LEFT(INDEX(貼り付け!$A$1:$BZ$3001,1327,$B$1)&amp;"",FIND(" ",TRIM(INDEX(貼り付け!$A$1:$BZ$3001,1327,$B$1)&amp;"")&amp;" ")-1)),"/","-"),"年","-"),"月","-"),"日",""))),"")</f>
        <v/>
      </c>
      <c r="J1328">
        <f>IFERROR(MID(I1328,FIND("-",I1328)+1,99),"")</f>
        <v/>
      </c>
    </row>
    <row r="1329">
      <c r="B1329">
        <f>IFERROR(IF($B$1=0,"",IF(INDEX(貼り付け!$A$1:$BZ$3001,1328,$B$1)="","",IF(ISNUMBER(INDEX(貼り付け!$A$1:$BZ$3001,1328,$B$1)),INT(INDEX(貼り付け!$A$1:$BZ$3001,1328,$B$1)),DATE(VALUE(LEFT(I1329,FIND("-",I1329)-1)),VALUE(LEFT(J1329,FIND("-",J1329)-1)),VALUE(MID(J1329,FIND("-",J1329)+1,99)))))),"")</f>
        <v/>
      </c>
      <c r="C1329">
        <f>IF($C$1=0,0,IFERROR(VALUE(SUBSTITUTE(SUBSTITUTE(SUBSTITUTE(INDEX(貼り付け!$A$1:$BZ$3001,1328,$C$1)&amp;"",",",""),"¥",""),"￥","")),0))</f>
        <v/>
      </c>
      <c r="D1329">
        <f>IF($D$1=0,0,IFERROR(VALUE(SUBSTITUTE(SUBSTITUTE(SUBSTITUTE(INDEX(貼り付け!$A$1:$BZ$3001,1328,$D$1)&amp;"",",",""),"¥",""),"￥","")),0))</f>
        <v/>
      </c>
      <c r="E1329">
        <f>IF($E$1=0,0,IFERROR(VALUE(SUBSTITUTE(SUBSTITUTE(SUBSTITUTE(INDEX(貼り付け!$A$1:$BZ$3001,1328,$E$1)&amp;"",",",""),"¥",""),"￥","")),0))</f>
        <v/>
      </c>
      <c r="F1329">
        <f>IF($F$1=0,0,IFERROR(VALUE(SUBSTITUTE(SUBSTITUTE(SUBSTITUTE(INDEX(貼り付け!$A$1:$BZ$3001,1328,$F$1)&amp;"",",",""),"¥",""),"￥","")),0))</f>
        <v/>
      </c>
      <c r="G1329">
        <f>IF(ISNUMBER(B1329),YEAR(B1329),"")</f>
        <v/>
      </c>
      <c r="H1329">
        <f>IF(ISNUMBER(B1329),MONTH(B1329),"")</f>
        <v/>
      </c>
      <c r="I1329">
        <f>IFERROR(IF($B$1=0,"",IF(ISNUMBER(INDEX(貼り付け!$A$1:$BZ$3001,1328,$B$1)),"",SUBSTITUTE(SUBSTITUTE(SUBSTITUTE(SUBSTITUTE(TRIM(LEFT(INDEX(貼り付け!$A$1:$BZ$3001,1328,$B$1)&amp;"",FIND(" ",TRIM(INDEX(貼り付け!$A$1:$BZ$3001,1328,$B$1)&amp;"")&amp;" ")-1)),"/","-"),"年","-"),"月","-"),"日",""))),"")</f>
        <v/>
      </c>
      <c r="J1329">
        <f>IFERROR(MID(I1329,FIND("-",I1329)+1,99),"")</f>
        <v/>
      </c>
    </row>
    <row r="1330">
      <c r="B1330">
        <f>IFERROR(IF($B$1=0,"",IF(INDEX(貼り付け!$A$1:$BZ$3001,1329,$B$1)="","",IF(ISNUMBER(INDEX(貼り付け!$A$1:$BZ$3001,1329,$B$1)),INT(INDEX(貼り付け!$A$1:$BZ$3001,1329,$B$1)),DATE(VALUE(LEFT(I1330,FIND("-",I1330)-1)),VALUE(LEFT(J1330,FIND("-",J1330)-1)),VALUE(MID(J1330,FIND("-",J1330)+1,99)))))),"")</f>
        <v/>
      </c>
      <c r="C1330">
        <f>IF($C$1=0,0,IFERROR(VALUE(SUBSTITUTE(SUBSTITUTE(SUBSTITUTE(INDEX(貼り付け!$A$1:$BZ$3001,1329,$C$1)&amp;"",",",""),"¥",""),"￥","")),0))</f>
        <v/>
      </c>
      <c r="D1330">
        <f>IF($D$1=0,0,IFERROR(VALUE(SUBSTITUTE(SUBSTITUTE(SUBSTITUTE(INDEX(貼り付け!$A$1:$BZ$3001,1329,$D$1)&amp;"",",",""),"¥",""),"￥","")),0))</f>
        <v/>
      </c>
      <c r="E1330">
        <f>IF($E$1=0,0,IFERROR(VALUE(SUBSTITUTE(SUBSTITUTE(SUBSTITUTE(INDEX(貼り付け!$A$1:$BZ$3001,1329,$E$1)&amp;"",",",""),"¥",""),"￥","")),0))</f>
        <v/>
      </c>
      <c r="F1330">
        <f>IF($F$1=0,0,IFERROR(VALUE(SUBSTITUTE(SUBSTITUTE(SUBSTITUTE(INDEX(貼り付け!$A$1:$BZ$3001,1329,$F$1)&amp;"",",",""),"¥",""),"￥","")),0))</f>
        <v/>
      </c>
      <c r="G1330">
        <f>IF(ISNUMBER(B1330),YEAR(B1330),"")</f>
        <v/>
      </c>
      <c r="H1330">
        <f>IF(ISNUMBER(B1330),MONTH(B1330),"")</f>
        <v/>
      </c>
      <c r="I1330">
        <f>IFERROR(IF($B$1=0,"",IF(ISNUMBER(INDEX(貼り付け!$A$1:$BZ$3001,1329,$B$1)),"",SUBSTITUTE(SUBSTITUTE(SUBSTITUTE(SUBSTITUTE(TRIM(LEFT(INDEX(貼り付け!$A$1:$BZ$3001,1329,$B$1)&amp;"",FIND(" ",TRIM(INDEX(貼り付け!$A$1:$BZ$3001,1329,$B$1)&amp;"")&amp;" ")-1)),"/","-"),"年","-"),"月","-"),"日",""))),"")</f>
        <v/>
      </c>
      <c r="J1330">
        <f>IFERROR(MID(I1330,FIND("-",I1330)+1,99),"")</f>
        <v/>
      </c>
    </row>
    <row r="1331">
      <c r="B1331">
        <f>IFERROR(IF($B$1=0,"",IF(INDEX(貼り付け!$A$1:$BZ$3001,1330,$B$1)="","",IF(ISNUMBER(INDEX(貼り付け!$A$1:$BZ$3001,1330,$B$1)),INT(INDEX(貼り付け!$A$1:$BZ$3001,1330,$B$1)),DATE(VALUE(LEFT(I1331,FIND("-",I1331)-1)),VALUE(LEFT(J1331,FIND("-",J1331)-1)),VALUE(MID(J1331,FIND("-",J1331)+1,99)))))),"")</f>
        <v/>
      </c>
      <c r="C1331">
        <f>IF($C$1=0,0,IFERROR(VALUE(SUBSTITUTE(SUBSTITUTE(SUBSTITUTE(INDEX(貼り付け!$A$1:$BZ$3001,1330,$C$1)&amp;"",",",""),"¥",""),"￥","")),0))</f>
        <v/>
      </c>
      <c r="D1331">
        <f>IF($D$1=0,0,IFERROR(VALUE(SUBSTITUTE(SUBSTITUTE(SUBSTITUTE(INDEX(貼り付け!$A$1:$BZ$3001,1330,$D$1)&amp;"",",",""),"¥",""),"￥","")),0))</f>
        <v/>
      </c>
      <c r="E1331">
        <f>IF($E$1=0,0,IFERROR(VALUE(SUBSTITUTE(SUBSTITUTE(SUBSTITUTE(INDEX(貼り付け!$A$1:$BZ$3001,1330,$E$1)&amp;"",",",""),"¥",""),"￥","")),0))</f>
        <v/>
      </c>
      <c r="F1331">
        <f>IF($F$1=0,0,IFERROR(VALUE(SUBSTITUTE(SUBSTITUTE(SUBSTITUTE(INDEX(貼り付け!$A$1:$BZ$3001,1330,$F$1)&amp;"",",",""),"¥",""),"￥","")),0))</f>
        <v/>
      </c>
      <c r="G1331">
        <f>IF(ISNUMBER(B1331),YEAR(B1331),"")</f>
        <v/>
      </c>
      <c r="H1331">
        <f>IF(ISNUMBER(B1331),MONTH(B1331),"")</f>
        <v/>
      </c>
      <c r="I1331">
        <f>IFERROR(IF($B$1=0,"",IF(ISNUMBER(INDEX(貼り付け!$A$1:$BZ$3001,1330,$B$1)),"",SUBSTITUTE(SUBSTITUTE(SUBSTITUTE(SUBSTITUTE(TRIM(LEFT(INDEX(貼り付け!$A$1:$BZ$3001,1330,$B$1)&amp;"",FIND(" ",TRIM(INDEX(貼り付け!$A$1:$BZ$3001,1330,$B$1)&amp;"")&amp;" ")-1)),"/","-"),"年","-"),"月","-"),"日",""))),"")</f>
        <v/>
      </c>
      <c r="J1331">
        <f>IFERROR(MID(I1331,FIND("-",I1331)+1,99),"")</f>
        <v/>
      </c>
    </row>
    <row r="1332">
      <c r="B1332">
        <f>IFERROR(IF($B$1=0,"",IF(INDEX(貼り付け!$A$1:$BZ$3001,1331,$B$1)="","",IF(ISNUMBER(INDEX(貼り付け!$A$1:$BZ$3001,1331,$B$1)),INT(INDEX(貼り付け!$A$1:$BZ$3001,1331,$B$1)),DATE(VALUE(LEFT(I1332,FIND("-",I1332)-1)),VALUE(LEFT(J1332,FIND("-",J1332)-1)),VALUE(MID(J1332,FIND("-",J1332)+1,99)))))),"")</f>
        <v/>
      </c>
      <c r="C1332">
        <f>IF($C$1=0,0,IFERROR(VALUE(SUBSTITUTE(SUBSTITUTE(SUBSTITUTE(INDEX(貼り付け!$A$1:$BZ$3001,1331,$C$1)&amp;"",",",""),"¥",""),"￥","")),0))</f>
        <v/>
      </c>
      <c r="D1332">
        <f>IF($D$1=0,0,IFERROR(VALUE(SUBSTITUTE(SUBSTITUTE(SUBSTITUTE(INDEX(貼り付け!$A$1:$BZ$3001,1331,$D$1)&amp;"",",",""),"¥",""),"￥","")),0))</f>
        <v/>
      </c>
      <c r="E1332">
        <f>IF($E$1=0,0,IFERROR(VALUE(SUBSTITUTE(SUBSTITUTE(SUBSTITUTE(INDEX(貼り付け!$A$1:$BZ$3001,1331,$E$1)&amp;"",",",""),"¥",""),"￥","")),0))</f>
        <v/>
      </c>
      <c r="F1332">
        <f>IF($F$1=0,0,IFERROR(VALUE(SUBSTITUTE(SUBSTITUTE(SUBSTITUTE(INDEX(貼り付け!$A$1:$BZ$3001,1331,$F$1)&amp;"",",",""),"¥",""),"￥","")),0))</f>
        <v/>
      </c>
      <c r="G1332">
        <f>IF(ISNUMBER(B1332),YEAR(B1332),"")</f>
        <v/>
      </c>
      <c r="H1332">
        <f>IF(ISNUMBER(B1332),MONTH(B1332),"")</f>
        <v/>
      </c>
      <c r="I1332">
        <f>IFERROR(IF($B$1=0,"",IF(ISNUMBER(INDEX(貼り付け!$A$1:$BZ$3001,1331,$B$1)),"",SUBSTITUTE(SUBSTITUTE(SUBSTITUTE(SUBSTITUTE(TRIM(LEFT(INDEX(貼り付け!$A$1:$BZ$3001,1331,$B$1)&amp;"",FIND(" ",TRIM(INDEX(貼り付け!$A$1:$BZ$3001,1331,$B$1)&amp;"")&amp;" ")-1)),"/","-"),"年","-"),"月","-"),"日",""))),"")</f>
        <v/>
      </c>
      <c r="J1332">
        <f>IFERROR(MID(I1332,FIND("-",I1332)+1,99),"")</f>
        <v/>
      </c>
    </row>
    <row r="1333">
      <c r="B1333">
        <f>IFERROR(IF($B$1=0,"",IF(INDEX(貼り付け!$A$1:$BZ$3001,1332,$B$1)="","",IF(ISNUMBER(INDEX(貼り付け!$A$1:$BZ$3001,1332,$B$1)),INT(INDEX(貼り付け!$A$1:$BZ$3001,1332,$B$1)),DATE(VALUE(LEFT(I1333,FIND("-",I1333)-1)),VALUE(LEFT(J1333,FIND("-",J1333)-1)),VALUE(MID(J1333,FIND("-",J1333)+1,99)))))),"")</f>
        <v/>
      </c>
      <c r="C1333">
        <f>IF($C$1=0,0,IFERROR(VALUE(SUBSTITUTE(SUBSTITUTE(SUBSTITUTE(INDEX(貼り付け!$A$1:$BZ$3001,1332,$C$1)&amp;"",",",""),"¥",""),"￥","")),0))</f>
        <v/>
      </c>
      <c r="D1333">
        <f>IF($D$1=0,0,IFERROR(VALUE(SUBSTITUTE(SUBSTITUTE(SUBSTITUTE(INDEX(貼り付け!$A$1:$BZ$3001,1332,$D$1)&amp;"",",",""),"¥",""),"￥","")),0))</f>
        <v/>
      </c>
      <c r="E1333">
        <f>IF($E$1=0,0,IFERROR(VALUE(SUBSTITUTE(SUBSTITUTE(SUBSTITUTE(INDEX(貼り付け!$A$1:$BZ$3001,1332,$E$1)&amp;"",",",""),"¥",""),"￥","")),0))</f>
        <v/>
      </c>
      <c r="F1333">
        <f>IF($F$1=0,0,IFERROR(VALUE(SUBSTITUTE(SUBSTITUTE(SUBSTITUTE(INDEX(貼り付け!$A$1:$BZ$3001,1332,$F$1)&amp;"",",",""),"¥",""),"￥","")),0))</f>
        <v/>
      </c>
      <c r="G1333">
        <f>IF(ISNUMBER(B1333),YEAR(B1333),"")</f>
        <v/>
      </c>
      <c r="H1333">
        <f>IF(ISNUMBER(B1333),MONTH(B1333),"")</f>
        <v/>
      </c>
      <c r="I1333">
        <f>IFERROR(IF($B$1=0,"",IF(ISNUMBER(INDEX(貼り付け!$A$1:$BZ$3001,1332,$B$1)),"",SUBSTITUTE(SUBSTITUTE(SUBSTITUTE(SUBSTITUTE(TRIM(LEFT(INDEX(貼り付け!$A$1:$BZ$3001,1332,$B$1)&amp;"",FIND(" ",TRIM(INDEX(貼り付け!$A$1:$BZ$3001,1332,$B$1)&amp;"")&amp;" ")-1)),"/","-"),"年","-"),"月","-"),"日",""))),"")</f>
        <v/>
      </c>
      <c r="J1333">
        <f>IFERROR(MID(I1333,FIND("-",I1333)+1,99),"")</f>
        <v/>
      </c>
    </row>
    <row r="1334">
      <c r="B1334">
        <f>IFERROR(IF($B$1=0,"",IF(INDEX(貼り付け!$A$1:$BZ$3001,1333,$B$1)="","",IF(ISNUMBER(INDEX(貼り付け!$A$1:$BZ$3001,1333,$B$1)),INT(INDEX(貼り付け!$A$1:$BZ$3001,1333,$B$1)),DATE(VALUE(LEFT(I1334,FIND("-",I1334)-1)),VALUE(LEFT(J1334,FIND("-",J1334)-1)),VALUE(MID(J1334,FIND("-",J1334)+1,99)))))),"")</f>
        <v/>
      </c>
      <c r="C1334">
        <f>IF($C$1=0,0,IFERROR(VALUE(SUBSTITUTE(SUBSTITUTE(SUBSTITUTE(INDEX(貼り付け!$A$1:$BZ$3001,1333,$C$1)&amp;"",",",""),"¥",""),"￥","")),0))</f>
        <v/>
      </c>
      <c r="D1334">
        <f>IF($D$1=0,0,IFERROR(VALUE(SUBSTITUTE(SUBSTITUTE(SUBSTITUTE(INDEX(貼り付け!$A$1:$BZ$3001,1333,$D$1)&amp;"",",",""),"¥",""),"￥","")),0))</f>
        <v/>
      </c>
      <c r="E1334">
        <f>IF($E$1=0,0,IFERROR(VALUE(SUBSTITUTE(SUBSTITUTE(SUBSTITUTE(INDEX(貼り付け!$A$1:$BZ$3001,1333,$E$1)&amp;"",",",""),"¥",""),"￥","")),0))</f>
        <v/>
      </c>
      <c r="F1334">
        <f>IF($F$1=0,0,IFERROR(VALUE(SUBSTITUTE(SUBSTITUTE(SUBSTITUTE(INDEX(貼り付け!$A$1:$BZ$3001,1333,$F$1)&amp;"",",",""),"¥",""),"￥","")),0))</f>
        <v/>
      </c>
      <c r="G1334">
        <f>IF(ISNUMBER(B1334),YEAR(B1334),"")</f>
        <v/>
      </c>
      <c r="H1334">
        <f>IF(ISNUMBER(B1334),MONTH(B1334),"")</f>
        <v/>
      </c>
      <c r="I1334">
        <f>IFERROR(IF($B$1=0,"",IF(ISNUMBER(INDEX(貼り付け!$A$1:$BZ$3001,1333,$B$1)),"",SUBSTITUTE(SUBSTITUTE(SUBSTITUTE(SUBSTITUTE(TRIM(LEFT(INDEX(貼り付け!$A$1:$BZ$3001,1333,$B$1)&amp;"",FIND(" ",TRIM(INDEX(貼り付け!$A$1:$BZ$3001,1333,$B$1)&amp;"")&amp;" ")-1)),"/","-"),"年","-"),"月","-"),"日",""))),"")</f>
        <v/>
      </c>
      <c r="J1334">
        <f>IFERROR(MID(I1334,FIND("-",I1334)+1,99),"")</f>
        <v/>
      </c>
    </row>
    <row r="1335">
      <c r="B1335">
        <f>IFERROR(IF($B$1=0,"",IF(INDEX(貼り付け!$A$1:$BZ$3001,1334,$B$1)="","",IF(ISNUMBER(INDEX(貼り付け!$A$1:$BZ$3001,1334,$B$1)),INT(INDEX(貼り付け!$A$1:$BZ$3001,1334,$B$1)),DATE(VALUE(LEFT(I1335,FIND("-",I1335)-1)),VALUE(LEFT(J1335,FIND("-",J1335)-1)),VALUE(MID(J1335,FIND("-",J1335)+1,99)))))),"")</f>
        <v/>
      </c>
      <c r="C1335">
        <f>IF($C$1=0,0,IFERROR(VALUE(SUBSTITUTE(SUBSTITUTE(SUBSTITUTE(INDEX(貼り付け!$A$1:$BZ$3001,1334,$C$1)&amp;"",",",""),"¥",""),"￥","")),0))</f>
        <v/>
      </c>
      <c r="D1335">
        <f>IF($D$1=0,0,IFERROR(VALUE(SUBSTITUTE(SUBSTITUTE(SUBSTITUTE(INDEX(貼り付け!$A$1:$BZ$3001,1334,$D$1)&amp;"",",",""),"¥",""),"￥","")),0))</f>
        <v/>
      </c>
      <c r="E1335">
        <f>IF($E$1=0,0,IFERROR(VALUE(SUBSTITUTE(SUBSTITUTE(SUBSTITUTE(INDEX(貼り付け!$A$1:$BZ$3001,1334,$E$1)&amp;"",",",""),"¥",""),"￥","")),0))</f>
        <v/>
      </c>
      <c r="F1335">
        <f>IF($F$1=0,0,IFERROR(VALUE(SUBSTITUTE(SUBSTITUTE(SUBSTITUTE(INDEX(貼り付け!$A$1:$BZ$3001,1334,$F$1)&amp;"",",",""),"¥",""),"￥","")),0))</f>
        <v/>
      </c>
      <c r="G1335">
        <f>IF(ISNUMBER(B1335),YEAR(B1335),"")</f>
        <v/>
      </c>
      <c r="H1335">
        <f>IF(ISNUMBER(B1335),MONTH(B1335),"")</f>
        <v/>
      </c>
      <c r="I1335">
        <f>IFERROR(IF($B$1=0,"",IF(ISNUMBER(INDEX(貼り付け!$A$1:$BZ$3001,1334,$B$1)),"",SUBSTITUTE(SUBSTITUTE(SUBSTITUTE(SUBSTITUTE(TRIM(LEFT(INDEX(貼り付け!$A$1:$BZ$3001,1334,$B$1)&amp;"",FIND(" ",TRIM(INDEX(貼り付け!$A$1:$BZ$3001,1334,$B$1)&amp;"")&amp;" ")-1)),"/","-"),"年","-"),"月","-"),"日",""))),"")</f>
        <v/>
      </c>
      <c r="J1335">
        <f>IFERROR(MID(I1335,FIND("-",I1335)+1,99),"")</f>
        <v/>
      </c>
    </row>
    <row r="1336">
      <c r="B1336">
        <f>IFERROR(IF($B$1=0,"",IF(INDEX(貼り付け!$A$1:$BZ$3001,1335,$B$1)="","",IF(ISNUMBER(INDEX(貼り付け!$A$1:$BZ$3001,1335,$B$1)),INT(INDEX(貼り付け!$A$1:$BZ$3001,1335,$B$1)),DATE(VALUE(LEFT(I1336,FIND("-",I1336)-1)),VALUE(LEFT(J1336,FIND("-",J1336)-1)),VALUE(MID(J1336,FIND("-",J1336)+1,99)))))),"")</f>
        <v/>
      </c>
      <c r="C1336">
        <f>IF($C$1=0,0,IFERROR(VALUE(SUBSTITUTE(SUBSTITUTE(SUBSTITUTE(INDEX(貼り付け!$A$1:$BZ$3001,1335,$C$1)&amp;"",",",""),"¥",""),"￥","")),0))</f>
        <v/>
      </c>
      <c r="D1336">
        <f>IF($D$1=0,0,IFERROR(VALUE(SUBSTITUTE(SUBSTITUTE(SUBSTITUTE(INDEX(貼り付け!$A$1:$BZ$3001,1335,$D$1)&amp;"",",",""),"¥",""),"￥","")),0))</f>
        <v/>
      </c>
      <c r="E1336">
        <f>IF($E$1=0,0,IFERROR(VALUE(SUBSTITUTE(SUBSTITUTE(SUBSTITUTE(INDEX(貼り付け!$A$1:$BZ$3001,1335,$E$1)&amp;"",",",""),"¥",""),"￥","")),0))</f>
        <v/>
      </c>
      <c r="F1336">
        <f>IF($F$1=0,0,IFERROR(VALUE(SUBSTITUTE(SUBSTITUTE(SUBSTITUTE(INDEX(貼り付け!$A$1:$BZ$3001,1335,$F$1)&amp;"",",",""),"¥",""),"￥","")),0))</f>
        <v/>
      </c>
      <c r="G1336">
        <f>IF(ISNUMBER(B1336),YEAR(B1336),"")</f>
        <v/>
      </c>
      <c r="H1336">
        <f>IF(ISNUMBER(B1336),MONTH(B1336),"")</f>
        <v/>
      </c>
      <c r="I1336">
        <f>IFERROR(IF($B$1=0,"",IF(ISNUMBER(INDEX(貼り付け!$A$1:$BZ$3001,1335,$B$1)),"",SUBSTITUTE(SUBSTITUTE(SUBSTITUTE(SUBSTITUTE(TRIM(LEFT(INDEX(貼り付け!$A$1:$BZ$3001,1335,$B$1)&amp;"",FIND(" ",TRIM(INDEX(貼り付け!$A$1:$BZ$3001,1335,$B$1)&amp;"")&amp;" ")-1)),"/","-"),"年","-"),"月","-"),"日",""))),"")</f>
        <v/>
      </c>
      <c r="J1336">
        <f>IFERROR(MID(I1336,FIND("-",I1336)+1,99),"")</f>
        <v/>
      </c>
    </row>
    <row r="1337">
      <c r="B1337">
        <f>IFERROR(IF($B$1=0,"",IF(INDEX(貼り付け!$A$1:$BZ$3001,1336,$B$1)="","",IF(ISNUMBER(INDEX(貼り付け!$A$1:$BZ$3001,1336,$B$1)),INT(INDEX(貼り付け!$A$1:$BZ$3001,1336,$B$1)),DATE(VALUE(LEFT(I1337,FIND("-",I1337)-1)),VALUE(LEFT(J1337,FIND("-",J1337)-1)),VALUE(MID(J1337,FIND("-",J1337)+1,99)))))),"")</f>
        <v/>
      </c>
      <c r="C1337">
        <f>IF($C$1=0,0,IFERROR(VALUE(SUBSTITUTE(SUBSTITUTE(SUBSTITUTE(INDEX(貼り付け!$A$1:$BZ$3001,1336,$C$1)&amp;"",",",""),"¥",""),"￥","")),0))</f>
        <v/>
      </c>
      <c r="D1337">
        <f>IF($D$1=0,0,IFERROR(VALUE(SUBSTITUTE(SUBSTITUTE(SUBSTITUTE(INDEX(貼り付け!$A$1:$BZ$3001,1336,$D$1)&amp;"",",",""),"¥",""),"￥","")),0))</f>
        <v/>
      </c>
      <c r="E1337">
        <f>IF($E$1=0,0,IFERROR(VALUE(SUBSTITUTE(SUBSTITUTE(SUBSTITUTE(INDEX(貼り付け!$A$1:$BZ$3001,1336,$E$1)&amp;"",",",""),"¥",""),"￥","")),0))</f>
        <v/>
      </c>
      <c r="F1337">
        <f>IF($F$1=0,0,IFERROR(VALUE(SUBSTITUTE(SUBSTITUTE(SUBSTITUTE(INDEX(貼り付け!$A$1:$BZ$3001,1336,$F$1)&amp;"",",",""),"¥",""),"￥","")),0))</f>
        <v/>
      </c>
      <c r="G1337">
        <f>IF(ISNUMBER(B1337),YEAR(B1337),"")</f>
        <v/>
      </c>
      <c r="H1337">
        <f>IF(ISNUMBER(B1337),MONTH(B1337),"")</f>
        <v/>
      </c>
      <c r="I1337">
        <f>IFERROR(IF($B$1=0,"",IF(ISNUMBER(INDEX(貼り付け!$A$1:$BZ$3001,1336,$B$1)),"",SUBSTITUTE(SUBSTITUTE(SUBSTITUTE(SUBSTITUTE(TRIM(LEFT(INDEX(貼り付け!$A$1:$BZ$3001,1336,$B$1)&amp;"",FIND(" ",TRIM(INDEX(貼り付け!$A$1:$BZ$3001,1336,$B$1)&amp;"")&amp;" ")-1)),"/","-"),"年","-"),"月","-"),"日",""))),"")</f>
        <v/>
      </c>
      <c r="J1337">
        <f>IFERROR(MID(I1337,FIND("-",I1337)+1,99),"")</f>
        <v/>
      </c>
    </row>
    <row r="1338">
      <c r="B1338">
        <f>IFERROR(IF($B$1=0,"",IF(INDEX(貼り付け!$A$1:$BZ$3001,1337,$B$1)="","",IF(ISNUMBER(INDEX(貼り付け!$A$1:$BZ$3001,1337,$B$1)),INT(INDEX(貼り付け!$A$1:$BZ$3001,1337,$B$1)),DATE(VALUE(LEFT(I1338,FIND("-",I1338)-1)),VALUE(LEFT(J1338,FIND("-",J1338)-1)),VALUE(MID(J1338,FIND("-",J1338)+1,99)))))),"")</f>
        <v/>
      </c>
      <c r="C1338">
        <f>IF($C$1=0,0,IFERROR(VALUE(SUBSTITUTE(SUBSTITUTE(SUBSTITUTE(INDEX(貼り付け!$A$1:$BZ$3001,1337,$C$1)&amp;"",",",""),"¥",""),"￥","")),0))</f>
        <v/>
      </c>
      <c r="D1338">
        <f>IF($D$1=0,0,IFERROR(VALUE(SUBSTITUTE(SUBSTITUTE(SUBSTITUTE(INDEX(貼り付け!$A$1:$BZ$3001,1337,$D$1)&amp;"",",",""),"¥",""),"￥","")),0))</f>
        <v/>
      </c>
      <c r="E1338">
        <f>IF($E$1=0,0,IFERROR(VALUE(SUBSTITUTE(SUBSTITUTE(SUBSTITUTE(INDEX(貼り付け!$A$1:$BZ$3001,1337,$E$1)&amp;"",",",""),"¥",""),"￥","")),0))</f>
        <v/>
      </c>
      <c r="F1338">
        <f>IF($F$1=0,0,IFERROR(VALUE(SUBSTITUTE(SUBSTITUTE(SUBSTITUTE(INDEX(貼り付け!$A$1:$BZ$3001,1337,$F$1)&amp;"",",",""),"¥",""),"￥","")),0))</f>
        <v/>
      </c>
      <c r="G1338">
        <f>IF(ISNUMBER(B1338),YEAR(B1338),"")</f>
        <v/>
      </c>
      <c r="H1338">
        <f>IF(ISNUMBER(B1338),MONTH(B1338),"")</f>
        <v/>
      </c>
      <c r="I1338">
        <f>IFERROR(IF($B$1=0,"",IF(ISNUMBER(INDEX(貼り付け!$A$1:$BZ$3001,1337,$B$1)),"",SUBSTITUTE(SUBSTITUTE(SUBSTITUTE(SUBSTITUTE(TRIM(LEFT(INDEX(貼り付け!$A$1:$BZ$3001,1337,$B$1)&amp;"",FIND(" ",TRIM(INDEX(貼り付け!$A$1:$BZ$3001,1337,$B$1)&amp;"")&amp;" ")-1)),"/","-"),"年","-"),"月","-"),"日",""))),"")</f>
        <v/>
      </c>
      <c r="J1338">
        <f>IFERROR(MID(I1338,FIND("-",I1338)+1,99),"")</f>
        <v/>
      </c>
    </row>
    <row r="1339">
      <c r="B1339">
        <f>IFERROR(IF($B$1=0,"",IF(INDEX(貼り付け!$A$1:$BZ$3001,1338,$B$1)="","",IF(ISNUMBER(INDEX(貼り付け!$A$1:$BZ$3001,1338,$B$1)),INT(INDEX(貼り付け!$A$1:$BZ$3001,1338,$B$1)),DATE(VALUE(LEFT(I1339,FIND("-",I1339)-1)),VALUE(LEFT(J1339,FIND("-",J1339)-1)),VALUE(MID(J1339,FIND("-",J1339)+1,99)))))),"")</f>
        <v/>
      </c>
      <c r="C1339">
        <f>IF($C$1=0,0,IFERROR(VALUE(SUBSTITUTE(SUBSTITUTE(SUBSTITUTE(INDEX(貼り付け!$A$1:$BZ$3001,1338,$C$1)&amp;"",",",""),"¥",""),"￥","")),0))</f>
        <v/>
      </c>
      <c r="D1339">
        <f>IF($D$1=0,0,IFERROR(VALUE(SUBSTITUTE(SUBSTITUTE(SUBSTITUTE(INDEX(貼り付け!$A$1:$BZ$3001,1338,$D$1)&amp;"",",",""),"¥",""),"￥","")),0))</f>
        <v/>
      </c>
      <c r="E1339">
        <f>IF($E$1=0,0,IFERROR(VALUE(SUBSTITUTE(SUBSTITUTE(SUBSTITUTE(INDEX(貼り付け!$A$1:$BZ$3001,1338,$E$1)&amp;"",",",""),"¥",""),"￥","")),0))</f>
        <v/>
      </c>
      <c r="F1339">
        <f>IF($F$1=0,0,IFERROR(VALUE(SUBSTITUTE(SUBSTITUTE(SUBSTITUTE(INDEX(貼り付け!$A$1:$BZ$3001,1338,$F$1)&amp;"",",",""),"¥",""),"￥","")),0))</f>
        <v/>
      </c>
      <c r="G1339">
        <f>IF(ISNUMBER(B1339),YEAR(B1339),"")</f>
        <v/>
      </c>
      <c r="H1339">
        <f>IF(ISNUMBER(B1339),MONTH(B1339),"")</f>
        <v/>
      </c>
      <c r="I1339">
        <f>IFERROR(IF($B$1=0,"",IF(ISNUMBER(INDEX(貼り付け!$A$1:$BZ$3001,1338,$B$1)),"",SUBSTITUTE(SUBSTITUTE(SUBSTITUTE(SUBSTITUTE(TRIM(LEFT(INDEX(貼り付け!$A$1:$BZ$3001,1338,$B$1)&amp;"",FIND(" ",TRIM(INDEX(貼り付け!$A$1:$BZ$3001,1338,$B$1)&amp;"")&amp;" ")-1)),"/","-"),"年","-"),"月","-"),"日",""))),"")</f>
        <v/>
      </c>
      <c r="J1339">
        <f>IFERROR(MID(I1339,FIND("-",I1339)+1,99),"")</f>
        <v/>
      </c>
    </row>
    <row r="1340">
      <c r="B1340">
        <f>IFERROR(IF($B$1=0,"",IF(INDEX(貼り付け!$A$1:$BZ$3001,1339,$B$1)="","",IF(ISNUMBER(INDEX(貼り付け!$A$1:$BZ$3001,1339,$B$1)),INT(INDEX(貼り付け!$A$1:$BZ$3001,1339,$B$1)),DATE(VALUE(LEFT(I1340,FIND("-",I1340)-1)),VALUE(LEFT(J1340,FIND("-",J1340)-1)),VALUE(MID(J1340,FIND("-",J1340)+1,99)))))),"")</f>
        <v/>
      </c>
      <c r="C1340">
        <f>IF($C$1=0,0,IFERROR(VALUE(SUBSTITUTE(SUBSTITUTE(SUBSTITUTE(INDEX(貼り付け!$A$1:$BZ$3001,1339,$C$1)&amp;"",",",""),"¥",""),"￥","")),0))</f>
        <v/>
      </c>
      <c r="D1340">
        <f>IF($D$1=0,0,IFERROR(VALUE(SUBSTITUTE(SUBSTITUTE(SUBSTITUTE(INDEX(貼り付け!$A$1:$BZ$3001,1339,$D$1)&amp;"",",",""),"¥",""),"￥","")),0))</f>
        <v/>
      </c>
      <c r="E1340">
        <f>IF($E$1=0,0,IFERROR(VALUE(SUBSTITUTE(SUBSTITUTE(SUBSTITUTE(INDEX(貼り付け!$A$1:$BZ$3001,1339,$E$1)&amp;"",",",""),"¥",""),"￥","")),0))</f>
        <v/>
      </c>
      <c r="F1340">
        <f>IF($F$1=0,0,IFERROR(VALUE(SUBSTITUTE(SUBSTITUTE(SUBSTITUTE(INDEX(貼り付け!$A$1:$BZ$3001,1339,$F$1)&amp;"",",",""),"¥",""),"￥","")),0))</f>
        <v/>
      </c>
      <c r="G1340">
        <f>IF(ISNUMBER(B1340),YEAR(B1340),"")</f>
        <v/>
      </c>
      <c r="H1340">
        <f>IF(ISNUMBER(B1340),MONTH(B1340),"")</f>
        <v/>
      </c>
      <c r="I1340">
        <f>IFERROR(IF($B$1=0,"",IF(ISNUMBER(INDEX(貼り付け!$A$1:$BZ$3001,1339,$B$1)),"",SUBSTITUTE(SUBSTITUTE(SUBSTITUTE(SUBSTITUTE(TRIM(LEFT(INDEX(貼り付け!$A$1:$BZ$3001,1339,$B$1)&amp;"",FIND(" ",TRIM(INDEX(貼り付け!$A$1:$BZ$3001,1339,$B$1)&amp;"")&amp;" ")-1)),"/","-"),"年","-"),"月","-"),"日",""))),"")</f>
        <v/>
      </c>
      <c r="J1340">
        <f>IFERROR(MID(I1340,FIND("-",I1340)+1,99),"")</f>
        <v/>
      </c>
    </row>
    <row r="1341">
      <c r="B1341">
        <f>IFERROR(IF($B$1=0,"",IF(INDEX(貼り付け!$A$1:$BZ$3001,1340,$B$1)="","",IF(ISNUMBER(INDEX(貼り付け!$A$1:$BZ$3001,1340,$B$1)),INT(INDEX(貼り付け!$A$1:$BZ$3001,1340,$B$1)),DATE(VALUE(LEFT(I1341,FIND("-",I1341)-1)),VALUE(LEFT(J1341,FIND("-",J1341)-1)),VALUE(MID(J1341,FIND("-",J1341)+1,99)))))),"")</f>
        <v/>
      </c>
      <c r="C1341">
        <f>IF($C$1=0,0,IFERROR(VALUE(SUBSTITUTE(SUBSTITUTE(SUBSTITUTE(INDEX(貼り付け!$A$1:$BZ$3001,1340,$C$1)&amp;"",",",""),"¥",""),"￥","")),0))</f>
        <v/>
      </c>
      <c r="D1341">
        <f>IF($D$1=0,0,IFERROR(VALUE(SUBSTITUTE(SUBSTITUTE(SUBSTITUTE(INDEX(貼り付け!$A$1:$BZ$3001,1340,$D$1)&amp;"",",",""),"¥",""),"￥","")),0))</f>
        <v/>
      </c>
      <c r="E1341">
        <f>IF($E$1=0,0,IFERROR(VALUE(SUBSTITUTE(SUBSTITUTE(SUBSTITUTE(INDEX(貼り付け!$A$1:$BZ$3001,1340,$E$1)&amp;"",",",""),"¥",""),"￥","")),0))</f>
        <v/>
      </c>
      <c r="F1341">
        <f>IF($F$1=0,0,IFERROR(VALUE(SUBSTITUTE(SUBSTITUTE(SUBSTITUTE(INDEX(貼り付け!$A$1:$BZ$3001,1340,$F$1)&amp;"",",",""),"¥",""),"￥","")),0))</f>
        <v/>
      </c>
      <c r="G1341">
        <f>IF(ISNUMBER(B1341),YEAR(B1341),"")</f>
        <v/>
      </c>
      <c r="H1341">
        <f>IF(ISNUMBER(B1341),MONTH(B1341),"")</f>
        <v/>
      </c>
      <c r="I1341">
        <f>IFERROR(IF($B$1=0,"",IF(ISNUMBER(INDEX(貼り付け!$A$1:$BZ$3001,1340,$B$1)),"",SUBSTITUTE(SUBSTITUTE(SUBSTITUTE(SUBSTITUTE(TRIM(LEFT(INDEX(貼り付け!$A$1:$BZ$3001,1340,$B$1)&amp;"",FIND(" ",TRIM(INDEX(貼り付け!$A$1:$BZ$3001,1340,$B$1)&amp;"")&amp;" ")-1)),"/","-"),"年","-"),"月","-"),"日",""))),"")</f>
        <v/>
      </c>
      <c r="J1341">
        <f>IFERROR(MID(I1341,FIND("-",I1341)+1,99),"")</f>
        <v/>
      </c>
    </row>
    <row r="1342">
      <c r="B1342">
        <f>IFERROR(IF($B$1=0,"",IF(INDEX(貼り付け!$A$1:$BZ$3001,1341,$B$1)="","",IF(ISNUMBER(INDEX(貼り付け!$A$1:$BZ$3001,1341,$B$1)),INT(INDEX(貼り付け!$A$1:$BZ$3001,1341,$B$1)),DATE(VALUE(LEFT(I1342,FIND("-",I1342)-1)),VALUE(LEFT(J1342,FIND("-",J1342)-1)),VALUE(MID(J1342,FIND("-",J1342)+1,99)))))),"")</f>
        <v/>
      </c>
      <c r="C1342">
        <f>IF($C$1=0,0,IFERROR(VALUE(SUBSTITUTE(SUBSTITUTE(SUBSTITUTE(INDEX(貼り付け!$A$1:$BZ$3001,1341,$C$1)&amp;"",",",""),"¥",""),"￥","")),0))</f>
        <v/>
      </c>
      <c r="D1342">
        <f>IF($D$1=0,0,IFERROR(VALUE(SUBSTITUTE(SUBSTITUTE(SUBSTITUTE(INDEX(貼り付け!$A$1:$BZ$3001,1341,$D$1)&amp;"",",",""),"¥",""),"￥","")),0))</f>
        <v/>
      </c>
      <c r="E1342">
        <f>IF($E$1=0,0,IFERROR(VALUE(SUBSTITUTE(SUBSTITUTE(SUBSTITUTE(INDEX(貼り付け!$A$1:$BZ$3001,1341,$E$1)&amp;"",",",""),"¥",""),"￥","")),0))</f>
        <v/>
      </c>
      <c r="F1342">
        <f>IF($F$1=0,0,IFERROR(VALUE(SUBSTITUTE(SUBSTITUTE(SUBSTITUTE(INDEX(貼り付け!$A$1:$BZ$3001,1341,$F$1)&amp;"",",",""),"¥",""),"￥","")),0))</f>
        <v/>
      </c>
      <c r="G1342">
        <f>IF(ISNUMBER(B1342),YEAR(B1342),"")</f>
        <v/>
      </c>
      <c r="H1342">
        <f>IF(ISNUMBER(B1342),MONTH(B1342),"")</f>
        <v/>
      </c>
      <c r="I1342">
        <f>IFERROR(IF($B$1=0,"",IF(ISNUMBER(INDEX(貼り付け!$A$1:$BZ$3001,1341,$B$1)),"",SUBSTITUTE(SUBSTITUTE(SUBSTITUTE(SUBSTITUTE(TRIM(LEFT(INDEX(貼り付け!$A$1:$BZ$3001,1341,$B$1)&amp;"",FIND(" ",TRIM(INDEX(貼り付け!$A$1:$BZ$3001,1341,$B$1)&amp;"")&amp;" ")-1)),"/","-"),"年","-"),"月","-"),"日",""))),"")</f>
        <v/>
      </c>
      <c r="J1342">
        <f>IFERROR(MID(I1342,FIND("-",I1342)+1,99),"")</f>
        <v/>
      </c>
    </row>
    <row r="1343">
      <c r="B1343">
        <f>IFERROR(IF($B$1=0,"",IF(INDEX(貼り付け!$A$1:$BZ$3001,1342,$B$1)="","",IF(ISNUMBER(INDEX(貼り付け!$A$1:$BZ$3001,1342,$B$1)),INT(INDEX(貼り付け!$A$1:$BZ$3001,1342,$B$1)),DATE(VALUE(LEFT(I1343,FIND("-",I1343)-1)),VALUE(LEFT(J1343,FIND("-",J1343)-1)),VALUE(MID(J1343,FIND("-",J1343)+1,99)))))),"")</f>
        <v/>
      </c>
      <c r="C1343">
        <f>IF($C$1=0,0,IFERROR(VALUE(SUBSTITUTE(SUBSTITUTE(SUBSTITUTE(INDEX(貼り付け!$A$1:$BZ$3001,1342,$C$1)&amp;"",",",""),"¥",""),"￥","")),0))</f>
        <v/>
      </c>
      <c r="D1343">
        <f>IF($D$1=0,0,IFERROR(VALUE(SUBSTITUTE(SUBSTITUTE(SUBSTITUTE(INDEX(貼り付け!$A$1:$BZ$3001,1342,$D$1)&amp;"",",",""),"¥",""),"￥","")),0))</f>
        <v/>
      </c>
      <c r="E1343">
        <f>IF($E$1=0,0,IFERROR(VALUE(SUBSTITUTE(SUBSTITUTE(SUBSTITUTE(INDEX(貼り付け!$A$1:$BZ$3001,1342,$E$1)&amp;"",",",""),"¥",""),"￥","")),0))</f>
        <v/>
      </c>
      <c r="F1343">
        <f>IF($F$1=0,0,IFERROR(VALUE(SUBSTITUTE(SUBSTITUTE(SUBSTITUTE(INDEX(貼り付け!$A$1:$BZ$3001,1342,$F$1)&amp;"",",",""),"¥",""),"￥","")),0))</f>
        <v/>
      </c>
      <c r="G1343">
        <f>IF(ISNUMBER(B1343),YEAR(B1343),"")</f>
        <v/>
      </c>
      <c r="H1343">
        <f>IF(ISNUMBER(B1343),MONTH(B1343),"")</f>
        <v/>
      </c>
      <c r="I1343">
        <f>IFERROR(IF($B$1=0,"",IF(ISNUMBER(INDEX(貼り付け!$A$1:$BZ$3001,1342,$B$1)),"",SUBSTITUTE(SUBSTITUTE(SUBSTITUTE(SUBSTITUTE(TRIM(LEFT(INDEX(貼り付け!$A$1:$BZ$3001,1342,$B$1)&amp;"",FIND(" ",TRIM(INDEX(貼り付け!$A$1:$BZ$3001,1342,$B$1)&amp;"")&amp;" ")-1)),"/","-"),"年","-"),"月","-"),"日",""))),"")</f>
        <v/>
      </c>
      <c r="J1343">
        <f>IFERROR(MID(I1343,FIND("-",I1343)+1,99),"")</f>
        <v/>
      </c>
    </row>
    <row r="1344">
      <c r="B1344">
        <f>IFERROR(IF($B$1=0,"",IF(INDEX(貼り付け!$A$1:$BZ$3001,1343,$B$1)="","",IF(ISNUMBER(INDEX(貼り付け!$A$1:$BZ$3001,1343,$B$1)),INT(INDEX(貼り付け!$A$1:$BZ$3001,1343,$B$1)),DATE(VALUE(LEFT(I1344,FIND("-",I1344)-1)),VALUE(LEFT(J1344,FIND("-",J1344)-1)),VALUE(MID(J1344,FIND("-",J1344)+1,99)))))),"")</f>
        <v/>
      </c>
      <c r="C1344">
        <f>IF($C$1=0,0,IFERROR(VALUE(SUBSTITUTE(SUBSTITUTE(SUBSTITUTE(INDEX(貼り付け!$A$1:$BZ$3001,1343,$C$1)&amp;"",",",""),"¥",""),"￥","")),0))</f>
        <v/>
      </c>
      <c r="D1344">
        <f>IF($D$1=0,0,IFERROR(VALUE(SUBSTITUTE(SUBSTITUTE(SUBSTITUTE(INDEX(貼り付け!$A$1:$BZ$3001,1343,$D$1)&amp;"",",",""),"¥",""),"￥","")),0))</f>
        <v/>
      </c>
      <c r="E1344">
        <f>IF($E$1=0,0,IFERROR(VALUE(SUBSTITUTE(SUBSTITUTE(SUBSTITUTE(INDEX(貼り付け!$A$1:$BZ$3001,1343,$E$1)&amp;"",",",""),"¥",""),"￥","")),0))</f>
        <v/>
      </c>
      <c r="F1344">
        <f>IF($F$1=0,0,IFERROR(VALUE(SUBSTITUTE(SUBSTITUTE(SUBSTITUTE(INDEX(貼り付け!$A$1:$BZ$3001,1343,$F$1)&amp;"",",",""),"¥",""),"￥","")),0))</f>
        <v/>
      </c>
      <c r="G1344">
        <f>IF(ISNUMBER(B1344),YEAR(B1344),"")</f>
        <v/>
      </c>
      <c r="H1344">
        <f>IF(ISNUMBER(B1344),MONTH(B1344),"")</f>
        <v/>
      </c>
      <c r="I1344">
        <f>IFERROR(IF($B$1=0,"",IF(ISNUMBER(INDEX(貼り付け!$A$1:$BZ$3001,1343,$B$1)),"",SUBSTITUTE(SUBSTITUTE(SUBSTITUTE(SUBSTITUTE(TRIM(LEFT(INDEX(貼り付け!$A$1:$BZ$3001,1343,$B$1)&amp;"",FIND(" ",TRIM(INDEX(貼り付け!$A$1:$BZ$3001,1343,$B$1)&amp;"")&amp;" ")-1)),"/","-"),"年","-"),"月","-"),"日",""))),"")</f>
        <v/>
      </c>
      <c r="J1344">
        <f>IFERROR(MID(I1344,FIND("-",I1344)+1,99),"")</f>
        <v/>
      </c>
    </row>
    <row r="1345">
      <c r="B1345">
        <f>IFERROR(IF($B$1=0,"",IF(INDEX(貼り付け!$A$1:$BZ$3001,1344,$B$1)="","",IF(ISNUMBER(INDEX(貼り付け!$A$1:$BZ$3001,1344,$B$1)),INT(INDEX(貼り付け!$A$1:$BZ$3001,1344,$B$1)),DATE(VALUE(LEFT(I1345,FIND("-",I1345)-1)),VALUE(LEFT(J1345,FIND("-",J1345)-1)),VALUE(MID(J1345,FIND("-",J1345)+1,99)))))),"")</f>
        <v/>
      </c>
      <c r="C1345">
        <f>IF($C$1=0,0,IFERROR(VALUE(SUBSTITUTE(SUBSTITUTE(SUBSTITUTE(INDEX(貼り付け!$A$1:$BZ$3001,1344,$C$1)&amp;"",",",""),"¥",""),"￥","")),0))</f>
        <v/>
      </c>
      <c r="D1345">
        <f>IF($D$1=0,0,IFERROR(VALUE(SUBSTITUTE(SUBSTITUTE(SUBSTITUTE(INDEX(貼り付け!$A$1:$BZ$3001,1344,$D$1)&amp;"",",",""),"¥",""),"￥","")),0))</f>
        <v/>
      </c>
      <c r="E1345">
        <f>IF($E$1=0,0,IFERROR(VALUE(SUBSTITUTE(SUBSTITUTE(SUBSTITUTE(INDEX(貼り付け!$A$1:$BZ$3001,1344,$E$1)&amp;"",",",""),"¥",""),"￥","")),0))</f>
        <v/>
      </c>
      <c r="F1345">
        <f>IF($F$1=0,0,IFERROR(VALUE(SUBSTITUTE(SUBSTITUTE(SUBSTITUTE(INDEX(貼り付け!$A$1:$BZ$3001,1344,$F$1)&amp;"",",",""),"¥",""),"￥","")),0))</f>
        <v/>
      </c>
      <c r="G1345">
        <f>IF(ISNUMBER(B1345),YEAR(B1345),"")</f>
        <v/>
      </c>
      <c r="H1345">
        <f>IF(ISNUMBER(B1345),MONTH(B1345),"")</f>
        <v/>
      </c>
      <c r="I1345">
        <f>IFERROR(IF($B$1=0,"",IF(ISNUMBER(INDEX(貼り付け!$A$1:$BZ$3001,1344,$B$1)),"",SUBSTITUTE(SUBSTITUTE(SUBSTITUTE(SUBSTITUTE(TRIM(LEFT(INDEX(貼り付け!$A$1:$BZ$3001,1344,$B$1)&amp;"",FIND(" ",TRIM(INDEX(貼り付け!$A$1:$BZ$3001,1344,$B$1)&amp;"")&amp;" ")-1)),"/","-"),"年","-"),"月","-"),"日",""))),"")</f>
        <v/>
      </c>
      <c r="J1345">
        <f>IFERROR(MID(I1345,FIND("-",I1345)+1,99),"")</f>
        <v/>
      </c>
    </row>
    <row r="1346">
      <c r="B1346">
        <f>IFERROR(IF($B$1=0,"",IF(INDEX(貼り付け!$A$1:$BZ$3001,1345,$B$1)="","",IF(ISNUMBER(INDEX(貼り付け!$A$1:$BZ$3001,1345,$B$1)),INT(INDEX(貼り付け!$A$1:$BZ$3001,1345,$B$1)),DATE(VALUE(LEFT(I1346,FIND("-",I1346)-1)),VALUE(LEFT(J1346,FIND("-",J1346)-1)),VALUE(MID(J1346,FIND("-",J1346)+1,99)))))),"")</f>
        <v/>
      </c>
      <c r="C1346">
        <f>IF($C$1=0,0,IFERROR(VALUE(SUBSTITUTE(SUBSTITUTE(SUBSTITUTE(INDEX(貼り付け!$A$1:$BZ$3001,1345,$C$1)&amp;"",",",""),"¥",""),"￥","")),0))</f>
        <v/>
      </c>
      <c r="D1346">
        <f>IF($D$1=0,0,IFERROR(VALUE(SUBSTITUTE(SUBSTITUTE(SUBSTITUTE(INDEX(貼り付け!$A$1:$BZ$3001,1345,$D$1)&amp;"",",",""),"¥",""),"￥","")),0))</f>
        <v/>
      </c>
      <c r="E1346">
        <f>IF($E$1=0,0,IFERROR(VALUE(SUBSTITUTE(SUBSTITUTE(SUBSTITUTE(INDEX(貼り付け!$A$1:$BZ$3001,1345,$E$1)&amp;"",",",""),"¥",""),"￥","")),0))</f>
        <v/>
      </c>
      <c r="F1346">
        <f>IF($F$1=0,0,IFERROR(VALUE(SUBSTITUTE(SUBSTITUTE(SUBSTITUTE(INDEX(貼り付け!$A$1:$BZ$3001,1345,$F$1)&amp;"",",",""),"¥",""),"￥","")),0))</f>
        <v/>
      </c>
      <c r="G1346">
        <f>IF(ISNUMBER(B1346),YEAR(B1346),"")</f>
        <v/>
      </c>
      <c r="H1346">
        <f>IF(ISNUMBER(B1346),MONTH(B1346),"")</f>
        <v/>
      </c>
      <c r="I1346">
        <f>IFERROR(IF($B$1=0,"",IF(ISNUMBER(INDEX(貼り付け!$A$1:$BZ$3001,1345,$B$1)),"",SUBSTITUTE(SUBSTITUTE(SUBSTITUTE(SUBSTITUTE(TRIM(LEFT(INDEX(貼り付け!$A$1:$BZ$3001,1345,$B$1)&amp;"",FIND(" ",TRIM(INDEX(貼り付け!$A$1:$BZ$3001,1345,$B$1)&amp;"")&amp;" ")-1)),"/","-"),"年","-"),"月","-"),"日",""))),"")</f>
        <v/>
      </c>
      <c r="J1346">
        <f>IFERROR(MID(I1346,FIND("-",I1346)+1,99),"")</f>
        <v/>
      </c>
    </row>
    <row r="1347">
      <c r="B1347">
        <f>IFERROR(IF($B$1=0,"",IF(INDEX(貼り付け!$A$1:$BZ$3001,1346,$B$1)="","",IF(ISNUMBER(INDEX(貼り付け!$A$1:$BZ$3001,1346,$B$1)),INT(INDEX(貼り付け!$A$1:$BZ$3001,1346,$B$1)),DATE(VALUE(LEFT(I1347,FIND("-",I1347)-1)),VALUE(LEFT(J1347,FIND("-",J1347)-1)),VALUE(MID(J1347,FIND("-",J1347)+1,99)))))),"")</f>
        <v/>
      </c>
      <c r="C1347">
        <f>IF($C$1=0,0,IFERROR(VALUE(SUBSTITUTE(SUBSTITUTE(SUBSTITUTE(INDEX(貼り付け!$A$1:$BZ$3001,1346,$C$1)&amp;"",",",""),"¥",""),"￥","")),0))</f>
        <v/>
      </c>
      <c r="D1347">
        <f>IF($D$1=0,0,IFERROR(VALUE(SUBSTITUTE(SUBSTITUTE(SUBSTITUTE(INDEX(貼り付け!$A$1:$BZ$3001,1346,$D$1)&amp;"",",",""),"¥",""),"￥","")),0))</f>
        <v/>
      </c>
      <c r="E1347">
        <f>IF($E$1=0,0,IFERROR(VALUE(SUBSTITUTE(SUBSTITUTE(SUBSTITUTE(INDEX(貼り付け!$A$1:$BZ$3001,1346,$E$1)&amp;"",",",""),"¥",""),"￥","")),0))</f>
        <v/>
      </c>
      <c r="F1347">
        <f>IF($F$1=0,0,IFERROR(VALUE(SUBSTITUTE(SUBSTITUTE(SUBSTITUTE(INDEX(貼り付け!$A$1:$BZ$3001,1346,$F$1)&amp;"",",",""),"¥",""),"￥","")),0))</f>
        <v/>
      </c>
      <c r="G1347">
        <f>IF(ISNUMBER(B1347),YEAR(B1347),"")</f>
        <v/>
      </c>
      <c r="H1347">
        <f>IF(ISNUMBER(B1347),MONTH(B1347),"")</f>
        <v/>
      </c>
      <c r="I1347">
        <f>IFERROR(IF($B$1=0,"",IF(ISNUMBER(INDEX(貼り付け!$A$1:$BZ$3001,1346,$B$1)),"",SUBSTITUTE(SUBSTITUTE(SUBSTITUTE(SUBSTITUTE(TRIM(LEFT(INDEX(貼り付け!$A$1:$BZ$3001,1346,$B$1)&amp;"",FIND(" ",TRIM(INDEX(貼り付け!$A$1:$BZ$3001,1346,$B$1)&amp;"")&amp;" ")-1)),"/","-"),"年","-"),"月","-"),"日",""))),"")</f>
        <v/>
      </c>
      <c r="J1347">
        <f>IFERROR(MID(I1347,FIND("-",I1347)+1,99),"")</f>
        <v/>
      </c>
    </row>
    <row r="1348">
      <c r="B1348">
        <f>IFERROR(IF($B$1=0,"",IF(INDEX(貼り付け!$A$1:$BZ$3001,1347,$B$1)="","",IF(ISNUMBER(INDEX(貼り付け!$A$1:$BZ$3001,1347,$B$1)),INT(INDEX(貼り付け!$A$1:$BZ$3001,1347,$B$1)),DATE(VALUE(LEFT(I1348,FIND("-",I1348)-1)),VALUE(LEFT(J1348,FIND("-",J1348)-1)),VALUE(MID(J1348,FIND("-",J1348)+1,99)))))),"")</f>
        <v/>
      </c>
      <c r="C1348">
        <f>IF($C$1=0,0,IFERROR(VALUE(SUBSTITUTE(SUBSTITUTE(SUBSTITUTE(INDEX(貼り付け!$A$1:$BZ$3001,1347,$C$1)&amp;"",",",""),"¥",""),"￥","")),0))</f>
        <v/>
      </c>
      <c r="D1348">
        <f>IF($D$1=0,0,IFERROR(VALUE(SUBSTITUTE(SUBSTITUTE(SUBSTITUTE(INDEX(貼り付け!$A$1:$BZ$3001,1347,$D$1)&amp;"",",",""),"¥",""),"￥","")),0))</f>
        <v/>
      </c>
      <c r="E1348">
        <f>IF($E$1=0,0,IFERROR(VALUE(SUBSTITUTE(SUBSTITUTE(SUBSTITUTE(INDEX(貼り付け!$A$1:$BZ$3001,1347,$E$1)&amp;"",",",""),"¥",""),"￥","")),0))</f>
        <v/>
      </c>
      <c r="F1348">
        <f>IF($F$1=0,0,IFERROR(VALUE(SUBSTITUTE(SUBSTITUTE(SUBSTITUTE(INDEX(貼り付け!$A$1:$BZ$3001,1347,$F$1)&amp;"",",",""),"¥",""),"￥","")),0))</f>
        <v/>
      </c>
      <c r="G1348">
        <f>IF(ISNUMBER(B1348),YEAR(B1348),"")</f>
        <v/>
      </c>
      <c r="H1348">
        <f>IF(ISNUMBER(B1348),MONTH(B1348),"")</f>
        <v/>
      </c>
      <c r="I1348">
        <f>IFERROR(IF($B$1=0,"",IF(ISNUMBER(INDEX(貼り付け!$A$1:$BZ$3001,1347,$B$1)),"",SUBSTITUTE(SUBSTITUTE(SUBSTITUTE(SUBSTITUTE(TRIM(LEFT(INDEX(貼り付け!$A$1:$BZ$3001,1347,$B$1)&amp;"",FIND(" ",TRIM(INDEX(貼り付け!$A$1:$BZ$3001,1347,$B$1)&amp;"")&amp;" ")-1)),"/","-"),"年","-"),"月","-"),"日",""))),"")</f>
        <v/>
      </c>
      <c r="J1348">
        <f>IFERROR(MID(I1348,FIND("-",I1348)+1,99),"")</f>
        <v/>
      </c>
    </row>
    <row r="1349">
      <c r="B1349">
        <f>IFERROR(IF($B$1=0,"",IF(INDEX(貼り付け!$A$1:$BZ$3001,1348,$B$1)="","",IF(ISNUMBER(INDEX(貼り付け!$A$1:$BZ$3001,1348,$B$1)),INT(INDEX(貼り付け!$A$1:$BZ$3001,1348,$B$1)),DATE(VALUE(LEFT(I1349,FIND("-",I1349)-1)),VALUE(LEFT(J1349,FIND("-",J1349)-1)),VALUE(MID(J1349,FIND("-",J1349)+1,99)))))),"")</f>
        <v/>
      </c>
      <c r="C1349">
        <f>IF($C$1=0,0,IFERROR(VALUE(SUBSTITUTE(SUBSTITUTE(SUBSTITUTE(INDEX(貼り付け!$A$1:$BZ$3001,1348,$C$1)&amp;"",",",""),"¥",""),"￥","")),0))</f>
        <v/>
      </c>
      <c r="D1349">
        <f>IF($D$1=0,0,IFERROR(VALUE(SUBSTITUTE(SUBSTITUTE(SUBSTITUTE(INDEX(貼り付け!$A$1:$BZ$3001,1348,$D$1)&amp;"",",",""),"¥",""),"￥","")),0))</f>
        <v/>
      </c>
      <c r="E1349">
        <f>IF($E$1=0,0,IFERROR(VALUE(SUBSTITUTE(SUBSTITUTE(SUBSTITUTE(INDEX(貼り付け!$A$1:$BZ$3001,1348,$E$1)&amp;"",",",""),"¥",""),"￥","")),0))</f>
        <v/>
      </c>
      <c r="F1349">
        <f>IF($F$1=0,0,IFERROR(VALUE(SUBSTITUTE(SUBSTITUTE(SUBSTITUTE(INDEX(貼り付け!$A$1:$BZ$3001,1348,$F$1)&amp;"",",",""),"¥",""),"￥","")),0))</f>
        <v/>
      </c>
      <c r="G1349">
        <f>IF(ISNUMBER(B1349),YEAR(B1349),"")</f>
        <v/>
      </c>
      <c r="H1349">
        <f>IF(ISNUMBER(B1349),MONTH(B1349),"")</f>
        <v/>
      </c>
      <c r="I1349">
        <f>IFERROR(IF($B$1=0,"",IF(ISNUMBER(INDEX(貼り付け!$A$1:$BZ$3001,1348,$B$1)),"",SUBSTITUTE(SUBSTITUTE(SUBSTITUTE(SUBSTITUTE(TRIM(LEFT(INDEX(貼り付け!$A$1:$BZ$3001,1348,$B$1)&amp;"",FIND(" ",TRIM(INDEX(貼り付け!$A$1:$BZ$3001,1348,$B$1)&amp;"")&amp;" ")-1)),"/","-"),"年","-"),"月","-"),"日",""))),"")</f>
        <v/>
      </c>
      <c r="J1349">
        <f>IFERROR(MID(I1349,FIND("-",I1349)+1,99),"")</f>
        <v/>
      </c>
    </row>
    <row r="1350">
      <c r="B1350">
        <f>IFERROR(IF($B$1=0,"",IF(INDEX(貼り付け!$A$1:$BZ$3001,1349,$B$1)="","",IF(ISNUMBER(INDEX(貼り付け!$A$1:$BZ$3001,1349,$B$1)),INT(INDEX(貼り付け!$A$1:$BZ$3001,1349,$B$1)),DATE(VALUE(LEFT(I1350,FIND("-",I1350)-1)),VALUE(LEFT(J1350,FIND("-",J1350)-1)),VALUE(MID(J1350,FIND("-",J1350)+1,99)))))),"")</f>
        <v/>
      </c>
      <c r="C1350">
        <f>IF($C$1=0,0,IFERROR(VALUE(SUBSTITUTE(SUBSTITUTE(SUBSTITUTE(INDEX(貼り付け!$A$1:$BZ$3001,1349,$C$1)&amp;"",",",""),"¥",""),"￥","")),0))</f>
        <v/>
      </c>
      <c r="D1350">
        <f>IF($D$1=0,0,IFERROR(VALUE(SUBSTITUTE(SUBSTITUTE(SUBSTITUTE(INDEX(貼り付け!$A$1:$BZ$3001,1349,$D$1)&amp;"",",",""),"¥",""),"￥","")),0))</f>
        <v/>
      </c>
      <c r="E1350">
        <f>IF($E$1=0,0,IFERROR(VALUE(SUBSTITUTE(SUBSTITUTE(SUBSTITUTE(INDEX(貼り付け!$A$1:$BZ$3001,1349,$E$1)&amp;"",",",""),"¥",""),"￥","")),0))</f>
        <v/>
      </c>
      <c r="F1350">
        <f>IF($F$1=0,0,IFERROR(VALUE(SUBSTITUTE(SUBSTITUTE(SUBSTITUTE(INDEX(貼り付け!$A$1:$BZ$3001,1349,$F$1)&amp;"",",",""),"¥",""),"￥","")),0))</f>
        <v/>
      </c>
      <c r="G1350">
        <f>IF(ISNUMBER(B1350),YEAR(B1350),"")</f>
        <v/>
      </c>
      <c r="H1350">
        <f>IF(ISNUMBER(B1350),MONTH(B1350),"")</f>
        <v/>
      </c>
      <c r="I1350">
        <f>IFERROR(IF($B$1=0,"",IF(ISNUMBER(INDEX(貼り付け!$A$1:$BZ$3001,1349,$B$1)),"",SUBSTITUTE(SUBSTITUTE(SUBSTITUTE(SUBSTITUTE(TRIM(LEFT(INDEX(貼り付け!$A$1:$BZ$3001,1349,$B$1)&amp;"",FIND(" ",TRIM(INDEX(貼り付け!$A$1:$BZ$3001,1349,$B$1)&amp;"")&amp;" ")-1)),"/","-"),"年","-"),"月","-"),"日",""))),"")</f>
        <v/>
      </c>
      <c r="J1350">
        <f>IFERROR(MID(I1350,FIND("-",I1350)+1,99),"")</f>
        <v/>
      </c>
    </row>
    <row r="1351">
      <c r="B1351">
        <f>IFERROR(IF($B$1=0,"",IF(INDEX(貼り付け!$A$1:$BZ$3001,1350,$B$1)="","",IF(ISNUMBER(INDEX(貼り付け!$A$1:$BZ$3001,1350,$B$1)),INT(INDEX(貼り付け!$A$1:$BZ$3001,1350,$B$1)),DATE(VALUE(LEFT(I1351,FIND("-",I1351)-1)),VALUE(LEFT(J1351,FIND("-",J1351)-1)),VALUE(MID(J1351,FIND("-",J1351)+1,99)))))),"")</f>
        <v/>
      </c>
      <c r="C1351">
        <f>IF($C$1=0,0,IFERROR(VALUE(SUBSTITUTE(SUBSTITUTE(SUBSTITUTE(INDEX(貼り付け!$A$1:$BZ$3001,1350,$C$1)&amp;"",",",""),"¥",""),"￥","")),0))</f>
        <v/>
      </c>
      <c r="D1351">
        <f>IF($D$1=0,0,IFERROR(VALUE(SUBSTITUTE(SUBSTITUTE(SUBSTITUTE(INDEX(貼り付け!$A$1:$BZ$3001,1350,$D$1)&amp;"",",",""),"¥",""),"￥","")),0))</f>
        <v/>
      </c>
      <c r="E1351">
        <f>IF($E$1=0,0,IFERROR(VALUE(SUBSTITUTE(SUBSTITUTE(SUBSTITUTE(INDEX(貼り付け!$A$1:$BZ$3001,1350,$E$1)&amp;"",",",""),"¥",""),"￥","")),0))</f>
        <v/>
      </c>
      <c r="F1351">
        <f>IF($F$1=0,0,IFERROR(VALUE(SUBSTITUTE(SUBSTITUTE(SUBSTITUTE(INDEX(貼り付け!$A$1:$BZ$3001,1350,$F$1)&amp;"",",",""),"¥",""),"￥","")),0))</f>
        <v/>
      </c>
      <c r="G1351">
        <f>IF(ISNUMBER(B1351),YEAR(B1351),"")</f>
        <v/>
      </c>
      <c r="H1351">
        <f>IF(ISNUMBER(B1351),MONTH(B1351),"")</f>
        <v/>
      </c>
      <c r="I1351">
        <f>IFERROR(IF($B$1=0,"",IF(ISNUMBER(INDEX(貼り付け!$A$1:$BZ$3001,1350,$B$1)),"",SUBSTITUTE(SUBSTITUTE(SUBSTITUTE(SUBSTITUTE(TRIM(LEFT(INDEX(貼り付け!$A$1:$BZ$3001,1350,$B$1)&amp;"",FIND(" ",TRIM(INDEX(貼り付け!$A$1:$BZ$3001,1350,$B$1)&amp;"")&amp;" ")-1)),"/","-"),"年","-"),"月","-"),"日",""))),"")</f>
        <v/>
      </c>
      <c r="J1351">
        <f>IFERROR(MID(I1351,FIND("-",I1351)+1,99),"")</f>
        <v/>
      </c>
    </row>
    <row r="1352">
      <c r="B1352">
        <f>IFERROR(IF($B$1=0,"",IF(INDEX(貼り付け!$A$1:$BZ$3001,1351,$B$1)="","",IF(ISNUMBER(INDEX(貼り付け!$A$1:$BZ$3001,1351,$B$1)),INT(INDEX(貼り付け!$A$1:$BZ$3001,1351,$B$1)),DATE(VALUE(LEFT(I1352,FIND("-",I1352)-1)),VALUE(LEFT(J1352,FIND("-",J1352)-1)),VALUE(MID(J1352,FIND("-",J1352)+1,99)))))),"")</f>
        <v/>
      </c>
      <c r="C1352">
        <f>IF($C$1=0,0,IFERROR(VALUE(SUBSTITUTE(SUBSTITUTE(SUBSTITUTE(INDEX(貼り付け!$A$1:$BZ$3001,1351,$C$1)&amp;"",",",""),"¥",""),"￥","")),0))</f>
        <v/>
      </c>
      <c r="D1352">
        <f>IF($D$1=0,0,IFERROR(VALUE(SUBSTITUTE(SUBSTITUTE(SUBSTITUTE(INDEX(貼り付け!$A$1:$BZ$3001,1351,$D$1)&amp;"",",",""),"¥",""),"￥","")),0))</f>
        <v/>
      </c>
      <c r="E1352">
        <f>IF($E$1=0,0,IFERROR(VALUE(SUBSTITUTE(SUBSTITUTE(SUBSTITUTE(INDEX(貼り付け!$A$1:$BZ$3001,1351,$E$1)&amp;"",",",""),"¥",""),"￥","")),0))</f>
        <v/>
      </c>
      <c r="F1352">
        <f>IF($F$1=0,0,IFERROR(VALUE(SUBSTITUTE(SUBSTITUTE(SUBSTITUTE(INDEX(貼り付け!$A$1:$BZ$3001,1351,$F$1)&amp;"",",",""),"¥",""),"￥","")),0))</f>
        <v/>
      </c>
      <c r="G1352">
        <f>IF(ISNUMBER(B1352),YEAR(B1352),"")</f>
        <v/>
      </c>
      <c r="H1352">
        <f>IF(ISNUMBER(B1352),MONTH(B1352),"")</f>
        <v/>
      </c>
      <c r="I1352">
        <f>IFERROR(IF($B$1=0,"",IF(ISNUMBER(INDEX(貼り付け!$A$1:$BZ$3001,1351,$B$1)),"",SUBSTITUTE(SUBSTITUTE(SUBSTITUTE(SUBSTITUTE(TRIM(LEFT(INDEX(貼り付け!$A$1:$BZ$3001,1351,$B$1)&amp;"",FIND(" ",TRIM(INDEX(貼り付け!$A$1:$BZ$3001,1351,$B$1)&amp;"")&amp;" ")-1)),"/","-"),"年","-"),"月","-"),"日",""))),"")</f>
        <v/>
      </c>
      <c r="J1352">
        <f>IFERROR(MID(I1352,FIND("-",I1352)+1,99),"")</f>
        <v/>
      </c>
    </row>
    <row r="1353">
      <c r="B1353">
        <f>IFERROR(IF($B$1=0,"",IF(INDEX(貼り付け!$A$1:$BZ$3001,1352,$B$1)="","",IF(ISNUMBER(INDEX(貼り付け!$A$1:$BZ$3001,1352,$B$1)),INT(INDEX(貼り付け!$A$1:$BZ$3001,1352,$B$1)),DATE(VALUE(LEFT(I1353,FIND("-",I1353)-1)),VALUE(LEFT(J1353,FIND("-",J1353)-1)),VALUE(MID(J1353,FIND("-",J1353)+1,99)))))),"")</f>
        <v/>
      </c>
      <c r="C1353">
        <f>IF($C$1=0,0,IFERROR(VALUE(SUBSTITUTE(SUBSTITUTE(SUBSTITUTE(INDEX(貼り付け!$A$1:$BZ$3001,1352,$C$1)&amp;"",",",""),"¥",""),"￥","")),0))</f>
        <v/>
      </c>
      <c r="D1353">
        <f>IF($D$1=0,0,IFERROR(VALUE(SUBSTITUTE(SUBSTITUTE(SUBSTITUTE(INDEX(貼り付け!$A$1:$BZ$3001,1352,$D$1)&amp;"",",",""),"¥",""),"￥","")),0))</f>
        <v/>
      </c>
      <c r="E1353">
        <f>IF($E$1=0,0,IFERROR(VALUE(SUBSTITUTE(SUBSTITUTE(SUBSTITUTE(INDEX(貼り付け!$A$1:$BZ$3001,1352,$E$1)&amp;"",",",""),"¥",""),"￥","")),0))</f>
        <v/>
      </c>
      <c r="F1353">
        <f>IF($F$1=0,0,IFERROR(VALUE(SUBSTITUTE(SUBSTITUTE(SUBSTITUTE(INDEX(貼り付け!$A$1:$BZ$3001,1352,$F$1)&amp;"",",",""),"¥",""),"￥","")),0))</f>
        <v/>
      </c>
      <c r="G1353">
        <f>IF(ISNUMBER(B1353),YEAR(B1353),"")</f>
        <v/>
      </c>
      <c r="H1353">
        <f>IF(ISNUMBER(B1353),MONTH(B1353),"")</f>
        <v/>
      </c>
      <c r="I1353">
        <f>IFERROR(IF($B$1=0,"",IF(ISNUMBER(INDEX(貼り付け!$A$1:$BZ$3001,1352,$B$1)),"",SUBSTITUTE(SUBSTITUTE(SUBSTITUTE(SUBSTITUTE(TRIM(LEFT(INDEX(貼り付け!$A$1:$BZ$3001,1352,$B$1)&amp;"",FIND(" ",TRIM(INDEX(貼り付け!$A$1:$BZ$3001,1352,$B$1)&amp;"")&amp;" ")-1)),"/","-"),"年","-"),"月","-"),"日",""))),"")</f>
        <v/>
      </c>
      <c r="J1353">
        <f>IFERROR(MID(I1353,FIND("-",I1353)+1,99),"")</f>
        <v/>
      </c>
    </row>
    <row r="1354">
      <c r="B1354">
        <f>IFERROR(IF($B$1=0,"",IF(INDEX(貼り付け!$A$1:$BZ$3001,1353,$B$1)="","",IF(ISNUMBER(INDEX(貼り付け!$A$1:$BZ$3001,1353,$B$1)),INT(INDEX(貼り付け!$A$1:$BZ$3001,1353,$B$1)),DATE(VALUE(LEFT(I1354,FIND("-",I1354)-1)),VALUE(LEFT(J1354,FIND("-",J1354)-1)),VALUE(MID(J1354,FIND("-",J1354)+1,99)))))),"")</f>
        <v/>
      </c>
      <c r="C1354">
        <f>IF($C$1=0,0,IFERROR(VALUE(SUBSTITUTE(SUBSTITUTE(SUBSTITUTE(INDEX(貼り付け!$A$1:$BZ$3001,1353,$C$1)&amp;"",",",""),"¥",""),"￥","")),0))</f>
        <v/>
      </c>
      <c r="D1354">
        <f>IF($D$1=0,0,IFERROR(VALUE(SUBSTITUTE(SUBSTITUTE(SUBSTITUTE(INDEX(貼り付け!$A$1:$BZ$3001,1353,$D$1)&amp;"",",",""),"¥",""),"￥","")),0))</f>
        <v/>
      </c>
      <c r="E1354">
        <f>IF($E$1=0,0,IFERROR(VALUE(SUBSTITUTE(SUBSTITUTE(SUBSTITUTE(INDEX(貼り付け!$A$1:$BZ$3001,1353,$E$1)&amp;"",",",""),"¥",""),"￥","")),0))</f>
        <v/>
      </c>
      <c r="F1354">
        <f>IF($F$1=0,0,IFERROR(VALUE(SUBSTITUTE(SUBSTITUTE(SUBSTITUTE(INDEX(貼り付け!$A$1:$BZ$3001,1353,$F$1)&amp;"",",",""),"¥",""),"￥","")),0))</f>
        <v/>
      </c>
      <c r="G1354">
        <f>IF(ISNUMBER(B1354),YEAR(B1354),"")</f>
        <v/>
      </c>
      <c r="H1354">
        <f>IF(ISNUMBER(B1354),MONTH(B1354),"")</f>
        <v/>
      </c>
      <c r="I1354">
        <f>IFERROR(IF($B$1=0,"",IF(ISNUMBER(INDEX(貼り付け!$A$1:$BZ$3001,1353,$B$1)),"",SUBSTITUTE(SUBSTITUTE(SUBSTITUTE(SUBSTITUTE(TRIM(LEFT(INDEX(貼り付け!$A$1:$BZ$3001,1353,$B$1)&amp;"",FIND(" ",TRIM(INDEX(貼り付け!$A$1:$BZ$3001,1353,$B$1)&amp;"")&amp;" ")-1)),"/","-"),"年","-"),"月","-"),"日",""))),"")</f>
        <v/>
      </c>
      <c r="J1354">
        <f>IFERROR(MID(I1354,FIND("-",I1354)+1,99),"")</f>
        <v/>
      </c>
    </row>
    <row r="1355">
      <c r="B1355">
        <f>IFERROR(IF($B$1=0,"",IF(INDEX(貼り付け!$A$1:$BZ$3001,1354,$B$1)="","",IF(ISNUMBER(INDEX(貼り付け!$A$1:$BZ$3001,1354,$B$1)),INT(INDEX(貼り付け!$A$1:$BZ$3001,1354,$B$1)),DATE(VALUE(LEFT(I1355,FIND("-",I1355)-1)),VALUE(LEFT(J1355,FIND("-",J1355)-1)),VALUE(MID(J1355,FIND("-",J1355)+1,99)))))),"")</f>
        <v/>
      </c>
      <c r="C1355">
        <f>IF($C$1=0,0,IFERROR(VALUE(SUBSTITUTE(SUBSTITUTE(SUBSTITUTE(INDEX(貼り付け!$A$1:$BZ$3001,1354,$C$1)&amp;"",",",""),"¥",""),"￥","")),0))</f>
        <v/>
      </c>
      <c r="D1355">
        <f>IF($D$1=0,0,IFERROR(VALUE(SUBSTITUTE(SUBSTITUTE(SUBSTITUTE(INDEX(貼り付け!$A$1:$BZ$3001,1354,$D$1)&amp;"",",",""),"¥",""),"￥","")),0))</f>
        <v/>
      </c>
      <c r="E1355">
        <f>IF($E$1=0,0,IFERROR(VALUE(SUBSTITUTE(SUBSTITUTE(SUBSTITUTE(INDEX(貼り付け!$A$1:$BZ$3001,1354,$E$1)&amp;"",",",""),"¥",""),"￥","")),0))</f>
        <v/>
      </c>
      <c r="F1355">
        <f>IF($F$1=0,0,IFERROR(VALUE(SUBSTITUTE(SUBSTITUTE(SUBSTITUTE(INDEX(貼り付け!$A$1:$BZ$3001,1354,$F$1)&amp;"",",",""),"¥",""),"￥","")),0))</f>
        <v/>
      </c>
      <c r="G1355">
        <f>IF(ISNUMBER(B1355),YEAR(B1355),"")</f>
        <v/>
      </c>
      <c r="H1355">
        <f>IF(ISNUMBER(B1355),MONTH(B1355),"")</f>
        <v/>
      </c>
      <c r="I1355">
        <f>IFERROR(IF($B$1=0,"",IF(ISNUMBER(INDEX(貼り付け!$A$1:$BZ$3001,1354,$B$1)),"",SUBSTITUTE(SUBSTITUTE(SUBSTITUTE(SUBSTITUTE(TRIM(LEFT(INDEX(貼り付け!$A$1:$BZ$3001,1354,$B$1)&amp;"",FIND(" ",TRIM(INDEX(貼り付け!$A$1:$BZ$3001,1354,$B$1)&amp;"")&amp;" ")-1)),"/","-"),"年","-"),"月","-"),"日",""))),"")</f>
        <v/>
      </c>
      <c r="J1355">
        <f>IFERROR(MID(I1355,FIND("-",I1355)+1,99),"")</f>
        <v/>
      </c>
    </row>
    <row r="1356">
      <c r="B1356">
        <f>IFERROR(IF($B$1=0,"",IF(INDEX(貼り付け!$A$1:$BZ$3001,1355,$B$1)="","",IF(ISNUMBER(INDEX(貼り付け!$A$1:$BZ$3001,1355,$B$1)),INT(INDEX(貼り付け!$A$1:$BZ$3001,1355,$B$1)),DATE(VALUE(LEFT(I1356,FIND("-",I1356)-1)),VALUE(LEFT(J1356,FIND("-",J1356)-1)),VALUE(MID(J1356,FIND("-",J1356)+1,99)))))),"")</f>
        <v/>
      </c>
      <c r="C1356">
        <f>IF($C$1=0,0,IFERROR(VALUE(SUBSTITUTE(SUBSTITUTE(SUBSTITUTE(INDEX(貼り付け!$A$1:$BZ$3001,1355,$C$1)&amp;"",",",""),"¥",""),"￥","")),0))</f>
        <v/>
      </c>
      <c r="D1356">
        <f>IF($D$1=0,0,IFERROR(VALUE(SUBSTITUTE(SUBSTITUTE(SUBSTITUTE(INDEX(貼り付け!$A$1:$BZ$3001,1355,$D$1)&amp;"",",",""),"¥",""),"￥","")),0))</f>
        <v/>
      </c>
      <c r="E1356">
        <f>IF($E$1=0,0,IFERROR(VALUE(SUBSTITUTE(SUBSTITUTE(SUBSTITUTE(INDEX(貼り付け!$A$1:$BZ$3001,1355,$E$1)&amp;"",",",""),"¥",""),"￥","")),0))</f>
        <v/>
      </c>
      <c r="F1356">
        <f>IF($F$1=0,0,IFERROR(VALUE(SUBSTITUTE(SUBSTITUTE(SUBSTITUTE(INDEX(貼り付け!$A$1:$BZ$3001,1355,$F$1)&amp;"",",",""),"¥",""),"￥","")),0))</f>
        <v/>
      </c>
      <c r="G1356">
        <f>IF(ISNUMBER(B1356),YEAR(B1356),"")</f>
        <v/>
      </c>
      <c r="H1356">
        <f>IF(ISNUMBER(B1356),MONTH(B1356),"")</f>
        <v/>
      </c>
      <c r="I1356">
        <f>IFERROR(IF($B$1=0,"",IF(ISNUMBER(INDEX(貼り付け!$A$1:$BZ$3001,1355,$B$1)),"",SUBSTITUTE(SUBSTITUTE(SUBSTITUTE(SUBSTITUTE(TRIM(LEFT(INDEX(貼り付け!$A$1:$BZ$3001,1355,$B$1)&amp;"",FIND(" ",TRIM(INDEX(貼り付け!$A$1:$BZ$3001,1355,$B$1)&amp;"")&amp;" ")-1)),"/","-"),"年","-"),"月","-"),"日",""))),"")</f>
        <v/>
      </c>
      <c r="J1356">
        <f>IFERROR(MID(I1356,FIND("-",I1356)+1,99),"")</f>
        <v/>
      </c>
    </row>
    <row r="1357">
      <c r="B1357">
        <f>IFERROR(IF($B$1=0,"",IF(INDEX(貼り付け!$A$1:$BZ$3001,1356,$B$1)="","",IF(ISNUMBER(INDEX(貼り付け!$A$1:$BZ$3001,1356,$B$1)),INT(INDEX(貼り付け!$A$1:$BZ$3001,1356,$B$1)),DATE(VALUE(LEFT(I1357,FIND("-",I1357)-1)),VALUE(LEFT(J1357,FIND("-",J1357)-1)),VALUE(MID(J1357,FIND("-",J1357)+1,99)))))),"")</f>
        <v/>
      </c>
      <c r="C1357">
        <f>IF($C$1=0,0,IFERROR(VALUE(SUBSTITUTE(SUBSTITUTE(SUBSTITUTE(INDEX(貼り付け!$A$1:$BZ$3001,1356,$C$1)&amp;"",",",""),"¥",""),"￥","")),0))</f>
        <v/>
      </c>
      <c r="D1357">
        <f>IF($D$1=0,0,IFERROR(VALUE(SUBSTITUTE(SUBSTITUTE(SUBSTITUTE(INDEX(貼り付け!$A$1:$BZ$3001,1356,$D$1)&amp;"",",",""),"¥",""),"￥","")),0))</f>
        <v/>
      </c>
      <c r="E1357">
        <f>IF($E$1=0,0,IFERROR(VALUE(SUBSTITUTE(SUBSTITUTE(SUBSTITUTE(INDEX(貼り付け!$A$1:$BZ$3001,1356,$E$1)&amp;"",",",""),"¥",""),"￥","")),0))</f>
        <v/>
      </c>
      <c r="F1357">
        <f>IF($F$1=0,0,IFERROR(VALUE(SUBSTITUTE(SUBSTITUTE(SUBSTITUTE(INDEX(貼り付け!$A$1:$BZ$3001,1356,$F$1)&amp;"",",",""),"¥",""),"￥","")),0))</f>
        <v/>
      </c>
      <c r="G1357">
        <f>IF(ISNUMBER(B1357),YEAR(B1357),"")</f>
        <v/>
      </c>
      <c r="H1357">
        <f>IF(ISNUMBER(B1357),MONTH(B1357),"")</f>
        <v/>
      </c>
      <c r="I1357">
        <f>IFERROR(IF($B$1=0,"",IF(ISNUMBER(INDEX(貼り付け!$A$1:$BZ$3001,1356,$B$1)),"",SUBSTITUTE(SUBSTITUTE(SUBSTITUTE(SUBSTITUTE(TRIM(LEFT(INDEX(貼り付け!$A$1:$BZ$3001,1356,$B$1)&amp;"",FIND(" ",TRIM(INDEX(貼り付け!$A$1:$BZ$3001,1356,$B$1)&amp;"")&amp;" ")-1)),"/","-"),"年","-"),"月","-"),"日",""))),"")</f>
        <v/>
      </c>
      <c r="J1357">
        <f>IFERROR(MID(I1357,FIND("-",I1357)+1,99),"")</f>
        <v/>
      </c>
    </row>
    <row r="1358">
      <c r="B1358">
        <f>IFERROR(IF($B$1=0,"",IF(INDEX(貼り付け!$A$1:$BZ$3001,1357,$B$1)="","",IF(ISNUMBER(INDEX(貼り付け!$A$1:$BZ$3001,1357,$B$1)),INT(INDEX(貼り付け!$A$1:$BZ$3001,1357,$B$1)),DATE(VALUE(LEFT(I1358,FIND("-",I1358)-1)),VALUE(LEFT(J1358,FIND("-",J1358)-1)),VALUE(MID(J1358,FIND("-",J1358)+1,99)))))),"")</f>
        <v/>
      </c>
      <c r="C1358">
        <f>IF($C$1=0,0,IFERROR(VALUE(SUBSTITUTE(SUBSTITUTE(SUBSTITUTE(INDEX(貼り付け!$A$1:$BZ$3001,1357,$C$1)&amp;"",",",""),"¥",""),"￥","")),0))</f>
        <v/>
      </c>
      <c r="D1358">
        <f>IF($D$1=0,0,IFERROR(VALUE(SUBSTITUTE(SUBSTITUTE(SUBSTITUTE(INDEX(貼り付け!$A$1:$BZ$3001,1357,$D$1)&amp;"",",",""),"¥",""),"￥","")),0))</f>
        <v/>
      </c>
      <c r="E1358">
        <f>IF($E$1=0,0,IFERROR(VALUE(SUBSTITUTE(SUBSTITUTE(SUBSTITUTE(INDEX(貼り付け!$A$1:$BZ$3001,1357,$E$1)&amp;"",",",""),"¥",""),"￥","")),0))</f>
        <v/>
      </c>
      <c r="F1358">
        <f>IF($F$1=0,0,IFERROR(VALUE(SUBSTITUTE(SUBSTITUTE(SUBSTITUTE(INDEX(貼り付け!$A$1:$BZ$3001,1357,$F$1)&amp;"",",",""),"¥",""),"￥","")),0))</f>
        <v/>
      </c>
      <c r="G1358">
        <f>IF(ISNUMBER(B1358),YEAR(B1358),"")</f>
        <v/>
      </c>
      <c r="H1358">
        <f>IF(ISNUMBER(B1358),MONTH(B1358),"")</f>
        <v/>
      </c>
      <c r="I1358">
        <f>IFERROR(IF($B$1=0,"",IF(ISNUMBER(INDEX(貼り付け!$A$1:$BZ$3001,1357,$B$1)),"",SUBSTITUTE(SUBSTITUTE(SUBSTITUTE(SUBSTITUTE(TRIM(LEFT(INDEX(貼り付け!$A$1:$BZ$3001,1357,$B$1)&amp;"",FIND(" ",TRIM(INDEX(貼り付け!$A$1:$BZ$3001,1357,$B$1)&amp;"")&amp;" ")-1)),"/","-"),"年","-"),"月","-"),"日",""))),"")</f>
        <v/>
      </c>
      <c r="J1358">
        <f>IFERROR(MID(I1358,FIND("-",I1358)+1,99),"")</f>
        <v/>
      </c>
    </row>
    <row r="1359">
      <c r="B1359">
        <f>IFERROR(IF($B$1=0,"",IF(INDEX(貼り付け!$A$1:$BZ$3001,1358,$B$1)="","",IF(ISNUMBER(INDEX(貼り付け!$A$1:$BZ$3001,1358,$B$1)),INT(INDEX(貼り付け!$A$1:$BZ$3001,1358,$B$1)),DATE(VALUE(LEFT(I1359,FIND("-",I1359)-1)),VALUE(LEFT(J1359,FIND("-",J1359)-1)),VALUE(MID(J1359,FIND("-",J1359)+1,99)))))),"")</f>
        <v/>
      </c>
      <c r="C1359">
        <f>IF($C$1=0,0,IFERROR(VALUE(SUBSTITUTE(SUBSTITUTE(SUBSTITUTE(INDEX(貼り付け!$A$1:$BZ$3001,1358,$C$1)&amp;"",",",""),"¥",""),"￥","")),0))</f>
        <v/>
      </c>
      <c r="D1359">
        <f>IF($D$1=0,0,IFERROR(VALUE(SUBSTITUTE(SUBSTITUTE(SUBSTITUTE(INDEX(貼り付け!$A$1:$BZ$3001,1358,$D$1)&amp;"",",",""),"¥",""),"￥","")),0))</f>
        <v/>
      </c>
      <c r="E1359">
        <f>IF($E$1=0,0,IFERROR(VALUE(SUBSTITUTE(SUBSTITUTE(SUBSTITUTE(INDEX(貼り付け!$A$1:$BZ$3001,1358,$E$1)&amp;"",",",""),"¥",""),"￥","")),0))</f>
        <v/>
      </c>
      <c r="F1359">
        <f>IF($F$1=0,0,IFERROR(VALUE(SUBSTITUTE(SUBSTITUTE(SUBSTITUTE(INDEX(貼り付け!$A$1:$BZ$3001,1358,$F$1)&amp;"",",",""),"¥",""),"￥","")),0))</f>
        <v/>
      </c>
      <c r="G1359">
        <f>IF(ISNUMBER(B1359),YEAR(B1359),"")</f>
        <v/>
      </c>
      <c r="H1359">
        <f>IF(ISNUMBER(B1359),MONTH(B1359),"")</f>
        <v/>
      </c>
      <c r="I1359">
        <f>IFERROR(IF($B$1=0,"",IF(ISNUMBER(INDEX(貼り付け!$A$1:$BZ$3001,1358,$B$1)),"",SUBSTITUTE(SUBSTITUTE(SUBSTITUTE(SUBSTITUTE(TRIM(LEFT(INDEX(貼り付け!$A$1:$BZ$3001,1358,$B$1)&amp;"",FIND(" ",TRIM(INDEX(貼り付け!$A$1:$BZ$3001,1358,$B$1)&amp;"")&amp;" ")-1)),"/","-"),"年","-"),"月","-"),"日",""))),"")</f>
        <v/>
      </c>
      <c r="J1359">
        <f>IFERROR(MID(I1359,FIND("-",I1359)+1,99),"")</f>
        <v/>
      </c>
    </row>
    <row r="1360">
      <c r="B1360">
        <f>IFERROR(IF($B$1=0,"",IF(INDEX(貼り付け!$A$1:$BZ$3001,1359,$B$1)="","",IF(ISNUMBER(INDEX(貼り付け!$A$1:$BZ$3001,1359,$B$1)),INT(INDEX(貼り付け!$A$1:$BZ$3001,1359,$B$1)),DATE(VALUE(LEFT(I1360,FIND("-",I1360)-1)),VALUE(LEFT(J1360,FIND("-",J1360)-1)),VALUE(MID(J1360,FIND("-",J1360)+1,99)))))),"")</f>
        <v/>
      </c>
      <c r="C1360">
        <f>IF($C$1=0,0,IFERROR(VALUE(SUBSTITUTE(SUBSTITUTE(SUBSTITUTE(INDEX(貼り付け!$A$1:$BZ$3001,1359,$C$1)&amp;"",",",""),"¥",""),"￥","")),0))</f>
        <v/>
      </c>
      <c r="D1360">
        <f>IF($D$1=0,0,IFERROR(VALUE(SUBSTITUTE(SUBSTITUTE(SUBSTITUTE(INDEX(貼り付け!$A$1:$BZ$3001,1359,$D$1)&amp;"",",",""),"¥",""),"￥","")),0))</f>
        <v/>
      </c>
      <c r="E1360">
        <f>IF($E$1=0,0,IFERROR(VALUE(SUBSTITUTE(SUBSTITUTE(SUBSTITUTE(INDEX(貼り付け!$A$1:$BZ$3001,1359,$E$1)&amp;"",",",""),"¥",""),"￥","")),0))</f>
        <v/>
      </c>
      <c r="F1360">
        <f>IF($F$1=0,0,IFERROR(VALUE(SUBSTITUTE(SUBSTITUTE(SUBSTITUTE(INDEX(貼り付け!$A$1:$BZ$3001,1359,$F$1)&amp;"",",",""),"¥",""),"￥","")),0))</f>
        <v/>
      </c>
      <c r="G1360">
        <f>IF(ISNUMBER(B1360),YEAR(B1360),"")</f>
        <v/>
      </c>
      <c r="H1360">
        <f>IF(ISNUMBER(B1360),MONTH(B1360),"")</f>
        <v/>
      </c>
      <c r="I1360">
        <f>IFERROR(IF($B$1=0,"",IF(ISNUMBER(INDEX(貼り付け!$A$1:$BZ$3001,1359,$B$1)),"",SUBSTITUTE(SUBSTITUTE(SUBSTITUTE(SUBSTITUTE(TRIM(LEFT(INDEX(貼り付け!$A$1:$BZ$3001,1359,$B$1)&amp;"",FIND(" ",TRIM(INDEX(貼り付け!$A$1:$BZ$3001,1359,$B$1)&amp;"")&amp;" ")-1)),"/","-"),"年","-"),"月","-"),"日",""))),"")</f>
        <v/>
      </c>
      <c r="J1360">
        <f>IFERROR(MID(I1360,FIND("-",I1360)+1,99),"")</f>
        <v/>
      </c>
    </row>
    <row r="1361">
      <c r="B1361">
        <f>IFERROR(IF($B$1=0,"",IF(INDEX(貼り付け!$A$1:$BZ$3001,1360,$B$1)="","",IF(ISNUMBER(INDEX(貼り付け!$A$1:$BZ$3001,1360,$B$1)),INT(INDEX(貼り付け!$A$1:$BZ$3001,1360,$B$1)),DATE(VALUE(LEFT(I1361,FIND("-",I1361)-1)),VALUE(LEFT(J1361,FIND("-",J1361)-1)),VALUE(MID(J1361,FIND("-",J1361)+1,99)))))),"")</f>
        <v/>
      </c>
      <c r="C1361">
        <f>IF($C$1=0,0,IFERROR(VALUE(SUBSTITUTE(SUBSTITUTE(SUBSTITUTE(INDEX(貼り付け!$A$1:$BZ$3001,1360,$C$1)&amp;"",",",""),"¥",""),"￥","")),0))</f>
        <v/>
      </c>
      <c r="D1361">
        <f>IF($D$1=0,0,IFERROR(VALUE(SUBSTITUTE(SUBSTITUTE(SUBSTITUTE(INDEX(貼り付け!$A$1:$BZ$3001,1360,$D$1)&amp;"",",",""),"¥",""),"￥","")),0))</f>
        <v/>
      </c>
      <c r="E1361">
        <f>IF($E$1=0,0,IFERROR(VALUE(SUBSTITUTE(SUBSTITUTE(SUBSTITUTE(INDEX(貼り付け!$A$1:$BZ$3001,1360,$E$1)&amp;"",",",""),"¥",""),"￥","")),0))</f>
        <v/>
      </c>
      <c r="F1361">
        <f>IF($F$1=0,0,IFERROR(VALUE(SUBSTITUTE(SUBSTITUTE(SUBSTITUTE(INDEX(貼り付け!$A$1:$BZ$3001,1360,$F$1)&amp;"",",",""),"¥",""),"￥","")),0))</f>
        <v/>
      </c>
      <c r="G1361">
        <f>IF(ISNUMBER(B1361),YEAR(B1361),"")</f>
        <v/>
      </c>
      <c r="H1361">
        <f>IF(ISNUMBER(B1361),MONTH(B1361),"")</f>
        <v/>
      </c>
      <c r="I1361">
        <f>IFERROR(IF($B$1=0,"",IF(ISNUMBER(INDEX(貼り付け!$A$1:$BZ$3001,1360,$B$1)),"",SUBSTITUTE(SUBSTITUTE(SUBSTITUTE(SUBSTITUTE(TRIM(LEFT(INDEX(貼り付け!$A$1:$BZ$3001,1360,$B$1)&amp;"",FIND(" ",TRIM(INDEX(貼り付け!$A$1:$BZ$3001,1360,$B$1)&amp;"")&amp;" ")-1)),"/","-"),"年","-"),"月","-"),"日",""))),"")</f>
        <v/>
      </c>
      <c r="J1361">
        <f>IFERROR(MID(I1361,FIND("-",I1361)+1,99),"")</f>
        <v/>
      </c>
    </row>
    <row r="1362">
      <c r="B1362">
        <f>IFERROR(IF($B$1=0,"",IF(INDEX(貼り付け!$A$1:$BZ$3001,1361,$B$1)="","",IF(ISNUMBER(INDEX(貼り付け!$A$1:$BZ$3001,1361,$B$1)),INT(INDEX(貼り付け!$A$1:$BZ$3001,1361,$B$1)),DATE(VALUE(LEFT(I1362,FIND("-",I1362)-1)),VALUE(LEFT(J1362,FIND("-",J1362)-1)),VALUE(MID(J1362,FIND("-",J1362)+1,99)))))),"")</f>
        <v/>
      </c>
      <c r="C1362">
        <f>IF($C$1=0,0,IFERROR(VALUE(SUBSTITUTE(SUBSTITUTE(SUBSTITUTE(INDEX(貼り付け!$A$1:$BZ$3001,1361,$C$1)&amp;"",",",""),"¥",""),"￥","")),0))</f>
        <v/>
      </c>
      <c r="D1362">
        <f>IF($D$1=0,0,IFERROR(VALUE(SUBSTITUTE(SUBSTITUTE(SUBSTITUTE(INDEX(貼り付け!$A$1:$BZ$3001,1361,$D$1)&amp;"",",",""),"¥",""),"￥","")),0))</f>
        <v/>
      </c>
      <c r="E1362">
        <f>IF($E$1=0,0,IFERROR(VALUE(SUBSTITUTE(SUBSTITUTE(SUBSTITUTE(INDEX(貼り付け!$A$1:$BZ$3001,1361,$E$1)&amp;"",",",""),"¥",""),"￥","")),0))</f>
        <v/>
      </c>
      <c r="F1362">
        <f>IF($F$1=0,0,IFERROR(VALUE(SUBSTITUTE(SUBSTITUTE(SUBSTITUTE(INDEX(貼り付け!$A$1:$BZ$3001,1361,$F$1)&amp;"",",",""),"¥",""),"￥","")),0))</f>
        <v/>
      </c>
      <c r="G1362">
        <f>IF(ISNUMBER(B1362),YEAR(B1362),"")</f>
        <v/>
      </c>
      <c r="H1362">
        <f>IF(ISNUMBER(B1362),MONTH(B1362),"")</f>
        <v/>
      </c>
      <c r="I1362">
        <f>IFERROR(IF($B$1=0,"",IF(ISNUMBER(INDEX(貼り付け!$A$1:$BZ$3001,1361,$B$1)),"",SUBSTITUTE(SUBSTITUTE(SUBSTITUTE(SUBSTITUTE(TRIM(LEFT(INDEX(貼り付け!$A$1:$BZ$3001,1361,$B$1)&amp;"",FIND(" ",TRIM(INDEX(貼り付け!$A$1:$BZ$3001,1361,$B$1)&amp;"")&amp;" ")-1)),"/","-"),"年","-"),"月","-"),"日",""))),"")</f>
        <v/>
      </c>
      <c r="J1362">
        <f>IFERROR(MID(I1362,FIND("-",I1362)+1,99),"")</f>
        <v/>
      </c>
    </row>
    <row r="1363">
      <c r="B1363">
        <f>IFERROR(IF($B$1=0,"",IF(INDEX(貼り付け!$A$1:$BZ$3001,1362,$B$1)="","",IF(ISNUMBER(INDEX(貼り付け!$A$1:$BZ$3001,1362,$B$1)),INT(INDEX(貼り付け!$A$1:$BZ$3001,1362,$B$1)),DATE(VALUE(LEFT(I1363,FIND("-",I1363)-1)),VALUE(LEFT(J1363,FIND("-",J1363)-1)),VALUE(MID(J1363,FIND("-",J1363)+1,99)))))),"")</f>
        <v/>
      </c>
      <c r="C1363">
        <f>IF($C$1=0,0,IFERROR(VALUE(SUBSTITUTE(SUBSTITUTE(SUBSTITUTE(INDEX(貼り付け!$A$1:$BZ$3001,1362,$C$1)&amp;"",",",""),"¥",""),"￥","")),0))</f>
        <v/>
      </c>
      <c r="D1363">
        <f>IF($D$1=0,0,IFERROR(VALUE(SUBSTITUTE(SUBSTITUTE(SUBSTITUTE(INDEX(貼り付け!$A$1:$BZ$3001,1362,$D$1)&amp;"",",",""),"¥",""),"￥","")),0))</f>
        <v/>
      </c>
      <c r="E1363">
        <f>IF($E$1=0,0,IFERROR(VALUE(SUBSTITUTE(SUBSTITUTE(SUBSTITUTE(INDEX(貼り付け!$A$1:$BZ$3001,1362,$E$1)&amp;"",",",""),"¥",""),"￥","")),0))</f>
        <v/>
      </c>
      <c r="F1363">
        <f>IF($F$1=0,0,IFERROR(VALUE(SUBSTITUTE(SUBSTITUTE(SUBSTITUTE(INDEX(貼り付け!$A$1:$BZ$3001,1362,$F$1)&amp;"",",",""),"¥",""),"￥","")),0))</f>
        <v/>
      </c>
      <c r="G1363">
        <f>IF(ISNUMBER(B1363),YEAR(B1363),"")</f>
        <v/>
      </c>
      <c r="H1363">
        <f>IF(ISNUMBER(B1363),MONTH(B1363),"")</f>
        <v/>
      </c>
      <c r="I1363">
        <f>IFERROR(IF($B$1=0,"",IF(ISNUMBER(INDEX(貼り付け!$A$1:$BZ$3001,1362,$B$1)),"",SUBSTITUTE(SUBSTITUTE(SUBSTITUTE(SUBSTITUTE(TRIM(LEFT(INDEX(貼り付け!$A$1:$BZ$3001,1362,$B$1)&amp;"",FIND(" ",TRIM(INDEX(貼り付け!$A$1:$BZ$3001,1362,$B$1)&amp;"")&amp;" ")-1)),"/","-"),"年","-"),"月","-"),"日",""))),"")</f>
        <v/>
      </c>
      <c r="J1363">
        <f>IFERROR(MID(I1363,FIND("-",I1363)+1,99),"")</f>
        <v/>
      </c>
    </row>
    <row r="1364">
      <c r="B1364">
        <f>IFERROR(IF($B$1=0,"",IF(INDEX(貼り付け!$A$1:$BZ$3001,1363,$B$1)="","",IF(ISNUMBER(INDEX(貼り付け!$A$1:$BZ$3001,1363,$B$1)),INT(INDEX(貼り付け!$A$1:$BZ$3001,1363,$B$1)),DATE(VALUE(LEFT(I1364,FIND("-",I1364)-1)),VALUE(LEFT(J1364,FIND("-",J1364)-1)),VALUE(MID(J1364,FIND("-",J1364)+1,99)))))),"")</f>
        <v/>
      </c>
      <c r="C1364">
        <f>IF($C$1=0,0,IFERROR(VALUE(SUBSTITUTE(SUBSTITUTE(SUBSTITUTE(INDEX(貼り付け!$A$1:$BZ$3001,1363,$C$1)&amp;"",",",""),"¥",""),"￥","")),0))</f>
        <v/>
      </c>
      <c r="D1364">
        <f>IF($D$1=0,0,IFERROR(VALUE(SUBSTITUTE(SUBSTITUTE(SUBSTITUTE(INDEX(貼り付け!$A$1:$BZ$3001,1363,$D$1)&amp;"",",",""),"¥",""),"￥","")),0))</f>
        <v/>
      </c>
      <c r="E1364">
        <f>IF($E$1=0,0,IFERROR(VALUE(SUBSTITUTE(SUBSTITUTE(SUBSTITUTE(INDEX(貼り付け!$A$1:$BZ$3001,1363,$E$1)&amp;"",",",""),"¥",""),"￥","")),0))</f>
        <v/>
      </c>
      <c r="F1364">
        <f>IF($F$1=0,0,IFERROR(VALUE(SUBSTITUTE(SUBSTITUTE(SUBSTITUTE(INDEX(貼り付け!$A$1:$BZ$3001,1363,$F$1)&amp;"",",",""),"¥",""),"￥","")),0))</f>
        <v/>
      </c>
      <c r="G1364">
        <f>IF(ISNUMBER(B1364),YEAR(B1364),"")</f>
        <v/>
      </c>
      <c r="H1364">
        <f>IF(ISNUMBER(B1364),MONTH(B1364),"")</f>
        <v/>
      </c>
      <c r="I1364">
        <f>IFERROR(IF($B$1=0,"",IF(ISNUMBER(INDEX(貼り付け!$A$1:$BZ$3001,1363,$B$1)),"",SUBSTITUTE(SUBSTITUTE(SUBSTITUTE(SUBSTITUTE(TRIM(LEFT(INDEX(貼り付け!$A$1:$BZ$3001,1363,$B$1)&amp;"",FIND(" ",TRIM(INDEX(貼り付け!$A$1:$BZ$3001,1363,$B$1)&amp;"")&amp;" ")-1)),"/","-"),"年","-"),"月","-"),"日",""))),"")</f>
        <v/>
      </c>
      <c r="J1364">
        <f>IFERROR(MID(I1364,FIND("-",I1364)+1,99),"")</f>
        <v/>
      </c>
    </row>
    <row r="1365">
      <c r="B1365">
        <f>IFERROR(IF($B$1=0,"",IF(INDEX(貼り付け!$A$1:$BZ$3001,1364,$B$1)="","",IF(ISNUMBER(INDEX(貼り付け!$A$1:$BZ$3001,1364,$B$1)),INT(INDEX(貼り付け!$A$1:$BZ$3001,1364,$B$1)),DATE(VALUE(LEFT(I1365,FIND("-",I1365)-1)),VALUE(LEFT(J1365,FIND("-",J1365)-1)),VALUE(MID(J1365,FIND("-",J1365)+1,99)))))),"")</f>
        <v/>
      </c>
      <c r="C1365">
        <f>IF($C$1=0,0,IFERROR(VALUE(SUBSTITUTE(SUBSTITUTE(SUBSTITUTE(INDEX(貼り付け!$A$1:$BZ$3001,1364,$C$1)&amp;"",",",""),"¥",""),"￥","")),0))</f>
        <v/>
      </c>
      <c r="D1365">
        <f>IF($D$1=0,0,IFERROR(VALUE(SUBSTITUTE(SUBSTITUTE(SUBSTITUTE(INDEX(貼り付け!$A$1:$BZ$3001,1364,$D$1)&amp;"",",",""),"¥",""),"￥","")),0))</f>
        <v/>
      </c>
      <c r="E1365">
        <f>IF($E$1=0,0,IFERROR(VALUE(SUBSTITUTE(SUBSTITUTE(SUBSTITUTE(INDEX(貼り付け!$A$1:$BZ$3001,1364,$E$1)&amp;"",",",""),"¥",""),"￥","")),0))</f>
        <v/>
      </c>
      <c r="F1365">
        <f>IF($F$1=0,0,IFERROR(VALUE(SUBSTITUTE(SUBSTITUTE(SUBSTITUTE(INDEX(貼り付け!$A$1:$BZ$3001,1364,$F$1)&amp;"",",",""),"¥",""),"￥","")),0))</f>
        <v/>
      </c>
      <c r="G1365">
        <f>IF(ISNUMBER(B1365),YEAR(B1365),"")</f>
        <v/>
      </c>
      <c r="H1365">
        <f>IF(ISNUMBER(B1365),MONTH(B1365),"")</f>
        <v/>
      </c>
      <c r="I1365">
        <f>IFERROR(IF($B$1=0,"",IF(ISNUMBER(INDEX(貼り付け!$A$1:$BZ$3001,1364,$B$1)),"",SUBSTITUTE(SUBSTITUTE(SUBSTITUTE(SUBSTITUTE(TRIM(LEFT(INDEX(貼り付け!$A$1:$BZ$3001,1364,$B$1)&amp;"",FIND(" ",TRIM(INDEX(貼り付け!$A$1:$BZ$3001,1364,$B$1)&amp;"")&amp;" ")-1)),"/","-"),"年","-"),"月","-"),"日",""))),"")</f>
        <v/>
      </c>
      <c r="J1365">
        <f>IFERROR(MID(I1365,FIND("-",I1365)+1,99),"")</f>
        <v/>
      </c>
    </row>
    <row r="1366">
      <c r="B1366">
        <f>IFERROR(IF($B$1=0,"",IF(INDEX(貼り付け!$A$1:$BZ$3001,1365,$B$1)="","",IF(ISNUMBER(INDEX(貼り付け!$A$1:$BZ$3001,1365,$B$1)),INT(INDEX(貼り付け!$A$1:$BZ$3001,1365,$B$1)),DATE(VALUE(LEFT(I1366,FIND("-",I1366)-1)),VALUE(LEFT(J1366,FIND("-",J1366)-1)),VALUE(MID(J1366,FIND("-",J1366)+1,99)))))),"")</f>
        <v/>
      </c>
      <c r="C1366">
        <f>IF($C$1=0,0,IFERROR(VALUE(SUBSTITUTE(SUBSTITUTE(SUBSTITUTE(INDEX(貼り付け!$A$1:$BZ$3001,1365,$C$1)&amp;"",",",""),"¥",""),"￥","")),0))</f>
        <v/>
      </c>
      <c r="D1366">
        <f>IF($D$1=0,0,IFERROR(VALUE(SUBSTITUTE(SUBSTITUTE(SUBSTITUTE(INDEX(貼り付け!$A$1:$BZ$3001,1365,$D$1)&amp;"",",",""),"¥",""),"￥","")),0))</f>
        <v/>
      </c>
      <c r="E1366">
        <f>IF($E$1=0,0,IFERROR(VALUE(SUBSTITUTE(SUBSTITUTE(SUBSTITUTE(INDEX(貼り付け!$A$1:$BZ$3001,1365,$E$1)&amp;"",",",""),"¥",""),"￥","")),0))</f>
        <v/>
      </c>
      <c r="F1366">
        <f>IF($F$1=0,0,IFERROR(VALUE(SUBSTITUTE(SUBSTITUTE(SUBSTITUTE(INDEX(貼り付け!$A$1:$BZ$3001,1365,$F$1)&amp;"",",",""),"¥",""),"￥","")),0))</f>
        <v/>
      </c>
      <c r="G1366">
        <f>IF(ISNUMBER(B1366),YEAR(B1366),"")</f>
        <v/>
      </c>
      <c r="H1366">
        <f>IF(ISNUMBER(B1366),MONTH(B1366),"")</f>
        <v/>
      </c>
      <c r="I1366">
        <f>IFERROR(IF($B$1=0,"",IF(ISNUMBER(INDEX(貼り付け!$A$1:$BZ$3001,1365,$B$1)),"",SUBSTITUTE(SUBSTITUTE(SUBSTITUTE(SUBSTITUTE(TRIM(LEFT(INDEX(貼り付け!$A$1:$BZ$3001,1365,$B$1)&amp;"",FIND(" ",TRIM(INDEX(貼り付け!$A$1:$BZ$3001,1365,$B$1)&amp;"")&amp;" ")-1)),"/","-"),"年","-"),"月","-"),"日",""))),"")</f>
        <v/>
      </c>
      <c r="J1366">
        <f>IFERROR(MID(I1366,FIND("-",I1366)+1,99),"")</f>
        <v/>
      </c>
    </row>
    <row r="1367">
      <c r="B1367">
        <f>IFERROR(IF($B$1=0,"",IF(INDEX(貼り付け!$A$1:$BZ$3001,1366,$B$1)="","",IF(ISNUMBER(INDEX(貼り付け!$A$1:$BZ$3001,1366,$B$1)),INT(INDEX(貼り付け!$A$1:$BZ$3001,1366,$B$1)),DATE(VALUE(LEFT(I1367,FIND("-",I1367)-1)),VALUE(LEFT(J1367,FIND("-",J1367)-1)),VALUE(MID(J1367,FIND("-",J1367)+1,99)))))),"")</f>
        <v/>
      </c>
      <c r="C1367">
        <f>IF($C$1=0,0,IFERROR(VALUE(SUBSTITUTE(SUBSTITUTE(SUBSTITUTE(INDEX(貼り付け!$A$1:$BZ$3001,1366,$C$1)&amp;"",",",""),"¥",""),"￥","")),0))</f>
        <v/>
      </c>
      <c r="D1367">
        <f>IF($D$1=0,0,IFERROR(VALUE(SUBSTITUTE(SUBSTITUTE(SUBSTITUTE(INDEX(貼り付け!$A$1:$BZ$3001,1366,$D$1)&amp;"",",",""),"¥",""),"￥","")),0))</f>
        <v/>
      </c>
      <c r="E1367">
        <f>IF($E$1=0,0,IFERROR(VALUE(SUBSTITUTE(SUBSTITUTE(SUBSTITUTE(INDEX(貼り付け!$A$1:$BZ$3001,1366,$E$1)&amp;"",",",""),"¥",""),"￥","")),0))</f>
        <v/>
      </c>
      <c r="F1367">
        <f>IF($F$1=0,0,IFERROR(VALUE(SUBSTITUTE(SUBSTITUTE(SUBSTITUTE(INDEX(貼り付け!$A$1:$BZ$3001,1366,$F$1)&amp;"",",",""),"¥",""),"￥","")),0))</f>
        <v/>
      </c>
      <c r="G1367">
        <f>IF(ISNUMBER(B1367),YEAR(B1367),"")</f>
        <v/>
      </c>
      <c r="H1367">
        <f>IF(ISNUMBER(B1367),MONTH(B1367),"")</f>
        <v/>
      </c>
      <c r="I1367">
        <f>IFERROR(IF($B$1=0,"",IF(ISNUMBER(INDEX(貼り付け!$A$1:$BZ$3001,1366,$B$1)),"",SUBSTITUTE(SUBSTITUTE(SUBSTITUTE(SUBSTITUTE(TRIM(LEFT(INDEX(貼り付け!$A$1:$BZ$3001,1366,$B$1)&amp;"",FIND(" ",TRIM(INDEX(貼り付け!$A$1:$BZ$3001,1366,$B$1)&amp;"")&amp;" ")-1)),"/","-"),"年","-"),"月","-"),"日",""))),"")</f>
        <v/>
      </c>
      <c r="J1367">
        <f>IFERROR(MID(I1367,FIND("-",I1367)+1,99),"")</f>
        <v/>
      </c>
    </row>
    <row r="1368">
      <c r="B1368">
        <f>IFERROR(IF($B$1=0,"",IF(INDEX(貼り付け!$A$1:$BZ$3001,1367,$B$1)="","",IF(ISNUMBER(INDEX(貼り付け!$A$1:$BZ$3001,1367,$B$1)),INT(INDEX(貼り付け!$A$1:$BZ$3001,1367,$B$1)),DATE(VALUE(LEFT(I1368,FIND("-",I1368)-1)),VALUE(LEFT(J1368,FIND("-",J1368)-1)),VALUE(MID(J1368,FIND("-",J1368)+1,99)))))),"")</f>
        <v/>
      </c>
      <c r="C1368">
        <f>IF($C$1=0,0,IFERROR(VALUE(SUBSTITUTE(SUBSTITUTE(SUBSTITUTE(INDEX(貼り付け!$A$1:$BZ$3001,1367,$C$1)&amp;"",",",""),"¥",""),"￥","")),0))</f>
        <v/>
      </c>
      <c r="D1368">
        <f>IF($D$1=0,0,IFERROR(VALUE(SUBSTITUTE(SUBSTITUTE(SUBSTITUTE(INDEX(貼り付け!$A$1:$BZ$3001,1367,$D$1)&amp;"",",",""),"¥",""),"￥","")),0))</f>
        <v/>
      </c>
      <c r="E1368">
        <f>IF($E$1=0,0,IFERROR(VALUE(SUBSTITUTE(SUBSTITUTE(SUBSTITUTE(INDEX(貼り付け!$A$1:$BZ$3001,1367,$E$1)&amp;"",",",""),"¥",""),"￥","")),0))</f>
        <v/>
      </c>
      <c r="F1368">
        <f>IF($F$1=0,0,IFERROR(VALUE(SUBSTITUTE(SUBSTITUTE(SUBSTITUTE(INDEX(貼り付け!$A$1:$BZ$3001,1367,$F$1)&amp;"",",",""),"¥",""),"￥","")),0))</f>
        <v/>
      </c>
      <c r="G1368">
        <f>IF(ISNUMBER(B1368),YEAR(B1368),"")</f>
        <v/>
      </c>
      <c r="H1368">
        <f>IF(ISNUMBER(B1368),MONTH(B1368),"")</f>
        <v/>
      </c>
      <c r="I1368">
        <f>IFERROR(IF($B$1=0,"",IF(ISNUMBER(INDEX(貼り付け!$A$1:$BZ$3001,1367,$B$1)),"",SUBSTITUTE(SUBSTITUTE(SUBSTITUTE(SUBSTITUTE(TRIM(LEFT(INDEX(貼り付け!$A$1:$BZ$3001,1367,$B$1)&amp;"",FIND(" ",TRIM(INDEX(貼り付け!$A$1:$BZ$3001,1367,$B$1)&amp;"")&amp;" ")-1)),"/","-"),"年","-"),"月","-"),"日",""))),"")</f>
        <v/>
      </c>
      <c r="J1368">
        <f>IFERROR(MID(I1368,FIND("-",I1368)+1,99),"")</f>
        <v/>
      </c>
    </row>
    <row r="1369">
      <c r="B1369">
        <f>IFERROR(IF($B$1=0,"",IF(INDEX(貼り付け!$A$1:$BZ$3001,1368,$B$1)="","",IF(ISNUMBER(INDEX(貼り付け!$A$1:$BZ$3001,1368,$B$1)),INT(INDEX(貼り付け!$A$1:$BZ$3001,1368,$B$1)),DATE(VALUE(LEFT(I1369,FIND("-",I1369)-1)),VALUE(LEFT(J1369,FIND("-",J1369)-1)),VALUE(MID(J1369,FIND("-",J1369)+1,99)))))),"")</f>
        <v/>
      </c>
      <c r="C1369">
        <f>IF($C$1=0,0,IFERROR(VALUE(SUBSTITUTE(SUBSTITUTE(SUBSTITUTE(INDEX(貼り付け!$A$1:$BZ$3001,1368,$C$1)&amp;"",",",""),"¥",""),"￥","")),0))</f>
        <v/>
      </c>
      <c r="D1369">
        <f>IF($D$1=0,0,IFERROR(VALUE(SUBSTITUTE(SUBSTITUTE(SUBSTITUTE(INDEX(貼り付け!$A$1:$BZ$3001,1368,$D$1)&amp;"",",",""),"¥",""),"￥","")),0))</f>
        <v/>
      </c>
      <c r="E1369">
        <f>IF($E$1=0,0,IFERROR(VALUE(SUBSTITUTE(SUBSTITUTE(SUBSTITUTE(INDEX(貼り付け!$A$1:$BZ$3001,1368,$E$1)&amp;"",",",""),"¥",""),"￥","")),0))</f>
        <v/>
      </c>
      <c r="F1369">
        <f>IF($F$1=0,0,IFERROR(VALUE(SUBSTITUTE(SUBSTITUTE(SUBSTITUTE(INDEX(貼り付け!$A$1:$BZ$3001,1368,$F$1)&amp;"",",",""),"¥",""),"￥","")),0))</f>
        <v/>
      </c>
      <c r="G1369">
        <f>IF(ISNUMBER(B1369),YEAR(B1369),"")</f>
        <v/>
      </c>
      <c r="H1369">
        <f>IF(ISNUMBER(B1369),MONTH(B1369),"")</f>
        <v/>
      </c>
      <c r="I1369">
        <f>IFERROR(IF($B$1=0,"",IF(ISNUMBER(INDEX(貼り付け!$A$1:$BZ$3001,1368,$B$1)),"",SUBSTITUTE(SUBSTITUTE(SUBSTITUTE(SUBSTITUTE(TRIM(LEFT(INDEX(貼り付け!$A$1:$BZ$3001,1368,$B$1)&amp;"",FIND(" ",TRIM(INDEX(貼り付け!$A$1:$BZ$3001,1368,$B$1)&amp;"")&amp;" ")-1)),"/","-"),"年","-"),"月","-"),"日",""))),"")</f>
        <v/>
      </c>
      <c r="J1369">
        <f>IFERROR(MID(I1369,FIND("-",I1369)+1,99),"")</f>
        <v/>
      </c>
    </row>
    <row r="1370">
      <c r="B1370">
        <f>IFERROR(IF($B$1=0,"",IF(INDEX(貼り付け!$A$1:$BZ$3001,1369,$B$1)="","",IF(ISNUMBER(INDEX(貼り付け!$A$1:$BZ$3001,1369,$B$1)),INT(INDEX(貼り付け!$A$1:$BZ$3001,1369,$B$1)),DATE(VALUE(LEFT(I1370,FIND("-",I1370)-1)),VALUE(LEFT(J1370,FIND("-",J1370)-1)),VALUE(MID(J1370,FIND("-",J1370)+1,99)))))),"")</f>
        <v/>
      </c>
      <c r="C1370">
        <f>IF($C$1=0,0,IFERROR(VALUE(SUBSTITUTE(SUBSTITUTE(SUBSTITUTE(INDEX(貼り付け!$A$1:$BZ$3001,1369,$C$1)&amp;"",",",""),"¥",""),"￥","")),0))</f>
        <v/>
      </c>
      <c r="D1370">
        <f>IF($D$1=0,0,IFERROR(VALUE(SUBSTITUTE(SUBSTITUTE(SUBSTITUTE(INDEX(貼り付け!$A$1:$BZ$3001,1369,$D$1)&amp;"",",",""),"¥",""),"￥","")),0))</f>
        <v/>
      </c>
      <c r="E1370">
        <f>IF($E$1=0,0,IFERROR(VALUE(SUBSTITUTE(SUBSTITUTE(SUBSTITUTE(INDEX(貼り付け!$A$1:$BZ$3001,1369,$E$1)&amp;"",",",""),"¥",""),"￥","")),0))</f>
        <v/>
      </c>
      <c r="F1370">
        <f>IF($F$1=0,0,IFERROR(VALUE(SUBSTITUTE(SUBSTITUTE(SUBSTITUTE(INDEX(貼り付け!$A$1:$BZ$3001,1369,$F$1)&amp;"",",",""),"¥",""),"￥","")),0))</f>
        <v/>
      </c>
      <c r="G1370">
        <f>IF(ISNUMBER(B1370),YEAR(B1370),"")</f>
        <v/>
      </c>
      <c r="H1370">
        <f>IF(ISNUMBER(B1370),MONTH(B1370),"")</f>
        <v/>
      </c>
      <c r="I1370">
        <f>IFERROR(IF($B$1=0,"",IF(ISNUMBER(INDEX(貼り付け!$A$1:$BZ$3001,1369,$B$1)),"",SUBSTITUTE(SUBSTITUTE(SUBSTITUTE(SUBSTITUTE(TRIM(LEFT(INDEX(貼り付け!$A$1:$BZ$3001,1369,$B$1)&amp;"",FIND(" ",TRIM(INDEX(貼り付け!$A$1:$BZ$3001,1369,$B$1)&amp;"")&amp;" ")-1)),"/","-"),"年","-"),"月","-"),"日",""))),"")</f>
        <v/>
      </c>
      <c r="J1370">
        <f>IFERROR(MID(I1370,FIND("-",I1370)+1,99),"")</f>
        <v/>
      </c>
    </row>
    <row r="1371">
      <c r="B1371">
        <f>IFERROR(IF($B$1=0,"",IF(INDEX(貼り付け!$A$1:$BZ$3001,1370,$B$1)="","",IF(ISNUMBER(INDEX(貼り付け!$A$1:$BZ$3001,1370,$B$1)),INT(INDEX(貼り付け!$A$1:$BZ$3001,1370,$B$1)),DATE(VALUE(LEFT(I1371,FIND("-",I1371)-1)),VALUE(LEFT(J1371,FIND("-",J1371)-1)),VALUE(MID(J1371,FIND("-",J1371)+1,99)))))),"")</f>
        <v/>
      </c>
      <c r="C1371">
        <f>IF($C$1=0,0,IFERROR(VALUE(SUBSTITUTE(SUBSTITUTE(SUBSTITUTE(INDEX(貼り付け!$A$1:$BZ$3001,1370,$C$1)&amp;"",",",""),"¥",""),"￥","")),0))</f>
        <v/>
      </c>
      <c r="D1371">
        <f>IF($D$1=0,0,IFERROR(VALUE(SUBSTITUTE(SUBSTITUTE(SUBSTITUTE(INDEX(貼り付け!$A$1:$BZ$3001,1370,$D$1)&amp;"",",",""),"¥",""),"￥","")),0))</f>
        <v/>
      </c>
      <c r="E1371">
        <f>IF($E$1=0,0,IFERROR(VALUE(SUBSTITUTE(SUBSTITUTE(SUBSTITUTE(INDEX(貼り付け!$A$1:$BZ$3001,1370,$E$1)&amp;"",",",""),"¥",""),"￥","")),0))</f>
        <v/>
      </c>
      <c r="F1371">
        <f>IF($F$1=0,0,IFERROR(VALUE(SUBSTITUTE(SUBSTITUTE(SUBSTITUTE(INDEX(貼り付け!$A$1:$BZ$3001,1370,$F$1)&amp;"",",",""),"¥",""),"￥","")),0))</f>
        <v/>
      </c>
      <c r="G1371">
        <f>IF(ISNUMBER(B1371),YEAR(B1371),"")</f>
        <v/>
      </c>
      <c r="H1371">
        <f>IF(ISNUMBER(B1371),MONTH(B1371),"")</f>
        <v/>
      </c>
      <c r="I1371">
        <f>IFERROR(IF($B$1=0,"",IF(ISNUMBER(INDEX(貼り付け!$A$1:$BZ$3001,1370,$B$1)),"",SUBSTITUTE(SUBSTITUTE(SUBSTITUTE(SUBSTITUTE(TRIM(LEFT(INDEX(貼り付け!$A$1:$BZ$3001,1370,$B$1)&amp;"",FIND(" ",TRIM(INDEX(貼り付け!$A$1:$BZ$3001,1370,$B$1)&amp;"")&amp;" ")-1)),"/","-"),"年","-"),"月","-"),"日",""))),"")</f>
        <v/>
      </c>
      <c r="J1371">
        <f>IFERROR(MID(I1371,FIND("-",I1371)+1,99),"")</f>
        <v/>
      </c>
    </row>
    <row r="1372">
      <c r="B1372">
        <f>IFERROR(IF($B$1=0,"",IF(INDEX(貼り付け!$A$1:$BZ$3001,1371,$B$1)="","",IF(ISNUMBER(INDEX(貼り付け!$A$1:$BZ$3001,1371,$B$1)),INT(INDEX(貼り付け!$A$1:$BZ$3001,1371,$B$1)),DATE(VALUE(LEFT(I1372,FIND("-",I1372)-1)),VALUE(LEFT(J1372,FIND("-",J1372)-1)),VALUE(MID(J1372,FIND("-",J1372)+1,99)))))),"")</f>
        <v/>
      </c>
      <c r="C1372">
        <f>IF($C$1=0,0,IFERROR(VALUE(SUBSTITUTE(SUBSTITUTE(SUBSTITUTE(INDEX(貼り付け!$A$1:$BZ$3001,1371,$C$1)&amp;"",",",""),"¥",""),"￥","")),0))</f>
        <v/>
      </c>
      <c r="D1372">
        <f>IF($D$1=0,0,IFERROR(VALUE(SUBSTITUTE(SUBSTITUTE(SUBSTITUTE(INDEX(貼り付け!$A$1:$BZ$3001,1371,$D$1)&amp;"",",",""),"¥",""),"￥","")),0))</f>
        <v/>
      </c>
      <c r="E1372">
        <f>IF($E$1=0,0,IFERROR(VALUE(SUBSTITUTE(SUBSTITUTE(SUBSTITUTE(INDEX(貼り付け!$A$1:$BZ$3001,1371,$E$1)&amp;"",",",""),"¥",""),"￥","")),0))</f>
        <v/>
      </c>
      <c r="F1372">
        <f>IF($F$1=0,0,IFERROR(VALUE(SUBSTITUTE(SUBSTITUTE(SUBSTITUTE(INDEX(貼り付け!$A$1:$BZ$3001,1371,$F$1)&amp;"",",",""),"¥",""),"￥","")),0))</f>
        <v/>
      </c>
      <c r="G1372">
        <f>IF(ISNUMBER(B1372),YEAR(B1372),"")</f>
        <v/>
      </c>
      <c r="H1372">
        <f>IF(ISNUMBER(B1372),MONTH(B1372),"")</f>
        <v/>
      </c>
      <c r="I1372">
        <f>IFERROR(IF($B$1=0,"",IF(ISNUMBER(INDEX(貼り付け!$A$1:$BZ$3001,1371,$B$1)),"",SUBSTITUTE(SUBSTITUTE(SUBSTITUTE(SUBSTITUTE(TRIM(LEFT(INDEX(貼り付け!$A$1:$BZ$3001,1371,$B$1)&amp;"",FIND(" ",TRIM(INDEX(貼り付け!$A$1:$BZ$3001,1371,$B$1)&amp;"")&amp;" ")-1)),"/","-"),"年","-"),"月","-"),"日",""))),"")</f>
        <v/>
      </c>
      <c r="J1372">
        <f>IFERROR(MID(I1372,FIND("-",I1372)+1,99),"")</f>
        <v/>
      </c>
    </row>
    <row r="1373">
      <c r="B1373">
        <f>IFERROR(IF($B$1=0,"",IF(INDEX(貼り付け!$A$1:$BZ$3001,1372,$B$1)="","",IF(ISNUMBER(INDEX(貼り付け!$A$1:$BZ$3001,1372,$B$1)),INT(INDEX(貼り付け!$A$1:$BZ$3001,1372,$B$1)),DATE(VALUE(LEFT(I1373,FIND("-",I1373)-1)),VALUE(LEFT(J1373,FIND("-",J1373)-1)),VALUE(MID(J1373,FIND("-",J1373)+1,99)))))),"")</f>
        <v/>
      </c>
      <c r="C1373">
        <f>IF($C$1=0,0,IFERROR(VALUE(SUBSTITUTE(SUBSTITUTE(SUBSTITUTE(INDEX(貼り付け!$A$1:$BZ$3001,1372,$C$1)&amp;"",",",""),"¥",""),"￥","")),0))</f>
        <v/>
      </c>
      <c r="D1373">
        <f>IF($D$1=0,0,IFERROR(VALUE(SUBSTITUTE(SUBSTITUTE(SUBSTITUTE(INDEX(貼り付け!$A$1:$BZ$3001,1372,$D$1)&amp;"",",",""),"¥",""),"￥","")),0))</f>
        <v/>
      </c>
      <c r="E1373">
        <f>IF($E$1=0,0,IFERROR(VALUE(SUBSTITUTE(SUBSTITUTE(SUBSTITUTE(INDEX(貼り付け!$A$1:$BZ$3001,1372,$E$1)&amp;"",",",""),"¥",""),"￥","")),0))</f>
        <v/>
      </c>
      <c r="F1373">
        <f>IF($F$1=0,0,IFERROR(VALUE(SUBSTITUTE(SUBSTITUTE(SUBSTITUTE(INDEX(貼り付け!$A$1:$BZ$3001,1372,$F$1)&amp;"",",",""),"¥",""),"￥","")),0))</f>
        <v/>
      </c>
      <c r="G1373">
        <f>IF(ISNUMBER(B1373),YEAR(B1373),"")</f>
        <v/>
      </c>
      <c r="H1373">
        <f>IF(ISNUMBER(B1373),MONTH(B1373),"")</f>
        <v/>
      </c>
      <c r="I1373">
        <f>IFERROR(IF($B$1=0,"",IF(ISNUMBER(INDEX(貼り付け!$A$1:$BZ$3001,1372,$B$1)),"",SUBSTITUTE(SUBSTITUTE(SUBSTITUTE(SUBSTITUTE(TRIM(LEFT(INDEX(貼り付け!$A$1:$BZ$3001,1372,$B$1)&amp;"",FIND(" ",TRIM(INDEX(貼り付け!$A$1:$BZ$3001,1372,$B$1)&amp;"")&amp;" ")-1)),"/","-"),"年","-"),"月","-"),"日",""))),"")</f>
        <v/>
      </c>
      <c r="J1373">
        <f>IFERROR(MID(I1373,FIND("-",I1373)+1,99),"")</f>
        <v/>
      </c>
    </row>
    <row r="1374">
      <c r="B1374">
        <f>IFERROR(IF($B$1=0,"",IF(INDEX(貼り付け!$A$1:$BZ$3001,1373,$B$1)="","",IF(ISNUMBER(INDEX(貼り付け!$A$1:$BZ$3001,1373,$B$1)),INT(INDEX(貼り付け!$A$1:$BZ$3001,1373,$B$1)),DATE(VALUE(LEFT(I1374,FIND("-",I1374)-1)),VALUE(LEFT(J1374,FIND("-",J1374)-1)),VALUE(MID(J1374,FIND("-",J1374)+1,99)))))),"")</f>
        <v/>
      </c>
      <c r="C1374">
        <f>IF($C$1=0,0,IFERROR(VALUE(SUBSTITUTE(SUBSTITUTE(SUBSTITUTE(INDEX(貼り付け!$A$1:$BZ$3001,1373,$C$1)&amp;"",",",""),"¥",""),"￥","")),0))</f>
        <v/>
      </c>
      <c r="D1374">
        <f>IF($D$1=0,0,IFERROR(VALUE(SUBSTITUTE(SUBSTITUTE(SUBSTITUTE(INDEX(貼り付け!$A$1:$BZ$3001,1373,$D$1)&amp;"",",",""),"¥",""),"￥","")),0))</f>
        <v/>
      </c>
      <c r="E1374">
        <f>IF($E$1=0,0,IFERROR(VALUE(SUBSTITUTE(SUBSTITUTE(SUBSTITUTE(INDEX(貼り付け!$A$1:$BZ$3001,1373,$E$1)&amp;"",",",""),"¥",""),"￥","")),0))</f>
        <v/>
      </c>
      <c r="F1374">
        <f>IF($F$1=0,0,IFERROR(VALUE(SUBSTITUTE(SUBSTITUTE(SUBSTITUTE(INDEX(貼り付け!$A$1:$BZ$3001,1373,$F$1)&amp;"",",",""),"¥",""),"￥","")),0))</f>
        <v/>
      </c>
      <c r="G1374">
        <f>IF(ISNUMBER(B1374),YEAR(B1374),"")</f>
        <v/>
      </c>
      <c r="H1374">
        <f>IF(ISNUMBER(B1374),MONTH(B1374),"")</f>
        <v/>
      </c>
      <c r="I1374">
        <f>IFERROR(IF($B$1=0,"",IF(ISNUMBER(INDEX(貼り付け!$A$1:$BZ$3001,1373,$B$1)),"",SUBSTITUTE(SUBSTITUTE(SUBSTITUTE(SUBSTITUTE(TRIM(LEFT(INDEX(貼り付け!$A$1:$BZ$3001,1373,$B$1)&amp;"",FIND(" ",TRIM(INDEX(貼り付け!$A$1:$BZ$3001,1373,$B$1)&amp;"")&amp;" ")-1)),"/","-"),"年","-"),"月","-"),"日",""))),"")</f>
        <v/>
      </c>
      <c r="J1374">
        <f>IFERROR(MID(I1374,FIND("-",I1374)+1,99),"")</f>
        <v/>
      </c>
    </row>
    <row r="1375">
      <c r="B1375">
        <f>IFERROR(IF($B$1=0,"",IF(INDEX(貼り付け!$A$1:$BZ$3001,1374,$B$1)="","",IF(ISNUMBER(INDEX(貼り付け!$A$1:$BZ$3001,1374,$B$1)),INT(INDEX(貼り付け!$A$1:$BZ$3001,1374,$B$1)),DATE(VALUE(LEFT(I1375,FIND("-",I1375)-1)),VALUE(LEFT(J1375,FIND("-",J1375)-1)),VALUE(MID(J1375,FIND("-",J1375)+1,99)))))),"")</f>
        <v/>
      </c>
      <c r="C1375">
        <f>IF($C$1=0,0,IFERROR(VALUE(SUBSTITUTE(SUBSTITUTE(SUBSTITUTE(INDEX(貼り付け!$A$1:$BZ$3001,1374,$C$1)&amp;"",",",""),"¥",""),"￥","")),0))</f>
        <v/>
      </c>
      <c r="D1375">
        <f>IF($D$1=0,0,IFERROR(VALUE(SUBSTITUTE(SUBSTITUTE(SUBSTITUTE(INDEX(貼り付け!$A$1:$BZ$3001,1374,$D$1)&amp;"",",",""),"¥",""),"￥","")),0))</f>
        <v/>
      </c>
      <c r="E1375">
        <f>IF($E$1=0,0,IFERROR(VALUE(SUBSTITUTE(SUBSTITUTE(SUBSTITUTE(INDEX(貼り付け!$A$1:$BZ$3001,1374,$E$1)&amp;"",",",""),"¥",""),"￥","")),0))</f>
        <v/>
      </c>
      <c r="F1375">
        <f>IF($F$1=0,0,IFERROR(VALUE(SUBSTITUTE(SUBSTITUTE(SUBSTITUTE(INDEX(貼り付け!$A$1:$BZ$3001,1374,$F$1)&amp;"",",",""),"¥",""),"￥","")),0))</f>
        <v/>
      </c>
      <c r="G1375">
        <f>IF(ISNUMBER(B1375),YEAR(B1375),"")</f>
        <v/>
      </c>
      <c r="H1375">
        <f>IF(ISNUMBER(B1375),MONTH(B1375),"")</f>
        <v/>
      </c>
      <c r="I1375">
        <f>IFERROR(IF($B$1=0,"",IF(ISNUMBER(INDEX(貼り付け!$A$1:$BZ$3001,1374,$B$1)),"",SUBSTITUTE(SUBSTITUTE(SUBSTITUTE(SUBSTITUTE(TRIM(LEFT(INDEX(貼り付け!$A$1:$BZ$3001,1374,$B$1)&amp;"",FIND(" ",TRIM(INDEX(貼り付け!$A$1:$BZ$3001,1374,$B$1)&amp;"")&amp;" ")-1)),"/","-"),"年","-"),"月","-"),"日",""))),"")</f>
        <v/>
      </c>
      <c r="J1375">
        <f>IFERROR(MID(I1375,FIND("-",I1375)+1,99),"")</f>
        <v/>
      </c>
    </row>
    <row r="1376">
      <c r="B1376">
        <f>IFERROR(IF($B$1=0,"",IF(INDEX(貼り付け!$A$1:$BZ$3001,1375,$B$1)="","",IF(ISNUMBER(INDEX(貼り付け!$A$1:$BZ$3001,1375,$B$1)),INT(INDEX(貼り付け!$A$1:$BZ$3001,1375,$B$1)),DATE(VALUE(LEFT(I1376,FIND("-",I1376)-1)),VALUE(LEFT(J1376,FIND("-",J1376)-1)),VALUE(MID(J1376,FIND("-",J1376)+1,99)))))),"")</f>
        <v/>
      </c>
      <c r="C1376">
        <f>IF($C$1=0,0,IFERROR(VALUE(SUBSTITUTE(SUBSTITUTE(SUBSTITUTE(INDEX(貼り付け!$A$1:$BZ$3001,1375,$C$1)&amp;"",",",""),"¥",""),"￥","")),0))</f>
        <v/>
      </c>
      <c r="D1376">
        <f>IF($D$1=0,0,IFERROR(VALUE(SUBSTITUTE(SUBSTITUTE(SUBSTITUTE(INDEX(貼り付け!$A$1:$BZ$3001,1375,$D$1)&amp;"",",",""),"¥",""),"￥","")),0))</f>
        <v/>
      </c>
      <c r="E1376">
        <f>IF($E$1=0,0,IFERROR(VALUE(SUBSTITUTE(SUBSTITUTE(SUBSTITUTE(INDEX(貼り付け!$A$1:$BZ$3001,1375,$E$1)&amp;"",",",""),"¥",""),"￥","")),0))</f>
        <v/>
      </c>
      <c r="F1376">
        <f>IF($F$1=0,0,IFERROR(VALUE(SUBSTITUTE(SUBSTITUTE(SUBSTITUTE(INDEX(貼り付け!$A$1:$BZ$3001,1375,$F$1)&amp;"",",",""),"¥",""),"￥","")),0))</f>
        <v/>
      </c>
      <c r="G1376">
        <f>IF(ISNUMBER(B1376),YEAR(B1376),"")</f>
        <v/>
      </c>
      <c r="H1376">
        <f>IF(ISNUMBER(B1376),MONTH(B1376),"")</f>
        <v/>
      </c>
      <c r="I1376">
        <f>IFERROR(IF($B$1=0,"",IF(ISNUMBER(INDEX(貼り付け!$A$1:$BZ$3001,1375,$B$1)),"",SUBSTITUTE(SUBSTITUTE(SUBSTITUTE(SUBSTITUTE(TRIM(LEFT(INDEX(貼り付け!$A$1:$BZ$3001,1375,$B$1)&amp;"",FIND(" ",TRIM(INDEX(貼り付け!$A$1:$BZ$3001,1375,$B$1)&amp;"")&amp;" ")-1)),"/","-"),"年","-"),"月","-"),"日",""))),"")</f>
        <v/>
      </c>
      <c r="J1376">
        <f>IFERROR(MID(I1376,FIND("-",I1376)+1,99),"")</f>
        <v/>
      </c>
    </row>
    <row r="1377">
      <c r="B1377">
        <f>IFERROR(IF($B$1=0,"",IF(INDEX(貼り付け!$A$1:$BZ$3001,1376,$B$1)="","",IF(ISNUMBER(INDEX(貼り付け!$A$1:$BZ$3001,1376,$B$1)),INT(INDEX(貼り付け!$A$1:$BZ$3001,1376,$B$1)),DATE(VALUE(LEFT(I1377,FIND("-",I1377)-1)),VALUE(LEFT(J1377,FIND("-",J1377)-1)),VALUE(MID(J1377,FIND("-",J1377)+1,99)))))),"")</f>
        <v/>
      </c>
      <c r="C1377">
        <f>IF($C$1=0,0,IFERROR(VALUE(SUBSTITUTE(SUBSTITUTE(SUBSTITUTE(INDEX(貼り付け!$A$1:$BZ$3001,1376,$C$1)&amp;"",",",""),"¥",""),"￥","")),0))</f>
        <v/>
      </c>
      <c r="D1377">
        <f>IF($D$1=0,0,IFERROR(VALUE(SUBSTITUTE(SUBSTITUTE(SUBSTITUTE(INDEX(貼り付け!$A$1:$BZ$3001,1376,$D$1)&amp;"",",",""),"¥",""),"￥","")),0))</f>
        <v/>
      </c>
      <c r="E1377">
        <f>IF($E$1=0,0,IFERROR(VALUE(SUBSTITUTE(SUBSTITUTE(SUBSTITUTE(INDEX(貼り付け!$A$1:$BZ$3001,1376,$E$1)&amp;"",",",""),"¥",""),"￥","")),0))</f>
        <v/>
      </c>
      <c r="F1377">
        <f>IF($F$1=0,0,IFERROR(VALUE(SUBSTITUTE(SUBSTITUTE(SUBSTITUTE(INDEX(貼り付け!$A$1:$BZ$3001,1376,$F$1)&amp;"",",",""),"¥",""),"￥","")),0))</f>
        <v/>
      </c>
      <c r="G1377">
        <f>IF(ISNUMBER(B1377),YEAR(B1377),"")</f>
        <v/>
      </c>
      <c r="H1377">
        <f>IF(ISNUMBER(B1377),MONTH(B1377),"")</f>
        <v/>
      </c>
      <c r="I1377">
        <f>IFERROR(IF($B$1=0,"",IF(ISNUMBER(INDEX(貼り付け!$A$1:$BZ$3001,1376,$B$1)),"",SUBSTITUTE(SUBSTITUTE(SUBSTITUTE(SUBSTITUTE(TRIM(LEFT(INDEX(貼り付け!$A$1:$BZ$3001,1376,$B$1)&amp;"",FIND(" ",TRIM(INDEX(貼り付け!$A$1:$BZ$3001,1376,$B$1)&amp;"")&amp;" ")-1)),"/","-"),"年","-"),"月","-"),"日",""))),"")</f>
        <v/>
      </c>
      <c r="J1377">
        <f>IFERROR(MID(I1377,FIND("-",I1377)+1,99),"")</f>
        <v/>
      </c>
    </row>
    <row r="1378">
      <c r="B1378">
        <f>IFERROR(IF($B$1=0,"",IF(INDEX(貼り付け!$A$1:$BZ$3001,1377,$B$1)="","",IF(ISNUMBER(INDEX(貼り付け!$A$1:$BZ$3001,1377,$B$1)),INT(INDEX(貼り付け!$A$1:$BZ$3001,1377,$B$1)),DATE(VALUE(LEFT(I1378,FIND("-",I1378)-1)),VALUE(LEFT(J1378,FIND("-",J1378)-1)),VALUE(MID(J1378,FIND("-",J1378)+1,99)))))),"")</f>
        <v/>
      </c>
      <c r="C1378">
        <f>IF($C$1=0,0,IFERROR(VALUE(SUBSTITUTE(SUBSTITUTE(SUBSTITUTE(INDEX(貼り付け!$A$1:$BZ$3001,1377,$C$1)&amp;"",",",""),"¥",""),"￥","")),0))</f>
        <v/>
      </c>
      <c r="D1378">
        <f>IF($D$1=0,0,IFERROR(VALUE(SUBSTITUTE(SUBSTITUTE(SUBSTITUTE(INDEX(貼り付け!$A$1:$BZ$3001,1377,$D$1)&amp;"",",",""),"¥",""),"￥","")),0))</f>
        <v/>
      </c>
      <c r="E1378">
        <f>IF($E$1=0,0,IFERROR(VALUE(SUBSTITUTE(SUBSTITUTE(SUBSTITUTE(INDEX(貼り付け!$A$1:$BZ$3001,1377,$E$1)&amp;"",",",""),"¥",""),"￥","")),0))</f>
        <v/>
      </c>
      <c r="F1378">
        <f>IF($F$1=0,0,IFERROR(VALUE(SUBSTITUTE(SUBSTITUTE(SUBSTITUTE(INDEX(貼り付け!$A$1:$BZ$3001,1377,$F$1)&amp;"",",",""),"¥",""),"￥","")),0))</f>
        <v/>
      </c>
      <c r="G1378">
        <f>IF(ISNUMBER(B1378),YEAR(B1378),"")</f>
        <v/>
      </c>
      <c r="H1378">
        <f>IF(ISNUMBER(B1378),MONTH(B1378),"")</f>
        <v/>
      </c>
      <c r="I1378">
        <f>IFERROR(IF($B$1=0,"",IF(ISNUMBER(INDEX(貼り付け!$A$1:$BZ$3001,1377,$B$1)),"",SUBSTITUTE(SUBSTITUTE(SUBSTITUTE(SUBSTITUTE(TRIM(LEFT(INDEX(貼り付け!$A$1:$BZ$3001,1377,$B$1)&amp;"",FIND(" ",TRIM(INDEX(貼り付け!$A$1:$BZ$3001,1377,$B$1)&amp;"")&amp;" ")-1)),"/","-"),"年","-"),"月","-"),"日",""))),"")</f>
        <v/>
      </c>
      <c r="J1378">
        <f>IFERROR(MID(I1378,FIND("-",I1378)+1,99),"")</f>
        <v/>
      </c>
    </row>
    <row r="1379">
      <c r="B1379">
        <f>IFERROR(IF($B$1=0,"",IF(INDEX(貼り付け!$A$1:$BZ$3001,1378,$B$1)="","",IF(ISNUMBER(INDEX(貼り付け!$A$1:$BZ$3001,1378,$B$1)),INT(INDEX(貼り付け!$A$1:$BZ$3001,1378,$B$1)),DATE(VALUE(LEFT(I1379,FIND("-",I1379)-1)),VALUE(LEFT(J1379,FIND("-",J1379)-1)),VALUE(MID(J1379,FIND("-",J1379)+1,99)))))),"")</f>
        <v/>
      </c>
      <c r="C1379">
        <f>IF($C$1=0,0,IFERROR(VALUE(SUBSTITUTE(SUBSTITUTE(SUBSTITUTE(INDEX(貼り付け!$A$1:$BZ$3001,1378,$C$1)&amp;"",",",""),"¥",""),"￥","")),0))</f>
        <v/>
      </c>
      <c r="D1379">
        <f>IF($D$1=0,0,IFERROR(VALUE(SUBSTITUTE(SUBSTITUTE(SUBSTITUTE(INDEX(貼り付け!$A$1:$BZ$3001,1378,$D$1)&amp;"",",",""),"¥",""),"￥","")),0))</f>
        <v/>
      </c>
      <c r="E1379">
        <f>IF($E$1=0,0,IFERROR(VALUE(SUBSTITUTE(SUBSTITUTE(SUBSTITUTE(INDEX(貼り付け!$A$1:$BZ$3001,1378,$E$1)&amp;"",",",""),"¥",""),"￥","")),0))</f>
        <v/>
      </c>
      <c r="F1379">
        <f>IF($F$1=0,0,IFERROR(VALUE(SUBSTITUTE(SUBSTITUTE(SUBSTITUTE(INDEX(貼り付け!$A$1:$BZ$3001,1378,$F$1)&amp;"",",",""),"¥",""),"￥","")),0))</f>
        <v/>
      </c>
      <c r="G1379">
        <f>IF(ISNUMBER(B1379),YEAR(B1379),"")</f>
        <v/>
      </c>
      <c r="H1379">
        <f>IF(ISNUMBER(B1379),MONTH(B1379),"")</f>
        <v/>
      </c>
      <c r="I1379">
        <f>IFERROR(IF($B$1=0,"",IF(ISNUMBER(INDEX(貼り付け!$A$1:$BZ$3001,1378,$B$1)),"",SUBSTITUTE(SUBSTITUTE(SUBSTITUTE(SUBSTITUTE(TRIM(LEFT(INDEX(貼り付け!$A$1:$BZ$3001,1378,$B$1)&amp;"",FIND(" ",TRIM(INDEX(貼り付け!$A$1:$BZ$3001,1378,$B$1)&amp;"")&amp;" ")-1)),"/","-"),"年","-"),"月","-"),"日",""))),"")</f>
        <v/>
      </c>
      <c r="J1379">
        <f>IFERROR(MID(I1379,FIND("-",I1379)+1,99),"")</f>
        <v/>
      </c>
    </row>
    <row r="1380">
      <c r="B1380">
        <f>IFERROR(IF($B$1=0,"",IF(INDEX(貼り付け!$A$1:$BZ$3001,1379,$B$1)="","",IF(ISNUMBER(INDEX(貼り付け!$A$1:$BZ$3001,1379,$B$1)),INT(INDEX(貼り付け!$A$1:$BZ$3001,1379,$B$1)),DATE(VALUE(LEFT(I1380,FIND("-",I1380)-1)),VALUE(LEFT(J1380,FIND("-",J1380)-1)),VALUE(MID(J1380,FIND("-",J1380)+1,99)))))),"")</f>
        <v/>
      </c>
      <c r="C1380">
        <f>IF($C$1=0,0,IFERROR(VALUE(SUBSTITUTE(SUBSTITUTE(SUBSTITUTE(INDEX(貼り付け!$A$1:$BZ$3001,1379,$C$1)&amp;"",",",""),"¥",""),"￥","")),0))</f>
        <v/>
      </c>
      <c r="D1380">
        <f>IF($D$1=0,0,IFERROR(VALUE(SUBSTITUTE(SUBSTITUTE(SUBSTITUTE(INDEX(貼り付け!$A$1:$BZ$3001,1379,$D$1)&amp;"",",",""),"¥",""),"￥","")),0))</f>
        <v/>
      </c>
      <c r="E1380">
        <f>IF($E$1=0,0,IFERROR(VALUE(SUBSTITUTE(SUBSTITUTE(SUBSTITUTE(INDEX(貼り付け!$A$1:$BZ$3001,1379,$E$1)&amp;"",",",""),"¥",""),"￥","")),0))</f>
        <v/>
      </c>
      <c r="F1380">
        <f>IF($F$1=0,0,IFERROR(VALUE(SUBSTITUTE(SUBSTITUTE(SUBSTITUTE(INDEX(貼り付け!$A$1:$BZ$3001,1379,$F$1)&amp;"",",",""),"¥",""),"￥","")),0))</f>
        <v/>
      </c>
      <c r="G1380">
        <f>IF(ISNUMBER(B1380),YEAR(B1380),"")</f>
        <v/>
      </c>
      <c r="H1380">
        <f>IF(ISNUMBER(B1380),MONTH(B1380),"")</f>
        <v/>
      </c>
      <c r="I1380">
        <f>IFERROR(IF($B$1=0,"",IF(ISNUMBER(INDEX(貼り付け!$A$1:$BZ$3001,1379,$B$1)),"",SUBSTITUTE(SUBSTITUTE(SUBSTITUTE(SUBSTITUTE(TRIM(LEFT(INDEX(貼り付け!$A$1:$BZ$3001,1379,$B$1)&amp;"",FIND(" ",TRIM(INDEX(貼り付け!$A$1:$BZ$3001,1379,$B$1)&amp;"")&amp;" ")-1)),"/","-"),"年","-"),"月","-"),"日",""))),"")</f>
        <v/>
      </c>
      <c r="J1380">
        <f>IFERROR(MID(I1380,FIND("-",I1380)+1,99),"")</f>
        <v/>
      </c>
    </row>
    <row r="1381">
      <c r="B1381">
        <f>IFERROR(IF($B$1=0,"",IF(INDEX(貼り付け!$A$1:$BZ$3001,1380,$B$1)="","",IF(ISNUMBER(INDEX(貼り付け!$A$1:$BZ$3001,1380,$B$1)),INT(INDEX(貼り付け!$A$1:$BZ$3001,1380,$B$1)),DATE(VALUE(LEFT(I1381,FIND("-",I1381)-1)),VALUE(LEFT(J1381,FIND("-",J1381)-1)),VALUE(MID(J1381,FIND("-",J1381)+1,99)))))),"")</f>
        <v/>
      </c>
      <c r="C1381">
        <f>IF($C$1=0,0,IFERROR(VALUE(SUBSTITUTE(SUBSTITUTE(SUBSTITUTE(INDEX(貼り付け!$A$1:$BZ$3001,1380,$C$1)&amp;"",",",""),"¥",""),"￥","")),0))</f>
        <v/>
      </c>
      <c r="D1381">
        <f>IF($D$1=0,0,IFERROR(VALUE(SUBSTITUTE(SUBSTITUTE(SUBSTITUTE(INDEX(貼り付け!$A$1:$BZ$3001,1380,$D$1)&amp;"",",",""),"¥",""),"￥","")),0))</f>
        <v/>
      </c>
      <c r="E1381">
        <f>IF($E$1=0,0,IFERROR(VALUE(SUBSTITUTE(SUBSTITUTE(SUBSTITUTE(INDEX(貼り付け!$A$1:$BZ$3001,1380,$E$1)&amp;"",",",""),"¥",""),"￥","")),0))</f>
        <v/>
      </c>
      <c r="F1381">
        <f>IF($F$1=0,0,IFERROR(VALUE(SUBSTITUTE(SUBSTITUTE(SUBSTITUTE(INDEX(貼り付け!$A$1:$BZ$3001,1380,$F$1)&amp;"",",",""),"¥",""),"￥","")),0))</f>
        <v/>
      </c>
      <c r="G1381">
        <f>IF(ISNUMBER(B1381),YEAR(B1381),"")</f>
        <v/>
      </c>
      <c r="H1381">
        <f>IF(ISNUMBER(B1381),MONTH(B1381),"")</f>
        <v/>
      </c>
      <c r="I1381">
        <f>IFERROR(IF($B$1=0,"",IF(ISNUMBER(INDEX(貼り付け!$A$1:$BZ$3001,1380,$B$1)),"",SUBSTITUTE(SUBSTITUTE(SUBSTITUTE(SUBSTITUTE(TRIM(LEFT(INDEX(貼り付け!$A$1:$BZ$3001,1380,$B$1)&amp;"",FIND(" ",TRIM(INDEX(貼り付け!$A$1:$BZ$3001,1380,$B$1)&amp;"")&amp;" ")-1)),"/","-"),"年","-"),"月","-"),"日",""))),"")</f>
        <v/>
      </c>
      <c r="J1381">
        <f>IFERROR(MID(I1381,FIND("-",I1381)+1,99),"")</f>
        <v/>
      </c>
    </row>
    <row r="1382">
      <c r="B1382">
        <f>IFERROR(IF($B$1=0,"",IF(INDEX(貼り付け!$A$1:$BZ$3001,1381,$B$1)="","",IF(ISNUMBER(INDEX(貼り付け!$A$1:$BZ$3001,1381,$B$1)),INT(INDEX(貼り付け!$A$1:$BZ$3001,1381,$B$1)),DATE(VALUE(LEFT(I1382,FIND("-",I1382)-1)),VALUE(LEFT(J1382,FIND("-",J1382)-1)),VALUE(MID(J1382,FIND("-",J1382)+1,99)))))),"")</f>
        <v/>
      </c>
      <c r="C1382">
        <f>IF($C$1=0,0,IFERROR(VALUE(SUBSTITUTE(SUBSTITUTE(SUBSTITUTE(INDEX(貼り付け!$A$1:$BZ$3001,1381,$C$1)&amp;"",",",""),"¥",""),"￥","")),0))</f>
        <v/>
      </c>
      <c r="D1382">
        <f>IF($D$1=0,0,IFERROR(VALUE(SUBSTITUTE(SUBSTITUTE(SUBSTITUTE(INDEX(貼り付け!$A$1:$BZ$3001,1381,$D$1)&amp;"",",",""),"¥",""),"￥","")),0))</f>
        <v/>
      </c>
      <c r="E1382">
        <f>IF($E$1=0,0,IFERROR(VALUE(SUBSTITUTE(SUBSTITUTE(SUBSTITUTE(INDEX(貼り付け!$A$1:$BZ$3001,1381,$E$1)&amp;"",",",""),"¥",""),"￥","")),0))</f>
        <v/>
      </c>
      <c r="F1382">
        <f>IF($F$1=0,0,IFERROR(VALUE(SUBSTITUTE(SUBSTITUTE(SUBSTITUTE(INDEX(貼り付け!$A$1:$BZ$3001,1381,$F$1)&amp;"",",",""),"¥",""),"￥","")),0))</f>
        <v/>
      </c>
      <c r="G1382">
        <f>IF(ISNUMBER(B1382),YEAR(B1382),"")</f>
        <v/>
      </c>
      <c r="H1382">
        <f>IF(ISNUMBER(B1382),MONTH(B1382),"")</f>
        <v/>
      </c>
      <c r="I1382">
        <f>IFERROR(IF($B$1=0,"",IF(ISNUMBER(INDEX(貼り付け!$A$1:$BZ$3001,1381,$B$1)),"",SUBSTITUTE(SUBSTITUTE(SUBSTITUTE(SUBSTITUTE(TRIM(LEFT(INDEX(貼り付け!$A$1:$BZ$3001,1381,$B$1)&amp;"",FIND(" ",TRIM(INDEX(貼り付け!$A$1:$BZ$3001,1381,$B$1)&amp;"")&amp;" ")-1)),"/","-"),"年","-"),"月","-"),"日",""))),"")</f>
        <v/>
      </c>
      <c r="J1382">
        <f>IFERROR(MID(I1382,FIND("-",I1382)+1,99),"")</f>
        <v/>
      </c>
    </row>
    <row r="1383">
      <c r="B1383">
        <f>IFERROR(IF($B$1=0,"",IF(INDEX(貼り付け!$A$1:$BZ$3001,1382,$B$1)="","",IF(ISNUMBER(INDEX(貼り付け!$A$1:$BZ$3001,1382,$B$1)),INT(INDEX(貼り付け!$A$1:$BZ$3001,1382,$B$1)),DATE(VALUE(LEFT(I1383,FIND("-",I1383)-1)),VALUE(LEFT(J1383,FIND("-",J1383)-1)),VALUE(MID(J1383,FIND("-",J1383)+1,99)))))),"")</f>
        <v/>
      </c>
      <c r="C1383">
        <f>IF($C$1=0,0,IFERROR(VALUE(SUBSTITUTE(SUBSTITUTE(SUBSTITUTE(INDEX(貼り付け!$A$1:$BZ$3001,1382,$C$1)&amp;"",",",""),"¥",""),"￥","")),0))</f>
        <v/>
      </c>
      <c r="D1383">
        <f>IF($D$1=0,0,IFERROR(VALUE(SUBSTITUTE(SUBSTITUTE(SUBSTITUTE(INDEX(貼り付け!$A$1:$BZ$3001,1382,$D$1)&amp;"",",",""),"¥",""),"￥","")),0))</f>
        <v/>
      </c>
      <c r="E1383">
        <f>IF($E$1=0,0,IFERROR(VALUE(SUBSTITUTE(SUBSTITUTE(SUBSTITUTE(INDEX(貼り付け!$A$1:$BZ$3001,1382,$E$1)&amp;"",",",""),"¥",""),"￥","")),0))</f>
        <v/>
      </c>
      <c r="F1383">
        <f>IF($F$1=0,0,IFERROR(VALUE(SUBSTITUTE(SUBSTITUTE(SUBSTITUTE(INDEX(貼り付け!$A$1:$BZ$3001,1382,$F$1)&amp;"",",",""),"¥",""),"￥","")),0))</f>
        <v/>
      </c>
      <c r="G1383">
        <f>IF(ISNUMBER(B1383),YEAR(B1383),"")</f>
        <v/>
      </c>
      <c r="H1383">
        <f>IF(ISNUMBER(B1383),MONTH(B1383),"")</f>
        <v/>
      </c>
      <c r="I1383">
        <f>IFERROR(IF($B$1=0,"",IF(ISNUMBER(INDEX(貼り付け!$A$1:$BZ$3001,1382,$B$1)),"",SUBSTITUTE(SUBSTITUTE(SUBSTITUTE(SUBSTITUTE(TRIM(LEFT(INDEX(貼り付け!$A$1:$BZ$3001,1382,$B$1)&amp;"",FIND(" ",TRIM(INDEX(貼り付け!$A$1:$BZ$3001,1382,$B$1)&amp;"")&amp;" ")-1)),"/","-"),"年","-"),"月","-"),"日",""))),"")</f>
        <v/>
      </c>
      <c r="J1383">
        <f>IFERROR(MID(I1383,FIND("-",I1383)+1,99),"")</f>
        <v/>
      </c>
    </row>
    <row r="1384">
      <c r="B1384">
        <f>IFERROR(IF($B$1=0,"",IF(INDEX(貼り付け!$A$1:$BZ$3001,1383,$B$1)="","",IF(ISNUMBER(INDEX(貼り付け!$A$1:$BZ$3001,1383,$B$1)),INT(INDEX(貼り付け!$A$1:$BZ$3001,1383,$B$1)),DATE(VALUE(LEFT(I1384,FIND("-",I1384)-1)),VALUE(LEFT(J1384,FIND("-",J1384)-1)),VALUE(MID(J1384,FIND("-",J1384)+1,99)))))),"")</f>
        <v/>
      </c>
      <c r="C1384">
        <f>IF($C$1=0,0,IFERROR(VALUE(SUBSTITUTE(SUBSTITUTE(SUBSTITUTE(INDEX(貼り付け!$A$1:$BZ$3001,1383,$C$1)&amp;"",",",""),"¥",""),"￥","")),0))</f>
        <v/>
      </c>
      <c r="D1384">
        <f>IF($D$1=0,0,IFERROR(VALUE(SUBSTITUTE(SUBSTITUTE(SUBSTITUTE(INDEX(貼り付け!$A$1:$BZ$3001,1383,$D$1)&amp;"",",",""),"¥",""),"￥","")),0))</f>
        <v/>
      </c>
      <c r="E1384">
        <f>IF($E$1=0,0,IFERROR(VALUE(SUBSTITUTE(SUBSTITUTE(SUBSTITUTE(INDEX(貼り付け!$A$1:$BZ$3001,1383,$E$1)&amp;"",",",""),"¥",""),"￥","")),0))</f>
        <v/>
      </c>
      <c r="F1384">
        <f>IF($F$1=0,0,IFERROR(VALUE(SUBSTITUTE(SUBSTITUTE(SUBSTITUTE(INDEX(貼り付け!$A$1:$BZ$3001,1383,$F$1)&amp;"",",",""),"¥",""),"￥","")),0))</f>
        <v/>
      </c>
      <c r="G1384">
        <f>IF(ISNUMBER(B1384),YEAR(B1384),"")</f>
        <v/>
      </c>
      <c r="H1384">
        <f>IF(ISNUMBER(B1384),MONTH(B1384),"")</f>
        <v/>
      </c>
      <c r="I1384">
        <f>IFERROR(IF($B$1=0,"",IF(ISNUMBER(INDEX(貼り付け!$A$1:$BZ$3001,1383,$B$1)),"",SUBSTITUTE(SUBSTITUTE(SUBSTITUTE(SUBSTITUTE(TRIM(LEFT(INDEX(貼り付け!$A$1:$BZ$3001,1383,$B$1)&amp;"",FIND(" ",TRIM(INDEX(貼り付け!$A$1:$BZ$3001,1383,$B$1)&amp;"")&amp;" ")-1)),"/","-"),"年","-"),"月","-"),"日",""))),"")</f>
        <v/>
      </c>
      <c r="J1384">
        <f>IFERROR(MID(I1384,FIND("-",I1384)+1,99),"")</f>
        <v/>
      </c>
    </row>
    <row r="1385">
      <c r="B1385">
        <f>IFERROR(IF($B$1=0,"",IF(INDEX(貼り付け!$A$1:$BZ$3001,1384,$B$1)="","",IF(ISNUMBER(INDEX(貼り付け!$A$1:$BZ$3001,1384,$B$1)),INT(INDEX(貼り付け!$A$1:$BZ$3001,1384,$B$1)),DATE(VALUE(LEFT(I1385,FIND("-",I1385)-1)),VALUE(LEFT(J1385,FIND("-",J1385)-1)),VALUE(MID(J1385,FIND("-",J1385)+1,99)))))),"")</f>
        <v/>
      </c>
      <c r="C1385">
        <f>IF($C$1=0,0,IFERROR(VALUE(SUBSTITUTE(SUBSTITUTE(SUBSTITUTE(INDEX(貼り付け!$A$1:$BZ$3001,1384,$C$1)&amp;"",",",""),"¥",""),"￥","")),0))</f>
        <v/>
      </c>
      <c r="D1385">
        <f>IF($D$1=0,0,IFERROR(VALUE(SUBSTITUTE(SUBSTITUTE(SUBSTITUTE(INDEX(貼り付け!$A$1:$BZ$3001,1384,$D$1)&amp;"",",",""),"¥",""),"￥","")),0))</f>
        <v/>
      </c>
      <c r="E1385">
        <f>IF($E$1=0,0,IFERROR(VALUE(SUBSTITUTE(SUBSTITUTE(SUBSTITUTE(INDEX(貼り付け!$A$1:$BZ$3001,1384,$E$1)&amp;"",",",""),"¥",""),"￥","")),0))</f>
        <v/>
      </c>
      <c r="F1385">
        <f>IF($F$1=0,0,IFERROR(VALUE(SUBSTITUTE(SUBSTITUTE(SUBSTITUTE(INDEX(貼り付け!$A$1:$BZ$3001,1384,$F$1)&amp;"",",",""),"¥",""),"￥","")),0))</f>
        <v/>
      </c>
      <c r="G1385">
        <f>IF(ISNUMBER(B1385),YEAR(B1385),"")</f>
        <v/>
      </c>
      <c r="H1385">
        <f>IF(ISNUMBER(B1385),MONTH(B1385),"")</f>
        <v/>
      </c>
      <c r="I1385">
        <f>IFERROR(IF($B$1=0,"",IF(ISNUMBER(INDEX(貼り付け!$A$1:$BZ$3001,1384,$B$1)),"",SUBSTITUTE(SUBSTITUTE(SUBSTITUTE(SUBSTITUTE(TRIM(LEFT(INDEX(貼り付け!$A$1:$BZ$3001,1384,$B$1)&amp;"",FIND(" ",TRIM(INDEX(貼り付け!$A$1:$BZ$3001,1384,$B$1)&amp;"")&amp;" ")-1)),"/","-"),"年","-"),"月","-"),"日",""))),"")</f>
        <v/>
      </c>
      <c r="J1385">
        <f>IFERROR(MID(I1385,FIND("-",I1385)+1,99),"")</f>
        <v/>
      </c>
    </row>
    <row r="1386">
      <c r="B1386">
        <f>IFERROR(IF($B$1=0,"",IF(INDEX(貼り付け!$A$1:$BZ$3001,1385,$B$1)="","",IF(ISNUMBER(INDEX(貼り付け!$A$1:$BZ$3001,1385,$B$1)),INT(INDEX(貼り付け!$A$1:$BZ$3001,1385,$B$1)),DATE(VALUE(LEFT(I1386,FIND("-",I1386)-1)),VALUE(LEFT(J1386,FIND("-",J1386)-1)),VALUE(MID(J1386,FIND("-",J1386)+1,99)))))),"")</f>
        <v/>
      </c>
      <c r="C1386">
        <f>IF($C$1=0,0,IFERROR(VALUE(SUBSTITUTE(SUBSTITUTE(SUBSTITUTE(INDEX(貼り付け!$A$1:$BZ$3001,1385,$C$1)&amp;"",",",""),"¥",""),"￥","")),0))</f>
        <v/>
      </c>
      <c r="D1386">
        <f>IF($D$1=0,0,IFERROR(VALUE(SUBSTITUTE(SUBSTITUTE(SUBSTITUTE(INDEX(貼り付け!$A$1:$BZ$3001,1385,$D$1)&amp;"",",",""),"¥",""),"￥","")),0))</f>
        <v/>
      </c>
      <c r="E1386">
        <f>IF($E$1=0,0,IFERROR(VALUE(SUBSTITUTE(SUBSTITUTE(SUBSTITUTE(INDEX(貼り付け!$A$1:$BZ$3001,1385,$E$1)&amp;"",",",""),"¥",""),"￥","")),0))</f>
        <v/>
      </c>
      <c r="F1386">
        <f>IF($F$1=0,0,IFERROR(VALUE(SUBSTITUTE(SUBSTITUTE(SUBSTITUTE(INDEX(貼り付け!$A$1:$BZ$3001,1385,$F$1)&amp;"",",",""),"¥",""),"￥","")),0))</f>
        <v/>
      </c>
      <c r="G1386">
        <f>IF(ISNUMBER(B1386),YEAR(B1386),"")</f>
        <v/>
      </c>
      <c r="H1386">
        <f>IF(ISNUMBER(B1386),MONTH(B1386),"")</f>
        <v/>
      </c>
      <c r="I1386">
        <f>IFERROR(IF($B$1=0,"",IF(ISNUMBER(INDEX(貼り付け!$A$1:$BZ$3001,1385,$B$1)),"",SUBSTITUTE(SUBSTITUTE(SUBSTITUTE(SUBSTITUTE(TRIM(LEFT(INDEX(貼り付け!$A$1:$BZ$3001,1385,$B$1)&amp;"",FIND(" ",TRIM(INDEX(貼り付け!$A$1:$BZ$3001,1385,$B$1)&amp;"")&amp;" ")-1)),"/","-"),"年","-"),"月","-"),"日",""))),"")</f>
        <v/>
      </c>
      <c r="J1386">
        <f>IFERROR(MID(I1386,FIND("-",I1386)+1,99),"")</f>
        <v/>
      </c>
    </row>
    <row r="1387">
      <c r="B1387">
        <f>IFERROR(IF($B$1=0,"",IF(INDEX(貼り付け!$A$1:$BZ$3001,1386,$B$1)="","",IF(ISNUMBER(INDEX(貼り付け!$A$1:$BZ$3001,1386,$B$1)),INT(INDEX(貼り付け!$A$1:$BZ$3001,1386,$B$1)),DATE(VALUE(LEFT(I1387,FIND("-",I1387)-1)),VALUE(LEFT(J1387,FIND("-",J1387)-1)),VALUE(MID(J1387,FIND("-",J1387)+1,99)))))),"")</f>
        <v/>
      </c>
      <c r="C1387">
        <f>IF($C$1=0,0,IFERROR(VALUE(SUBSTITUTE(SUBSTITUTE(SUBSTITUTE(INDEX(貼り付け!$A$1:$BZ$3001,1386,$C$1)&amp;"",",",""),"¥",""),"￥","")),0))</f>
        <v/>
      </c>
      <c r="D1387">
        <f>IF($D$1=0,0,IFERROR(VALUE(SUBSTITUTE(SUBSTITUTE(SUBSTITUTE(INDEX(貼り付け!$A$1:$BZ$3001,1386,$D$1)&amp;"",",",""),"¥",""),"￥","")),0))</f>
        <v/>
      </c>
      <c r="E1387">
        <f>IF($E$1=0,0,IFERROR(VALUE(SUBSTITUTE(SUBSTITUTE(SUBSTITUTE(INDEX(貼り付け!$A$1:$BZ$3001,1386,$E$1)&amp;"",",",""),"¥",""),"￥","")),0))</f>
        <v/>
      </c>
      <c r="F1387">
        <f>IF($F$1=0,0,IFERROR(VALUE(SUBSTITUTE(SUBSTITUTE(SUBSTITUTE(INDEX(貼り付け!$A$1:$BZ$3001,1386,$F$1)&amp;"",",",""),"¥",""),"￥","")),0))</f>
        <v/>
      </c>
      <c r="G1387">
        <f>IF(ISNUMBER(B1387),YEAR(B1387),"")</f>
        <v/>
      </c>
      <c r="H1387">
        <f>IF(ISNUMBER(B1387),MONTH(B1387),"")</f>
        <v/>
      </c>
      <c r="I1387">
        <f>IFERROR(IF($B$1=0,"",IF(ISNUMBER(INDEX(貼り付け!$A$1:$BZ$3001,1386,$B$1)),"",SUBSTITUTE(SUBSTITUTE(SUBSTITUTE(SUBSTITUTE(TRIM(LEFT(INDEX(貼り付け!$A$1:$BZ$3001,1386,$B$1)&amp;"",FIND(" ",TRIM(INDEX(貼り付け!$A$1:$BZ$3001,1386,$B$1)&amp;"")&amp;" ")-1)),"/","-"),"年","-"),"月","-"),"日",""))),"")</f>
        <v/>
      </c>
      <c r="J1387">
        <f>IFERROR(MID(I1387,FIND("-",I1387)+1,99),"")</f>
        <v/>
      </c>
    </row>
    <row r="1388">
      <c r="B1388">
        <f>IFERROR(IF($B$1=0,"",IF(INDEX(貼り付け!$A$1:$BZ$3001,1387,$B$1)="","",IF(ISNUMBER(INDEX(貼り付け!$A$1:$BZ$3001,1387,$B$1)),INT(INDEX(貼り付け!$A$1:$BZ$3001,1387,$B$1)),DATE(VALUE(LEFT(I1388,FIND("-",I1388)-1)),VALUE(LEFT(J1388,FIND("-",J1388)-1)),VALUE(MID(J1388,FIND("-",J1388)+1,99)))))),"")</f>
        <v/>
      </c>
      <c r="C1388">
        <f>IF($C$1=0,0,IFERROR(VALUE(SUBSTITUTE(SUBSTITUTE(SUBSTITUTE(INDEX(貼り付け!$A$1:$BZ$3001,1387,$C$1)&amp;"",",",""),"¥",""),"￥","")),0))</f>
        <v/>
      </c>
      <c r="D1388">
        <f>IF($D$1=0,0,IFERROR(VALUE(SUBSTITUTE(SUBSTITUTE(SUBSTITUTE(INDEX(貼り付け!$A$1:$BZ$3001,1387,$D$1)&amp;"",",",""),"¥",""),"￥","")),0))</f>
        <v/>
      </c>
      <c r="E1388">
        <f>IF($E$1=0,0,IFERROR(VALUE(SUBSTITUTE(SUBSTITUTE(SUBSTITUTE(INDEX(貼り付け!$A$1:$BZ$3001,1387,$E$1)&amp;"",",",""),"¥",""),"￥","")),0))</f>
        <v/>
      </c>
      <c r="F1388">
        <f>IF($F$1=0,0,IFERROR(VALUE(SUBSTITUTE(SUBSTITUTE(SUBSTITUTE(INDEX(貼り付け!$A$1:$BZ$3001,1387,$F$1)&amp;"",",",""),"¥",""),"￥","")),0))</f>
        <v/>
      </c>
      <c r="G1388">
        <f>IF(ISNUMBER(B1388),YEAR(B1388),"")</f>
        <v/>
      </c>
      <c r="H1388">
        <f>IF(ISNUMBER(B1388),MONTH(B1388),"")</f>
        <v/>
      </c>
      <c r="I1388">
        <f>IFERROR(IF($B$1=0,"",IF(ISNUMBER(INDEX(貼り付け!$A$1:$BZ$3001,1387,$B$1)),"",SUBSTITUTE(SUBSTITUTE(SUBSTITUTE(SUBSTITUTE(TRIM(LEFT(INDEX(貼り付け!$A$1:$BZ$3001,1387,$B$1)&amp;"",FIND(" ",TRIM(INDEX(貼り付け!$A$1:$BZ$3001,1387,$B$1)&amp;"")&amp;" ")-1)),"/","-"),"年","-"),"月","-"),"日",""))),"")</f>
        <v/>
      </c>
      <c r="J1388">
        <f>IFERROR(MID(I1388,FIND("-",I1388)+1,99),"")</f>
        <v/>
      </c>
    </row>
    <row r="1389">
      <c r="B1389">
        <f>IFERROR(IF($B$1=0,"",IF(INDEX(貼り付け!$A$1:$BZ$3001,1388,$B$1)="","",IF(ISNUMBER(INDEX(貼り付け!$A$1:$BZ$3001,1388,$B$1)),INT(INDEX(貼り付け!$A$1:$BZ$3001,1388,$B$1)),DATE(VALUE(LEFT(I1389,FIND("-",I1389)-1)),VALUE(LEFT(J1389,FIND("-",J1389)-1)),VALUE(MID(J1389,FIND("-",J1389)+1,99)))))),"")</f>
        <v/>
      </c>
      <c r="C1389">
        <f>IF($C$1=0,0,IFERROR(VALUE(SUBSTITUTE(SUBSTITUTE(SUBSTITUTE(INDEX(貼り付け!$A$1:$BZ$3001,1388,$C$1)&amp;"",",",""),"¥",""),"￥","")),0))</f>
        <v/>
      </c>
      <c r="D1389">
        <f>IF($D$1=0,0,IFERROR(VALUE(SUBSTITUTE(SUBSTITUTE(SUBSTITUTE(INDEX(貼り付け!$A$1:$BZ$3001,1388,$D$1)&amp;"",",",""),"¥",""),"￥","")),0))</f>
        <v/>
      </c>
      <c r="E1389">
        <f>IF($E$1=0,0,IFERROR(VALUE(SUBSTITUTE(SUBSTITUTE(SUBSTITUTE(INDEX(貼り付け!$A$1:$BZ$3001,1388,$E$1)&amp;"",",",""),"¥",""),"￥","")),0))</f>
        <v/>
      </c>
      <c r="F1389">
        <f>IF($F$1=0,0,IFERROR(VALUE(SUBSTITUTE(SUBSTITUTE(SUBSTITUTE(INDEX(貼り付け!$A$1:$BZ$3001,1388,$F$1)&amp;"",",",""),"¥",""),"￥","")),0))</f>
        <v/>
      </c>
      <c r="G1389">
        <f>IF(ISNUMBER(B1389),YEAR(B1389),"")</f>
        <v/>
      </c>
      <c r="H1389">
        <f>IF(ISNUMBER(B1389),MONTH(B1389),"")</f>
        <v/>
      </c>
      <c r="I1389">
        <f>IFERROR(IF($B$1=0,"",IF(ISNUMBER(INDEX(貼り付け!$A$1:$BZ$3001,1388,$B$1)),"",SUBSTITUTE(SUBSTITUTE(SUBSTITUTE(SUBSTITUTE(TRIM(LEFT(INDEX(貼り付け!$A$1:$BZ$3001,1388,$B$1)&amp;"",FIND(" ",TRIM(INDEX(貼り付け!$A$1:$BZ$3001,1388,$B$1)&amp;"")&amp;" ")-1)),"/","-"),"年","-"),"月","-"),"日",""))),"")</f>
        <v/>
      </c>
      <c r="J1389">
        <f>IFERROR(MID(I1389,FIND("-",I1389)+1,99),"")</f>
        <v/>
      </c>
    </row>
    <row r="1390">
      <c r="B1390">
        <f>IFERROR(IF($B$1=0,"",IF(INDEX(貼り付け!$A$1:$BZ$3001,1389,$B$1)="","",IF(ISNUMBER(INDEX(貼り付け!$A$1:$BZ$3001,1389,$B$1)),INT(INDEX(貼り付け!$A$1:$BZ$3001,1389,$B$1)),DATE(VALUE(LEFT(I1390,FIND("-",I1390)-1)),VALUE(LEFT(J1390,FIND("-",J1390)-1)),VALUE(MID(J1390,FIND("-",J1390)+1,99)))))),"")</f>
        <v/>
      </c>
      <c r="C1390">
        <f>IF($C$1=0,0,IFERROR(VALUE(SUBSTITUTE(SUBSTITUTE(SUBSTITUTE(INDEX(貼り付け!$A$1:$BZ$3001,1389,$C$1)&amp;"",",",""),"¥",""),"￥","")),0))</f>
        <v/>
      </c>
      <c r="D1390">
        <f>IF($D$1=0,0,IFERROR(VALUE(SUBSTITUTE(SUBSTITUTE(SUBSTITUTE(INDEX(貼り付け!$A$1:$BZ$3001,1389,$D$1)&amp;"",",",""),"¥",""),"￥","")),0))</f>
        <v/>
      </c>
      <c r="E1390">
        <f>IF($E$1=0,0,IFERROR(VALUE(SUBSTITUTE(SUBSTITUTE(SUBSTITUTE(INDEX(貼り付け!$A$1:$BZ$3001,1389,$E$1)&amp;"",",",""),"¥",""),"￥","")),0))</f>
        <v/>
      </c>
      <c r="F1390">
        <f>IF($F$1=0,0,IFERROR(VALUE(SUBSTITUTE(SUBSTITUTE(SUBSTITUTE(INDEX(貼り付け!$A$1:$BZ$3001,1389,$F$1)&amp;"",",",""),"¥",""),"￥","")),0))</f>
        <v/>
      </c>
      <c r="G1390">
        <f>IF(ISNUMBER(B1390),YEAR(B1390),"")</f>
        <v/>
      </c>
      <c r="H1390">
        <f>IF(ISNUMBER(B1390),MONTH(B1390),"")</f>
        <v/>
      </c>
      <c r="I1390">
        <f>IFERROR(IF($B$1=0,"",IF(ISNUMBER(INDEX(貼り付け!$A$1:$BZ$3001,1389,$B$1)),"",SUBSTITUTE(SUBSTITUTE(SUBSTITUTE(SUBSTITUTE(TRIM(LEFT(INDEX(貼り付け!$A$1:$BZ$3001,1389,$B$1)&amp;"",FIND(" ",TRIM(INDEX(貼り付け!$A$1:$BZ$3001,1389,$B$1)&amp;"")&amp;" ")-1)),"/","-"),"年","-"),"月","-"),"日",""))),"")</f>
        <v/>
      </c>
      <c r="J1390">
        <f>IFERROR(MID(I1390,FIND("-",I1390)+1,99),"")</f>
        <v/>
      </c>
    </row>
    <row r="1391">
      <c r="B1391">
        <f>IFERROR(IF($B$1=0,"",IF(INDEX(貼り付け!$A$1:$BZ$3001,1390,$B$1)="","",IF(ISNUMBER(INDEX(貼り付け!$A$1:$BZ$3001,1390,$B$1)),INT(INDEX(貼り付け!$A$1:$BZ$3001,1390,$B$1)),DATE(VALUE(LEFT(I1391,FIND("-",I1391)-1)),VALUE(LEFT(J1391,FIND("-",J1391)-1)),VALUE(MID(J1391,FIND("-",J1391)+1,99)))))),"")</f>
        <v/>
      </c>
      <c r="C1391">
        <f>IF($C$1=0,0,IFERROR(VALUE(SUBSTITUTE(SUBSTITUTE(SUBSTITUTE(INDEX(貼り付け!$A$1:$BZ$3001,1390,$C$1)&amp;"",",",""),"¥",""),"￥","")),0))</f>
        <v/>
      </c>
      <c r="D1391">
        <f>IF($D$1=0,0,IFERROR(VALUE(SUBSTITUTE(SUBSTITUTE(SUBSTITUTE(INDEX(貼り付け!$A$1:$BZ$3001,1390,$D$1)&amp;"",",",""),"¥",""),"￥","")),0))</f>
        <v/>
      </c>
      <c r="E1391">
        <f>IF($E$1=0,0,IFERROR(VALUE(SUBSTITUTE(SUBSTITUTE(SUBSTITUTE(INDEX(貼り付け!$A$1:$BZ$3001,1390,$E$1)&amp;"",",",""),"¥",""),"￥","")),0))</f>
        <v/>
      </c>
      <c r="F1391">
        <f>IF($F$1=0,0,IFERROR(VALUE(SUBSTITUTE(SUBSTITUTE(SUBSTITUTE(INDEX(貼り付け!$A$1:$BZ$3001,1390,$F$1)&amp;"",",",""),"¥",""),"￥","")),0))</f>
        <v/>
      </c>
      <c r="G1391">
        <f>IF(ISNUMBER(B1391),YEAR(B1391),"")</f>
        <v/>
      </c>
      <c r="H1391">
        <f>IF(ISNUMBER(B1391),MONTH(B1391),"")</f>
        <v/>
      </c>
      <c r="I1391">
        <f>IFERROR(IF($B$1=0,"",IF(ISNUMBER(INDEX(貼り付け!$A$1:$BZ$3001,1390,$B$1)),"",SUBSTITUTE(SUBSTITUTE(SUBSTITUTE(SUBSTITUTE(TRIM(LEFT(INDEX(貼り付け!$A$1:$BZ$3001,1390,$B$1)&amp;"",FIND(" ",TRIM(INDEX(貼り付け!$A$1:$BZ$3001,1390,$B$1)&amp;"")&amp;" ")-1)),"/","-"),"年","-"),"月","-"),"日",""))),"")</f>
        <v/>
      </c>
      <c r="J1391">
        <f>IFERROR(MID(I1391,FIND("-",I1391)+1,99),"")</f>
        <v/>
      </c>
    </row>
    <row r="1392">
      <c r="B1392">
        <f>IFERROR(IF($B$1=0,"",IF(INDEX(貼り付け!$A$1:$BZ$3001,1391,$B$1)="","",IF(ISNUMBER(INDEX(貼り付け!$A$1:$BZ$3001,1391,$B$1)),INT(INDEX(貼り付け!$A$1:$BZ$3001,1391,$B$1)),DATE(VALUE(LEFT(I1392,FIND("-",I1392)-1)),VALUE(LEFT(J1392,FIND("-",J1392)-1)),VALUE(MID(J1392,FIND("-",J1392)+1,99)))))),"")</f>
        <v/>
      </c>
      <c r="C1392">
        <f>IF($C$1=0,0,IFERROR(VALUE(SUBSTITUTE(SUBSTITUTE(SUBSTITUTE(INDEX(貼り付け!$A$1:$BZ$3001,1391,$C$1)&amp;"",",",""),"¥",""),"￥","")),0))</f>
        <v/>
      </c>
      <c r="D1392">
        <f>IF($D$1=0,0,IFERROR(VALUE(SUBSTITUTE(SUBSTITUTE(SUBSTITUTE(INDEX(貼り付け!$A$1:$BZ$3001,1391,$D$1)&amp;"",",",""),"¥",""),"￥","")),0))</f>
        <v/>
      </c>
      <c r="E1392">
        <f>IF($E$1=0,0,IFERROR(VALUE(SUBSTITUTE(SUBSTITUTE(SUBSTITUTE(INDEX(貼り付け!$A$1:$BZ$3001,1391,$E$1)&amp;"",",",""),"¥",""),"￥","")),0))</f>
        <v/>
      </c>
      <c r="F1392">
        <f>IF($F$1=0,0,IFERROR(VALUE(SUBSTITUTE(SUBSTITUTE(SUBSTITUTE(INDEX(貼り付け!$A$1:$BZ$3001,1391,$F$1)&amp;"",",",""),"¥",""),"￥","")),0))</f>
        <v/>
      </c>
      <c r="G1392">
        <f>IF(ISNUMBER(B1392),YEAR(B1392),"")</f>
        <v/>
      </c>
      <c r="H1392">
        <f>IF(ISNUMBER(B1392),MONTH(B1392),"")</f>
        <v/>
      </c>
      <c r="I1392">
        <f>IFERROR(IF($B$1=0,"",IF(ISNUMBER(INDEX(貼り付け!$A$1:$BZ$3001,1391,$B$1)),"",SUBSTITUTE(SUBSTITUTE(SUBSTITUTE(SUBSTITUTE(TRIM(LEFT(INDEX(貼り付け!$A$1:$BZ$3001,1391,$B$1)&amp;"",FIND(" ",TRIM(INDEX(貼り付け!$A$1:$BZ$3001,1391,$B$1)&amp;"")&amp;" ")-1)),"/","-"),"年","-"),"月","-"),"日",""))),"")</f>
        <v/>
      </c>
      <c r="J1392">
        <f>IFERROR(MID(I1392,FIND("-",I1392)+1,99),"")</f>
        <v/>
      </c>
    </row>
    <row r="1393">
      <c r="B1393">
        <f>IFERROR(IF($B$1=0,"",IF(INDEX(貼り付け!$A$1:$BZ$3001,1392,$B$1)="","",IF(ISNUMBER(INDEX(貼り付け!$A$1:$BZ$3001,1392,$B$1)),INT(INDEX(貼り付け!$A$1:$BZ$3001,1392,$B$1)),DATE(VALUE(LEFT(I1393,FIND("-",I1393)-1)),VALUE(LEFT(J1393,FIND("-",J1393)-1)),VALUE(MID(J1393,FIND("-",J1393)+1,99)))))),"")</f>
        <v/>
      </c>
      <c r="C1393">
        <f>IF($C$1=0,0,IFERROR(VALUE(SUBSTITUTE(SUBSTITUTE(SUBSTITUTE(INDEX(貼り付け!$A$1:$BZ$3001,1392,$C$1)&amp;"",",",""),"¥",""),"￥","")),0))</f>
        <v/>
      </c>
      <c r="D1393">
        <f>IF($D$1=0,0,IFERROR(VALUE(SUBSTITUTE(SUBSTITUTE(SUBSTITUTE(INDEX(貼り付け!$A$1:$BZ$3001,1392,$D$1)&amp;"",",",""),"¥",""),"￥","")),0))</f>
        <v/>
      </c>
      <c r="E1393">
        <f>IF($E$1=0,0,IFERROR(VALUE(SUBSTITUTE(SUBSTITUTE(SUBSTITUTE(INDEX(貼り付け!$A$1:$BZ$3001,1392,$E$1)&amp;"",",",""),"¥",""),"￥","")),0))</f>
        <v/>
      </c>
      <c r="F1393">
        <f>IF($F$1=0,0,IFERROR(VALUE(SUBSTITUTE(SUBSTITUTE(SUBSTITUTE(INDEX(貼り付け!$A$1:$BZ$3001,1392,$F$1)&amp;"",",",""),"¥",""),"￥","")),0))</f>
        <v/>
      </c>
      <c r="G1393">
        <f>IF(ISNUMBER(B1393),YEAR(B1393),"")</f>
        <v/>
      </c>
      <c r="H1393">
        <f>IF(ISNUMBER(B1393),MONTH(B1393),"")</f>
        <v/>
      </c>
      <c r="I1393">
        <f>IFERROR(IF($B$1=0,"",IF(ISNUMBER(INDEX(貼り付け!$A$1:$BZ$3001,1392,$B$1)),"",SUBSTITUTE(SUBSTITUTE(SUBSTITUTE(SUBSTITUTE(TRIM(LEFT(INDEX(貼り付け!$A$1:$BZ$3001,1392,$B$1)&amp;"",FIND(" ",TRIM(INDEX(貼り付け!$A$1:$BZ$3001,1392,$B$1)&amp;"")&amp;" ")-1)),"/","-"),"年","-"),"月","-"),"日",""))),"")</f>
        <v/>
      </c>
      <c r="J1393">
        <f>IFERROR(MID(I1393,FIND("-",I1393)+1,99),"")</f>
        <v/>
      </c>
    </row>
    <row r="1394">
      <c r="B1394">
        <f>IFERROR(IF($B$1=0,"",IF(INDEX(貼り付け!$A$1:$BZ$3001,1393,$B$1)="","",IF(ISNUMBER(INDEX(貼り付け!$A$1:$BZ$3001,1393,$B$1)),INT(INDEX(貼り付け!$A$1:$BZ$3001,1393,$B$1)),DATE(VALUE(LEFT(I1394,FIND("-",I1394)-1)),VALUE(LEFT(J1394,FIND("-",J1394)-1)),VALUE(MID(J1394,FIND("-",J1394)+1,99)))))),"")</f>
        <v/>
      </c>
      <c r="C1394">
        <f>IF($C$1=0,0,IFERROR(VALUE(SUBSTITUTE(SUBSTITUTE(SUBSTITUTE(INDEX(貼り付け!$A$1:$BZ$3001,1393,$C$1)&amp;"",",",""),"¥",""),"￥","")),0))</f>
        <v/>
      </c>
      <c r="D1394">
        <f>IF($D$1=0,0,IFERROR(VALUE(SUBSTITUTE(SUBSTITUTE(SUBSTITUTE(INDEX(貼り付け!$A$1:$BZ$3001,1393,$D$1)&amp;"",",",""),"¥",""),"￥","")),0))</f>
        <v/>
      </c>
      <c r="E1394">
        <f>IF($E$1=0,0,IFERROR(VALUE(SUBSTITUTE(SUBSTITUTE(SUBSTITUTE(INDEX(貼り付け!$A$1:$BZ$3001,1393,$E$1)&amp;"",",",""),"¥",""),"￥","")),0))</f>
        <v/>
      </c>
      <c r="F1394">
        <f>IF($F$1=0,0,IFERROR(VALUE(SUBSTITUTE(SUBSTITUTE(SUBSTITUTE(INDEX(貼り付け!$A$1:$BZ$3001,1393,$F$1)&amp;"",",",""),"¥",""),"￥","")),0))</f>
        <v/>
      </c>
      <c r="G1394">
        <f>IF(ISNUMBER(B1394),YEAR(B1394),"")</f>
        <v/>
      </c>
      <c r="H1394">
        <f>IF(ISNUMBER(B1394),MONTH(B1394),"")</f>
        <v/>
      </c>
      <c r="I1394">
        <f>IFERROR(IF($B$1=0,"",IF(ISNUMBER(INDEX(貼り付け!$A$1:$BZ$3001,1393,$B$1)),"",SUBSTITUTE(SUBSTITUTE(SUBSTITUTE(SUBSTITUTE(TRIM(LEFT(INDEX(貼り付け!$A$1:$BZ$3001,1393,$B$1)&amp;"",FIND(" ",TRIM(INDEX(貼り付け!$A$1:$BZ$3001,1393,$B$1)&amp;"")&amp;" ")-1)),"/","-"),"年","-"),"月","-"),"日",""))),"")</f>
        <v/>
      </c>
      <c r="J1394">
        <f>IFERROR(MID(I1394,FIND("-",I1394)+1,99),"")</f>
        <v/>
      </c>
    </row>
    <row r="1395">
      <c r="B1395">
        <f>IFERROR(IF($B$1=0,"",IF(INDEX(貼り付け!$A$1:$BZ$3001,1394,$B$1)="","",IF(ISNUMBER(INDEX(貼り付け!$A$1:$BZ$3001,1394,$B$1)),INT(INDEX(貼り付け!$A$1:$BZ$3001,1394,$B$1)),DATE(VALUE(LEFT(I1395,FIND("-",I1395)-1)),VALUE(LEFT(J1395,FIND("-",J1395)-1)),VALUE(MID(J1395,FIND("-",J1395)+1,99)))))),"")</f>
        <v/>
      </c>
      <c r="C1395">
        <f>IF($C$1=0,0,IFERROR(VALUE(SUBSTITUTE(SUBSTITUTE(SUBSTITUTE(INDEX(貼り付け!$A$1:$BZ$3001,1394,$C$1)&amp;"",",",""),"¥",""),"￥","")),0))</f>
        <v/>
      </c>
      <c r="D1395">
        <f>IF($D$1=0,0,IFERROR(VALUE(SUBSTITUTE(SUBSTITUTE(SUBSTITUTE(INDEX(貼り付け!$A$1:$BZ$3001,1394,$D$1)&amp;"",",",""),"¥",""),"￥","")),0))</f>
        <v/>
      </c>
      <c r="E1395">
        <f>IF($E$1=0,0,IFERROR(VALUE(SUBSTITUTE(SUBSTITUTE(SUBSTITUTE(INDEX(貼り付け!$A$1:$BZ$3001,1394,$E$1)&amp;"",",",""),"¥",""),"￥","")),0))</f>
        <v/>
      </c>
      <c r="F1395">
        <f>IF($F$1=0,0,IFERROR(VALUE(SUBSTITUTE(SUBSTITUTE(SUBSTITUTE(INDEX(貼り付け!$A$1:$BZ$3001,1394,$F$1)&amp;"",",",""),"¥",""),"￥","")),0))</f>
        <v/>
      </c>
      <c r="G1395">
        <f>IF(ISNUMBER(B1395),YEAR(B1395),"")</f>
        <v/>
      </c>
      <c r="H1395">
        <f>IF(ISNUMBER(B1395),MONTH(B1395),"")</f>
        <v/>
      </c>
      <c r="I1395">
        <f>IFERROR(IF($B$1=0,"",IF(ISNUMBER(INDEX(貼り付け!$A$1:$BZ$3001,1394,$B$1)),"",SUBSTITUTE(SUBSTITUTE(SUBSTITUTE(SUBSTITUTE(TRIM(LEFT(INDEX(貼り付け!$A$1:$BZ$3001,1394,$B$1)&amp;"",FIND(" ",TRIM(INDEX(貼り付け!$A$1:$BZ$3001,1394,$B$1)&amp;"")&amp;" ")-1)),"/","-"),"年","-"),"月","-"),"日",""))),"")</f>
        <v/>
      </c>
      <c r="J1395">
        <f>IFERROR(MID(I1395,FIND("-",I1395)+1,99),"")</f>
        <v/>
      </c>
    </row>
    <row r="1396">
      <c r="B1396">
        <f>IFERROR(IF($B$1=0,"",IF(INDEX(貼り付け!$A$1:$BZ$3001,1395,$B$1)="","",IF(ISNUMBER(INDEX(貼り付け!$A$1:$BZ$3001,1395,$B$1)),INT(INDEX(貼り付け!$A$1:$BZ$3001,1395,$B$1)),DATE(VALUE(LEFT(I1396,FIND("-",I1396)-1)),VALUE(LEFT(J1396,FIND("-",J1396)-1)),VALUE(MID(J1396,FIND("-",J1396)+1,99)))))),"")</f>
        <v/>
      </c>
      <c r="C1396">
        <f>IF($C$1=0,0,IFERROR(VALUE(SUBSTITUTE(SUBSTITUTE(SUBSTITUTE(INDEX(貼り付け!$A$1:$BZ$3001,1395,$C$1)&amp;"",",",""),"¥",""),"￥","")),0))</f>
        <v/>
      </c>
      <c r="D1396">
        <f>IF($D$1=0,0,IFERROR(VALUE(SUBSTITUTE(SUBSTITUTE(SUBSTITUTE(INDEX(貼り付け!$A$1:$BZ$3001,1395,$D$1)&amp;"",",",""),"¥",""),"￥","")),0))</f>
        <v/>
      </c>
      <c r="E1396">
        <f>IF($E$1=0,0,IFERROR(VALUE(SUBSTITUTE(SUBSTITUTE(SUBSTITUTE(INDEX(貼り付け!$A$1:$BZ$3001,1395,$E$1)&amp;"",",",""),"¥",""),"￥","")),0))</f>
        <v/>
      </c>
      <c r="F1396">
        <f>IF($F$1=0,0,IFERROR(VALUE(SUBSTITUTE(SUBSTITUTE(SUBSTITUTE(INDEX(貼り付け!$A$1:$BZ$3001,1395,$F$1)&amp;"",",",""),"¥",""),"￥","")),0))</f>
        <v/>
      </c>
      <c r="G1396">
        <f>IF(ISNUMBER(B1396),YEAR(B1396),"")</f>
        <v/>
      </c>
      <c r="H1396">
        <f>IF(ISNUMBER(B1396),MONTH(B1396),"")</f>
        <v/>
      </c>
      <c r="I1396">
        <f>IFERROR(IF($B$1=0,"",IF(ISNUMBER(INDEX(貼り付け!$A$1:$BZ$3001,1395,$B$1)),"",SUBSTITUTE(SUBSTITUTE(SUBSTITUTE(SUBSTITUTE(TRIM(LEFT(INDEX(貼り付け!$A$1:$BZ$3001,1395,$B$1)&amp;"",FIND(" ",TRIM(INDEX(貼り付け!$A$1:$BZ$3001,1395,$B$1)&amp;"")&amp;" ")-1)),"/","-"),"年","-"),"月","-"),"日",""))),"")</f>
        <v/>
      </c>
      <c r="J1396">
        <f>IFERROR(MID(I1396,FIND("-",I1396)+1,99),"")</f>
        <v/>
      </c>
    </row>
    <row r="1397">
      <c r="B1397">
        <f>IFERROR(IF($B$1=0,"",IF(INDEX(貼り付け!$A$1:$BZ$3001,1396,$B$1)="","",IF(ISNUMBER(INDEX(貼り付け!$A$1:$BZ$3001,1396,$B$1)),INT(INDEX(貼り付け!$A$1:$BZ$3001,1396,$B$1)),DATE(VALUE(LEFT(I1397,FIND("-",I1397)-1)),VALUE(LEFT(J1397,FIND("-",J1397)-1)),VALUE(MID(J1397,FIND("-",J1397)+1,99)))))),"")</f>
        <v/>
      </c>
      <c r="C1397">
        <f>IF($C$1=0,0,IFERROR(VALUE(SUBSTITUTE(SUBSTITUTE(SUBSTITUTE(INDEX(貼り付け!$A$1:$BZ$3001,1396,$C$1)&amp;"",",",""),"¥",""),"￥","")),0))</f>
        <v/>
      </c>
      <c r="D1397">
        <f>IF($D$1=0,0,IFERROR(VALUE(SUBSTITUTE(SUBSTITUTE(SUBSTITUTE(INDEX(貼り付け!$A$1:$BZ$3001,1396,$D$1)&amp;"",",",""),"¥",""),"￥","")),0))</f>
        <v/>
      </c>
      <c r="E1397">
        <f>IF($E$1=0,0,IFERROR(VALUE(SUBSTITUTE(SUBSTITUTE(SUBSTITUTE(INDEX(貼り付け!$A$1:$BZ$3001,1396,$E$1)&amp;"",",",""),"¥",""),"￥","")),0))</f>
        <v/>
      </c>
      <c r="F1397">
        <f>IF($F$1=0,0,IFERROR(VALUE(SUBSTITUTE(SUBSTITUTE(SUBSTITUTE(INDEX(貼り付け!$A$1:$BZ$3001,1396,$F$1)&amp;"",",",""),"¥",""),"￥","")),0))</f>
        <v/>
      </c>
      <c r="G1397">
        <f>IF(ISNUMBER(B1397),YEAR(B1397),"")</f>
        <v/>
      </c>
      <c r="H1397">
        <f>IF(ISNUMBER(B1397),MONTH(B1397),"")</f>
        <v/>
      </c>
      <c r="I1397">
        <f>IFERROR(IF($B$1=0,"",IF(ISNUMBER(INDEX(貼り付け!$A$1:$BZ$3001,1396,$B$1)),"",SUBSTITUTE(SUBSTITUTE(SUBSTITUTE(SUBSTITUTE(TRIM(LEFT(INDEX(貼り付け!$A$1:$BZ$3001,1396,$B$1)&amp;"",FIND(" ",TRIM(INDEX(貼り付け!$A$1:$BZ$3001,1396,$B$1)&amp;"")&amp;" ")-1)),"/","-"),"年","-"),"月","-"),"日",""))),"")</f>
        <v/>
      </c>
      <c r="J1397">
        <f>IFERROR(MID(I1397,FIND("-",I1397)+1,99),"")</f>
        <v/>
      </c>
    </row>
    <row r="1398">
      <c r="B1398">
        <f>IFERROR(IF($B$1=0,"",IF(INDEX(貼り付け!$A$1:$BZ$3001,1397,$B$1)="","",IF(ISNUMBER(INDEX(貼り付け!$A$1:$BZ$3001,1397,$B$1)),INT(INDEX(貼り付け!$A$1:$BZ$3001,1397,$B$1)),DATE(VALUE(LEFT(I1398,FIND("-",I1398)-1)),VALUE(LEFT(J1398,FIND("-",J1398)-1)),VALUE(MID(J1398,FIND("-",J1398)+1,99)))))),"")</f>
        <v/>
      </c>
      <c r="C1398">
        <f>IF($C$1=0,0,IFERROR(VALUE(SUBSTITUTE(SUBSTITUTE(SUBSTITUTE(INDEX(貼り付け!$A$1:$BZ$3001,1397,$C$1)&amp;"",",",""),"¥",""),"￥","")),0))</f>
        <v/>
      </c>
      <c r="D1398">
        <f>IF($D$1=0,0,IFERROR(VALUE(SUBSTITUTE(SUBSTITUTE(SUBSTITUTE(INDEX(貼り付け!$A$1:$BZ$3001,1397,$D$1)&amp;"",",",""),"¥",""),"￥","")),0))</f>
        <v/>
      </c>
      <c r="E1398">
        <f>IF($E$1=0,0,IFERROR(VALUE(SUBSTITUTE(SUBSTITUTE(SUBSTITUTE(INDEX(貼り付け!$A$1:$BZ$3001,1397,$E$1)&amp;"",",",""),"¥",""),"￥","")),0))</f>
        <v/>
      </c>
      <c r="F1398">
        <f>IF($F$1=0,0,IFERROR(VALUE(SUBSTITUTE(SUBSTITUTE(SUBSTITUTE(INDEX(貼り付け!$A$1:$BZ$3001,1397,$F$1)&amp;"",",",""),"¥",""),"￥","")),0))</f>
        <v/>
      </c>
      <c r="G1398">
        <f>IF(ISNUMBER(B1398),YEAR(B1398),"")</f>
        <v/>
      </c>
      <c r="H1398">
        <f>IF(ISNUMBER(B1398),MONTH(B1398),"")</f>
        <v/>
      </c>
      <c r="I1398">
        <f>IFERROR(IF($B$1=0,"",IF(ISNUMBER(INDEX(貼り付け!$A$1:$BZ$3001,1397,$B$1)),"",SUBSTITUTE(SUBSTITUTE(SUBSTITUTE(SUBSTITUTE(TRIM(LEFT(INDEX(貼り付け!$A$1:$BZ$3001,1397,$B$1)&amp;"",FIND(" ",TRIM(INDEX(貼り付け!$A$1:$BZ$3001,1397,$B$1)&amp;"")&amp;" ")-1)),"/","-"),"年","-"),"月","-"),"日",""))),"")</f>
        <v/>
      </c>
      <c r="J1398">
        <f>IFERROR(MID(I1398,FIND("-",I1398)+1,99),"")</f>
        <v/>
      </c>
    </row>
    <row r="1399">
      <c r="B1399">
        <f>IFERROR(IF($B$1=0,"",IF(INDEX(貼り付け!$A$1:$BZ$3001,1398,$B$1)="","",IF(ISNUMBER(INDEX(貼り付け!$A$1:$BZ$3001,1398,$B$1)),INT(INDEX(貼り付け!$A$1:$BZ$3001,1398,$B$1)),DATE(VALUE(LEFT(I1399,FIND("-",I1399)-1)),VALUE(LEFT(J1399,FIND("-",J1399)-1)),VALUE(MID(J1399,FIND("-",J1399)+1,99)))))),"")</f>
        <v/>
      </c>
      <c r="C1399">
        <f>IF($C$1=0,0,IFERROR(VALUE(SUBSTITUTE(SUBSTITUTE(SUBSTITUTE(INDEX(貼り付け!$A$1:$BZ$3001,1398,$C$1)&amp;"",",",""),"¥",""),"￥","")),0))</f>
        <v/>
      </c>
      <c r="D1399">
        <f>IF($D$1=0,0,IFERROR(VALUE(SUBSTITUTE(SUBSTITUTE(SUBSTITUTE(INDEX(貼り付け!$A$1:$BZ$3001,1398,$D$1)&amp;"",",",""),"¥",""),"￥","")),0))</f>
        <v/>
      </c>
      <c r="E1399">
        <f>IF($E$1=0,0,IFERROR(VALUE(SUBSTITUTE(SUBSTITUTE(SUBSTITUTE(INDEX(貼り付け!$A$1:$BZ$3001,1398,$E$1)&amp;"",",",""),"¥",""),"￥","")),0))</f>
        <v/>
      </c>
      <c r="F1399">
        <f>IF($F$1=0,0,IFERROR(VALUE(SUBSTITUTE(SUBSTITUTE(SUBSTITUTE(INDEX(貼り付け!$A$1:$BZ$3001,1398,$F$1)&amp;"",",",""),"¥",""),"￥","")),0))</f>
        <v/>
      </c>
      <c r="G1399">
        <f>IF(ISNUMBER(B1399),YEAR(B1399),"")</f>
        <v/>
      </c>
      <c r="H1399">
        <f>IF(ISNUMBER(B1399),MONTH(B1399),"")</f>
        <v/>
      </c>
      <c r="I1399">
        <f>IFERROR(IF($B$1=0,"",IF(ISNUMBER(INDEX(貼り付け!$A$1:$BZ$3001,1398,$B$1)),"",SUBSTITUTE(SUBSTITUTE(SUBSTITUTE(SUBSTITUTE(TRIM(LEFT(INDEX(貼り付け!$A$1:$BZ$3001,1398,$B$1)&amp;"",FIND(" ",TRIM(INDEX(貼り付け!$A$1:$BZ$3001,1398,$B$1)&amp;"")&amp;" ")-1)),"/","-"),"年","-"),"月","-"),"日",""))),"")</f>
        <v/>
      </c>
      <c r="J1399">
        <f>IFERROR(MID(I1399,FIND("-",I1399)+1,99),"")</f>
        <v/>
      </c>
    </row>
    <row r="1400">
      <c r="B1400">
        <f>IFERROR(IF($B$1=0,"",IF(INDEX(貼り付け!$A$1:$BZ$3001,1399,$B$1)="","",IF(ISNUMBER(INDEX(貼り付け!$A$1:$BZ$3001,1399,$B$1)),INT(INDEX(貼り付け!$A$1:$BZ$3001,1399,$B$1)),DATE(VALUE(LEFT(I1400,FIND("-",I1400)-1)),VALUE(LEFT(J1400,FIND("-",J1400)-1)),VALUE(MID(J1400,FIND("-",J1400)+1,99)))))),"")</f>
        <v/>
      </c>
      <c r="C1400">
        <f>IF($C$1=0,0,IFERROR(VALUE(SUBSTITUTE(SUBSTITUTE(SUBSTITUTE(INDEX(貼り付け!$A$1:$BZ$3001,1399,$C$1)&amp;"",",",""),"¥",""),"￥","")),0))</f>
        <v/>
      </c>
      <c r="D1400">
        <f>IF($D$1=0,0,IFERROR(VALUE(SUBSTITUTE(SUBSTITUTE(SUBSTITUTE(INDEX(貼り付け!$A$1:$BZ$3001,1399,$D$1)&amp;"",",",""),"¥",""),"￥","")),0))</f>
        <v/>
      </c>
      <c r="E1400">
        <f>IF($E$1=0,0,IFERROR(VALUE(SUBSTITUTE(SUBSTITUTE(SUBSTITUTE(INDEX(貼り付け!$A$1:$BZ$3001,1399,$E$1)&amp;"",",",""),"¥",""),"￥","")),0))</f>
        <v/>
      </c>
      <c r="F1400">
        <f>IF($F$1=0,0,IFERROR(VALUE(SUBSTITUTE(SUBSTITUTE(SUBSTITUTE(INDEX(貼り付け!$A$1:$BZ$3001,1399,$F$1)&amp;"",",",""),"¥",""),"￥","")),0))</f>
        <v/>
      </c>
      <c r="G1400">
        <f>IF(ISNUMBER(B1400),YEAR(B1400),"")</f>
        <v/>
      </c>
      <c r="H1400">
        <f>IF(ISNUMBER(B1400),MONTH(B1400),"")</f>
        <v/>
      </c>
      <c r="I1400">
        <f>IFERROR(IF($B$1=0,"",IF(ISNUMBER(INDEX(貼り付け!$A$1:$BZ$3001,1399,$B$1)),"",SUBSTITUTE(SUBSTITUTE(SUBSTITUTE(SUBSTITUTE(TRIM(LEFT(INDEX(貼り付け!$A$1:$BZ$3001,1399,$B$1)&amp;"",FIND(" ",TRIM(INDEX(貼り付け!$A$1:$BZ$3001,1399,$B$1)&amp;"")&amp;" ")-1)),"/","-"),"年","-"),"月","-"),"日",""))),"")</f>
        <v/>
      </c>
      <c r="J1400">
        <f>IFERROR(MID(I1400,FIND("-",I1400)+1,99),"")</f>
        <v/>
      </c>
    </row>
    <row r="1401">
      <c r="B1401">
        <f>IFERROR(IF($B$1=0,"",IF(INDEX(貼り付け!$A$1:$BZ$3001,1400,$B$1)="","",IF(ISNUMBER(INDEX(貼り付け!$A$1:$BZ$3001,1400,$B$1)),INT(INDEX(貼り付け!$A$1:$BZ$3001,1400,$B$1)),DATE(VALUE(LEFT(I1401,FIND("-",I1401)-1)),VALUE(LEFT(J1401,FIND("-",J1401)-1)),VALUE(MID(J1401,FIND("-",J1401)+1,99)))))),"")</f>
        <v/>
      </c>
      <c r="C1401">
        <f>IF($C$1=0,0,IFERROR(VALUE(SUBSTITUTE(SUBSTITUTE(SUBSTITUTE(INDEX(貼り付け!$A$1:$BZ$3001,1400,$C$1)&amp;"",",",""),"¥",""),"￥","")),0))</f>
        <v/>
      </c>
      <c r="D1401">
        <f>IF($D$1=0,0,IFERROR(VALUE(SUBSTITUTE(SUBSTITUTE(SUBSTITUTE(INDEX(貼り付け!$A$1:$BZ$3001,1400,$D$1)&amp;"",",",""),"¥",""),"￥","")),0))</f>
        <v/>
      </c>
      <c r="E1401">
        <f>IF($E$1=0,0,IFERROR(VALUE(SUBSTITUTE(SUBSTITUTE(SUBSTITUTE(INDEX(貼り付け!$A$1:$BZ$3001,1400,$E$1)&amp;"",",",""),"¥",""),"￥","")),0))</f>
        <v/>
      </c>
      <c r="F1401">
        <f>IF($F$1=0,0,IFERROR(VALUE(SUBSTITUTE(SUBSTITUTE(SUBSTITUTE(INDEX(貼り付け!$A$1:$BZ$3001,1400,$F$1)&amp;"",",",""),"¥",""),"￥","")),0))</f>
        <v/>
      </c>
      <c r="G1401">
        <f>IF(ISNUMBER(B1401),YEAR(B1401),"")</f>
        <v/>
      </c>
      <c r="H1401">
        <f>IF(ISNUMBER(B1401),MONTH(B1401),"")</f>
        <v/>
      </c>
      <c r="I1401">
        <f>IFERROR(IF($B$1=0,"",IF(ISNUMBER(INDEX(貼り付け!$A$1:$BZ$3001,1400,$B$1)),"",SUBSTITUTE(SUBSTITUTE(SUBSTITUTE(SUBSTITUTE(TRIM(LEFT(INDEX(貼り付け!$A$1:$BZ$3001,1400,$B$1)&amp;"",FIND(" ",TRIM(INDEX(貼り付け!$A$1:$BZ$3001,1400,$B$1)&amp;"")&amp;" ")-1)),"/","-"),"年","-"),"月","-"),"日",""))),"")</f>
        <v/>
      </c>
      <c r="J1401">
        <f>IFERROR(MID(I1401,FIND("-",I1401)+1,99),"")</f>
        <v/>
      </c>
    </row>
    <row r="1402">
      <c r="B1402">
        <f>IFERROR(IF($B$1=0,"",IF(INDEX(貼り付け!$A$1:$BZ$3001,1401,$B$1)="","",IF(ISNUMBER(INDEX(貼り付け!$A$1:$BZ$3001,1401,$B$1)),INT(INDEX(貼り付け!$A$1:$BZ$3001,1401,$B$1)),DATE(VALUE(LEFT(I1402,FIND("-",I1402)-1)),VALUE(LEFT(J1402,FIND("-",J1402)-1)),VALUE(MID(J1402,FIND("-",J1402)+1,99)))))),"")</f>
        <v/>
      </c>
      <c r="C1402">
        <f>IF($C$1=0,0,IFERROR(VALUE(SUBSTITUTE(SUBSTITUTE(SUBSTITUTE(INDEX(貼り付け!$A$1:$BZ$3001,1401,$C$1)&amp;"",",",""),"¥",""),"￥","")),0))</f>
        <v/>
      </c>
      <c r="D1402">
        <f>IF($D$1=0,0,IFERROR(VALUE(SUBSTITUTE(SUBSTITUTE(SUBSTITUTE(INDEX(貼り付け!$A$1:$BZ$3001,1401,$D$1)&amp;"",",",""),"¥",""),"￥","")),0))</f>
        <v/>
      </c>
      <c r="E1402">
        <f>IF($E$1=0,0,IFERROR(VALUE(SUBSTITUTE(SUBSTITUTE(SUBSTITUTE(INDEX(貼り付け!$A$1:$BZ$3001,1401,$E$1)&amp;"",",",""),"¥",""),"￥","")),0))</f>
        <v/>
      </c>
      <c r="F1402">
        <f>IF($F$1=0,0,IFERROR(VALUE(SUBSTITUTE(SUBSTITUTE(SUBSTITUTE(INDEX(貼り付け!$A$1:$BZ$3001,1401,$F$1)&amp;"",",",""),"¥",""),"￥","")),0))</f>
        <v/>
      </c>
      <c r="G1402">
        <f>IF(ISNUMBER(B1402),YEAR(B1402),"")</f>
        <v/>
      </c>
      <c r="H1402">
        <f>IF(ISNUMBER(B1402),MONTH(B1402),"")</f>
        <v/>
      </c>
      <c r="I1402">
        <f>IFERROR(IF($B$1=0,"",IF(ISNUMBER(INDEX(貼り付け!$A$1:$BZ$3001,1401,$B$1)),"",SUBSTITUTE(SUBSTITUTE(SUBSTITUTE(SUBSTITUTE(TRIM(LEFT(INDEX(貼り付け!$A$1:$BZ$3001,1401,$B$1)&amp;"",FIND(" ",TRIM(INDEX(貼り付け!$A$1:$BZ$3001,1401,$B$1)&amp;"")&amp;" ")-1)),"/","-"),"年","-"),"月","-"),"日",""))),"")</f>
        <v/>
      </c>
      <c r="J1402">
        <f>IFERROR(MID(I1402,FIND("-",I1402)+1,99),"")</f>
        <v/>
      </c>
    </row>
    <row r="1403">
      <c r="B1403">
        <f>IFERROR(IF($B$1=0,"",IF(INDEX(貼り付け!$A$1:$BZ$3001,1402,$B$1)="","",IF(ISNUMBER(INDEX(貼り付け!$A$1:$BZ$3001,1402,$B$1)),INT(INDEX(貼り付け!$A$1:$BZ$3001,1402,$B$1)),DATE(VALUE(LEFT(I1403,FIND("-",I1403)-1)),VALUE(LEFT(J1403,FIND("-",J1403)-1)),VALUE(MID(J1403,FIND("-",J1403)+1,99)))))),"")</f>
        <v/>
      </c>
      <c r="C1403">
        <f>IF($C$1=0,0,IFERROR(VALUE(SUBSTITUTE(SUBSTITUTE(SUBSTITUTE(INDEX(貼り付け!$A$1:$BZ$3001,1402,$C$1)&amp;"",",",""),"¥",""),"￥","")),0))</f>
        <v/>
      </c>
      <c r="D1403">
        <f>IF($D$1=0,0,IFERROR(VALUE(SUBSTITUTE(SUBSTITUTE(SUBSTITUTE(INDEX(貼り付け!$A$1:$BZ$3001,1402,$D$1)&amp;"",",",""),"¥",""),"￥","")),0))</f>
        <v/>
      </c>
      <c r="E1403">
        <f>IF($E$1=0,0,IFERROR(VALUE(SUBSTITUTE(SUBSTITUTE(SUBSTITUTE(INDEX(貼り付け!$A$1:$BZ$3001,1402,$E$1)&amp;"",",",""),"¥",""),"￥","")),0))</f>
        <v/>
      </c>
      <c r="F1403">
        <f>IF($F$1=0,0,IFERROR(VALUE(SUBSTITUTE(SUBSTITUTE(SUBSTITUTE(INDEX(貼り付け!$A$1:$BZ$3001,1402,$F$1)&amp;"",",",""),"¥",""),"￥","")),0))</f>
        <v/>
      </c>
      <c r="G1403">
        <f>IF(ISNUMBER(B1403),YEAR(B1403),"")</f>
        <v/>
      </c>
      <c r="H1403">
        <f>IF(ISNUMBER(B1403),MONTH(B1403),"")</f>
        <v/>
      </c>
      <c r="I1403">
        <f>IFERROR(IF($B$1=0,"",IF(ISNUMBER(INDEX(貼り付け!$A$1:$BZ$3001,1402,$B$1)),"",SUBSTITUTE(SUBSTITUTE(SUBSTITUTE(SUBSTITUTE(TRIM(LEFT(INDEX(貼り付け!$A$1:$BZ$3001,1402,$B$1)&amp;"",FIND(" ",TRIM(INDEX(貼り付け!$A$1:$BZ$3001,1402,$B$1)&amp;"")&amp;" ")-1)),"/","-"),"年","-"),"月","-"),"日",""))),"")</f>
        <v/>
      </c>
      <c r="J1403">
        <f>IFERROR(MID(I1403,FIND("-",I1403)+1,99),"")</f>
        <v/>
      </c>
    </row>
    <row r="1404">
      <c r="B1404">
        <f>IFERROR(IF($B$1=0,"",IF(INDEX(貼り付け!$A$1:$BZ$3001,1403,$B$1)="","",IF(ISNUMBER(INDEX(貼り付け!$A$1:$BZ$3001,1403,$B$1)),INT(INDEX(貼り付け!$A$1:$BZ$3001,1403,$B$1)),DATE(VALUE(LEFT(I1404,FIND("-",I1404)-1)),VALUE(LEFT(J1404,FIND("-",J1404)-1)),VALUE(MID(J1404,FIND("-",J1404)+1,99)))))),"")</f>
        <v/>
      </c>
      <c r="C1404">
        <f>IF($C$1=0,0,IFERROR(VALUE(SUBSTITUTE(SUBSTITUTE(SUBSTITUTE(INDEX(貼り付け!$A$1:$BZ$3001,1403,$C$1)&amp;"",",",""),"¥",""),"￥","")),0))</f>
        <v/>
      </c>
      <c r="D1404">
        <f>IF($D$1=0,0,IFERROR(VALUE(SUBSTITUTE(SUBSTITUTE(SUBSTITUTE(INDEX(貼り付け!$A$1:$BZ$3001,1403,$D$1)&amp;"",",",""),"¥",""),"￥","")),0))</f>
        <v/>
      </c>
      <c r="E1404">
        <f>IF($E$1=0,0,IFERROR(VALUE(SUBSTITUTE(SUBSTITUTE(SUBSTITUTE(INDEX(貼り付け!$A$1:$BZ$3001,1403,$E$1)&amp;"",",",""),"¥",""),"￥","")),0))</f>
        <v/>
      </c>
      <c r="F1404">
        <f>IF($F$1=0,0,IFERROR(VALUE(SUBSTITUTE(SUBSTITUTE(SUBSTITUTE(INDEX(貼り付け!$A$1:$BZ$3001,1403,$F$1)&amp;"",",",""),"¥",""),"￥","")),0))</f>
        <v/>
      </c>
      <c r="G1404">
        <f>IF(ISNUMBER(B1404),YEAR(B1404),"")</f>
        <v/>
      </c>
      <c r="H1404">
        <f>IF(ISNUMBER(B1404),MONTH(B1404),"")</f>
        <v/>
      </c>
      <c r="I1404">
        <f>IFERROR(IF($B$1=0,"",IF(ISNUMBER(INDEX(貼り付け!$A$1:$BZ$3001,1403,$B$1)),"",SUBSTITUTE(SUBSTITUTE(SUBSTITUTE(SUBSTITUTE(TRIM(LEFT(INDEX(貼り付け!$A$1:$BZ$3001,1403,$B$1)&amp;"",FIND(" ",TRIM(INDEX(貼り付け!$A$1:$BZ$3001,1403,$B$1)&amp;"")&amp;" ")-1)),"/","-"),"年","-"),"月","-"),"日",""))),"")</f>
        <v/>
      </c>
      <c r="J1404">
        <f>IFERROR(MID(I1404,FIND("-",I1404)+1,99),"")</f>
        <v/>
      </c>
    </row>
    <row r="1405">
      <c r="B1405">
        <f>IFERROR(IF($B$1=0,"",IF(INDEX(貼り付け!$A$1:$BZ$3001,1404,$B$1)="","",IF(ISNUMBER(INDEX(貼り付け!$A$1:$BZ$3001,1404,$B$1)),INT(INDEX(貼り付け!$A$1:$BZ$3001,1404,$B$1)),DATE(VALUE(LEFT(I1405,FIND("-",I1405)-1)),VALUE(LEFT(J1405,FIND("-",J1405)-1)),VALUE(MID(J1405,FIND("-",J1405)+1,99)))))),"")</f>
        <v/>
      </c>
      <c r="C1405">
        <f>IF($C$1=0,0,IFERROR(VALUE(SUBSTITUTE(SUBSTITUTE(SUBSTITUTE(INDEX(貼り付け!$A$1:$BZ$3001,1404,$C$1)&amp;"",",",""),"¥",""),"￥","")),0))</f>
        <v/>
      </c>
      <c r="D1405">
        <f>IF($D$1=0,0,IFERROR(VALUE(SUBSTITUTE(SUBSTITUTE(SUBSTITUTE(INDEX(貼り付け!$A$1:$BZ$3001,1404,$D$1)&amp;"",",",""),"¥",""),"￥","")),0))</f>
        <v/>
      </c>
      <c r="E1405">
        <f>IF($E$1=0,0,IFERROR(VALUE(SUBSTITUTE(SUBSTITUTE(SUBSTITUTE(INDEX(貼り付け!$A$1:$BZ$3001,1404,$E$1)&amp;"",",",""),"¥",""),"￥","")),0))</f>
        <v/>
      </c>
      <c r="F1405">
        <f>IF($F$1=0,0,IFERROR(VALUE(SUBSTITUTE(SUBSTITUTE(SUBSTITUTE(INDEX(貼り付け!$A$1:$BZ$3001,1404,$F$1)&amp;"",",",""),"¥",""),"￥","")),0))</f>
        <v/>
      </c>
      <c r="G1405">
        <f>IF(ISNUMBER(B1405),YEAR(B1405),"")</f>
        <v/>
      </c>
      <c r="H1405">
        <f>IF(ISNUMBER(B1405),MONTH(B1405),"")</f>
        <v/>
      </c>
      <c r="I1405">
        <f>IFERROR(IF($B$1=0,"",IF(ISNUMBER(INDEX(貼り付け!$A$1:$BZ$3001,1404,$B$1)),"",SUBSTITUTE(SUBSTITUTE(SUBSTITUTE(SUBSTITUTE(TRIM(LEFT(INDEX(貼り付け!$A$1:$BZ$3001,1404,$B$1)&amp;"",FIND(" ",TRIM(INDEX(貼り付け!$A$1:$BZ$3001,1404,$B$1)&amp;"")&amp;" ")-1)),"/","-"),"年","-"),"月","-"),"日",""))),"")</f>
        <v/>
      </c>
      <c r="J1405">
        <f>IFERROR(MID(I1405,FIND("-",I1405)+1,99),"")</f>
        <v/>
      </c>
    </row>
    <row r="1406">
      <c r="B1406">
        <f>IFERROR(IF($B$1=0,"",IF(INDEX(貼り付け!$A$1:$BZ$3001,1405,$B$1)="","",IF(ISNUMBER(INDEX(貼り付け!$A$1:$BZ$3001,1405,$B$1)),INT(INDEX(貼り付け!$A$1:$BZ$3001,1405,$B$1)),DATE(VALUE(LEFT(I1406,FIND("-",I1406)-1)),VALUE(LEFT(J1406,FIND("-",J1406)-1)),VALUE(MID(J1406,FIND("-",J1406)+1,99)))))),"")</f>
        <v/>
      </c>
      <c r="C1406">
        <f>IF($C$1=0,0,IFERROR(VALUE(SUBSTITUTE(SUBSTITUTE(SUBSTITUTE(INDEX(貼り付け!$A$1:$BZ$3001,1405,$C$1)&amp;"",",",""),"¥",""),"￥","")),0))</f>
        <v/>
      </c>
      <c r="D1406">
        <f>IF($D$1=0,0,IFERROR(VALUE(SUBSTITUTE(SUBSTITUTE(SUBSTITUTE(INDEX(貼り付け!$A$1:$BZ$3001,1405,$D$1)&amp;"",",",""),"¥",""),"￥","")),0))</f>
        <v/>
      </c>
      <c r="E1406">
        <f>IF($E$1=0,0,IFERROR(VALUE(SUBSTITUTE(SUBSTITUTE(SUBSTITUTE(INDEX(貼り付け!$A$1:$BZ$3001,1405,$E$1)&amp;"",",",""),"¥",""),"￥","")),0))</f>
        <v/>
      </c>
      <c r="F1406">
        <f>IF($F$1=0,0,IFERROR(VALUE(SUBSTITUTE(SUBSTITUTE(SUBSTITUTE(INDEX(貼り付け!$A$1:$BZ$3001,1405,$F$1)&amp;"",",",""),"¥",""),"￥","")),0))</f>
        <v/>
      </c>
      <c r="G1406">
        <f>IF(ISNUMBER(B1406),YEAR(B1406),"")</f>
        <v/>
      </c>
      <c r="H1406">
        <f>IF(ISNUMBER(B1406),MONTH(B1406),"")</f>
        <v/>
      </c>
      <c r="I1406">
        <f>IFERROR(IF($B$1=0,"",IF(ISNUMBER(INDEX(貼り付け!$A$1:$BZ$3001,1405,$B$1)),"",SUBSTITUTE(SUBSTITUTE(SUBSTITUTE(SUBSTITUTE(TRIM(LEFT(INDEX(貼り付け!$A$1:$BZ$3001,1405,$B$1)&amp;"",FIND(" ",TRIM(INDEX(貼り付け!$A$1:$BZ$3001,1405,$B$1)&amp;"")&amp;" ")-1)),"/","-"),"年","-"),"月","-"),"日",""))),"")</f>
        <v/>
      </c>
      <c r="J1406">
        <f>IFERROR(MID(I1406,FIND("-",I1406)+1,99),"")</f>
        <v/>
      </c>
    </row>
    <row r="1407">
      <c r="B1407">
        <f>IFERROR(IF($B$1=0,"",IF(INDEX(貼り付け!$A$1:$BZ$3001,1406,$B$1)="","",IF(ISNUMBER(INDEX(貼り付け!$A$1:$BZ$3001,1406,$B$1)),INT(INDEX(貼り付け!$A$1:$BZ$3001,1406,$B$1)),DATE(VALUE(LEFT(I1407,FIND("-",I1407)-1)),VALUE(LEFT(J1407,FIND("-",J1407)-1)),VALUE(MID(J1407,FIND("-",J1407)+1,99)))))),"")</f>
        <v/>
      </c>
      <c r="C1407">
        <f>IF($C$1=0,0,IFERROR(VALUE(SUBSTITUTE(SUBSTITUTE(SUBSTITUTE(INDEX(貼り付け!$A$1:$BZ$3001,1406,$C$1)&amp;"",",",""),"¥",""),"￥","")),0))</f>
        <v/>
      </c>
      <c r="D1407">
        <f>IF($D$1=0,0,IFERROR(VALUE(SUBSTITUTE(SUBSTITUTE(SUBSTITUTE(INDEX(貼り付け!$A$1:$BZ$3001,1406,$D$1)&amp;"",",",""),"¥",""),"￥","")),0))</f>
        <v/>
      </c>
      <c r="E1407">
        <f>IF($E$1=0,0,IFERROR(VALUE(SUBSTITUTE(SUBSTITUTE(SUBSTITUTE(INDEX(貼り付け!$A$1:$BZ$3001,1406,$E$1)&amp;"",",",""),"¥",""),"￥","")),0))</f>
        <v/>
      </c>
      <c r="F1407">
        <f>IF($F$1=0,0,IFERROR(VALUE(SUBSTITUTE(SUBSTITUTE(SUBSTITUTE(INDEX(貼り付け!$A$1:$BZ$3001,1406,$F$1)&amp;"",",",""),"¥",""),"￥","")),0))</f>
        <v/>
      </c>
      <c r="G1407">
        <f>IF(ISNUMBER(B1407),YEAR(B1407),"")</f>
        <v/>
      </c>
      <c r="H1407">
        <f>IF(ISNUMBER(B1407),MONTH(B1407),"")</f>
        <v/>
      </c>
      <c r="I1407">
        <f>IFERROR(IF($B$1=0,"",IF(ISNUMBER(INDEX(貼り付け!$A$1:$BZ$3001,1406,$B$1)),"",SUBSTITUTE(SUBSTITUTE(SUBSTITUTE(SUBSTITUTE(TRIM(LEFT(INDEX(貼り付け!$A$1:$BZ$3001,1406,$B$1)&amp;"",FIND(" ",TRIM(INDEX(貼り付け!$A$1:$BZ$3001,1406,$B$1)&amp;"")&amp;" ")-1)),"/","-"),"年","-"),"月","-"),"日",""))),"")</f>
        <v/>
      </c>
      <c r="J1407">
        <f>IFERROR(MID(I1407,FIND("-",I1407)+1,99),"")</f>
        <v/>
      </c>
    </row>
    <row r="1408">
      <c r="B1408">
        <f>IFERROR(IF($B$1=0,"",IF(INDEX(貼り付け!$A$1:$BZ$3001,1407,$B$1)="","",IF(ISNUMBER(INDEX(貼り付け!$A$1:$BZ$3001,1407,$B$1)),INT(INDEX(貼り付け!$A$1:$BZ$3001,1407,$B$1)),DATE(VALUE(LEFT(I1408,FIND("-",I1408)-1)),VALUE(LEFT(J1408,FIND("-",J1408)-1)),VALUE(MID(J1408,FIND("-",J1408)+1,99)))))),"")</f>
        <v/>
      </c>
      <c r="C1408">
        <f>IF($C$1=0,0,IFERROR(VALUE(SUBSTITUTE(SUBSTITUTE(SUBSTITUTE(INDEX(貼り付け!$A$1:$BZ$3001,1407,$C$1)&amp;"",",",""),"¥",""),"￥","")),0))</f>
        <v/>
      </c>
      <c r="D1408">
        <f>IF($D$1=0,0,IFERROR(VALUE(SUBSTITUTE(SUBSTITUTE(SUBSTITUTE(INDEX(貼り付け!$A$1:$BZ$3001,1407,$D$1)&amp;"",",",""),"¥",""),"￥","")),0))</f>
        <v/>
      </c>
      <c r="E1408">
        <f>IF($E$1=0,0,IFERROR(VALUE(SUBSTITUTE(SUBSTITUTE(SUBSTITUTE(INDEX(貼り付け!$A$1:$BZ$3001,1407,$E$1)&amp;"",",",""),"¥",""),"￥","")),0))</f>
        <v/>
      </c>
      <c r="F1408">
        <f>IF($F$1=0,0,IFERROR(VALUE(SUBSTITUTE(SUBSTITUTE(SUBSTITUTE(INDEX(貼り付け!$A$1:$BZ$3001,1407,$F$1)&amp;"",",",""),"¥",""),"￥","")),0))</f>
        <v/>
      </c>
      <c r="G1408">
        <f>IF(ISNUMBER(B1408),YEAR(B1408),"")</f>
        <v/>
      </c>
      <c r="H1408">
        <f>IF(ISNUMBER(B1408),MONTH(B1408),"")</f>
        <v/>
      </c>
      <c r="I1408">
        <f>IFERROR(IF($B$1=0,"",IF(ISNUMBER(INDEX(貼り付け!$A$1:$BZ$3001,1407,$B$1)),"",SUBSTITUTE(SUBSTITUTE(SUBSTITUTE(SUBSTITUTE(TRIM(LEFT(INDEX(貼り付け!$A$1:$BZ$3001,1407,$B$1)&amp;"",FIND(" ",TRIM(INDEX(貼り付け!$A$1:$BZ$3001,1407,$B$1)&amp;"")&amp;" ")-1)),"/","-"),"年","-"),"月","-"),"日",""))),"")</f>
        <v/>
      </c>
      <c r="J1408">
        <f>IFERROR(MID(I1408,FIND("-",I1408)+1,99),"")</f>
        <v/>
      </c>
    </row>
    <row r="1409">
      <c r="B1409">
        <f>IFERROR(IF($B$1=0,"",IF(INDEX(貼り付け!$A$1:$BZ$3001,1408,$B$1)="","",IF(ISNUMBER(INDEX(貼り付け!$A$1:$BZ$3001,1408,$B$1)),INT(INDEX(貼り付け!$A$1:$BZ$3001,1408,$B$1)),DATE(VALUE(LEFT(I1409,FIND("-",I1409)-1)),VALUE(LEFT(J1409,FIND("-",J1409)-1)),VALUE(MID(J1409,FIND("-",J1409)+1,99)))))),"")</f>
        <v/>
      </c>
      <c r="C1409">
        <f>IF($C$1=0,0,IFERROR(VALUE(SUBSTITUTE(SUBSTITUTE(SUBSTITUTE(INDEX(貼り付け!$A$1:$BZ$3001,1408,$C$1)&amp;"",",",""),"¥",""),"￥","")),0))</f>
        <v/>
      </c>
      <c r="D1409">
        <f>IF($D$1=0,0,IFERROR(VALUE(SUBSTITUTE(SUBSTITUTE(SUBSTITUTE(INDEX(貼り付け!$A$1:$BZ$3001,1408,$D$1)&amp;"",",",""),"¥",""),"￥","")),0))</f>
        <v/>
      </c>
      <c r="E1409">
        <f>IF($E$1=0,0,IFERROR(VALUE(SUBSTITUTE(SUBSTITUTE(SUBSTITUTE(INDEX(貼り付け!$A$1:$BZ$3001,1408,$E$1)&amp;"",",",""),"¥",""),"￥","")),0))</f>
        <v/>
      </c>
      <c r="F1409">
        <f>IF($F$1=0,0,IFERROR(VALUE(SUBSTITUTE(SUBSTITUTE(SUBSTITUTE(INDEX(貼り付け!$A$1:$BZ$3001,1408,$F$1)&amp;"",",",""),"¥",""),"￥","")),0))</f>
        <v/>
      </c>
      <c r="G1409">
        <f>IF(ISNUMBER(B1409),YEAR(B1409),"")</f>
        <v/>
      </c>
      <c r="H1409">
        <f>IF(ISNUMBER(B1409),MONTH(B1409),"")</f>
        <v/>
      </c>
      <c r="I1409">
        <f>IFERROR(IF($B$1=0,"",IF(ISNUMBER(INDEX(貼り付け!$A$1:$BZ$3001,1408,$B$1)),"",SUBSTITUTE(SUBSTITUTE(SUBSTITUTE(SUBSTITUTE(TRIM(LEFT(INDEX(貼り付け!$A$1:$BZ$3001,1408,$B$1)&amp;"",FIND(" ",TRIM(INDEX(貼り付け!$A$1:$BZ$3001,1408,$B$1)&amp;"")&amp;" ")-1)),"/","-"),"年","-"),"月","-"),"日",""))),"")</f>
        <v/>
      </c>
      <c r="J1409">
        <f>IFERROR(MID(I1409,FIND("-",I1409)+1,99),"")</f>
        <v/>
      </c>
    </row>
    <row r="1410">
      <c r="B1410">
        <f>IFERROR(IF($B$1=0,"",IF(INDEX(貼り付け!$A$1:$BZ$3001,1409,$B$1)="","",IF(ISNUMBER(INDEX(貼り付け!$A$1:$BZ$3001,1409,$B$1)),INT(INDEX(貼り付け!$A$1:$BZ$3001,1409,$B$1)),DATE(VALUE(LEFT(I1410,FIND("-",I1410)-1)),VALUE(LEFT(J1410,FIND("-",J1410)-1)),VALUE(MID(J1410,FIND("-",J1410)+1,99)))))),"")</f>
        <v/>
      </c>
      <c r="C1410">
        <f>IF($C$1=0,0,IFERROR(VALUE(SUBSTITUTE(SUBSTITUTE(SUBSTITUTE(INDEX(貼り付け!$A$1:$BZ$3001,1409,$C$1)&amp;"",",",""),"¥",""),"￥","")),0))</f>
        <v/>
      </c>
      <c r="D1410">
        <f>IF($D$1=0,0,IFERROR(VALUE(SUBSTITUTE(SUBSTITUTE(SUBSTITUTE(INDEX(貼り付け!$A$1:$BZ$3001,1409,$D$1)&amp;"",",",""),"¥",""),"￥","")),0))</f>
        <v/>
      </c>
      <c r="E1410">
        <f>IF($E$1=0,0,IFERROR(VALUE(SUBSTITUTE(SUBSTITUTE(SUBSTITUTE(INDEX(貼り付け!$A$1:$BZ$3001,1409,$E$1)&amp;"",",",""),"¥",""),"￥","")),0))</f>
        <v/>
      </c>
      <c r="F1410">
        <f>IF($F$1=0,0,IFERROR(VALUE(SUBSTITUTE(SUBSTITUTE(SUBSTITUTE(INDEX(貼り付け!$A$1:$BZ$3001,1409,$F$1)&amp;"",",",""),"¥",""),"￥","")),0))</f>
        <v/>
      </c>
      <c r="G1410">
        <f>IF(ISNUMBER(B1410),YEAR(B1410),"")</f>
        <v/>
      </c>
      <c r="H1410">
        <f>IF(ISNUMBER(B1410),MONTH(B1410),"")</f>
        <v/>
      </c>
      <c r="I1410">
        <f>IFERROR(IF($B$1=0,"",IF(ISNUMBER(INDEX(貼り付け!$A$1:$BZ$3001,1409,$B$1)),"",SUBSTITUTE(SUBSTITUTE(SUBSTITUTE(SUBSTITUTE(TRIM(LEFT(INDEX(貼り付け!$A$1:$BZ$3001,1409,$B$1)&amp;"",FIND(" ",TRIM(INDEX(貼り付け!$A$1:$BZ$3001,1409,$B$1)&amp;"")&amp;" ")-1)),"/","-"),"年","-"),"月","-"),"日",""))),"")</f>
        <v/>
      </c>
      <c r="J1410">
        <f>IFERROR(MID(I1410,FIND("-",I1410)+1,99),"")</f>
        <v/>
      </c>
    </row>
    <row r="1411">
      <c r="B1411">
        <f>IFERROR(IF($B$1=0,"",IF(INDEX(貼り付け!$A$1:$BZ$3001,1410,$B$1)="","",IF(ISNUMBER(INDEX(貼り付け!$A$1:$BZ$3001,1410,$B$1)),INT(INDEX(貼り付け!$A$1:$BZ$3001,1410,$B$1)),DATE(VALUE(LEFT(I1411,FIND("-",I1411)-1)),VALUE(LEFT(J1411,FIND("-",J1411)-1)),VALUE(MID(J1411,FIND("-",J1411)+1,99)))))),"")</f>
        <v/>
      </c>
      <c r="C1411">
        <f>IF($C$1=0,0,IFERROR(VALUE(SUBSTITUTE(SUBSTITUTE(SUBSTITUTE(INDEX(貼り付け!$A$1:$BZ$3001,1410,$C$1)&amp;"",",",""),"¥",""),"￥","")),0))</f>
        <v/>
      </c>
      <c r="D1411">
        <f>IF($D$1=0,0,IFERROR(VALUE(SUBSTITUTE(SUBSTITUTE(SUBSTITUTE(INDEX(貼り付け!$A$1:$BZ$3001,1410,$D$1)&amp;"",",",""),"¥",""),"￥","")),0))</f>
        <v/>
      </c>
      <c r="E1411">
        <f>IF($E$1=0,0,IFERROR(VALUE(SUBSTITUTE(SUBSTITUTE(SUBSTITUTE(INDEX(貼り付け!$A$1:$BZ$3001,1410,$E$1)&amp;"",",",""),"¥",""),"￥","")),0))</f>
        <v/>
      </c>
      <c r="F1411">
        <f>IF($F$1=0,0,IFERROR(VALUE(SUBSTITUTE(SUBSTITUTE(SUBSTITUTE(INDEX(貼り付け!$A$1:$BZ$3001,1410,$F$1)&amp;"",",",""),"¥",""),"￥","")),0))</f>
        <v/>
      </c>
      <c r="G1411">
        <f>IF(ISNUMBER(B1411),YEAR(B1411),"")</f>
        <v/>
      </c>
      <c r="H1411">
        <f>IF(ISNUMBER(B1411),MONTH(B1411),"")</f>
        <v/>
      </c>
      <c r="I1411">
        <f>IFERROR(IF($B$1=0,"",IF(ISNUMBER(INDEX(貼り付け!$A$1:$BZ$3001,1410,$B$1)),"",SUBSTITUTE(SUBSTITUTE(SUBSTITUTE(SUBSTITUTE(TRIM(LEFT(INDEX(貼り付け!$A$1:$BZ$3001,1410,$B$1)&amp;"",FIND(" ",TRIM(INDEX(貼り付け!$A$1:$BZ$3001,1410,$B$1)&amp;"")&amp;" ")-1)),"/","-"),"年","-"),"月","-"),"日",""))),"")</f>
        <v/>
      </c>
      <c r="J1411">
        <f>IFERROR(MID(I1411,FIND("-",I1411)+1,99),"")</f>
        <v/>
      </c>
    </row>
    <row r="1412">
      <c r="B1412">
        <f>IFERROR(IF($B$1=0,"",IF(INDEX(貼り付け!$A$1:$BZ$3001,1411,$B$1)="","",IF(ISNUMBER(INDEX(貼り付け!$A$1:$BZ$3001,1411,$B$1)),INT(INDEX(貼り付け!$A$1:$BZ$3001,1411,$B$1)),DATE(VALUE(LEFT(I1412,FIND("-",I1412)-1)),VALUE(LEFT(J1412,FIND("-",J1412)-1)),VALUE(MID(J1412,FIND("-",J1412)+1,99)))))),"")</f>
        <v/>
      </c>
      <c r="C1412">
        <f>IF($C$1=0,0,IFERROR(VALUE(SUBSTITUTE(SUBSTITUTE(SUBSTITUTE(INDEX(貼り付け!$A$1:$BZ$3001,1411,$C$1)&amp;"",",",""),"¥",""),"￥","")),0))</f>
        <v/>
      </c>
      <c r="D1412">
        <f>IF($D$1=0,0,IFERROR(VALUE(SUBSTITUTE(SUBSTITUTE(SUBSTITUTE(INDEX(貼り付け!$A$1:$BZ$3001,1411,$D$1)&amp;"",",",""),"¥",""),"￥","")),0))</f>
        <v/>
      </c>
      <c r="E1412">
        <f>IF($E$1=0,0,IFERROR(VALUE(SUBSTITUTE(SUBSTITUTE(SUBSTITUTE(INDEX(貼り付け!$A$1:$BZ$3001,1411,$E$1)&amp;"",",",""),"¥",""),"￥","")),0))</f>
        <v/>
      </c>
      <c r="F1412">
        <f>IF($F$1=0,0,IFERROR(VALUE(SUBSTITUTE(SUBSTITUTE(SUBSTITUTE(INDEX(貼り付け!$A$1:$BZ$3001,1411,$F$1)&amp;"",",",""),"¥",""),"￥","")),0))</f>
        <v/>
      </c>
      <c r="G1412">
        <f>IF(ISNUMBER(B1412),YEAR(B1412),"")</f>
        <v/>
      </c>
      <c r="H1412">
        <f>IF(ISNUMBER(B1412),MONTH(B1412),"")</f>
        <v/>
      </c>
      <c r="I1412">
        <f>IFERROR(IF($B$1=0,"",IF(ISNUMBER(INDEX(貼り付け!$A$1:$BZ$3001,1411,$B$1)),"",SUBSTITUTE(SUBSTITUTE(SUBSTITUTE(SUBSTITUTE(TRIM(LEFT(INDEX(貼り付け!$A$1:$BZ$3001,1411,$B$1)&amp;"",FIND(" ",TRIM(INDEX(貼り付け!$A$1:$BZ$3001,1411,$B$1)&amp;"")&amp;" ")-1)),"/","-"),"年","-"),"月","-"),"日",""))),"")</f>
        <v/>
      </c>
      <c r="J1412">
        <f>IFERROR(MID(I1412,FIND("-",I1412)+1,99),"")</f>
        <v/>
      </c>
    </row>
    <row r="1413">
      <c r="B1413">
        <f>IFERROR(IF($B$1=0,"",IF(INDEX(貼り付け!$A$1:$BZ$3001,1412,$B$1)="","",IF(ISNUMBER(INDEX(貼り付け!$A$1:$BZ$3001,1412,$B$1)),INT(INDEX(貼り付け!$A$1:$BZ$3001,1412,$B$1)),DATE(VALUE(LEFT(I1413,FIND("-",I1413)-1)),VALUE(LEFT(J1413,FIND("-",J1413)-1)),VALUE(MID(J1413,FIND("-",J1413)+1,99)))))),"")</f>
        <v/>
      </c>
      <c r="C1413">
        <f>IF($C$1=0,0,IFERROR(VALUE(SUBSTITUTE(SUBSTITUTE(SUBSTITUTE(INDEX(貼り付け!$A$1:$BZ$3001,1412,$C$1)&amp;"",",",""),"¥",""),"￥","")),0))</f>
        <v/>
      </c>
      <c r="D1413">
        <f>IF($D$1=0,0,IFERROR(VALUE(SUBSTITUTE(SUBSTITUTE(SUBSTITUTE(INDEX(貼り付け!$A$1:$BZ$3001,1412,$D$1)&amp;"",",",""),"¥",""),"￥","")),0))</f>
        <v/>
      </c>
      <c r="E1413">
        <f>IF($E$1=0,0,IFERROR(VALUE(SUBSTITUTE(SUBSTITUTE(SUBSTITUTE(INDEX(貼り付け!$A$1:$BZ$3001,1412,$E$1)&amp;"",",",""),"¥",""),"￥","")),0))</f>
        <v/>
      </c>
      <c r="F1413">
        <f>IF($F$1=0,0,IFERROR(VALUE(SUBSTITUTE(SUBSTITUTE(SUBSTITUTE(INDEX(貼り付け!$A$1:$BZ$3001,1412,$F$1)&amp;"",",",""),"¥",""),"￥","")),0))</f>
        <v/>
      </c>
      <c r="G1413">
        <f>IF(ISNUMBER(B1413),YEAR(B1413),"")</f>
        <v/>
      </c>
      <c r="H1413">
        <f>IF(ISNUMBER(B1413),MONTH(B1413),"")</f>
        <v/>
      </c>
      <c r="I1413">
        <f>IFERROR(IF($B$1=0,"",IF(ISNUMBER(INDEX(貼り付け!$A$1:$BZ$3001,1412,$B$1)),"",SUBSTITUTE(SUBSTITUTE(SUBSTITUTE(SUBSTITUTE(TRIM(LEFT(INDEX(貼り付け!$A$1:$BZ$3001,1412,$B$1)&amp;"",FIND(" ",TRIM(INDEX(貼り付け!$A$1:$BZ$3001,1412,$B$1)&amp;"")&amp;" ")-1)),"/","-"),"年","-"),"月","-"),"日",""))),"")</f>
        <v/>
      </c>
      <c r="J1413">
        <f>IFERROR(MID(I1413,FIND("-",I1413)+1,99),"")</f>
        <v/>
      </c>
    </row>
    <row r="1414">
      <c r="B1414">
        <f>IFERROR(IF($B$1=0,"",IF(INDEX(貼り付け!$A$1:$BZ$3001,1413,$B$1)="","",IF(ISNUMBER(INDEX(貼り付け!$A$1:$BZ$3001,1413,$B$1)),INT(INDEX(貼り付け!$A$1:$BZ$3001,1413,$B$1)),DATE(VALUE(LEFT(I1414,FIND("-",I1414)-1)),VALUE(LEFT(J1414,FIND("-",J1414)-1)),VALUE(MID(J1414,FIND("-",J1414)+1,99)))))),"")</f>
        <v/>
      </c>
      <c r="C1414">
        <f>IF($C$1=0,0,IFERROR(VALUE(SUBSTITUTE(SUBSTITUTE(SUBSTITUTE(INDEX(貼り付け!$A$1:$BZ$3001,1413,$C$1)&amp;"",",",""),"¥",""),"￥","")),0))</f>
        <v/>
      </c>
      <c r="D1414">
        <f>IF($D$1=0,0,IFERROR(VALUE(SUBSTITUTE(SUBSTITUTE(SUBSTITUTE(INDEX(貼り付け!$A$1:$BZ$3001,1413,$D$1)&amp;"",",",""),"¥",""),"￥","")),0))</f>
        <v/>
      </c>
      <c r="E1414">
        <f>IF($E$1=0,0,IFERROR(VALUE(SUBSTITUTE(SUBSTITUTE(SUBSTITUTE(INDEX(貼り付け!$A$1:$BZ$3001,1413,$E$1)&amp;"",",",""),"¥",""),"￥","")),0))</f>
        <v/>
      </c>
      <c r="F1414">
        <f>IF($F$1=0,0,IFERROR(VALUE(SUBSTITUTE(SUBSTITUTE(SUBSTITUTE(INDEX(貼り付け!$A$1:$BZ$3001,1413,$F$1)&amp;"",",",""),"¥",""),"￥","")),0))</f>
        <v/>
      </c>
      <c r="G1414">
        <f>IF(ISNUMBER(B1414),YEAR(B1414),"")</f>
        <v/>
      </c>
      <c r="H1414">
        <f>IF(ISNUMBER(B1414),MONTH(B1414),"")</f>
        <v/>
      </c>
      <c r="I1414">
        <f>IFERROR(IF($B$1=0,"",IF(ISNUMBER(INDEX(貼り付け!$A$1:$BZ$3001,1413,$B$1)),"",SUBSTITUTE(SUBSTITUTE(SUBSTITUTE(SUBSTITUTE(TRIM(LEFT(INDEX(貼り付け!$A$1:$BZ$3001,1413,$B$1)&amp;"",FIND(" ",TRIM(INDEX(貼り付け!$A$1:$BZ$3001,1413,$B$1)&amp;"")&amp;" ")-1)),"/","-"),"年","-"),"月","-"),"日",""))),"")</f>
        <v/>
      </c>
      <c r="J1414">
        <f>IFERROR(MID(I1414,FIND("-",I1414)+1,99),"")</f>
        <v/>
      </c>
    </row>
    <row r="1415">
      <c r="B1415">
        <f>IFERROR(IF($B$1=0,"",IF(INDEX(貼り付け!$A$1:$BZ$3001,1414,$B$1)="","",IF(ISNUMBER(INDEX(貼り付け!$A$1:$BZ$3001,1414,$B$1)),INT(INDEX(貼り付け!$A$1:$BZ$3001,1414,$B$1)),DATE(VALUE(LEFT(I1415,FIND("-",I1415)-1)),VALUE(LEFT(J1415,FIND("-",J1415)-1)),VALUE(MID(J1415,FIND("-",J1415)+1,99)))))),"")</f>
        <v/>
      </c>
      <c r="C1415">
        <f>IF($C$1=0,0,IFERROR(VALUE(SUBSTITUTE(SUBSTITUTE(SUBSTITUTE(INDEX(貼り付け!$A$1:$BZ$3001,1414,$C$1)&amp;"",",",""),"¥",""),"￥","")),0))</f>
        <v/>
      </c>
      <c r="D1415">
        <f>IF($D$1=0,0,IFERROR(VALUE(SUBSTITUTE(SUBSTITUTE(SUBSTITUTE(INDEX(貼り付け!$A$1:$BZ$3001,1414,$D$1)&amp;"",",",""),"¥",""),"￥","")),0))</f>
        <v/>
      </c>
      <c r="E1415">
        <f>IF($E$1=0,0,IFERROR(VALUE(SUBSTITUTE(SUBSTITUTE(SUBSTITUTE(INDEX(貼り付け!$A$1:$BZ$3001,1414,$E$1)&amp;"",",",""),"¥",""),"￥","")),0))</f>
        <v/>
      </c>
      <c r="F1415">
        <f>IF($F$1=0,0,IFERROR(VALUE(SUBSTITUTE(SUBSTITUTE(SUBSTITUTE(INDEX(貼り付け!$A$1:$BZ$3001,1414,$F$1)&amp;"",",",""),"¥",""),"￥","")),0))</f>
        <v/>
      </c>
      <c r="G1415">
        <f>IF(ISNUMBER(B1415),YEAR(B1415),"")</f>
        <v/>
      </c>
      <c r="H1415">
        <f>IF(ISNUMBER(B1415),MONTH(B1415),"")</f>
        <v/>
      </c>
      <c r="I1415">
        <f>IFERROR(IF($B$1=0,"",IF(ISNUMBER(INDEX(貼り付け!$A$1:$BZ$3001,1414,$B$1)),"",SUBSTITUTE(SUBSTITUTE(SUBSTITUTE(SUBSTITUTE(TRIM(LEFT(INDEX(貼り付け!$A$1:$BZ$3001,1414,$B$1)&amp;"",FIND(" ",TRIM(INDEX(貼り付け!$A$1:$BZ$3001,1414,$B$1)&amp;"")&amp;" ")-1)),"/","-"),"年","-"),"月","-"),"日",""))),"")</f>
        <v/>
      </c>
      <c r="J1415">
        <f>IFERROR(MID(I1415,FIND("-",I1415)+1,99),"")</f>
        <v/>
      </c>
    </row>
    <row r="1416">
      <c r="B1416">
        <f>IFERROR(IF($B$1=0,"",IF(INDEX(貼り付け!$A$1:$BZ$3001,1415,$B$1)="","",IF(ISNUMBER(INDEX(貼り付け!$A$1:$BZ$3001,1415,$B$1)),INT(INDEX(貼り付け!$A$1:$BZ$3001,1415,$B$1)),DATE(VALUE(LEFT(I1416,FIND("-",I1416)-1)),VALUE(LEFT(J1416,FIND("-",J1416)-1)),VALUE(MID(J1416,FIND("-",J1416)+1,99)))))),"")</f>
        <v/>
      </c>
      <c r="C1416">
        <f>IF($C$1=0,0,IFERROR(VALUE(SUBSTITUTE(SUBSTITUTE(SUBSTITUTE(INDEX(貼り付け!$A$1:$BZ$3001,1415,$C$1)&amp;"",",",""),"¥",""),"￥","")),0))</f>
        <v/>
      </c>
      <c r="D1416">
        <f>IF($D$1=0,0,IFERROR(VALUE(SUBSTITUTE(SUBSTITUTE(SUBSTITUTE(INDEX(貼り付け!$A$1:$BZ$3001,1415,$D$1)&amp;"",",",""),"¥",""),"￥","")),0))</f>
        <v/>
      </c>
      <c r="E1416">
        <f>IF($E$1=0,0,IFERROR(VALUE(SUBSTITUTE(SUBSTITUTE(SUBSTITUTE(INDEX(貼り付け!$A$1:$BZ$3001,1415,$E$1)&amp;"",",",""),"¥",""),"￥","")),0))</f>
        <v/>
      </c>
      <c r="F1416">
        <f>IF($F$1=0,0,IFERROR(VALUE(SUBSTITUTE(SUBSTITUTE(SUBSTITUTE(INDEX(貼り付け!$A$1:$BZ$3001,1415,$F$1)&amp;"",",",""),"¥",""),"￥","")),0))</f>
        <v/>
      </c>
      <c r="G1416">
        <f>IF(ISNUMBER(B1416),YEAR(B1416),"")</f>
        <v/>
      </c>
      <c r="H1416">
        <f>IF(ISNUMBER(B1416),MONTH(B1416),"")</f>
        <v/>
      </c>
      <c r="I1416">
        <f>IFERROR(IF($B$1=0,"",IF(ISNUMBER(INDEX(貼り付け!$A$1:$BZ$3001,1415,$B$1)),"",SUBSTITUTE(SUBSTITUTE(SUBSTITUTE(SUBSTITUTE(TRIM(LEFT(INDEX(貼り付け!$A$1:$BZ$3001,1415,$B$1)&amp;"",FIND(" ",TRIM(INDEX(貼り付け!$A$1:$BZ$3001,1415,$B$1)&amp;"")&amp;" ")-1)),"/","-"),"年","-"),"月","-"),"日",""))),"")</f>
        <v/>
      </c>
      <c r="J1416">
        <f>IFERROR(MID(I1416,FIND("-",I1416)+1,99),"")</f>
        <v/>
      </c>
    </row>
    <row r="1417">
      <c r="B1417">
        <f>IFERROR(IF($B$1=0,"",IF(INDEX(貼り付け!$A$1:$BZ$3001,1416,$B$1)="","",IF(ISNUMBER(INDEX(貼り付け!$A$1:$BZ$3001,1416,$B$1)),INT(INDEX(貼り付け!$A$1:$BZ$3001,1416,$B$1)),DATE(VALUE(LEFT(I1417,FIND("-",I1417)-1)),VALUE(LEFT(J1417,FIND("-",J1417)-1)),VALUE(MID(J1417,FIND("-",J1417)+1,99)))))),"")</f>
        <v/>
      </c>
      <c r="C1417">
        <f>IF($C$1=0,0,IFERROR(VALUE(SUBSTITUTE(SUBSTITUTE(SUBSTITUTE(INDEX(貼り付け!$A$1:$BZ$3001,1416,$C$1)&amp;"",",",""),"¥",""),"￥","")),0))</f>
        <v/>
      </c>
      <c r="D1417">
        <f>IF($D$1=0,0,IFERROR(VALUE(SUBSTITUTE(SUBSTITUTE(SUBSTITUTE(INDEX(貼り付け!$A$1:$BZ$3001,1416,$D$1)&amp;"",",",""),"¥",""),"￥","")),0))</f>
        <v/>
      </c>
      <c r="E1417">
        <f>IF($E$1=0,0,IFERROR(VALUE(SUBSTITUTE(SUBSTITUTE(SUBSTITUTE(INDEX(貼り付け!$A$1:$BZ$3001,1416,$E$1)&amp;"",",",""),"¥",""),"￥","")),0))</f>
        <v/>
      </c>
      <c r="F1417">
        <f>IF($F$1=0,0,IFERROR(VALUE(SUBSTITUTE(SUBSTITUTE(SUBSTITUTE(INDEX(貼り付け!$A$1:$BZ$3001,1416,$F$1)&amp;"",",",""),"¥",""),"￥","")),0))</f>
        <v/>
      </c>
      <c r="G1417">
        <f>IF(ISNUMBER(B1417),YEAR(B1417),"")</f>
        <v/>
      </c>
      <c r="H1417">
        <f>IF(ISNUMBER(B1417),MONTH(B1417),"")</f>
        <v/>
      </c>
      <c r="I1417">
        <f>IFERROR(IF($B$1=0,"",IF(ISNUMBER(INDEX(貼り付け!$A$1:$BZ$3001,1416,$B$1)),"",SUBSTITUTE(SUBSTITUTE(SUBSTITUTE(SUBSTITUTE(TRIM(LEFT(INDEX(貼り付け!$A$1:$BZ$3001,1416,$B$1)&amp;"",FIND(" ",TRIM(INDEX(貼り付け!$A$1:$BZ$3001,1416,$B$1)&amp;"")&amp;" ")-1)),"/","-"),"年","-"),"月","-"),"日",""))),"")</f>
        <v/>
      </c>
      <c r="J1417">
        <f>IFERROR(MID(I1417,FIND("-",I1417)+1,99),"")</f>
        <v/>
      </c>
    </row>
    <row r="1418">
      <c r="B1418">
        <f>IFERROR(IF($B$1=0,"",IF(INDEX(貼り付け!$A$1:$BZ$3001,1417,$B$1)="","",IF(ISNUMBER(INDEX(貼り付け!$A$1:$BZ$3001,1417,$B$1)),INT(INDEX(貼り付け!$A$1:$BZ$3001,1417,$B$1)),DATE(VALUE(LEFT(I1418,FIND("-",I1418)-1)),VALUE(LEFT(J1418,FIND("-",J1418)-1)),VALUE(MID(J1418,FIND("-",J1418)+1,99)))))),"")</f>
        <v/>
      </c>
      <c r="C1418">
        <f>IF($C$1=0,0,IFERROR(VALUE(SUBSTITUTE(SUBSTITUTE(SUBSTITUTE(INDEX(貼り付け!$A$1:$BZ$3001,1417,$C$1)&amp;"",",",""),"¥",""),"￥","")),0))</f>
        <v/>
      </c>
      <c r="D1418">
        <f>IF($D$1=0,0,IFERROR(VALUE(SUBSTITUTE(SUBSTITUTE(SUBSTITUTE(INDEX(貼り付け!$A$1:$BZ$3001,1417,$D$1)&amp;"",",",""),"¥",""),"￥","")),0))</f>
        <v/>
      </c>
      <c r="E1418">
        <f>IF($E$1=0,0,IFERROR(VALUE(SUBSTITUTE(SUBSTITUTE(SUBSTITUTE(INDEX(貼り付け!$A$1:$BZ$3001,1417,$E$1)&amp;"",",",""),"¥",""),"￥","")),0))</f>
        <v/>
      </c>
      <c r="F1418">
        <f>IF($F$1=0,0,IFERROR(VALUE(SUBSTITUTE(SUBSTITUTE(SUBSTITUTE(INDEX(貼り付け!$A$1:$BZ$3001,1417,$F$1)&amp;"",",",""),"¥",""),"￥","")),0))</f>
        <v/>
      </c>
      <c r="G1418">
        <f>IF(ISNUMBER(B1418),YEAR(B1418),"")</f>
        <v/>
      </c>
      <c r="H1418">
        <f>IF(ISNUMBER(B1418),MONTH(B1418),"")</f>
        <v/>
      </c>
      <c r="I1418">
        <f>IFERROR(IF($B$1=0,"",IF(ISNUMBER(INDEX(貼り付け!$A$1:$BZ$3001,1417,$B$1)),"",SUBSTITUTE(SUBSTITUTE(SUBSTITUTE(SUBSTITUTE(TRIM(LEFT(INDEX(貼り付け!$A$1:$BZ$3001,1417,$B$1)&amp;"",FIND(" ",TRIM(INDEX(貼り付け!$A$1:$BZ$3001,1417,$B$1)&amp;"")&amp;" ")-1)),"/","-"),"年","-"),"月","-"),"日",""))),"")</f>
        <v/>
      </c>
      <c r="J1418">
        <f>IFERROR(MID(I1418,FIND("-",I1418)+1,99),"")</f>
        <v/>
      </c>
    </row>
    <row r="1419">
      <c r="B1419">
        <f>IFERROR(IF($B$1=0,"",IF(INDEX(貼り付け!$A$1:$BZ$3001,1418,$B$1)="","",IF(ISNUMBER(INDEX(貼り付け!$A$1:$BZ$3001,1418,$B$1)),INT(INDEX(貼り付け!$A$1:$BZ$3001,1418,$B$1)),DATE(VALUE(LEFT(I1419,FIND("-",I1419)-1)),VALUE(LEFT(J1419,FIND("-",J1419)-1)),VALUE(MID(J1419,FIND("-",J1419)+1,99)))))),"")</f>
        <v/>
      </c>
      <c r="C1419">
        <f>IF($C$1=0,0,IFERROR(VALUE(SUBSTITUTE(SUBSTITUTE(SUBSTITUTE(INDEX(貼り付け!$A$1:$BZ$3001,1418,$C$1)&amp;"",",",""),"¥",""),"￥","")),0))</f>
        <v/>
      </c>
      <c r="D1419">
        <f>IF($D$1=0,0,IFERROR(VALUE(SUBSTITUTE(SUBSTITUTE(SUBSTITUTE(INDEX(貼り付け!$A$1:$BZ$3001,1418,$D$1)&amp;"",",",""),"¥",""),"￥","")),0))</f>
        <v/>
      </c>
      <c r="E1419">
        <f>IF($E$1=0,0,IFERROR(VALUE(SUBSTITUTE(SUBSTITUTE(SUBSTITUTE(INDEX(貼り付け!$A$1:$BZ$3001,1418,$E$1)&amp;"",",",""),"¥",""),"￥","")),0))</f>
        <v/>
      </c>
      <c r="F1419">
        <f>IF($F$1=0,0,IFERROR(VALUE(SUBSTITUTE(SUBSTITUTE(SUBSTITUTE(INDEX(貼り付け!$A$1:$BZ$3001,1418,$F$1)&amp;"",",",""),"¥",""),"￥","")),0))</f>
        <v/>
      </c>
      <c r="G1419">
        <f>IF(ISNUMBER(B1419),YEAR(B1419),"")</f>
        <v/>
      </c>
      <c r="H1419">
        <f>IF(ISNUMBER(B1419),MONTH(B1419),"")</f>
        <v/>
      </c>
      <c r="I1419">
        <f>IFERROR(IF($B$1=0,"",IF(ISNUMBER(INDEX(貼り付け!$A$1:$BZ$3001,1418,$B$1)),"",SUBSTITUTE(SUBSTITUTE(SUBSTITUTE(SUBSTITUTE(TRIM(LEFT(INDEX(貼り付け!$A$1:$BZ$3001,1418,$B$1)&amp;"",FIND(" ",TRIM(INDEX(貼り付け!$A$1:$BZ$3001,1418,$B$1)&amp;"")&amp;" ")-1)),"/","-"),"年","-"),"月","-"),"日",""))),"")</f>
        <v/>
      </c>
      <c r="J1419">
        <f>IFERROR(MID(I1419,FIND("-",I1419)+1,99),"")</f>
        <v/>
      </c>
    </row>
    <row r="1420">
      <c r="B1420">
        <f>IFERROR(IF($B$1=0,"",IF(INDEX(貼り付け!$A$1:$BZ$3001,1419,$B$1)="","",IF(ISNUMBER(INDEX(貼り付け!$A$1:$BZ$3001,1419,$B$1)),INT(INDEX(貼り付け!$A$1:$BZ$3001,1419,$B$1)),DATE(VALUE(LEFT(I1420,FIND("-",I1420)-1)),VALUE(LEFT(J1420,FIND("-",J1420)-1)),VALUE(MID(J1420,FIND("-",J1420)+1,99)))))),"")</f>
        <v/>
      </c>
      <c r="C1420">
        <f>IF($C$1=0,0,IFERROR(VALUE(SUBSTITUTE(SUBSTITUTE(SUBSTITUTE(INDEX(貼り付け!$A$1:$BZ$3001,1419,$C$1)&amp;"",",",""),"¥",""),"￥","")),0))</f>
        <v/>
      </c>
      <c r="D1420">
        <f>IF($D$1=0,0,IFERROR(VALUE(SUBSTITUTE(SUBSTITUTE(SUBSTITUTE(INDEX(貼り付け!$A$1:$BZ$3001,1419,$D$1)&amp;"",",",""),"¥",""),"￥","")),0))</f>
        <v/>
      </c>
      <c r="E1420">
        <f>IF($E$1=0,0,IFERROR(VALUE(SUBSTITUTE(SUBSTITUTE(SUBSTITUTE(INDEX(貼り付け!$A$1:$BZ$3001,1419,$E$1)&amp;"",",",""),"¥",""),"￥","")),0))</f>
        <v/>
      </c>
      <c r="F1420">
        <f>IF($F$1=0,0,IFERROR(VALUE(SUBSTITUTE(SUBSTITUTE(SUBSTITUTE(INDEX(貼り付け!$A$1:$BZ$3001,1419,$F$1)&amp;"",",",""),"¥",""),"￥","")),0))</f>
        <v/>
      </c>
      <c r="G1420">
        <f>IF(ISNUMBER(B1420),YEAR(B1420),"")</f>
        <v/>
      </c>
      <c r="H1420">
        <f>IF(ISNUMBER(B1420),MONTH(B1420),"")</f>
        <v/>
      </c>
      <c r="I1420">
        <f>IFERROR(IF($B$1=0,"",IF(ISNUMBER(INDEX(貼り付け!$A$1:$BZ$3001,1419,$B$1)),"",SUBSTITUTE(SUBSTITUTE(SUBSTITUTE(SUBSTITUTE(TRIM(LEFT(INDEX(貼り付け!$A$1:$BZ$3001,1419,$B$1)&amp;"",FIND(" ",TRIM(INDEX(貼り付け!$A$1:$BZ$3001,1419,$B$1)&amp;"")&amp;" ")-1)),"/","-"),"年","-"),"月","-"),"日",""))),"")</f>
        <v/>
      </c>
      <c r="J1420">
        <f>IFERROR(MID(I1420,FIND("-",I1420)+1,99),"")</f>
        <v/>
      </c>
    </row>
    <row r="1421">
      <c r="B1421">
        <f>IFERROR(IF($B$1=0,"",IF(INDEX(貼り付け!$A$1:$BZ$3001,1420,$B$1)="","",IF(ISNUMBER(INDEX(貼り付け!$A$1:$BZ$3001,1420,$B$1)),INT(INDEX(貼り付け!$A$1:$BZ$3001,1420,$B$1)),DATE(VALUE(LEFT(I1421,FIND("-",I1421)-1)),VALUE(LEFT(J1421,FIND("-",J1421)-1)),VALUE(MID(J1421,FIND("-",J1421)+1,99)))))),"")</f>
        <v/>
      </c>
      <c r="C1421">
        <f>IF($C$1=0,0,IFERROR(VALUE(SUBSTITUTE(SUBSTITUTE(SUBSTITUTE(INDEX(貼り付け!$A$1:$BZ$3001,1420,$C$1)&amp;"",",",""),"¥",""),"￥","")),0))</f>
        <v/>
      </c>
      <c r="D1421">
        <f>IF($D$1=0,0,IFERROR(VALUE(SUBSTITUTE(SUBSTITUTE(SUBSTITUTE(INDEX(貼り付け!$A$1:$BZ$3001,1420,$D$1)&amp;"",",",""),"¥",""),"￥","")),0))</f>
        <v/>
      </c>
      <c r="E1421">
        <f>IF($E$1=0,0,IFERROR(VALUE(SUBSTITUTE(SUBSTITUTE(SUBSTITUTE(INDEX(貼り付け!$A$1:$BZ$3001,1420,$E$1)&amp;"",",",""),"¥",""),"￥","")),0))</f>
        <v/>
      </c>
      <c r="F1421">
        <f>IF($F$1=0,0,IFERROR(VALUE(SUBSTITUTE(SUBSTITUTE(SUBSTITUTE(INDEX(貼り付け!$A$1:$BZ$3001,1420,$F$1)&amp;"",",",""),"¥",""),"￥","")),0))</f>
        <v/>
      </c>
      <c r="G1421">
        <f>IF(ISNUMBER(B1421),YEAR(B1421),"")</f>
        <v/>
      </c>
      <c r="H1421">
        <f>IF(ISNUMBER(B1421),MONTH(B1421),"")</f>
        <v/>
      </c>
      <c r="I1421">
        <f>IFERROR(IF($B$1=0,"",IF(ISNUMBER(INDEX(貼り付け!$A$1:$BZ$3001,1420,$B$1)),"",SUBSTITUTE(SUBSTITUTE(SUBSTITUTE(SUBSTITUTE(TRIM(LEFT(INDEX(貼り付け!$A$1:$BZ$3001,1420,$B$1)&amp;"",FIND(" ",TRIM(INDEX(貼り付け!$A$1:$BZ$3001,1420,$B$1)&amp;"")&amp;" ")-1)),"/","-"),"年","-"),"月","-"),"日",""))),"")</f>
        <v/>
      </c>
      <c r="J1421">
        <f>IFERROR(MID(I1421,FIND("-",I1421)+1,99),"")</f>
        <v/>
      </c>
    </row>
    <row r="1422">
      <c r="B1422">
        <f>IFERROR(IF($B$1=0,"",IF(INDEX(貼り付け!$A$1:$BZ$3001,1421,$B$1)="","",IF(ISNUMBER(INDEX(貼り付け!$A$1:$BZ$3001,1421,$B$1)),INT(INDEX(貼り付け!$A$1:$BZ$3001,1421,$B$1)),DATE(VALUE(LEFT(I1422,FIND("-",I1422)-1)),VALUE(LEFT(J1422,FIND("-",J1422)-1)),VALUE(MID(J1422,FIND("-",J1422)+1,99)))))),"")</f>
        <v/>
      </c>
      <c r="C1422">
        <f>IF($C$1=0,0,IFERROR(VALUE(SUBSTITUTE(SUBSTITUTE(SUBSTITUTE(INDEX(貼り付け!$A$1:$BZ$3001,1421,$C$1)&amp;"",",",""),"¥",""),"￥","")),0))</f>
        <v/>
      </c>
      <c r="D1422">
        <f>IF($D$1=0,0,IFERROR(VALUE(SUBSTITUTE(SUBSTITUTE(SUBSTITUTE(INDEX(貼り付け!$A$1:$BZ$3001,1421,$D$1)&amp;"",",",""),"¥",""),"￥","")),0))</f>
        <v/>
      </c>
      <c r="E1422">
        <f>IF($E$1=0,0,IFERROR(VALUE(SUBSTITUTE(SUBSTITUTE(SUBSTITUTE(INDEX(貼り付け!$A$1:$BZ$3001,1421,$E$1)&amp;"",",",""),"¥",""),"￥","")),0))</f>
        <v/>
      </c>
      <c r="F1422">
        <f>IF($F$1=0,0,IFERROR(VALUE(SUBSTITUTE(SUBSTITUTE(SUBSTITUTE(INDEX(貼り付け!$A$1:$BZ$3001,1421,$F$1)&amp;"",",",""),"¥",""),"￥","")),0))</f>
        <v/>
      </c>
      <c r="G1422">
        <f>IF(ISNUMBER(B1422),YEAR(B1422),"")</f>
        <v/>
      </c>
      <c r="H1422">
        <f>IF(ISNUMBER(B1422),MONTH(B1422),"")</f>
        <v/>
      </c>
      <c r="I1422">
        <f>IFERROR(IF($B$1=0,"",IF(ISNUMBER(INDEX(貼り付け!$A$1:$BZ$3001,1421,$B$1)),"",SUBSTITUTE(SUBSTITUTE(SUBSTITUTE(SUBSTITUTE(TRIM(LEFT(INDEX(貼り付け!$A$1:$BZ$3001,1421,$B$1)&amp;"",FIND(" ",TRIM(INDEX(貼り付け!$A$1:$BZ$3001,1421,$B$1)&amp;"")&amp;" ")-1)),"/","-"),"年","-"),"月","-"),"日",""))),"")</f>
        <v/>
      </c>
      <c r="J1422">
        <f>IFERROR(MID(I1422,FIND("-",I1422)+1,99),"")</f>
        <v/>
      </c>
    </row>
    <row r="1423">
      <c r="B1423">
        <f>IFERROR(IF($B$1=0,"",IF(INDEX(貼り付け!$A$1:$BZ$3001,1422,$B$1)="","",IF(ISNUMBER(INDEX(貼り付け!$A$1:$BZ$3001,1422,$B$1)),INT(INDEX(貼り付け!$A$1:$BZ$3001,1422,$B$1)),DATE(VALUE(LEFT(I1423,FIND("-",I1423)-1)),VALUE(LEFT(J1423,FIND("-",J1423)-1)),VALUE(MID(J1423,FIND("-",J1423)+1,99)))))),"")</f>
        <v/>
      </c>
      <c r="C1423">
        <f>IF($C$1=0,0,IFERROR(VALUE(SUBSTITUTE(SUBSTITUTE(SUBSTITUTE(INDEX(貼り付け!$A$1:$BZ$3001,1422,$C$1)&amp;"",",",""),"¥",""),"￥","")),0))</f>
        <v/>
      </c>
      <c r="D1423">
        <f>IF($D$1=0,0,IFERROR(VALUE(SUBSTITUTE(SUBSTITUTE(SUBSTITUTE(INDEX(貼り付け!$A$1:$BZ$3001,1422,$D$1)&amp;"",",",""),"¥",""),"￥","")),0))</f>
        <v/>
      </c>
      <c r="E1423">
        <f>IF($E$1=0,0,IFERROR(VALUE(SUBSTITUTE(SUBSTITUTE(SUBSTITUTE(INDEX(貼り付け!$A$1:$BZ$3001,1422,$E$1)&amp;"",",",""),"¥",""),"￥","")),0))</f>
        <v/>
      </c>
      <c r="F1423">
        <f>IF($F$1=0,0,IFERROR(VALUE(SUBSTITUTE(SUBSTITUTE(SUBSTITUTE(INDEX(貼り付け!$A$1:$BZ$3001,1422,$F$1)&amp;"",",",""),"¥",""),"￥","")),0))</f>
        <v/>
      </c>
      <c r="G1423">
        <f>IF(ISNUMBER(B1423),YEAR(B1423),"")</f>
        <v/>
      </c>
      <c r="H1423">
        <f>IF(ISNUMBER(B1423),MONTH(B1423),"")</f>
        <v/>
      </c>
      <c r="I1423">
        <f>IFERROR(IF($B$1=0,"",IF(ISNUMBER(INDEX(貼り付け!$A$1:$BZ$3001,1422,$B$1)),"",SUBSTITUTE(SUBSTITUTE(SUBSTITUTE(SUBSTITUTE(TRIM(LEFT(INDEX(貼り付け!$A$1:$BZ$3001,1422,$B$1)&amp;"",FIND(" ",TRIM(INDEX(貼り付け!$A$1:$BZ$3001,1422,$B$1)&amp;"")&amp;" ")-1)),"/","-"),"年","-"),"月","-"),"日",""))),"")</f>
        <v/>
      </c>
      <c r="J1423">
        <f>IFERROR(MID(I1423,FIND("-",I1423)+1,99),"")</f>
        <v/>
      </c>
    </row>
    <row r="1424">
      <c r="B1424">
        <f>IFERROR(IF($B$1=0,"",IF(INDEX(貼り付け!$A$1:$BZ$3001,1423,$B$1)="","",IF(ISNUMBER(INDEX(貼り付け!$A$1:$BZ$3001,1423,$B$1)),INT(INDEX(貼り付け!$A$1:$BZ$3001,1423,$B$1)),DATE(VALUE(LEFT(I1424,FIND("-",I1424)-1)),VALUE(LEFT(J1424,FIND("-",J1424)-1)),VALUE(MID(J1424,FIND("-",J1424)+1,99)))))),"")</f>
        <v/>
      </c>
      <c r="C1424">
        <f>IF($C$1=0,0,IFERROR(VALUE(SUBSTITUTE(SUBSTITUTE(SUBSTITUTE(INDEX(貼り付け!$A$1:$BZ$3001,1423,$C$1)&amp;"",",",""),"¥",""),"￥","")),0))</f>
        <v/>
      </c>
      <c r="D1424">
        <f>IF($D$1=0,0,IFERROR(VALUE(SUBSTITUTE(SUBSTITUTE(SUBSTITUTE(INDEX(貼り付け!$A$1:$BZ$3001,1423,$D$1)&amp;"",",",""),"¥",""),"￥","")),0))</f>
        <v/>
      </c>
      <c r="E1424">
        <f>IF($E$1=0,0,IFERROR(VALUE(SUBSTITUTE(SUBSTITUTE(SUBSTITUTE(INDEX(貼り付け!$A$1:$BZ$3001,1423,$E$1)&amp;"",",",""),"¥",""),"￥","")),0))</f>
        <v/>
      </c>
      <c r="F1424">
        <f>IF($F$1=0,0,IFERROR(VALUE(SUBSTITUTE(SUBSTITUTE(SUBSTITUTE(INDEX(貼り付け!$A$1:$BZ$3001,1423,$F$1)&amp;"",",",""),"¥",""),"￥","")),0))</f>
        <v/>
      </c>
      <c r="G1424">
        <f>IF(ISNUMBER(B1424),YEAR(B1424),"")</f>
        <v/>
      </c>
      <c r="H1424">
        <f>IF(ISNUMBER(B1424),MONTH(B1424),"")</f>
        <v/>
      </c>
      <c r="I1424">
        <f>IFERROR(IF($B$1=0,"",IF(ISNUMBER(INDEX(貼り付け!$A$1:$BZ$3001,1423,$B$1)),"",SUBSTITUTE(SUBSTITUTE(SUBSTITUTE(SUBSTITUTE(TRIM(LEFT(INDEX(貼り付け!$A$1:$BZ$3001,1423,$B$1)&amp;"",FIND(" ",TRIM(INDEX(貼り付け!$A$1:$BZ$3001,1423,$B$1)&amp;"")&amp;" ")-1)),"/","-"),"年","-"),"月","-"),"日",""))),"")</f>
        <v/>
      </c>
      <c r="J1424">
        <f>IFERROR(MID(I1424,FIND("-",I1424)+1,99),"")</f>
        <v/>
      </c>
    </row>
    <row r="1425">
      <c r="B1425">
        <f>IFERROR(IF($B$1=0,"",IF(INDEX(貼り付け!$A$1:$BZ$3001,1424,$B$1)="","",IF(ISNUMBER(INDEX(貼り付け!$A$1:$BZ$3001,1424,$B$1)),INT(INDEX(貼り付け!$A$1:$BZ$3001,1424,$B$1)),DATE(VALUE(LEFT(I1425,FIND("-",I1425)-1)),VALUE(LEFT(J1425,FIND("-",J1425)-1)),VALUE(MID(J1425,FIND("-",J1425)+1,99)))))),"")</f>
        <v/>
      </c>
      <c r="C1425">
        <f>IF($C$1=0,0,IFERROR(VALUE(SUBSTITUTE(SUBSTITUTE(SUBSTITUTE(INDEX(貼り付け!$A$1:$BZ$3001,1424,$C$1)&amp;"",",",""),"¥",""),"￥","")),0))</f>
        <v/>
      </c>
      <c r="D1425">
        <f>IF($D$1=0,0,IFERROR(VALUE(SUBSTITUTE(SUBSTITUTE(SUBSTITUTE(INDEX(貼り付け!$A$1:$BZ$3001,1424,$D$1)&amp;"",",",""),"¥",""),"￥","")),0))</f>
        <v/>
      </c>
      <c r="E1425">
        <f>IF($E$1=0,0,IFERROR(VALUE(SUBSTITUTE(SUBSTITUTE(SUBSTITUTE(INDEX(貼り付け!$A$1:$BZ$3001,1424,$E$1)&amp;"",",",""),"¥",""),"￥","")),0))</f>
        <v/>
      </c>
      <c r="F1425">
        <f>IF($F$1=0,0,IFERROR(VALUE(SUBSTITUTE(SUBSTITUTE(SUBSTITUTE(INDEX(貼り付け!$A$1:$BZ$3001,1424,$F$1)&amp;"",",",""),"¥",""),"￥","")),0))</f>
        <v/>
      </c>
      <c r="G1425">
        <f>IF(ISNUMBER(B1425),YEAR(B1425),"")</f>
        <v/>
      </c>
      <c r="H1425">
        <f>IF(ISNUMBER(B1425),MONTH(B1425),"")</f>
        <v/>
      </c>
      <c r="I1425">
        <f>IFERROR(IF($B$1=0,"",IF(ISNUMBER(INDEX(貼り付け!$A$1:$BZ$3001,1424,$B$1)),"",SUBSTITUTE(SUBSTITUTE(SUBSTITUTE(SUBSTITUTE(TRIM(LEFT(INDEX(貼り付け!$A$1:$BZ$3001,1424,$B$1)&amp;"",FIND(" ",TRIM(INDEX(貼り付け!$A$1:$BZ$3001,1424,$B$1)&amp;"")&amp;" ")-1)),"/","-"),"年","-"),"月","-"),"日",""))),"")</f>
        <v/>
      </c>
      <c r="J1425">
        <f>IFERROR(MID(I1425,FIND("-",I1425)+1,99),"")</f>
        <v/>
      </c>
    </row>
    <row r="1426">
      <c r="B1426">
        <f>IFERROR(IF($B$1=0,"",IF(INDEX(貼り付け!$A$1:$BZ$3001,1425,$B$1)="","",IF(ISNUMBER(INDEX(貼り付け!$A$1:$BZ$3001,1425,$B$1)),INT(INDEX(貼り付け!$A$1:$BZ$3001,1425,$B$1)),DATE(VALUE(LEFT(I1426,FIND("-",I1426)-1)),VALUE(LEFT(J1426,FIND("-",J1426)-1)),VALUE(MID(J1426,FIND("-",J1426)+1,99)))))),"")</f>
        <v/>
      </c>
      <c r="C1426">
        <f>IF($C$1=0,0,IFERROR(VALUE(SUBSTITUTE(SUBSTITUTE(SUBSTITUTE(INDEX(貼り付け!$A$1:$BZ$3001,1425,$C$1)&amp;"",",",""),"¥",""),"￥","")),0))</f>
        <v/>
      </c>
      <c r="D1426">
        <f>IF($D$1=0,0,IFERROR(VALUE(SUBSTITUTE(SUBSTITUTE(SUBSTITUTE(INDEX(貼り付け!$A$1:$BZ$3001,1425,$D$1)&amp;"",",",""),"¥",""),"￥","")),0))</f>
        <v/>
      </c>
      <c r="E1426">
        <f>IF($E$1=0,0,IFERROR(VALUE(SUBSTITUTE(SUBSTITUTE(SUBSTITUTE(INDEX(貼り付け!$A$1:$BZ$3001,1425,$E$1)&amp;"",",",""),"¥",""),"￥","")),0))</f>
        <v/>
      </c>
      <c r="F1426">
        <f>IF($F$1=0,0,IFERROR(VALUE(SUBSTITUTE(SUBSTITUTE(SUBSTITUTE(INDEX(貼り付け!$A$1:$BZ$3001,1425,$F$1)&amp;"",",",""),"¥",""),"￥","")),0))</f>
        <v/>
      </c>
      <c r="G1426">
        <f>IF(ISNUMBER(B1426),YEAR(B1426),"")</f>
        <v/>
      </c>
      <c r="H1426">
        <f>IF(ISNUMBER(B1426),MONTH(B1426),"")</f>
        <v/>
      </c>
      <c r="I1426">
        <f>IFERROR(IF($B$1=0,"",IF(ISNUMBER(INDEX(貼り付け!$A$1:$BZ$3001,1425,$B$1)),"",SUBSTITUTE(SUBSTITUTE(SUBSTITUTE(SUBSTITUTE(TRIM(LEFT(INDEX(貼り付け!$A$1:$BZ$3001,1425,$B$1)&amp;"",FIND(" ",TRIM(INDEX(貼り付け!$A$1:$BZ$3001,1425,$B$1)&amp;"")&amp;" ")-1)),"/","-"),"年","-"),"月","-"),"日",""))),"")</f>
        <v/>
      </c>
      <c r="J1426">
        <f>IFERROR(MID(I1426,FIND("-",I1426)+1,99),"")</f>
        <v/>
      </c>
    </row>
    <row r="1427">
      <c r="B1427">
        <f>IFERROR(IF($B$1=0,"",IF(INDEX(貼り付け!$A$1:$BZ$3001,1426,$B$1)="","",IF(ISNUMBER(INDEX(貼り付け!$A$1:$BZ$3001,1426,$B$1)),INT(INDEX(貼り付け!$A$1:$BZ$3001,1426,$B$1)),DATE(VALUE(LEFT(I1427,FIND("-",I1427)-1)),VALUE(LEFT(J1427,FIND("-",J1427)-1)),VALUE(MID(J1427,FIND("-",J1427)+1,99)))))),"")</f>
        <v/>
      </c>
      <c r="C1427">
        <f>IF($C$1=0,0,IFERROR(VALUE(SUBSTITUTE(SUBSTITUTE(SUBSTITUTE(INDEX(貼り付け!$A$1:$BZ$3001,1426,$C$1)&amp;"",",",""),"¥",""),"￥","")),0))</f>
        <v/>
      </c>
      <c r="D1427">
        <f>IF($D$1=0,0,IFERROR(VALUE(SUBSTITUTE(SUBSTITUTE(SUBSTITUTE(INDEX(貼り付け!$A$1:$BZ$3001,1426,$D$1)&amp;"",",",""),"¥",""),"￥","")),0))</f>
        <v/>
      </c>
      <c r="E1427">
        <f>IF($E$1=0,0,IFERROR(VALUE(SUBSTITUTE(SUBSTITUTE(SUBSTITUTE(INDEX(貼り付け!$A$1:$BZ$3001,1426,$E$1)&amp;"",",",""),"¥",""),"￥","")),0))</f>
        <v/>
      </c>
      <c r="F1427">
        <f>IF($F$1=0,0,IFERROR(VALUE(SUBSTITUTE(SUBSTITUTE(SUBSTITUTE(INDEX(貼り付け!$A$1:$BZ$3001,1426,$F$1)&amp;"",",",""),"¥",""),"￥","")),0))</f>
        <v/>
      </c>
      <c r="G1427">
        <f>IF(ISNUMBER(B1427),YEAR(B1427),"")</f>
        <v/>
      </c>
      <c r="H1427">
        <f>IF(ISNUMBER(B1427),MONTH(B1427),"")</f>
        <v/>
      </c>
      <c r="I1427">
        <f>IFERROR(IF($B$1=0,"",IF(ISNUMBER(INDEX(貼り付け!$A$1:$BZ$3001,1426,$B$1)),"",SUBSTITUTE(SUBSTITUTE(SUBSTITUTE(SUBSTITUTE(TRIM(LEFT(INDEX(貼り付け!$A$1:$BZ$3001,1426,$B$1)&amp;"",FIND(" ",TRIM(INDEX(貼り付け!$A$1:$BZ$3001,1426,$B$1)&amp;"")&amp;" ")-1)),"/","-"),"年","-"),"月","-"),"日",""))),"")</f>
        <v/>
      </c>
      <c r="J1427">
        <f>IFERROR(MID(I1427,FIND("-",I1427)+1,99),"")</f>
        <v/>
      </c>
    </row>
    <row r="1428">
      <c r="B1428">
        <f>IFERROR(IF($B$1=0,"",IF(INDEX(貼り付け!$A$1:$BZ$3001,1427,$B$1)="","",IF(ISNUMBER(INDEX(貼り付け!$A$1:$BZ$3001,1427,$B$1)),INT(INDEX(貼り付け!$A$1:$BZ$3001,1427,$B$1)),DATE(VALUE(LEFT(I1428,FIND("-",I1428)-1)),VALUE(LEFT(J1428,FIND("-",J1428)-1)),VALUE(MID(J1428,FIND("-",J1428)+1,99)))))),"")</f>
        <v/>
      </c>
      <c r="C1428">
        <f>IF($C$1=0,0,IFERROR(VALUE(SUBSTITUTE(SUBSTITUTE(SUBSTITUTE(INDEX(貼り付け!$A$1:$BZ$3001,1427,$C$1)&amp;"",",",""),"¥",""),"￥","")),0))</f>
        <v/>
      </c>
      <c r="D1428">
        <f>IF($D$1=0,0,IFERROR(VALUE(SUBSTITUTE(SUBSTITUTE(SUBSTITUTE(INDEX(貼り付け!$A$1:$BZ$3001,1427,$D$1)&amp;"",",",""),"¥",""),"￥","")),0))</f>
        <v/>
      </c>
      <c r="E1428">
        <f>IF($E$1=0,0,IFERROR(VALUE(SUBSTITUTE(SUBSTITUTE(SUBSTITUTE(INDEX(貼り付け!$A$1:$BZ$3001,1427,$E$1)&amp;"",",",""),"¥",""),"￥","")),0))</f>
        <v/>
      </c>
      <c r="F1428">
        <f>IF($F$1=0,0,IFERROR(VALUE(SUBSTITUTE(SUBSTITUTE(SUBSTITUTE(INDEX(貼り付け!$A$1:$BZ$3001,1427,$F$1)&amp;"",",",""),"¥",""),"￥","")),0))</f>
        <v/>
      </c>
      <c r="G1428">
        <f>IF(ISNUMBER(B1428),YEAR(B1428),"")</f>
        <v/>
      </c>
      <c r="H1428">
        <f>IF(ISNUMBER(B1428),MONTH(B1428),"")</f>
        <v/>
      </c>
      <c r="I1428">
        <f>IFERROR(IF($B$1=0,"",IF(ISNUMBER(INDEX(貼り付け!$A$1:$BZ$3001,1427,$B$1)),"",SUBSTITUTE(SUBSTITUTE(SUBSTITUTE(SUBSTITUTE(TRIM(LEFT(INDEX(貼り付け!$A$1:$BZ$3001,1427,$B$1)&amp;"",FIND(" ",TRIM(INDEX(貼り付け!$A$1:$BZ$3001,1427,$B$1)&amp;"")&amp;" ")-1)),"/","-"),"年","-"),"月","-"),"日",""))),"")</f>
        <v/>
      </c>
      <c r="J1428">
        <f>IFERROR(MID(I1428,FIND("-",I1428)+1,99),"")</f>
        <v/>
      </c>
    </row>
    <row r="1429">
      <c r="B1429">
        <f>IFERROR(IF($B$1=0,"",IF(INDEX(貼り付け!$A$1:$BZ$3001,1428,$B$1)="","",IF(ISNUMBER(INDEX(貼り付け!$A$1:$BZ$3001,1428,$B$1)),INT(INDEX(貼り付け!$A$1:$BZ$3001,1428,$B$1)),DATE(VALUE(LEFT(I1429,FIND("-",I1429)-1)),VALUE(LEFT(J1429,FIND("-",J1429)-1)),VALUE(MID(J1429,FIND("-",J1429)+1,99)))))),"")</f>
        <v/>
      </c>
      <c r="C1429">
        <f>IF($C$1=0,0,IFERROR(VALUE(SUBSTITUTE(SUBSTITUTE(SUBSTITUTE(INDEX(貼り付け!$A$1:$BZ$3001,1428,$C$1)&amp;"",",",""),"¥",""),"￥","")),0))</f>
        <v/>
      </c>
      <c r="D1429">
        <f>IF($D$1=0,0,IFERROR(VALUE(SUBSTITUTE(SUBSTITUTE(SUBSTITUTE(INDEX(貼り付け!$A$1:$BZ$3001,1428,$D$1)&amp;"",",",""),"¥",""),"￥","")),0))</f>
        <v/>
      </c>
      <c r="E1429">
        <f>IF($E$1=0,0,IFERROR(VALUE(SUBSTITUTE(SUBSTITUTE(SUBSTITUTE(INDEX(貼り付け!$A$1:$BZ$3001,1428,$E$1)&amp;"",",",""),"¥",""),"￥","")),0))</f>
        <v/>
      </c>
      <c r="F1429">
        <f>IF($F$1=0,0,IFERROR(VALUE(SUBSTITUTE(SUBSTITUTE(SUBSTITUTE(INDEX(貼り付け!$A$1:$BZ$3001,1428,$F$1)&amp;"",",",""),"¥",""),"￥","")),0))</f>
        <v/>
      </c>
      <c r="G1429">
        <f>IF(ISNUMBER(B1429),YEAR(B1429),"")</f>
        <v/>
      </c>
      <c r="H1429">
        <f>IF(ISNUMBER(B1429),MONTH(B1429),"")</f>
        <v/>
      </c>
      <c r="I1429">
        <f>IFERROR(IF($B$1=0,"",IF(ISNUMBER(INDEX(貼り付け!$A$1:$BZ$3001,1428,$B$1)),"",SUBSTITUTE(SUBSTITUTE(SUBSTITUTE(SUBSTITUTE(TRIM(LEFT(INDEX(貼り付け!$A$1:$BZ$3001,1428,$B$1)&amp;"",FIND(" ",TRIM(INDEX(貼り付け!$A$1:$BZ$3001,1428,$B$1)&amp;"")&amp;" ")-1)),"/","-"),"年","-"),"月","-"),"日",""))),"")</f>
        <v/>
      </c>
      <c r="J1429">
        <f>IFERROR(MID(I1429,FIND("-",I1429)+1,99),"")</f>
        <v/>
      </c>
    </row>
    <row r="1430">
      <c r="B1430">
        <f>IFERROR(IF($B$1=0,"",IF(INDEX(貼り付け!$A$1:$BZ$3001,1429,$B$1)="","",IF(ISNUMBER(INDEX(貼り付け!$A$1:$BZ$3001,1429,$B$1)),INT(INDEX(貼り付け!$A$1:$BZ$3001,1429,$B$1)),DATE(VALUE(LEFT(I1430,FIND("-",I1430)-1)),VALUE(LEFT(J1430,FIND("-",J1430)-1)),VALUE(MID(J1430,FIND("-",J1430)+1,99)))))),"")</f>
        <v/>
      </c>
      <c r="C1430">
        <f>IF($C$1=0,0,IFERROR(VALUE(SUBSTITUTE(SUBSTITUTE(SUBSTITUTE(INDEX(貼り付け!$A$1:$BZ$3001,1429,$C$1)&amp;"",",",""),"¥",""),"￥","")),0))</f>
        <v/>
      </c>
      <c r="D1430">
        <f>IF($D$1=0,0,IFERROR(VALUE(SUBSTITUTE(SUBSTITUTE(SUBSTITUTE(INDEX(貼り付け!$A$1:$BZ$3001,1429,$D$1)&amp;"",",",""),"¥",""),"￥","")),0))</f>
        <v/>
      </c>
      <c r="E1430">
        <f>IF($E$1=0,0,IFERROR(VALUE(SUBSTITUTE(SUBSTITUTE(SUBSTITUTE(INDEX(貼り付け!$A$1:$BZ$3001,1429,$E$1)&amp;"",",",""),"¥",""),"￥","")),0))</f>
        <v/>
      </c>
      <c r="F1430">
        <f>IF($F$1=0,0,IFERROR(VALUE(SUBSTITUTE(SUBSTITUTE(SUBSTITUTE(INDEX(貼り付け!$A$1:$BZ$3001,1429,$F$1)&amp;"",",",""),"¥",""),"￥","")),0))</f>
        <v/>
      </c>
      <c r="G1430">
        <f>IF(ISNUMBER(B1430),YEAR(B1430),"")</f>
        <v/>
      </c>
      <c r="H1430">
        <f>IF(ISNUMBER(B1430),MONTH(B1430),"")</f>
        <v/>
      </c>
      <c r="I1430">
        <f>IFERROR(IF($B$1=0,"",IF(ISNUMBER(INDEX(貼り付け!$A$1:$BZ$3001,1429,$B$1)),"",SUBSTITUTE(SUBSTITUTE(SUBSTITUTE(SUBSTITUTE(TRIM(LEFT(INDEX(貼り付け!$A$1:$BZ$3001,1429,$B$1)&amp;"",FIND(" ",TRIM(INDEX(貼り付け!$A$1:$BZ$3001,1429,$B$1)&amp;"")&amp;" ")-1)),"/","-"),"年","-"),"月","-"),"日",""))),"")</f>
        <v/>
      </c>
      <c r="J1430">
        <f>IFERROR(MID(I1430,FIND("-",I1430)+1,99),"")</f>
        <v/>
      </c>
    </row>
    <row r="1431">
      <c r="B1431">
        <f>IFERROR(IF($B$1=0,"",IF(INDEX(貼り付け!$A$1:$BZ$3001,1430,$B$1)="","",IF(ISNUMBER(INDEX(貼り付け!$A$1:$BZ$3001,1430,$B$1)),INT(INDEX(貼り付け!$A$1:$BZ$3001,1430,$B$1)),DATE(VALUE(LEFT(I1431,FIND("-",I1431)-1)),VALUE(LEFT(J1431,FIND("-",J1431)-1)),VALUE(MID(J1431,FIND("-",J1431)+1,99)))))),"")</f>
        <v/>
      </c>
      <c r="C1431">
        <f>IF($C$1=0,0,IFERROR(VALUE(SUBSTITUTE(SUBSTITUTE(SUBSTITUTE(INDEX(貼り付け!$A$1:$BZ$3001,1430,$C$1)&amp;"",",",""),"¥",""),"￥","")),0))</f>
        <v/>
      </c>
      <c r="D1431">
        <f>IF($D$1=0,0,IFERROR(VALUE(SUBSTITUTE(SUBSTITUTE(SUBSTITUTE(INDEX(貼り付け!$A$1:$BZ$3001,1430,$D$1)&amp;"",",",""),"¥",""),"￥","")),0))</f>
        <v/>
      </c>
      <c r="E1431">
        <f>IF($E$1=0,0,IFERROR(VALUE(SUBSTITUTE(SUBSTITUTE(SUBSTITUTE(INDEX(貼り付け!$A$1:$BZ$3001,1430,$E$1)&amp;"",",",""),"¥",""),"￥","")),0))</f>
        <v/>
      </c>
      <c r="F1431">
        <f>IF($F$1=0,0,IFERROR(VALUE(SUBSTITUTE(SUBSTITUTE(SUBSTITUTE(INDEX(貼り付け!$A$1:$BZ$3001,1430,$F$1)&amp;"",",",""),"¥",""),"￥","")),0))</f>
        <v/>
      </c>
      <c r="G1431">
        <f>IF(ISNUMBER(B1431),YEAR(B1431),"")</f>
        <v/>
      </c>
      <c r="H1431">
        <f>IF(ISNUMBER(B1431),MONTH(B1431),"")</f>
        <v/>
      </c>
      <c r="I1431">
        <f>IFERROR(IF($B$1=0,"",IF(ISNUMBER(INDEX(貼り付け!$A$1:$BZ$3001,1430,$B$1)),"",SUBSTITUTE(SUBSTITUTE(SUBSTITUTE(SUBSTITUTE(TRIM(LEFT(INDEX(貼り付け!$A$1:$BZ$3001,1430,$B$1)&amp;"",FIND(" ",TRIM(INDEX(貼り付け!$A$1:$BZ$3001,1430,$B$1)&amp;"")&amp;" ")-1)),"/","-"),"年","-"),"月","-"),"日",""))),"")</f>
        <v/>
      </c>
      <c r="J1431">
        <f>IFERROR(MID(I1431,FIND("-",I1431)+1,99),"")</f>
        <v/>
      </c>
    </row>
    <row r="1432">
      <c r="B1432">
        <f>IFERROR(IF($B$1=0,"",IF(INDEX(貼り付け!$A$1:$BZ$3001,1431,$B$1)="","",IF(ISNUMBER(INDEX(貼り付け!$A$1:$BZ$3001,1431,$B$1)),INT(INDEX(貼り付け!$A$1:$BZ$3001,1431,$B$1)),DATE(VALUE(LEFT(I1432,FIND("-",I1432)-1)),VALUE(LEFT(J1432,FIND("-",J1432)-1)),VALUE(MID(J1432,FIND("-",J1432)+1,99)))))),"")</f>
        <v/>
      </c>
      <c r="C1432">
        <f>IF($C$1=0,0,IFERROR(VALUE(SUBSTITUTE(SUBSTITUTE(SUBSTITUTE(INDEX(貼り付け!$A$1:$BZ$3001,1431,$C$1)&amp;"",",",""),"¥",""),"￥","")),0))</f>
        <v/>
      </c>
      <c r="D1432">
        <f>IF($D$1=0,0,IFERROR(VALUE(SUBSTITUTE(SUBSTITUTE(SUBSTITUTE(INDEX(貼り付け!$A$1:$BZ$3001,1431,$D$1)&amp;"",",",""),"¥",""),"￥","")),0))</f>
        <v/>
      </c>
      <c r="E1432">
        <f>IF($E$1=0,0,IFERROR(VALUE(SUBSTITUTE(SUBSTITUTE(SUBSTITUTE(INDEX(貼り付け!$A$1:$BZ$3001,1431,$E$1)&amp;"",",",""),"¥",""),"￥","")),0))</f>
        <v/>
      </c>
      <c r="F1432">
        <f>IF($F$1=0,0,IFERROR(VALUE(SUBSTITUTE(SUBSTITUTE(SUBSTITUTE(INDEX(貼り付け!$A$1:$BZ$3001,1431,$F$1)&amp;"",",",""),"¥",""),"￥","")),0))</f>
        <v/>
      </c>
      <c r="G1432">
        <f>IF(ISNUMBER(B1432),YEAR(B1432),"")</f>
        <v/>
      </c>
      <c r="H1432">
        <f>IF(ISNUMBER(B1432),MONTH(B1432),"")</f>
        <v/>
      </c>
      <c r="I1432">
        <f>IFERROR(IF($B$1=0,"",IF(ISNUMBER(INDEX(貼り付け!$A$1:$BZ$3001,1431,$B$1)),"",SUBSTITUTE(SUBSTITUTE(SUBSTITUTE(SUBSTITUTE(TRIM(LEFT(INDEX(貼り付け!$A$1:$BZ$3001,1431,$B$1)&amp;"",FIND(" ",TRIM(INDEX(貼り付け!$A$1:$BZ$3001,1431,$B$1)&amp;"")&amp;" ")-1)),"/","-"),"年","-"),"月","-"),"日",""))),"")</f>
        <v/>
      </c>
      <c r="J1432">
        <f>IFERROR(MID(I1432,FIND("-",I1432)+1,99),"")</f>
        <v/>
      </c>
    </row>
    <row r="1433">
      <c r="B1433">
        <f>IFERROR(IF($B$1=0,"",IF(INDEX(貼り付け!$A$1:$BZ$3001,1432,$B$1)="","",IF(ISNUMBER(INDEX(貼り付け!$A$1:$BZ$3001,1432,$B$1)),INT(INDEX(貼り付け!$A$1:$BZ$3001,1432,$B$1)),DATE(VALUE(LEFT(I1433,FIND("-",I1433)-1)),VALUE(LEFT(J1433,FIND("-",J1433)-1)),VALUE(MID(J1433,FIND("-",J1433)+1,99)))))),"")</f>
        <v/>
      </c>
      <c r="C1433">
        <f>IF($C$1=0,0,IFERROR(VALUE(SUBSTITUTE(SUBSTITUTE(SUBSTITUTE(INDEX(貼り付け!$A$1:$BZ$3001,1432,$C$1)&amp;"",",",""),"¥",""),"￥","")),0))</f>
        <v/>
      </c>
      <c r="D1433">
        <f>IF($D$1=0,0,IFERROR(VALUE(SUBSTITUTE(SUBSTITUTE(SUBSTITUTE(INDEX(貼り付け!$A$1:$BZ$3001,1432,$D$1)&amp;"",",",""),"¥",""),"￥","")),0))</f>
        <v/>
      </c>
      <c r="E1433">
        <f>IF($E$1=0,0,IFERROR(VALUE(SUBSTITUTE(SUBSTITUTE(SUBSTITUTE(INDEX(貼り付け!$A$1:$BZ$3001,1432,$E$1)&amp;"",",",""),"¥",""),"￥","")),0))</f>
        <v/>
      </c>
      <c r="F1433">
        <f>IF($F$1=0,0,IFERROR(VALUE(SUBSTITUTE(SUBSTITUTE(SUBSTITUTE(INDEX(貼り付け!$A$1:$BZ$3001,1432,$F$1)&amp;"",",",""),"¥",""),"￥","")),0))</f>
        <v/>
      </c>
      <c r="G1433">
        <f>IF(ISNUMBER(B1433),YEAR(B1433),"")</f>
        <v/>
      </c>
      <c r="H1433">
        <f>IF(ISNUMBER(B1433),MONTH(B1433),"")</f>
        <v/>
      </c>
      <c r="I1433">
        <f>IFERROR(IF($B$1=0,"",IF(ISNUMBER(INDEX(貼り付け!$A$1:$BZ$3001,1432,$B$1)),"",SUBSTITUTE(SUBSTITUTE(SUBSTITUTE(SUBSTITUTE(TRIM(LEFT(INDEX(貼り付け!$A$1:$BZ$3001,1432,$B$1)&amp;"",FIND(" ",TRIM(INDEX(貼り付け!$A$1:$BZ$3001,1432,$B$1)&amp;"")&amp;" ")-1)),"/","-"),"年","-"),"月","-"),"日",""))),"")</f>
        <v/>
      </c>
      <c r="J1433">
        <f>IFERROR(MID(I1433,FIND("-",I1433)+1,99),"")</f>
        <v/>
      </c>
    </row>
    <row r="1434">
      <c r="B1434">
        <f>IFERROR(IF($B$1=0,"",IF(INDEX(貼り付け!$A$1:$BZ$3001,1433,$B$1)="","",IF(ISNUMBER(INDEX(貼り付け!$A$1:$BZ$3001,1433,$B$1)),INT(INDEX(貼り付け!$A$1:$BZ$3001,1433,$B$1)),DATE(VALUE(LEFT(I1434,FIND("-",I1434)-1)),VALUE(LEFT(J1434,FIND("-",J1434)-1)),VALUE(MID(J1434,FIND("-",J1434)+1,99)))))),"")</f>
        <v/>
      </c>
      <c r="C1434">
        <f>IF($C$1=0,0,IFERROR(VALUE(SUBSTITUTE(SUBSTITUTE(SUBSTITUTE(INDEX(貼り付け!$A$1:$BZ$3001,1433,$C$1)&amp;"",",",""),"¥",""),"￥","")),0))</f>
        <v/>
      </c>
      <c r="D1434">
        <f>IF($D$1=0,0,IFERROR(VALUE(SUBSTITUTE(SUBSTITUTE(SUBSTITUTE(INDEX(貼り付け!$A$1:$BZ$3001,1433,$D$1)&amp;"",",",""),"¥",""),"￥","")),0))</f>
        <v/>
      </c>
      <c r="E1434">
        <f>IF($E$1=0,0,IFERROR(VALUE(SUBSTITUTE(SUBSTITUTE(SUBSTITUTE(INDEX(貼り付け!$A$1:$BZ$3001,1433,$E$1)&amp;"",",",""),"¥",""),"￥","")),0))</f>
        <v/>
      </c>
      <c r="F1434">
        <f>IF($F$1=0,0,IFERROR(VALUE(SUBSTITUTE(SUBSTITUTE(SUBSTITUTE(INDEX(貼り付け!$A$1:$BZ$3001,1433,$F$1)&amp;"",",",""),"¥",""),"￥","")),0))</f>
        <v/>
      </c>
      <c r="G1434">
        <f>IF(ISNUMBER(B1434),YEAR(B1434),"")</f>
        <v/>
      </c>
      <c r="H1434">
        <f>IF(ISNUMBER(B1434),MONTH(B1434),"")</f>
        <v/>
      </c>
      <c r="I1434">
        <f>IFERROR(IF($B$1=0,"",IF(ISNUMBER(INDEX(貼り付け!$A$1:$BZ$3001,1433,$B$1)),"",SUBSTITUTE(SUBSTITUTE(SUBSTITUTE(SUBSTITUTE(TRIM(LEFT(INDEX(貼り付け!$A$1:$BZ$3001,1433,$B$1)&amp;"",FIND(" ",TRIM(INDEX(貼り付け!$A$1:$BZ$3001,1433,$B$1)&amp;"")&amp;" ")-1)),"/","-"),"年","-"),"月","-"),"日",""))),"")</f>
        <v/>
      </c>
      <c r="J1434">
        <f>IFERROR(MID(I1434,FIND("-",I1434)+1,99),"")</f>
        <v/>
      </c>
    </row>
    <row r="1435">
      <c r="B1435">
        <f>IFERROR(IF($B$1=0,"",IF(INDEX(貼り付け!$A$1:$BZ$3001,1434,$B$1)="","",IF(ISNUMBER(INDEX(貼り付け!$A$1:$BZ$3001,1434,$B$1)),INT(INDEX(貼り付け!$A$1:$BZ$3001,1434,$B$1)),DATE(VALUE(LEFT(I1435,FIND("-",I1435)-1)),VALUE(LEFT(J1435,FIND("-",J1435)-1)),VALUE(MID(J1435,FIND("-",J1435)+1,99)))))),"")</f>
        <v/>
      </c>
      <c r="C1435">
        <f>IF($C$1=0,0,IFERROR(VALUE(SUBSTITUTE(SUBSTITUTE(SUBSTITUTE(INDEX(貼り付け!$A$1:$BZ$3001,1434,$C$1)&amp;"",",",""),"¥",""),"￥","")),0))</f>
        <v/>
      </c>
      <c r="D1435">
        <f>IF($D$1=0,0,IFERROR(VALUE(SUBSTITUTE(SUBSTITUTE(SUBSTITUTE(INDEX(貼り付け!$A$1:$BZ$3001,1434,$D$1)&amp;"",",",""),"¥",""),"￥","")),0))</f>
        <v/>
      </c>
      <c r="E1435">
        <f>IF($E$1=0,0,IFERROR(VALUE(SUBSTITUTE(SUBSTITUTE(SUBSTITUTE(INDEX(貼り付け!$A$1:$BZ$3001,1434,$E$1)&amp;"",",",""),"¥",""),"￥","")),0))</f>
        <v/>
      </c>
      <c r="F1435">
        <f>IF($F$1=0,0,IFERROR(VALUE(SUBSTITUTE(SUBSTITUTE(SUBSTITUTE(INDEX(貼り付け!$A$1:$BZ$3001,1434,$F$1)&amp;"",",",""),"¥",""),"￥","")),0))</f>
        <v/>
      </c>
      <c r="G1435">
        <f>IF(ISNUMBER(B1435),YEAR(B1435),"")</f>
        <v/>
      </c>
      <c r="H1435">
        <f>IF(ISNUMBER(B1435),MONTH(B1435),"")</f>
        <v/>
      </c>
      <c r="I1435">
        <f>IFERROR(IF($B$1=0,"",IF(ISNUMBER(INDEX(貼り付け!$A$1:$BZ$3001,1434,$B$1)),"",SUBSTITUTE(SUBSTITUTE(SUBSTITUTE(SUBSTITUTE(TRIM(LEFT(INDEX(貼り付け!$A$1:$BZ$3001,1434,$B$1)&amp;"",FIND(" ",TRIM(INDEX(貼り付け!$A$1:$BZ$3001,1434,$B$1)&amp;"")&amp;" ")-1)),"/","-"),"年","-"),"月","-"),"日",""))),"")</f>
        <v/>
      </c>
      <c r="J1435">
        <f>IFERROR(MID(I1435,FIND("-",I1435)+1,99),"")</f>
        <v/>
      </c>
    </row>
    <row r="1436">
      <c r="B1436">
        <f>IFERROR(IF($B$1=0,"",IF(INDEX(貼り付け!$A$1:$BZ$3001,1435,$B$1)="","",IF(ISNUMBER(INDEX(貼り付け!$A$1:$BZ$3001,1435,$B$1)),INT(INDEX(貼り付け!$A$1:$BZ$3001,1435,$B$1)),DATE(VALUE(LEFT(I1436,FIND("-",I1436)-1)),VALUE(LEFT(J1436,FIND("-",J1436)-1)),VALUE(MID(J1436,FIND("-",J1436)+1,99)))))),"")</f>
        <v/>
      </c>
      <c r="C1436">
        <f>IF($C$1=0,0,IFERROR(VALUE(SUBSTITUTE(SUBSTITUTE(SUBSTITUTE(INDEX(貼り付け!$A$1:$BZ$3001,1435,$C$1)&amp;"",",",""),"¥",""),"￥","")),0))</f>
        <v/>
      </c>
      <c r="D1436">
        <f>IF($D$1=0,0,IFERROR(VALUE(SUBSTITUTE(SUBSTITUTE(SUBSTITUTE(INDEX(貼り付け!$A$1:$BZ$3001,1435,$D$1)&amp;"",",",""),"¥",""),"￥","")),0))</f>
        <v/>
      </c>
      <c r="E1436">
        <f>IF($E$1=0,0,IFERROR(VALUE(SUBSTITUTE(SUBSTITUTE(SUBSTITUTE(INDEX(貼り付け!$A$1:$BZ$3001,1435,$E$1)&amp;"",",",""),"¥",""),"￥","")),0))</f>
        <v/>
      </c>
      <c r="F1436">
        <f>IF($F$1=0,0,IFERROR(VALUE(SUBSTITUTE(SUBSTITUTE(SUBSTITUTE(INDEX(貼り付け!$A$1:$BZ$3001,1435,$F$1)&amp;"",",",""),"¥",""),"￥","")),0))</f>
        <v/>
      </c>
      <c r="G1436">
        <f>IF(ISNUMBER(B1436),YEAR(B1436),"")</f>
        <v/>
      </c>
      <c r="H1436">
        <f>IF(ISNUMBER(B1436),MONTH(B1436),"")</f>
        <v/>
      </c>
      <c r="I1436">
        <f>IFERROR(IF($B$1=0,"",IF(ISNUMBER(INDEX(貼り付け!$A$1:$BZ$3001,1435,$B$1)),"",SUBSTITUTE(SUBSTITUTE(SUBSTITUTE(SUBSTITUTE(TRIM(LEFT(INDEX(貼り付け!$A$1:$BZ$3001,1435,$B$1)&amp;"",FIND(" ",TRIM(INDEX(貼り付け!$A$1:$BZ$3001,1435,$B$1)&amp;"")&amp;" ")-1)),"/","-"),"年","-"),"月","-"),"日",""))),"")</f>
        <v/>
      </c>
      <c r="J1436">
        <f>IFERROR(MID(I1436,FIND("-",I1436)+1,99),"")</f>
        <v/>
      </c>
    </row>
    <row r="1437">
      <c r="B1437">
        <f>IFERROR(IF($B$1=0,"",IF(INDEX(貼り付け!$A$1:$BZ$3001,1436,$B$1)="","",IF(ISNUMBER(INDEX(貼り付け!$A$1:$BZ$3001,1436,$B$1)),INT(INDEX(貼り付け!$A$1:$BZ$3001,1436,$B$1)),DATE(VALUE(LEFT(I1437,FIND("-",I1437)-1)),VALUE(LEFT(J1437,FIND("-",J1437)-1)),VALUE(MID(J1437,FIND("-",J1437)+1,99)))))),"")</f>
        <v/>
      </c>
      <c r="C1437">
        <f>IF($C$1=0,0,IFERROR(VALUE(SUBSTITUTE(SUBSTITUTE(SUBSTITUTE(INDEX(貼り付け!$A$1:$BZ$3001,1436,$C$1)&amp;"",",",""),"¥",""),"￥","")),0))</f>
        <v/>
      </c>
      <c r="D1437">
        <f>IF($D$1=0,0,IFERROR(VALUE(SUBSTITUTE(SUBSTITUTE(SUBSTITUTE(INDEX(貼り付け!$A$1:$BZ$3001,1436,$D$1)&amp;"",",",""),"¥",""),"￥","")),0))</f>
        <v/>
      </c>
      <c r="E1437">
        <f>IF($E$1=0,0,IFERROR(VALUE(SUBSTITUTE(SUBSTITUTE(SUBSTITUTE(INDEX(貼り付け!$A$1:$BZ$3001,1436,$E$1)&amp;"",",",""),"¥",""),"￥","")),0))</f>
        <v/>
      </c>
      <c r="F1437">
        <f>IF($F$1=0,0,IFERROR(VALUE(SUBSTITUTE(SUBSTITUTE(SUBSTITUTE(INDEX(貼り付け!$A$1:$BZ$3001,1436,$F$1)&amp;"",",",""),"¥",""),"￥","")),0))</f>
        <v/>
      </c>
      <c r="G1437">
        <f>IF(ISNUMBER(B1437),YEAR(B1437),"")</f>
        <v/>
      </c>
      <c r="H1437">
        <f>IF(ISNUMBER(B1437),MONTH(B1437),"")</f>
        <v/>
      </c>
      <c r="I1437">
        <f>IFERROR(IF($B$1=0,"",IF(ISNUMBER(INDEX(貼り付け!$A$1:$BZ$3001,1436,$B$1)),"",SUBSTITUTE(SUBSTITUTE(SUBSTITUTE(SUBSTITUTE(TRIM(LEFT(INDEX(貼り付け!$A$1:$BZ$3001,1436,$B$1)&amp;"",FIND(" ",TRIM(INDEX(貼り付け!$A$1:$BZ$3001,1436,$B$1)&amp;"")&amp;" ")-1)),"/","-"),"年","-"),"月","-"),"日",""))),"")</f>
        <v/>
      </c>
      <c r="J1437">
        <f>IFERROR(MID(I1437,FIND("-",I1437)+1,99),"")</f>
        <v/>
      </c>
    </row>
    <row r="1438">
      <c r="B1438">
        <f>IFERROR(IF($B$1=0,"",IF(INDEX(貼り付け!$A$1:$BZ$3001,1437,$B$1)="","",IF(ISNUMBER(INDEX(貼り付け!$A$1:$BZ$3001,1437,$B$1)),INT(INDEX(貼り付け!$A$1:$BZ$3001,1437,$B$1)),DATE(VALUE(LEFT(I1438,FIND("-",I1438)-1)),VALUE(LEFT(J1438,FIND("-",J1438)-1)),VALUE(MID(J1438,FIND("-",J1438)+1,99)))))),"")</f>
        <v/>
      </c>
      <c r="C1438">
        <f>IF($C$1=0,0,IFERROR(VALUE(SUBSTITUTE(SUBSTITUTE(SUBSTITUTE(INDEX(貼り付け!$A$1:$BZ$3001,1437,$C$1)&amp;"",",",""),"¥",""),"￥","")),0))</f>
        <v/>
      </c>
      <c r="D1438">
        <f>IF($D$1=0,0,IFERROR(VALUE(SUBSTITUTE(SUBSTITUTE(SUBSTITUTE(INDEX(貼り付け!$A$1:$BZ$3001,1437,$D$1)&amp;"",",",""),"¥",""),"￥","")),0))</f>
        <v/>
      </c>
      <c r="E1438">
        <f>IF($E$1=0,0,IFERROR(VALUE(SUBSTITUTE(SUBSTITUTE(SUBSTITUTE(INDEX(貼り付け!$A$1:$BZ$3001,1437,$E$1)&amp;"",",",""),"¥",""),"￥","")),0))</f>
        <v/>
      </c>
      <c r="F1438">
        <f>IF($F$1=0,0,IFERROR(VALUE(SUBSTITUTE(SUBSTITUTE(SUBSTITUTE(INDEX(貼り付け!$A$1:$BZ$3001,1437,$F$1)&amp;"",",",""),"¥",""),"￥","")),0))</f>
        <v/>
      </c>
      <c r="G1438">
        <f>IF(ISNUMBER(B1438),YEAR(B1438),"")</f>
        <v/>
      </c>
      <c r="H1438">
        <f>IF(ISNUMBER(B1438),MONTH(B1438),"")</f>
        <v/>
      </c>
      <c r="I1438">
        <f>IFERROR(IF($B$1=0,"",IF(ISNUMBER(INDEX(貼り付け!$A$1:$BZ$3001,1437,$B$1)),"",SUBSTITUTE(SUBSTITUTE(SUBSTITUTE(SUBSTITUTE(TRIM(LEFT(INDEX(貼り付け!$A$1:$BZ$3001,1437,$B$1)&amp;"",FIND(" ",TRIM(INDEX(貼り付け!$A$1:$BZ$3001,1437,$B$1)&amp;"")&amp;" ")-1)),"/","-"),"年","-"),"月","-"),"日",""))),"")</f>
        <v/>
      </c>
      <c r="J1438">
        <f>IFERROR(MID(I1438,FIND("-",I1438)+1,99),"")</f>
        <v/>
      </c>
    </row>
    <row r="1439">
      <c r="B1439">
        <f>IFERROR(IF($B$1=0,"",IF(INDEX(貼り付け!$A$1:$BZ$3001,1438,$B$1)="","",IF(ISNUMBER(INDEX(貼り付け!$A$1:$BZ$3001,1438,$B$1)),INT(INDEX(貼り付け!$A$1:$BZ$3001,1438,$B$1)),DATE(VALUE(LEFT(I1439,FIND("-",I1439)-1)),VALUE(LEFT(J1439,FIND("-",J1439)-1)),VALUE(MID(J1439,FIND("-",J1439)+1,99)))))),"")</f>
        <v/>
      </c>
      <c r="C1439">
        <f>IF($C$1=0,0,IFERROR(VALUE(SUBSTITUTE(SUBSTITUTE(SUBSTITUTE(INDEX(貼り付け!$A$1:$BZ$3001,1438,$C$1)&amp;"",",",""),"¥",""),"￥","")),0))</f>
        <v/>
      </c>
      <c r="D1439">
        <f>IF($D$1=0,0,IFERROR(VALUE(SUBSTITUTE(SUBSTITUTE(SUBSTITUTE(INDEX(貼り付け!$A$1:$BZ$3001,1438,$D$1)&amp;"",",",""),"¥",""),"￥","")),0))</f>
        <v/>
      </c>
      <c r="E1439">
        <f>IF($E$1=0,0,IFERROR(VALUE(SUBSTITUTE(SUBSTITUTE(SUBSTITUTE(INDEX(貼り付け!$A$1:$BZ$3001,1438,$E$1)&amp;"",",",""),"¥",""),"￥","")),0))</f>
        <v/>
      </c>
      <c r="F1439">
        <f>IF($F$1=0,0,IFERROR(VALUE(SUBSTITUTE(SUBSTITUTE(SUBSTITUTE(INDEX(貼り付け!$A$1:$BZ$3001,1438,$F$1)&amp;"",",",""),"¥",""),"￥","")),0))</f>
        <v/>
      </c>
      <c r="G1439">
        <f>IF(ISNUMBER(B1439),YEAR(B1439),"")</f>
        <v/>
      </c>
      <c r="H1439">
        <f>IF(ISNUMBER(B1439),MONTH(B1439),"")</f>
        <v/>
      </c>
      <c r="I1439">
        <f>IFERROR(IF($B$1=0,"",IF(ISNUMBER(INDEX(貼り付け!$A$1:$BZ$3001,1438,$B$1)),"",SUBSTITUTE(SUBSTITUTE(SUBSTITUTE(SUBSTITUTE(TRIM(LEFT(INDEX(貼り付け!$A$1:$BZ$3001,1438,$B$1)&amp;"",FIND(" ",TRIM(INDEX(貼り付け!$A$1:$BZ$3001,1438,$B$1)&amp;"")&amp;" ")-1)),"/","-"),"年","-"),"月","-"),"日",""))),"")</f>
        <v/>
      </c>
      <c r="J1439">
        <f>IFERROR(MID(I1439,FIND("-",I1439)+1,99),"")</f>
        <v/>
      </c>
    </row>
    <row r="1440">
      <c r="B1440">
        <f>IFERROR(IF($B$1=0,"",IF(INDEX(貼り付け!$A$1:$BZ$3001,1439,$B$1)="","",IF(ISNUMBER(INDEX(貼り付け!$A$1:$BZ$3001,1439,$B$1)),INT(INDEX(貼り付け!$A$1:$BZ$3001,1439,$B$1)),DATE(VALUE(LEFT(I1440,FIND("-",I1440)-1)),VALUE(LEFT(J1440,FIND("-",J1440)-1)),VALUE(MID(J1440,FIND("-",J1440)+1,99)))))),"")</f>
        <v/>
      </c>
      <c r="C1440">
        <f>IF($C$1=0,0,IFERROR(VALUE(SUBSTITUTE(SUBSTITUTE(SUBSTITUTE(INDEX(貼り付け!$A$1:$BZ$3001,1439,$C$1)&amp;"",",",""),"¥",""),"￥","")),0))</f>
        <v/>
      </c>
      <c r="D1440">
        <f>IF($D$1=0,0,IFERROR(VALUE(SUBSTITUTE(SUBSTITUTE(SUBSTITUTE(INDEX(貼り付け!$A$1:$BZ$3001,1439,$D$1)&amp;"",",",""),"¥",""),"￥","")),0))</f>
        <v/>
      </c>
      <c r="E1440">
        <f>IF($E$1=0,0,IFERROR(VALUE(SUBSTITUTE(SUBSTITUTE(SUBSTITUTE(INDEX(貼り付け!$A$1:$BZ$3001,1439,$E$1)&amp;"",",",""),"¥",""),"￥","")),0))</f>
        <v/>
      </c>
      <c r="F1440">
        <f>IF($F$1=0,0,IFERROR(VALUE(SUBSTITUTE(SUBSTITUTE(SUBSTITUTE(INDEX(貼り付け!$A$1:$BZ$3001,1439,$F$1)&amp;"",",",""),"¥",""),"￥","")),0))</f>
        <v/>
      </c>
      <c r="G1440">
        <f>IF(ISNUMBER(B1440),YEAR(B1440),"")</f>
        <v/>
      </c>
      <c r="H1440">
        <f>IF(ISNUMBER(B1440),MONTH(B1440),"")</f>
        <v/>
      </c>
      <c r="I1440">
        <f>IFERROR(IF($B$1=0,"",IF(ISNUMBER(INDEX(貼り付け!$A$1:$BZ$3001,1439,$B$1)),"",SUBSTITUTE(SUBSTITUTE(SUBSTITUTE(SUBSTITUTE(TRIM(LEFT(INDEX(貼り付け!$A$1:$BZ$3001,1439,$B$1)&amp;"",FIND(" ",TRIM(INDEX(貼り付け!$A$1:$BZ$3001,1439,$B$1)&amp;"")&amp;" ")-1)),"/","-"),"年","-"),"月","-"),"日",""))),"")</f>
        <v/>
      </c>
      <c r="J1440">
        <f>IFERROR(MID(I1440,FIND("-",I1440)+1,99),"")</f>
        <v/>
      </c>
    </row>
    <row r="1441">
      <c r="B1441">
        <f>IFERROR(IF($B$1=0,"",IF(INDEX(貼り付け!$A$1:$BZ$3001,1440,$B$1)="","",IF(ISNUMBER(INDEX(貼り付け!$A$1:$BZ$3001,1440,$B$1)),INT(INDEX(貼り付け!$A$1:$BZ$3001,1440,$B$1)),DATE(VALUE(LEFT(I1441,FIND("-",I1441)-1)),VALUE(LEFT(J1441,FIND("-",J1441)-1)),VALUE(MID(J1441,FIND("-",J1441)+1,99)))))),"")</f>
        <v/>
      </c>
      <c r="C1441">
        <f>IF($C$1=0,0,IFERROR(VALUE(SUBSTITUTE(SUBSTITUTE(SUBSTITUTE(INDEX(貼り付け!$A$1:$BZ$3001,1440,$C$1)&amp;"",",",""),"¥",""),"￥","")),0))</f>
        <v/>
      </c>
      <c r="D1441">
        <f>IF($D$1=0,0,IFERROR(VALUE(SUBSTITUTE(SUBSTITUTE(SUBSTITUTE(INDEX(貼り付け!$A$1:$BZ$3001,1440,$D$1)&amp;"",",",""),"¥",""),"￥","")),0))</f>
        <v/>
      </c>
      <c r="E1441">
        <f>IF($E$1=0,0,IFERROR(VALUE(SUBSTITUTE(SUBSTITUTE(SUBSTITUTE(INDEX(貼り付け!$A$1:$BZ$3001,1440,$E$1)&amp;"",",",""),"¥",""),"￥","")),0))</f>
        <v/>
      </c>
      <c r="F1441">
        <f>IF($F$1=0,0,IFERROR(VALUE(SUBSTITUTE(SUBSTITUTE(SUBSTITUTE(INDEX(貼り付け!$A$1:$BZ$3001,1440,$F$1)&amp;"",",",""),"¥",""),"￥","")),0))</f>
        <v/>
      </c>
      <c r="G1441">
        <f>IF(ISNUMBER(B1441),YEAR(B1441),"")</f>
        <v/>
      </c>
      <c r="H1441">
        <f>IF(ISNUMBER(B1441),MONTH(B1441),"")</f>
        <v/>
      </c>
      <c r="I1441">
        <f>IFERROR(IF($B$1=0,"",IF(ISNUMBER(INDEX(貼り付け!$A$1:$BZ$3001,1440,$B$1)),"",SUBSTITUTE(SUBSTITUTE(SUBSTITUTE(SUBSTITUTE(TRIM(LEFT(INDEX(貼り付け!$A$1:$BZ$3001,1440,$B$1)&amp;"",FIND(" ",TRIM(INDEX(貼り付け!$A$1:$BZ$3001,1440,$B$1)&amp;"")&amp;" ")-1)),"/","-"),"年","-"),"月","-"),"日",""))),"")</f>
        <v/>
      </c>
      <c r="J1441">
        <f>IFERROR(MID(I1441,FIND("-",I1441)+1,99),"")</f>
        <v/>
      </c>
    </row>
    <row r="1442">
      <c r="B1442">
        <f>IFERROR(IF($B$1=0,"",IF(INDEX(貼り付け!$A$1:$BZ$3001,1441,$B$1)="","",IF(ISNUMBER(INDEX(貼り付け!$A$1:$BZ$3001,1441,$B$1)),INT(INDEX(貼り付け!$A$1:$BZ$3001,1441,$B$1)),DATE(VALUE(LEFT(I1442,FIND("-",I1442)-1)),VALUE(LEFT(J1442,FIND("-",J1442)-1)),VALUE(MID(J1442,FIND("-",J1442)+1,99)))))),"")</f>
        <v/>
      </c>
      <c r="C1442">
        <f>IF($C$1=0,0,IFERROR(VALUE(SUBSTITUTE(SUBSTITUTE(SUBSTITUTE(INDEX(貼り付け!$A$1:$BZ$3001,1441,$C$1)&amp;"",",",""),"¥",""),"￥","")),0))</f>
        <v/>
      </c>
      <c r="D1442">
        <f>IF($D$1=0,0,IFERROR(VALUE(SUBSTITUTE(SUBSTITUTE(SUBSTITUTE(INDEX(貼り付け!$A$1:$BZ$3001,1441,$D$1)&amp;"",",",""),"¥",""),"￥","")),0))</f>
        <v/>
      </c>
      <c r="E1442">
        <f>IF($E$1=0,0,IFERROR(VALUE(SUBSTITUTE(SUBSTITUTE(SUBSTITUTE(INDEX(貼り付け!$A$1:$BZ$3001,1441,$E$1)&amp;"",",",""),"¥",""),"￥","")),0))</f>
        <v/>
      </c>
      <c r="F1442">
        <f>IF($F$1=0,0,IFERROR(VALUE(SUBSTITUTE(SUBSTITUTE(SUBSTITUTE(INDEX(貼り付け!$A$1:$BZ$3001,1441,$F$1)&amp;"",",",""),"¥",""),"￥","")),0))</f>
        <v/>
      </c>
      <c r="G1442">
        <f>IF(ISNUMBER(B1442),YEAR(B1442),"")</f>
        <v/>
      </c>
      <c r="H1442">
        <f>IF(ISNUMBER(B1442),MONTH(B1442),"")</f>
        <v/>
      </c>
      <c r="I1442">
        <f>IFERROR(IF($B$1=0,"",IF(ISNUMBER(INDEX(貼り付け!$A$1:$BZ$3001,1441,$B$1)),"",SUBSTITUTE(SUBSTITUTE(SUBSTITUTE(SUBSTITUTE(TRIM(LEFT(INDEX(貼り付け!$A$1:$BZ$3001,1441,$B$1)&amp;"",FIND(" ",TRIM(INDEX(貼り付け!$A$1:$BZ$3001,1441,$B$1)&amp;"")&amp;" ")-1)),"/","-"),"年","-"),"月","-"),"日",""))),"")</f>
        <v/>
      </c>
      <c r="J1442">
        <f>IFERROR(MID(I1442,FIND("-",I1442)+1,99),"")</f>
        <v/>
      </c>
    </row>
    <row r="1443">
      <c r="B1443">
        <f>IFERROR(IF($B$1=0,"",IF(INDEX(貼り付け!$A$1:$BZ$3001,1442,$B$1)="","",IF(ISNUMBER(INDEX(貼り付け!$A$1:$BZ$3001,1442,$B$1)),INT(INDEX(貼り付け!$A$1:$BZ$3001,1442,$B$1)),DATE(VALUE(LEFT(I1443,FIND("-",I1443)-1)),VALUE(LEFT(J1443,FIND("-",J1443)-1)),VALUE(MID(J1443,FIND("-",J1443)+1,99)))))),"")</f>
        <v/>
      </c>
      <c r="C1443">
        <f>IF($C$1=0,0,IFERROR(VALUE(SUBSTITUTE(SUBSTITUTE(SUBSTITUTE(INDEX(貼り付け!$A$1:$BZ$3001,1442,$C$1)&amp;"",",",""),"¥",""),"￥","")),0))</f>
        <v/>
      </c>
      <c r="D1443">
        <f>IF($D$1=0,0,IFERROR(VALUE(SUBSTITUTE(SUBSTITUTE(SUBSTITUTE(INDEX(貼り付け!$A$1:$BZ$3001,1442,$D$1)&amp;"",",",""),"¥",""),"￥","")),0))</f>
        <v/>
      </c>
      <c r="E1443">
        <f>IF($E$1=0,0,IFERROR(VALUE(SUBSTITUTE(SUBSTITUTE(SUBSTITUTE(INDEX(貼り付け!$A$1:$BZ$3001,1442,$E$1)&amp;"",",",""),"¥",""),"￥","")),0))</f>
        <v/>
      </c>
      <c r="F1443">
        <f>IF($F$1=0,0,IFERROR(VALUE(SUBSTITUTE(SUBSTITUTE(SUBSTITUTE(INDEX(貼り付け!$A$1:$BZ$3001,1442,$F$1)&amp;"",",",""),"¥",""),"￥","")),0))</f>
        <v/>
      </c>
      <c r="G1443">
        <f>IF(ISNUMBER(B1443),YEAR(B1443),"")</f>
        <v/>
      </c>
      <c r="H1443">
        <f>IF(ISNUMBER(B1443),MONTH(B1443),"")</f>
        <v/>
      </c>
      <c r="I1443">
        <f>IFERROR(IF($B$1=0,"",IF(ISNUMBER(INDEX(貼り付け!$A$1:$BZ$3001,1442,$B$1)),"",SUBSTITUTE(SUBSTITUTE(SUBSTITUTE(SUBSTITUTE(TRIM(LEFT(INDEX(貼り付け!$A$1:$BZ$3001,1442,$B$1)&amp;"",FIND(" ",TRIM(INDEX(貼り付け!$A$1:$BZ$3001,1442,$B$1)&amp;"")&amp;" ")-1)),"/","-"),"年","-"),"月","-"),"日",""))),"")</f>
        <v/>
      </c>
      <c r="J1443">
        <f>IFERROR(MID(I1443,FIND("-",I1443)+1,99),"")</f>
        <v/>
      </c>
    </row>
    <row r="1444">
      <c r="B1444">
        <f>IFERROR(IF($B$1=0,"",IF(INDEX(貼り付け!$A$1:$BZ$3001,1443,$B$1)="","",IF(ISNUMBER(INDEX(貼り付け!$A$1:$BZ$3001,1443,$B$1)),INT(INDEX(貼り付け!$A$1:$BZ$3001,1443,$B$1)),DATE(VALUE(LEFT(I1444,FIND("-",I1444)-1)),VALUE(LEFT(J1444,FIND("-",J1444)-1)),VALUE(MID(J1444,FIND("-",J1444)+1,99)))))),"")</f>
        <v/>
      </c>
      <c r="C1444">
        <f>IF($C$1=0,0,IFERROR(VALUE(SUBSTITUTE(SUBSTITUTE(SUBSTITUTE(INDEX(貼り付け!$A$1:$BZ$3001,1443,$C$1)&amp;"",",",""),"¥",""),"￥","")),0))</f>
        <v/>
      </c>
      <c r="D1444">
        <f>IF($D$1=0,0,IFERROR(VALUE(SUBSTITUTE(SUBSTITUTE(SUBSTITUTE(INDEX(貼り付け!$A$1:$BZ$3001,1443,$D$1)&amp;"",",",""),"¥",""),"￥","")),0))</f>
        <v/>
      </c>
      <c r="E1444">
        <f>IF($E$1=0,0,IFERROR(VALUE(SUBSTITUTE(SUBSTITUTE(SUBSTITUTE(INDEX(貼り付け!$A$1:$BZ$3001,1443,$E$1)&amp;"",",",""),"¥",""),"￥","")),0))</f>
        <v/>
      </c>
      <c r="F1444">
        <f>IF($F$1=0,0,IFERROR(VALUE(SUBSTITUTE(SUBSTITUTE(SUBSTITUTE(INDEX(貼り付け!$A$1:$BZ$3001,1443,$F$1)&amp;"",",",""),"¥",""),"￥","")),0))</f>
        <v/>
      </c>
      <c r="G1444">
        <f>IF(ISNUMBER(B1444),YEAR(B1444),"")</f>
        <v/>
      </c>
      <c r="H1444">
        <f>IF(ISNUMBER(B1444),MONTH(B1444),"")</f>
        <v/>
      </c>
      <c r="I1444">
        <f>IFERROR(IF($B$1=0,"",IF(ISNUMBER(INDEX(貼り付け!$A$1:$BZ$3001,1443,$B$1)),"",SUBSTITUTE(SUBSTITUTE(SUBSTITUTE(SUBSTITUTE(TRIM(LEFT(INDEX(貼り付け!$A$1:$BZ$3001,1443,$B$1)&amp;"",FIND(" ",TRIM(INDEX(貼り付け!$A$1:$BZ$3001,1443,$B$1)&amp;"")&amp;" ")-1)),"/","-"),"年","-"),"月","-"),"日",""))),"")</f>
        <v/>
      </c>
      <c r="J1444">
        <f>IFERROR(MID(I1444,FIND("-",I1444)+1,99),"")</f>
        <v/>
      </c>
    </row>
    <row r="1445">
      <c r="B1445">
        <f>IFERROR(IF($B$1=0,"",IF(INDEX(貼り付け!$A$1:$BZ$3001,1444,$B$1)="","",IF(ISNUMBER(INDEX(貼り付け!$A$1:$BZ$3001,1444,$B$1)),INT(INDEX(貼り付け!$A$1:$BZ$3001,1444,$B$1)),DATE(VALUE(LEFT(I1445,FIND("-",I1445)-1)),VALUE(LEFT(J1445,FIND("-",J1445)-1)),VALUE(MID(J1445,FIND("-",J1445)+1,99)))))),"")</f>
        <v/>
      </c>
      <c r="C1445">
        <f>IF($C$1=0,0,IFERROR(VALUE(SUBSTITUTE(SUBSTITUTE(SUBSTITUTE(INDEX(貼り付け!$A$1:$BZ$3001,1444,$C$1)&amp;"",",",""),"¥",""),"￥","")),0))</f>
        <v/>
      </c>
      <c r="D1445">
        <f>IF($D$1=0,0,IFERROR(VALUE(SUBSTITUTE(SUBSTITUTE(SUBSTITUTE(INDEX(貼り付け!$A$1:$BZ$3001,1444,$D$1)&amp;"",",",""),"¥",""),"￥","")),0))</f>
        <v/>
      </c>
      <c r="E1445">
        <f>IF($E$1=0,0,IFERROR(VALUE(SUBSTITUTE(SUBSTITUTE(SUBSTITUTE(INDEX(貼り付け!$A$1:$BZ$3001,1444,$E$1)&amp;"",",",""),"¥",""),"￥","")),0))</f>
        <v/>
      </c>
      <c r="F1445">
        <f>IF($F$1=0,0,IFERROR(VALUE(SUBSTITUTE(SUBSTITUTE(SUBSTITUTE(INDEX(貼り付け!$A$1:$BZ$3001,1444,$F$1)&amp;"",",",""),"¥",""),"￥","")),0))</f>
        <v/>
      </c>
      <c r="G1445">
        <f>IF(ISNUMBER(B1445),YEAR(B1445),"")</f>
        <v/>
      </c>
      <c r="H1445">
        <f>IF(ISNUMBER(B1445),MONTH(B1445),"")</f>
        <v/>
      </c>
      <c r="I1445">
        <f>IFERROR(IF($B$1=0,"",IF(ISNUMBER(INDEX(貼り付け!$A$1:$BZ$3001,1444,$B$1)),"",SUBSTITUTE(SUBSTITUTE(SUBSTITUTE(SUBSTITUTE(TRIM(LEFT(INDEX(貼り付け!$A$1:$BZ$3001,1444,$B$1)&amp;"",FIND(" ",TRIM(INDEX(貼り付け!$A$1:$BZ$3001,1444,$B$1)&amp;"")&amp;" ")-1)),"/","-"),"年","-"),"月","-"),"日",""))),"")</f>
        <v/>
      </c>
      <c r="J1445">
        <f>IFERROR(MID(I1445,FIND("-",I1445)+1,99),"")</f>
        <v/>
      </c>
    </row>
    <row r="1446">
      <c r="B1446">
        <f>IFERROR(IF($B$1=0,"",IF(INDEX(貼り付け!$A$1:$BZ$3001,1445,$B$1)="","",IF(ISNUMBER(INDEX(貼り付け!$A$1:$BZ$3001,1445,$B$1)),INT(INDEX(貼り付け!$A$1:$BZ$3001,1445,$B$1)),DATE(VALUE(LEFT(I1446,FIND("-",I1446)-1)),VALUE(LEFT(J1446,FIND("-",J1446)-1)),VALUE(MID(J1446,FIND("-",J1446)+1,99)))))),"")</f>
        <v/>
      </c>
      <c r="C1446">
        <f>IF($C$1=0,0,IFERROR(VALUE(SUBSTITUTE(SUBSTITUTE(SUBSTITUTE(INDEX(貼り付け!$A$1:$BZ$3001,1445,$C$1)&amp;"",",",""),"¥",""),"￥","")),0))</f>
        <v/>
      </c>
      <c r="D1446">
        <f>IF($D$1=0,0,IFERROR(VALUE(SUBSTITUTE(SUBSTITUTE(SUBSTITUTE(INDEX(貼り付け!$A$1:$BZ$3001,1445,$D$1)&amp;"",",",""),"¥",""),"￥","")),0))</f>
        <v/>
      </c>
      <c r="E1446">
        <f>IF($E$1=0,0,IFERROR(VALUE(SUBSTITUTE(SUBSTITUTE(SUBSTITUTE(INDEX(貼り付け!$A$1:$BZ$3001,1445,$E$1)&amp;"",",",""),"¥",""),"￥","")),0))</f>
        <v/>
      </c>
      <c r="F1446">
        <f>IF($F$1=0,0,IFERROR(VALUE(SUBSTITUTE(SUBSTITUTE(SUBSTITUTE(INDEX(貼り付け!$A$1:$BZ$3001,1445,$F$1)&amp;"",",",""),"¥",""),"￥","")),0))</f>
        <v/>
      </c>
      <c r="G1446">
        <f>IF(ISNUMBER(B1446),YEAR(B1446),"")</f>
        <v/>
      </c>
      <c r="H1446">
        <f>IF(ISNUMBER(B1446),MONTH(B1446),"")</f>
        <v/>
      </c>
      <c r="I1446">
        <f>IFERROR(IF($B$1=0,"",IF(ISNUMBER(INDEX(貼り付け!$A$1:$BZ$3001,1445,$B$1)),"",SUBSTITUTE(SUBSTITUTE(SUBSTITUTE(SUBSTITUTE(TRIM(LEFT(INDEX(貼り付け!$A$1:$BZ$3001,1445,$B$1)&amp;"",FIND(" ",TRIM(INDEX(貼り付け!$A$1:$BZ$3001,1445,$B$1)&amp;"")&amp;" ")-1)),"/","-"),"年","-"),"月","-"),"日",""))),"")</f>
        <v/>
      </c>
      <c r="J1446">
        <f>IFERROR(MID(I1446,FIND("-",I1446)+1,99),"")</f>
        <v/>
      </c>
    </row>
    <row r="1447">
      <c r="B1447">
        <f>IFERROR(IF($B$1=0,"",IF(INDEX(貼り付け!$A$1:$BZ$3001,1446,$B$1)="","",IF(ISNUMBER(INDEX(貼り付け!$A$1:$BZ$3001,1446,$B$1)),INT(INDEX(貼り付け!$A$1:$BZ$3001,1446,$B$1)),DATE(VALUE(LEFT(I1447,FIND("-",I1447)-1)),VALUE(LEFT(J1447,FIND("-",J1447)-1)),VALUE(MID(J1447,FIND("-",J1447)+1,99)))))),"")</f>
        <v/>
      </c>
      <c r="C1447">
        <f>IF($C$1=0,0,IFERROR(VALUE(SUBSTITUTE(SUBSTITUTE(SUBSTITUTE(INDEX(貼り付け!$A$1:$BZ$3001,1446,$C$1)&amp;"",",",""),"¥",""),"￥","")),0))</f>
        <v/>
      </c>
      <c r="D1447">
        <f>IF($D$1=0,0,IFERROR(VALUE(SUBSTITUTE(SUBSTITUTE(SUBSTITUTE(INDEX(貼り付け!$A$1:$BZ$3001,1446,$D$1)&amp;"",",",""),"¥",""),"￥","")),0))</f>
        <v/>
      </c>
      <c r="E1447">
        <f>IF($E$1=0,0,IFERROR(VALUE(SUBSTITUTE(SUBSTITUTE(SUBSTITUTE(INDEX(貼り付け!$A$1:$BZ$3001,1446,$E$1)&amp;"",",",""),"¥",""),"￥","")),0))</f>
        <v/>
      </c>
      <c r="F1447">
        <f>IF($F$1=0,0,IFERROR(VALUE(SUBSTITUTE(SUBSTITUTE(SUBSTITUTE(INDEX(貼り付け!$A$1:$BZ$3001,1446,$F$1)&amp;"",",",""),"¥",""),"￥","")),0))</f>
        <v/>
      </c>
      <c r="G1447">
        <f>IF(ISNUMBER(B1447),YEAR(B1447),"")</f>
        <v/>
      </c>
      <c r="H1447">
        <f>IF(ISNUMBER(B1447),MONTH(B1447),"")</f>
        <v/>
      </c>
      <c r="I1447">
        <f>IFERROR(IF($B$1=0,"",IF(ISNUMBER(INDEX(貼り付け!$A$1:$BZ$3001,1446,$B$1)),"",SUBSTITUTE(SUBSTITUTE(SUBSTITUTE(SUBSTITUTE(TRIM(LEFT(INDEX(貼り付け!$A$1:$BZ$3001,1446,$B$1)&amp;"",FIND(" ",TRIM(INDEX(貼り付け!$A$1:$BZ$3001,1446,$B$1)&amp;"")&amp;" ")-1)),"/","-"),"年","-"),"月","-"),"日",""))),"")</f>
        <v/>
      </c>
      <c r="J1447">
        <f>IFERROR(MID(I1447,FIND("-",I1447)+1,99),"")</f>
        <v/>
      </c>
    </row>
    <row r="1448">
      <c r="B1448">
        <f>IFERROR(IF($B$1=0,"",IF(INDEX(貼り付け!$A$1:$BZ$3001,1447,$B$1)="","",IF(ISNUMBER(INDEX(貼り付け!$A$1:$BZ$3001,1447,$B$1)),INT(INDEX(貼り付け!$A$1:$BZ$3001,1447,$B$1)),DATE(VALUE(LEFT(I1448,FIND("-",I1448)-1)),VALUE(LEFT(J1448,FIND("-",J1448)-1)),VALUE(MID(J1448,FIND("-",J1448)+1,99)))))),"")</f>
        <v/>
      </c>
      <c r="C1448">
        <f>IF($C$1=0,0,IFERROR(VALUE(SUBSTITUTE(SUBSTITUTE(SUBSTITUTE(INDEX(貼り付け!$A$1:$BZ$3001,1447,$C$1)&amp;"",",",""),"¥",""),"￥","")),0))</f>
        <v/>
      </c>
      <c r="D1448">
        <f>IF($D$1=0,0,IFERROR(VALUE(SUBSTITUTE(SUBSTITUTE(SUBSTITUTE(INDEX(貼り付け!$A$1:$BZ$3001,1447,$D$1)&amp;"",",",""),"¥",""),"￥","")),0))</f>
        <v/>
      </c>
      <c r="E1448">
        <f>IF($E$1=0,0,IFERROR(VALUE(SUBSTITUTE(SUBSTITUTE(SUBSTITUTE(INDEX(貼り付け!$A$1:$BZ$3001,1447,$E$1)&amp;"",",",""),"¥",""),"￥","")),0))</f>
        <v/>
      </c>
      <c r="F1448">
        <f>IF($F$1=0,0,IFERROR(VALUE(SUBSTITUTE(SUBSTITUTE(SUBSTITUTE(INDEX(貼り付け!$A$1:$BZ$3001,1447,$F$1)&amp;"",",",""),"¥",""),"￥","")),0))</f>
        <v/>
      </c>
      <c r="G1448">
        <f>IF(ISNUMBER(B1448),YEAR(B1448),"")</f>
        <v/>
      </c>
      <c r="H1448">
        <f>IF(ISNUMBER(B1448),MONTH(B1448),"")</f>
        <v/>
      </c>
      <c r="I1448">
        <f>IFERROR(IF($B$1=0,"",IF(ISNUMBER(INDEX(貼り付け!$A$1:$BZ$3001,1447,$B$1)),"",SUBSTITUTE(SUBSTITUTE(SUBSTITUTE(SUBSTITUTE(TRIM(LEFT(INDEX(貼り付け!$A$1:$BZ$3001,1447,$B$1)&amp;"",FIND(" ",TRIM(INDEX(貼り付け!$A$1:$BZ$3001,1447,$B$1)&amp;"")&amp;" ")-1)),"/","-"),"年","-"),"月","-"),"日",""))),"")</f>
        <v/>
      </c>
      <c r="J1448">
        <f>IFERROR(MID(I1448,FIND("-",I1448)+1,99),"")</f>
        <v/>
      </c>
    </row>
    <row r="1449">
      <c r="B1449">
        <f>IFERROR(IF($B$1=0,"",IF(INDEX(貼り付け!$A$1:$BZ$3001,1448,$B$1)="","",IF(ISNUMBER(INDEX(貼り付け!$A$1:$BZ$3001,1448,$B$1)),INT(INDEX(貼り付け!$A$1:$BZ$3001,1448,$B$1)),DATE(VALUE(LEFT(I1449,FIND("-",I1449)-1)),VALUE(LEFT(J1449,FIND("-",J1449)-1)),VALUE(MID(J1449,FIND("-",J1449)+1,99)))))),"")</f>
        <v/>
      </c>
      <c r="C1449">
        <f>IF($C$1=0,0,IFERROR(VALUE(SUBSTITUTE(SUBSTITUTE(SUBSTITUTE(INDEX(貼り付け!$A$1:$BZ$3001,1448,$C$1)&amp;"",",",""),"¥",""),"￥","")),0))</f>
        <v/>
      </c>
      <c r="D1449">
        <f>IF($D$1=0,0,IFERROR(VALUE(SUBSTITUTE(SUBSTITUTE(SUBSTITUTE(INDEX(貼り付け!$A$1:$BZ$3001,1448,$D$1)&amp;"",",",""),"¥",""),"￥","")),0))</f>
        <v/>
      </c>
      <c r="E1449">
        <f>IF($E$1=0,0,IFERROR(VALUE(SUBSTITUTE(SUBSTITUTE(SUBSTITUTE(INDEX(貼り付け!$A$1:$BZ$3001,1448,$E$1)&amp;"",",",""),"¥",""),"￥","")),0))</f>
        <v/>
      </c>
      <c r="F1449">
        <f>IF($F$1=0,0,IFERROR(VALUE(SUBSTITUTE(SUBSTITUTE(SUBSTITUTE(INDEX(貼り付け!$A$1:$BZ$3001,1448,$F$1)&amp;"",",",""),"¥",""),"￥","")),0))</f>
        <v/>
      </c>
      <c r="G1449">
        <f>IF(ISNUMBER(B1449),YEAR(B1449),"")</f>
        <v/>
      </c>
      <c r="H1449">
        <f>IF(ISNUMBER(B1449),MONTH(B1449),"")</f>
        <v/>
      </c>
      <c r="I1449">
        <f>IFERROR(IF($B$1=0,"",IF(ISNUMBER(INDEX(貼り付け!$A$1:$BZ$3001,1448,$B$1)),"",SUBSTITUTE(SUBSTITUTE(SUBSTITUTE(SUBSTITUTE(TRIM(LEFT(INDEX(貼り付け!$A$1:$BZ$3001,1448,$B$1)&amp;"",FIND(" ",TRIM(INDEX(貼り付け!$A$1:$BZ$3001,1448,$B$1)&amp;"")&amp;" ")-1)),"/","-"),"年","-"),"月","-"),"日",""))),"")</f>
        <v/>
      </c>
      <c r="J1449">
        <f>IFERROR(MID(I1449,FIND("-",I1449)+1,99),"")</f>
        <v/>
      </c>
    </row>
    <row r="1450">
      <c r="B1450">
        <f>IFERROR(IF($B$1=0,"",IF(INDEX(貼り付け!$A$1:$BZ$3001,1449,$B$1)="","",IF(ISNUMBER(INDEX(貼り付け!$A$1:$BZ$3001,1449,$B$1)),INT(INDEX(貼り付け!$A$1:$BZ$3001,1449,$B$1)),DATE(VALUE(LEFT(I1450,FIND("-",I1450)-1)),VALUE(LEFT(J1450,FIND("-",J1450)-1)),VALUE(MID(J1450,FIND("-",J1450)+1,99)))))),"")</f>
        <v/>
      </c>
      <c r="C1450">
        <f>IF($C$1=0,0,IFERROR(VALUE(SUBSTITUTE(SUBSTITUTE(SUBSTITUTE(INDEX(貼り付け!$A$1:$BZ$3001,1449,$C$1)&amp;"",",",""),"¥",""),"￥","")),0))</f>
        <v/>
      </c>
      <c r="D1450">
        <f>IF($D$1=0,0,IFERROR(VALUE(SUBSTITUTE(SUBSTITUTE(SUBSTITUTE(INDEX(貼り付け!$A$1:$BZ$3001,1449,$D$1)&amp;"",",",""),"¥",""),"￥","")),0))</f>
        <v/>
      </c>
      <c r="E1450">
        <f>IF($E$1=0,0,IFERROR(VALUE(SUBSTITUTE(SUBSTITUTE(SUBSTITUTE(INDEX(貼り付け!$A$1:$BZ$3001,1449,$E$1)&amp;"",",",""),"¥",""),"￥","")),0))</f>
        <v/>
      </c>
      <c r="F1450">
        <f>IF($F$1=0,0,IFERROR(VALUE(SUBSTITUTE(SUBSTITUTE(SUBSTITUTE(INDEX(貼り付け!$A$1:$BZ$3001,1449,$F$1)&amp;"",",",""),"¥",""),"￥","")),0))</f>
        <v/>
      </c>
      <c r="G1450">
        <f>IF(ISNUMBER(B1450),YEAR(B1450),"")</f>
        <v/>
      </c>
      <c r="H1450">
        <f>IF(ISNUMBER(B1450),MONTH(B1450),"")</f>
        <v/>
      </c>
      <c r="I1450">
        <f>IFERROR(IF($B$1=0,"",IF(ISNUMBER(INDEX(貼り付け!$A$1:$BZ$3001,1449,$B$1)),"",SUBSTITUTE(SUBSTITUTE(SUBSTITUTE(SUBSTITUTE(TRIM(LEFT(INDEX(貼り付け!$A$1:$BZ$3001,1449,$B$1)&amp;"",FIND(" ",TRIM(INDEX(貼り付け!$A$1:$BZ$3001,1449,$B$1)&amp;"")&amp;" ")-1)),"/","-"),"年","-"),"月","-"),"日",""))),"")</f>
        <v/>
      </c>
      <c r="J1450">
        <f>IFERROR(MID(I1450,FIND("-",I1450)+1,99),"")</f>
        <v/>
      </c>
    </row>
    <row r="1451">
      <c r="B1451">
        <f>IFERROR(IF($B$1=0,"",IF(INDEX(貼り付け!$A$1:$BZ$3001,1450,$B$1)="","",IF(ISNUMBER(INDEX(貼り付け!$A$1:$BZ$3001,1450,$B$1)),INT(INDEX(貼り付け!$A$1:$BZ$3001,1450,$B$1)),DATE(VALUE(LEFT(I1451,FIND("-",I1451)-1)),VALUE(LEFT(J1451,FIND("-",J1451)-1)),VALUE(MID(J1451,FIND("-",J1451)+1,99)))))),"")</f>
        <v/>
      </c>
      <c r="C1451">
        <f>IF($C$1=0,0,IFERROR(VALUE(SUBSTITUTE(SUBSTITUTE(SUBSTITUTE(INDEX(貼り付け!$A$1:$BZ$3001,1450,$C$1)&amp;"",",",""),"¥",""),"￥","")),0))</f>
        <v/>
      </c>
      <c r="D1451">
        <f>IF($D$1=0,0,IFERROR(VALUE(SUBSTITUTE(SUBSTITUTE(SUBSTITUTE(INDEX(貼り付け!$A$1:$BZ$3001,1450,$D$1)&amp;"",",",""),"¥",""),"￥","")),0))</f>
        <v/>
      </c>
      <c r="E1451">
        <f>IF($E$1=0,0,IFERROR(VALUE(SUBSTITUTE(SUBSTITUTE(SUBSTITUTE(INDEX(貼り付け!$A$1:$BZ$3001,1450,$E$1)&amp;"",",",""),"¥",""),"￥","")),0))</f>
        <v/>
      </c>
      <c r="F1451">
        <f>IF($F$1=0,0,IFERROR(VALUE(SUBSTITUTE(SUBSTITUTE(SUBSTITUTE(INDEX(貼り付け!$A$1:$BZ$3001,1450,$F$1)&amp;"",",",""),"¥",""),"￥","")),0))</f>
        <v/>
      </c>
      <c r="G1451">
        <f>IF(ISNUMBER(B1451),YEAR(B1451),"")</f>
        <v/>
      </c>
      <c r="H1451">
        <f>IF(ISNUMBER(B1451),MONTH(B1451),"")</f>
        <v/>
      </c>
      <c r="I1451">
        <f>IFERROR(IF($B$1=0,"",IF(ISNUMBER(INDEX(貼り付け!$A$1:$BZ$3001,1450,$B$1)),"",SUBSTITUTE(SUBSTITUTE(SUBSTITUTE(SUBSTITUTE(TRIM(LEFT(INDEX(貼り付け!$A$1:$BZ$3001,1450,$B$1)&amp;"",FIND(" ",TRIM(INDEX(貼り付け!$A$1:$BZ$3001,1450,$B$1)&amp;"")&amp;" ")-1)),"/","-"),"年","-"),"月","-"),"日",""))),"")</f>
        <v/>
      </c>
      <c r="J1451">
        <f>IFERROR(MID(I1451,FIND("-",I1451)+1,99),"")</f>
        <v/>
      </c>
    </row>
    <row r="1452">
      <c r="B1452">
        <f>IFERROR(IF($B$1=0,"",IF(INDEX(貼り付け!$A$1:$BZ$3001,1451,$B$1)="","",IF(ISNUMBER(INDEX(貼り付け!$A$1:$BZ$3001,1451,$B$1)),INT(INDEX(貼り付け!$A$1:$BZ$3001,1451,$B$1)),DATE(VALUE(LEFT(I1452,FIND("-",I1452)-1)),VALUE(LEFT(J1452,FIND("-",J1452)-1)),VALUE(MID(J1452,FIND("-",J1452)+1,99)))))),"")</f>
        <v/>
      </c>
      <c r="C1452">
        <f>IF($C$1=0,0,IFERROR(VALUE(SUBSTITUTE(SUBSTITUTE(SUBSTITUTE(INDEX(貼り付け!$A$1:$BZ$3001,1451,$C$1)&amp;"",",",""),"¥",""),"￥","")),0))</f>
        <v/>
      </c>
      <c r="D1452">
        <f>IF($D$1=0,0,IFERROR(VALUE(SUBSTITUTE(SUBSTITUTE(SUBSTITUTE(INDEX(貼り付け!$A$1:$BZ$3001,1451,$D$1)&amp;"",",",""),"¥",""),"￥","")),0))</f>
        <v/>
      </c>
      <c r="E1452">
        <f>IF($E$1=0,0,IFERROR(VALUE(SUBSTITUTE(SUBSTITUTE(SUBSTITUTE(INDEX(貼り付け!$A$1:$BZ$3001,1451,$E$1)&amp;"",",",""),"¥",""),"￥","")),0))</f>
        <v/>
      </c>
      <c r="F1452">
        <f>IF($F$1=0,0,IFERROR(VALUE(SUBSTITUTE(SUBSTITUTE(SUBSTITUTE(INDEX(貼り付け!$A$1:$BZ$3001,1451,$F$1)&amp;"",",",""),"¥",""),"￥","")),0))</f>
        <v/>
      </c>
      <c r="G1452">
        <f>IF(ISNUMBER(B1452),YEAR(B1452),"")</f>
        <v/>
      </c>
      <c r="H1452">
        <f>IF(ISNUMBER(B1452),MONTH(B1452),"")</f>
        <v/>
      </c>
      <c r="I1452">
        <f>IFERROR(IF($B$1=0,"",IF(ISNUMBER(INDEX(貼り付け!$A$1:$BZ$3001,1451,$B$1)),"",SUBSTITUTE(SUBSTITUTE(SUBSTITUTE(SUBSTITUTE(TRIM(LEFT(INDEX(貼り付け!$A$1:$BZ$3001,1451,$B$1)&amp;"",FIND(" ",TRIM(INDEX(貼り付け!$A$1:$BZ$3001,1451,$B$1)&amp;"")&amp;" ")-1)),"/","-"),"年","-"),"月","-"),"日",""))),"")</f>
        <v/>
      </c>
      <c r="J1452">
        <f>IFERROR(MID(I1452,FIND("-",I1452)+1,99),"")</f>
        <v/>
      </c>
    </row>
    <row r="1453">
      <c r="B1453">
        <f>IFERROR(IF($B$1=0,"",IF(INDEX(貼り付け!$A$1:$BZ$3001,1452,$B$1)="","",IF(ISNUMBER(INDEX(貼り付け!$A$1:$BZ$3001,1452,$B$1)),INT(INDEX(貼り付け!$A$1:$BZ$3001,1452,$B$1)),DATE(VALUE(LEFT(I1453,FIND("-",I1453)-1)),VALUE(LEFT(J1453,FIND("-",J1453)-1)),VALUE(MID(J1453,FIND("-",J1453)+1,99)))))),"")</f>
        <v/>
      </c>
      <c r="C1453">
        <f>IF($C$1=0,0,IFERROR(VALUE(SUBSTITUTE(SUBSTITUTE(SUBSTITUTE(INDEX(貼り付け!$A$1:$BZ$3001,1452,$C$1)&amp;"",",",""),"¥",""),"￥","")),0))</f>
        <v/>
      </c>
      <c r="D1453">
        <f>IF($D$1=0,0,IFERROR(VALUE(SUBSTITUTE(SUBSTITUTE(SUBSTITUTE(INDEX(貼り付け!$A$1:$BZ$3001,1452,$D$1)&amp;"",",",""),"¥",""),"￥","")),0))</f>
        <v/>
      </c>
      <c r="E1453">
        <f>IF($E$1=0,0,IFERROR(VALUE(SUBSTITUTE(SUBSTITUTE(SUBSTITUTE(INDEX(貼り付け!$A$1:$BZ$3001,1452,$E$1)&amp;"",",",""),"¥",""),"￥","")),0))</f>
        <v/>
      </c>
      <c r="F1453">
        <f>IF($F$1=0,0,IFERROR(VALUE(SUBSTITUTE(SUBSTITUTE(SUBSTITUTE(INDEX(貼り付け!$A$1:$BZ$3001,1452,$F$1)&amp;"",",",""),"¥",""),"￥","")),0))</f>
        <v/>
      </c>
      <c r="G1453">
        <f>IF(ISNUMBER(B1453),YEAR(B1453),"")</f>
        <v/>
      </c>
      <c r="H1453">
        <f>IF(ISNUMBER(B1453),MONTH(B1453),"")</f>
        <v/>
      </c>
      <c r="I1453">
        <f>IFERROR(IF($B$1=0,"",IF(ISNUMBER(INDEX(貼り付け!$A$1:$BZ$3001,1452,$B$1)),"",SUBSTITUTE(SUBSTITUTE(SUBSTITUTE(SUBSTITUTE(TRIM(LEFT(INDEX(貼り付け!$A$1:$BZ$3001,1452,$B$1)&amp;"",FIND(" ",TRIM(INDEX(貼り付け!$A$1:$BZ$3001,1452,$B$1)&amp;"")&amp;" ")-1)),"/","-"),"年","-"),"月","-"),"日",""))),"")</f>
        <v/>
      </c>
      <c r="J1453">
        <f>IFERROR(MID(I1453,FIND("-",I1453)+1,99),"")</f>
        <v/>
      </c>
    </row>
    <row r="1454">
      <c r="B1454">
        <f>IFERROR(IF($B$1=0,"",IF(INDEX(貼り付け!$A$1:$BZ$3001,1453,$B$1)="","",IF(ISNUMBER(INDEX(貼り付け!$A$1:$BZ$3001,1453,$B$1)),INT(INDEX(貼り付け!$A$1:$BZ$3001,1453,$B$1)),DATE(VALUE(LEFT(I1454,FIND("-",I1454)-1)),VALUE(LEFT(J1454,FIND("-",J1454)-1)),VALUE(MID(J1454,FIND("-",J1454)+1,99)))))),"")</f>
        <v/>
      </c>
      <c r="C1454">
        <f>IF($C$1=0,0,IFERROR(VALUE(SUBSTITUTE(SUBSTITUTE(SUBSTITUTE(INDEX(貼り付け!$A$1:$BZ$3001,1453,$C$1)&amp;"",",",""),"¥",""),"￥","")),0))</f>
        <v/>
      </c>
      <c r="D1454">
        <f>IF($D$1=0,0,IFERROR(VALUE(SUBSTITUTE(SUBSTITUTE(SUBSTITUTE(INDEX(貼り付け!$A$1:$BZ$3001,1453,$D$1)&amp;"",",",""),"¥",""),"￥","")),0))</f>
        <v/>
      </c>
      <c r="E1454">
        <f>IF($E$1=0,0,IFERROR(VALUE(SUBSTITUTE(SUBSTITUTE(SUBSTITUTE(INDEX(貼り付け!$A$1:$BZ$3001,1453,$E$1)&amp;"",",",""),"¥",""),"￥","")),0))</f>
        <v/>
      </c>
      <c r="F1454">
        <f>IF($F$1=0,0,IFERROR(VALUE(SUBSTITUTE(SUBSTITUTE(SUBSTITUTE(INDEX(貼り付け!$A$1:$BZ$3001,1453,$F$1)&amp;"",",",""),"¥",""),"￥","")),0))</f>
        <v/>
      </c>
      <c r="G1454">
        <f>IF(ISNUMBER(B1454),YEAR(B1454),"")</f>
        <v/>
      </c>
      <c r="H1454">
        <f>IF(ISNUMBER(B1454),MONTH(B1454),"")</f>
        <v/>
      </c>
      <c r="I1454">
        <f>IFERROR(IF($B$1=0,"",IF(ISNUMBER(INDEX(貼り付け!$A$1:$BZ$3001,1453,$B$1)),"",SUBSTITUTE(SUBSTITUTE(SUBSTITUTE(SUBSTITUTE(TRIM(LEFT(INDEX(貼り付け!$A$1:$BZ$3001,1453,$B$1)&amp;"",FIND(" ",TRIM(INDEX(貼り付け!$A$1:$BZ$3001,1453,$B$1)&amp;"")&amp;" ")-1)),"/","-"),"年","-"),"月","-"),"日",""))),"")</f>
        <v/>
      </c>
      <c r="J1454">
        <f>IFERROR(MID(I1454,FIND("-",I1454)+1,99),"")</f>
        <v/>
      </c>
    </row>
    <row r="1455">
      <c r="B1455">
        <f>IFERROR(IF($B$1=0,"",IF(INDEX(貼り付け!$A$1:$BZ$3001,1454,$B$1)="","",IF(ISNUMBER(INDEX(貼り付け!$A$1:$BZ$3001,1454,$B$1)),INT(INDEX(貼り付け!$A$1:$BZ$3001,1454,$B$1)),DATE(VALUE(LEFT(I1455,FIND("-",I1455)-1)),VALUE(LEFT(J1455,FIND("-",J1455)-1)),VALUE(MID(J1455,FIND("-",J1455)+1,99)))))),"")</f>
        <v/>
      </c>
      <c r="C1455">
        <f>IF($C$1=0,0,IFERROR(VALUE(SUBSTITUTE(SUBSTITUTE(SUBSTITUTE(INDEX(貼り付け!$A$1:$BZ$3001,1454,$C$1)&amp;"",",",""),"¥",""),"￥","")),0))</f>
        <v/>
      </c>
      <c r="D1455">
        <f>IF($D$1=0,0,IFERROR(VALUE(SUBSTITUTE(SUBSTITUTE(SUBSTITUTE(INDEX(貼り付け!$A$1:$BZ$3001,1454,$D$1)&amp;"",",",""),"¥",""),"￥","")),0))</f>
        <v/>
      </c>
      <c r="E1455">
        <f>IF($E$1=0,0,IFERROR(VALUE(SUBSTITUTE(SUBSTITUTE(SUBSTITUTE(INDEX(貼り付け!$A$1:$BZ$3001,1454,$E$1)&amp;"",",",""),"¥",""),"￥","")),0))</f>
        <v/>
      </c>
      <c r="F1455">
        <f>IF($F$1=0,0,IFERROR(VALUE(SUBSTITUTE(SUBSTITUTE(SUBSTITUTE(INDEX(貼り付け!$A$1:$BZ$3001,1454,$F$1)&amp;"",",",""),"¥",""),"￥","")),0))</f>
        <v/>
      </c>
      <c r="G1455">
        <f>IF(ISNUMBER(B1455),YEAR(B1455),"")</f>
        <v/>
      </c>
      <c r="H1455">
        <f>IF(ISNUMBER(B1455),MONTH(B1455),"")</f>
        <v/>
      </c>
      <c r="I1455">
        <f>IFERROR(IF($B$1=0,"",IF(ISNUMBER(INDEX(貼り付け!$A$1:$BZ$3001,1454,$B$1)),"",SUBSTITUTE(SUBSTITUTE(SUBSTITUTE(SUBSTITUTE(TRIM(LEFT(INDEX(貼り付け!$A$1:$BZ$3001,1454,$B$1)&amp;"",FIND(" ",TRIM(INDEX(貼り付け!$A$1:$BZ$3001,1454,$B$1)&amp;"")&amp;" ")-1)),"/","-"),"年","-"),"月","-"),"日",""))),"")</f>
        <v/>
      </c>
      <c r="J1455">
        <f>IFERROR(MID(I1455,FIND("-",I1455)+1,99),"")</f>
        <v/>
      </c>
    </row>
    <row r="1456">
      <c r="B1456">
        <f>IFERROR(IF($B$1=0,"",IF(INDEX(貼り付け!$A$1:$BZ$3001,1455,$B$1)="","",IF(ISNUMBER(INDEX(貼り付け!$A$1:$BZ$3001,1455,$B$1)),INT(INDEX(貼り付け!$A$1:$BZ$3001,1455,$B$1)),DATE(VALUE(LEFT(I1456,FIND("-",I1456)-1)),VALUE(LEFT(J1456,FIND("-",J1456)-1)),VALUE(MID(J1456,FIND("-",J1456)+1,99)))))),"")</f>
        <v/>
      </c>
      <c r="C1456">
        <f>IF($C$1=0,0,IFERROR(VALUE(SUBSTITUTE(SUBSTITUTE(SUBSTITUTE(INDEX(貼り付け!$A$1:$BZ$3001,1455,$C$1)&amp;"",",",""),"¥",""),"￥","")),0))</f>
        <v/>
      </c>
      <c r="D1456">
        <f>IF($D$1=0,0,IFERROR(VALUE(SUBSTITUTE(SUBSTITUTE(SUBSTITUTE(INDEX(貼り付け!$A$1:$BZ$3001,1455,$D$1)&amp;"",",",""),"¥",""),"￥","")),0))</f>
        <v/>
      </c>
      <c r="E1456">
        <f>IF($E$1=0,0,IFERROR(VALUE(SUBSTITUTE(SUBSTITUTE(SUBSTITUTE(INDEX(貼り付け!$A$1:$BZ$3001,1455,$E$1)&amp;"",",",""),"¥",""),"￥","")),0))</f>
        <v/>
      </c>
      <c r="F1456">
        <f>IF($F$1=0,0,IFERROR(VALUE(SUBSTITUTE(SUBSTITUTE(SUBSTITUTE(INDEX(貼り付け!$A$1:$BZ$3001,1455,$F$1)&amp;"",",",""),"¥",""),"￥","")),0))</f>
        <v/>
      </c>
      <c r="G1456">
        <f>IF(ISNUMBER(B1456),YEAR(B1456),"")</f>
        <v/>
      </c>
      <c r="H1456">
        <f>IF(ISNUMBER(B1456),MONTH(B1456),"")</f>
        <v/>
      </c>
      <c r="I1456">
        <f>IFERROR(IF($B$1=0,"",IF(ISNUMBER(INDEX(貼り付け!$A$1:$BZ$3001,1455,$B$1)),"",SUBSTITUTE(SUBSTITUTE(SUBSTITUTE(SUBSTITUTE(TRIM(LEFT(INDEX(貼り付け!$A$1:$BZ$3001,1455,$B$1)&amp;"",FIND(" ",TRIM(INDEX(貼り付け!$A$1:$BZ$3001,1455,$B$1)&amp;"")&amp;" ")-1)),"/","-"),"年","-"),"月","-"),"日",""))),"")</f>
        <v/>
      </c>
      <c r="J1456">
        <f>IFERROR(MID(I1456,FIND("-",I1456)+1,99),"")</f>
        <v/>
      </c>
    </row>
    <row r="1457">
      <c r="B1457">
        <f>IFERROR(IF($B$1=0,"",IF(INDEX(貼り付け!$A$1:$BZ$3001,1456,$B$1)="","",IF(ISNUMBER(INDEX(貼り付け!$A$1:$BZ$3001,1456,$B$1)),INT(INDEX(貼り付け!$A$1:$BZ$3001,1456,$B$1)),DATE(VALUE(LEFT(I1457,FIND("-",I1457)-1)),VALUE(LEFT(J1457,FIND("-",J1457)-1)),VALUE(MID(J1457,FIND("-",J1457)+1,99)))))),"")</f>
        <v/>
      </c>
      <c r="C1457">
        <f>IF($C$1=0,0,IFERROR(VALUE(SUBSTITUTE(SUBSTITUTE(SUBSTITUTE(INDEX(貼り付け!$A$1:$BZ$3001,1456,$C$1)&amp;"",",",""),"¥",""),"￥","")),0))</f>
        <v/>
      </c>
      <c r="D1457">
        <f>IF($D$1=0,0,IFERROR(VALUE(SUBSTITUTE(SUBSTITUTE(SUBSTITUTE(INDEX(貼り付け!$A$1:$BZ$3001,1456,$D$1)&amp;"",",",""),"¥",""),"￥","")),0))</f>
        <v/>
      </c>
      <c r="E1457">
        <f>IF($E$1=0,0,IFERROR(VALUE(SUBSTITUTE(SUBSTITUTE(SUBSTITUTE(INDEX(貼り付け!$A$1:$BZ$3001,1456,$E$1)&amp;"",",",""),"¥",""),"￥","")),0))</f>
        <v/>
      </c>
      <c r="F1457">
        <f>IF($F$1=0,0,IFERROR(VALUE(SUBSTITUTE(SUBSTITUTE(SUBSTITUTE(INDEX(貼り付け!$A$1:$BZ$3001,1456,$F$1)&amp;"",",",""),"¥",""),"￥","")),0))</f>
        <v/>
      </c>
      <c r="G1457">
        <f>IF(ISNUMBER(B1457),YEAR(B1457),"")</f>
        <v/>
      </c>
      <c r="H1457">
        <f>IF(ISNUMBER(B1457),MONTH(B1457),"")</f>
        <v/>
      </c>
      <c r="I1457">
        <f>IFERROR(IF($B$1=0,"",IF(ISNUMBER(INDEX(貼り付け!$A$1:$BZ$3001,1456,$B$1)),"",SUBSTITUTE(SUBSTITUTE(SUBSTITUTE(SUBSTITUTE(TRIM(LEFT(INDEX(貼り付け!$A$1:$BZ$3001,1456,$B$1)&amp;"",FIND(" ",TRIM(INDEX(貼り付け!$A$1:$BZ$3001,1456,$B$1)&amp;"")&amp;" ")-1)),"/","-"),"年","-"),"月","-"),"日",""))),"")</f>
        <v/>
      </c>
      <c r="J1457">
        <f>IFERROR(MID(I1457,FIND("-",I1457)+1,99),"")</f>
        <v/>
      </c>
    </row>
    <row r="1458">
      <c r="B1458">
        <f>IFERROR(IF($B$1=0,"",IF(INDEX(貼り付け!$A$1:$BZ$3001,1457,$B$1)="","",IF(ISNUMBER(INDEX(貼り付け!$A$1:$BZ$3001,1457,$B$1)),INT(INDEX(貼り付け!$A$1:$BZ$3001,1457,$B$1)),DATE(VALUE(LEFT(I1458,FIND("-",I1458)-1)),VALUE(LEFT(J1458,FIND("-",J1458)-1)),VALUE(MID(J1458,FIND("-",J1458)+1,99)))))),"")</f>
        <v/>
      </c>
      <c r="C1458">
        <f>IF($C$1=0,0,IFERROR(VALUE(SUBSTITUTE(SUBSTITUTE(SUBSTITUTE(INDEX(貼り付け!$A$1:$BZ$3001,1457,$C$1)&amp;"",",",""),"¥",""),"￥","")),0))</f>
        <v/>
      </c>
      <c r="D1458">
        <f>IF($D$1=0,0,IFERROR(VALUE(SUBSTITUTE(SUBSTITUTE(SUBSTITUTE(INDEX(貼り付け!$A$1:$BZ$3001,1457,$D$1)&amp;"",",",""),"¥",""),"￥","")),0))</f>
        <v/>
      </c>
      <c r="E1458">
        <f>IF($E$1=0,0,IFERROR(VALUE(SUBSTITUTE(SUBSTITUTE(SUBSTITUTE(INDEX(貼り付け!$A$1:$BZ$3001,1457,$E$1)&amp;"",",",""),"¥",""),"￥","")),0))</f>
        <v/>
      </c>
      <c r="F1458">
        <f>IF($F$1=0,0,IFERROR(VALUE(SUBSTITUTE(SUBSTITUTE(SUBSTITUTE(INDEX(貼り付け!$A$1:$BZ$3001,1457,$F$1)&amp;"",",",""),"¥",""),"￥","")),0))</f>
        <v/>
      </c>
      <c r="G1458">
        <f>IF(ISNUMBER(B1458),YEAR(B1458),"")</f>
        <v/>
      </c>
      <c r="H1458">
        <f>IF(ISNUMBER(B1458),MONTH(B1458),"")</f>
        <v/>
      </c>
      <c r="I1458">
        <f>IFERROR(IF($B$1=0,"",IF(ISNUMBER(INDEX(貼り付け!$A$1:$BZ$3001,1457,$B$1)),"",SUBSTITUTE(SUBSTITUTE(SUBSTITUTE(SUBSTITUTE(TRIM(LEFT(INDEX(貼り付け!$A$1:$BZ$3001,1457,$B$1)&amp;"",FIND(" ",TRIM(INDEX(貼り付け!$A$1:$BZ$3001,1457,$B$1)&amp;"")&amp;" ")-1)),"/","-"),"年","-"),"月","-"),"日",""))),"")</f>
        <v/>
      </c>
      <c r="J1458">
        <f>IFERROR(MID(I1458,FIND("-",I1458)+1,99),"")</f>
        <v/>
      </c>
    </row>
    <row r="1459">
      <c r="B1459">
        <f>IFERROR(IF($B$1=0,"",IF(INDEX(貼り付け!$A$1:$BZ$3001,1458,$B$1)="","",IF(ISNUMBER(INDEX(貼り付け!$A$1:$BZ$3001,1458,$B$1)),INT(INDEX(貼り付け!$A$1:$BZ$3001,1458,$B$1)),DATE(VALUE(LEFT(I1459,FIND("-",I1459)-1)),VALUE(LEFT(J1459,FIND("-",J1459)-1)),VALUE(MID(J1459,FIND("-",J1459)+1,99)))))),"")</f>
        <v/>
      </c>
      <c r="C1459">
        <f>IF($C$1=0,0,IFERROR(VALUE(SUBSTITUTE(SUBSTITUTE(SUBSTITUTE(INDEX(貼り付け!$A$1:$BZ$3001,1458,$C$1)&amp;"",",",""),"¥",""),"￥","")),0))</f>
        <v/>
      </c>
      <c r="D1459">
        <f>IF($D$1=0,0,IFERROR(VALUE(SUBSTITUTE(SUBSTITUTE(SUBSTITUTE(INDEX(貼り付け!$A$1:$BZ$3001,1458,$D$1)&amp;"",",",""),"¥",""),"￥","")),0))</f>
        <v/>
      </c>
      <c r="E1459">
        <f>IF($E$1=0,0,IFERROR(VALUE(SUBSTITUTE(SUBSTITUTE(SUBSTITUTE(INDEX(貼り付け!$A$1:$BZ$3001,1458,$E$1)&amp;"",",",""),"¥",""),"￥","")),0))</f>
        <v/>
      </c>
      <c r="F1459">
        <f>IF($F$1=0,0,IFERROR(VALUE(SUBSTITUTE(SUBSTITUTE(SUBSTITUTE(INDEX(貼り付け!$A$1:$BZ$3001,1458,$F$1)&amp;"",",",""),"¥",""),"￥","")),0))</f>
        <v/>
      </c>
      <c r="G1459">
        <f>IF(ISNUMBER(B1459),YEAR(B1459),"")</f>
        <v/>
      </c>
      <c r="H1459">
        <f>IF(ISNUMBER(B1459),MONTH(B1459),"")</f>
        <v/>
      </c>
      <c r="I1459">
        <f>IFERROR(IF($B$1=0,"",IF(ISNUMBER(INDEX(貼り付け!$A$1:$BZ$3001,1458,$B$1)),"",SUBSTITUTE(SUBSTITUTE(SUBSTITUTE(SUBSTITUTE(TRIM(LEFT(INDEX(貼り付け!$A$1:$BZ$3001,1458,$B$1)&amp;"",FIND(" ",TRIM(INDEX(貼り付け!$A$1:$BZ$3001,1458,$B$1)&amp;"")&amp;" ")-1)),"/","-"),"年","-"),"月","-"),"日",""))),"")</f>
        <v/>
      </c>
      <c r="J1459">
        <f>IFERROR(MID(I1459,FIND("-",I1459)+1,99),"")</f>
        <v/>
      </c>
    </row>
    <row r="1460">
      <c r="B1460">
        <f>IFERROR(IF($B$1=0,"",IF(INDEX(貼り付け!$A$1:$BZ$3001,1459,$B$1)="","",IF(ISNUMBER(INDEX(貼り付け!$A$1:$BZ$3001,1459,$B$1)),INT(INDEX(貼り付け!$A$1:$BZ$3001,1459,$B$1)),DATE(VALUE(LEFT(I1460,FIND("-",I1460)-1)),VALUE(LEFT(J1460,FIND("-",J1460)-1)),VALUE(MID(J1460,FIND("-",J1460)+1,99)))))),"")</f>
        <v/>
      </c>
      <c r="C1460">
        <f>IF($C$1=0,0,IFERROR(VALUE(SUBSTITUTE(SUBSTITUTE(SUBSTITUTE(INDEX(貼り付け!$A$1:$BZ$3001,1459,$C$1)&amp;"",",",""),"¥",""),"￥","")),0))</f>
        <v/>
      </c>
      <c r="D1460">
        <f>IF($D$1=0,0,IFERROR(VALUE(SUBSTITUTE(SUBSTITUTE(SUBSTITUTE(INDEX(貼り付け!$A$1:$BZ$3001,1459,$D$1)&amp;"",",",""),"¥",""),"￥","")),0))</f>
        <v/>
      </c>
      <c r="E1460">
        <f>IF($E$1=0,0,IFERROR(VALUE(SUBSTITUTE(SUBSTITUTE(SUBSTITUTE(INDEX(貼り付け!$A$1:$BZ$3001,1459,$E$1)&amp;"",",",""),"¥",""),"￥","")),0))</f>
        <v/>
      </c>
      <c r="F1460">
        <f>IF($F$1=0,0,IFERROR(VALUE(SUBSTITUTE(SUBSTITUTE(SUBSTITUTE(INDEX(貼り付け!$A$1:$BZ$3001,1459,$F$1)&amp;"",",",""),"¥",""),"￥","")),0))</f>
        <v/>
      </c>
      <c r="G1460">
        <f>IF(ISNUMBER(B1460),YEAR(B1460),"")</f>
        <v/>
      </c>
      <c r="H1460">
        <f>IF(ISNUMBER(B1460),MONTH(B1460),"")</f>
        <v/>
      </c>
      <c r="I1460">
        <f>IFERROR(IF($B$1=0,"",IF(ISNUMBER(INDEX(貼り付け!$A$1:$BZ$3001,1459,$B$1)),"",SUBSTITUTE(SUBSTITUTE(SUBSTITUTE(SUBSTITUTE(TRIM(LEFT(INDEX(貼り付け!$A$1:$BZ$3001,1459,$B$1)&amp;"",FIND(" ",TRIM(INDEX(貼り付け!$A$1:$BZ$3001,1459,$B$1)&amp;"")&amp;" ")-1)),"/","-"),"年","-"),"月","-"),"日",""))),"")</f>
        <v/>
      </c>
      <c r="J1460">
        <f>IFERROR(MID(I1460,FIND("-",I1460)+1,99),"")</f>
        <v/>
      </c>
    </row>
    <row r="1461">
      <c r="B1461">
        <f>IFERROR(IF($B$1=0,"",IF(INDEX(貼り付け!$A$1:$BZ$3001,1460,$B$1)="","",IF(ISNUMBER(INDEX(貼り付け!$A$1:$BZ$3001,1460,$B$1)),INT(INDEX(貼り付け!$A$1:$BZ$3001,1460,$B$1)),DATE(VALUE(LEFT(I1461,FIND("-",I1461)-1)),VALUE(LEFT(J1461,FIND("-",J1461)-1)),VALUE(MID(J1461,FIND("-",J1461)+1,99)))))),"")</f>
        <v/>
      </c>
      <c r="C1461">
        <f>IF($C$1=0,0,IFERROR(VALUE(SUBSTITUTE(SUBSTITUTE(SUBSTITUTE(INDEX(貼り付け!$A$1:$BZ$3001,1460,$C$1)&amp;"",",",""),"¥",""),"￥","")),0))</f>
        <v/>
      </c>
      <c r="D1461">
        <f>IF($D$1=0,0,IFERROR(VALUE(SUBSTITUTE(SUBSTITUTE(SUBSTITUTE(INDEX(貼り付け!$A$1:$BZ$3001,1460,$D$1)&amp;"",",",""),"¥",""),"￥","")),0))</f>
        <v/>
      </c>
      <c r="E1461">
        <f>IF($E$1=0,0,IFERROR(VALUE(SUBSTITUTE(SUBSTITUTE(SUBSTITUTE(INDEX(貼り付け!$A$1:$BZ$3001,1460,$E$1)&amp;"",",",""),"¥",""),"￥","")),0))</f>
        <v/>
      </c>
      <c r="F1461">
        <f>IF($F$1=0,0,IFERROR(VALUE(SUBSTITUTE(SUBSTITUTE(SUBSTITUTE(INDEX(貼り付け!$A$1:$BZ$3001,1460,$F$1)&amp;"",",",""),"¥",""),"￥","")),0))</f>
        <v/>
      </c>
      <c r="G1461">
        <f>IF(ISNUMBER(B1461),YEAR(B1461),"")</f>
        <v/>
      </c>
      <c r="H1461">
        <f>IF(ISNUMBER(B1461),MONTH(B1461),"")</f>
        <v/>
      </c>
      <c r="I1461">
        <f>IFERROR(IF($B$1=0,"",IF(ISNUMBER(INDEX(貼り付け!$A$1:$BZ$3001,1460,$B$1)),"",SUBSTITUTE(SUBSTITUTE(SUBSTITUTE(SUBSTITUTE(TRIM(LEFT(INDEX(貼り付け!$A$1:$BZ$3001,1460,$B$1)&amp;"",FIND(" ",TRIM(INDEX(貼り付け!$A$1:$BZ$3001,1460,$B$1)&amp;"")&amp;" ")-1)),"/","-"),"年","-"),"月","-"),"日",""))),"")</f>
        <v/>
      </c>
      <c r="J1461">
        <f>IFERROR(MID(I1461,FIND("-",I1461)+1,99),"")</f>
        <v/>
      </c>
    </row>
    <row r="1462">
      <c r="B1462">
        <f>IFERROR(IF($B$1=0,"",IF(INDEX(貼り付け!$A$1:$BZ$3001,1461,$B$1)="","",IF(ISNUMBER(INDEX(貼り付け!$A$1:$BZ$3001,1461,$B$1)),INT(INDEX(貼り付け!$A$1:$BZ$3001,1461,$B$1)),DATE(VALUE(LEFT(I1462,FIND("-",I1462)-1)),VALUE(LEFT(J1462,FIND("-",J1462)-1)),VALUE(MID(J1462,FIND("-",J1462)+1,99)))))),"")</f>
        <v/>
      </c>
      <c r="C1462">
        <f>IF($C$1=0,0,IFERROR(VALUE(SUBSTITUTE(SUBSTITUTE(SUBSTITUTE(INDEX(貼り付け!$A$1:$BZ$3001,1461,$C$1)&amp;"",",",""),"¥",""),"￥","")),0))</f>
        <v/>
      </c>
      <c r="D1462">
        <f>IF($D$1=0,0,IFERROR(VALUE(SUBSTITUTE(SUBSTITUTE(SUBSTITUTE(INDEX(貼り付け!$A$1:$BZ$3001,1461,$D$1)&amp;"",",",""),"¥",""),"￥","")),0))</f>
        <v/>
      </c>
      <c r="E1462">
        <f>IF($E$1=0,0,IFERROR(VALUE(SUBSTITUTE(SUBSTITUTE(SUBSTITUTE(INDEX(貼り付け!$A$1:$BZ$3001,1461,$E$1)&amp;"",",",""),"¥",""),"￥","")),0))</f>
        <v/>
      </c>
      <c r="F1462">
        <f>IF($F$1=0,0,IFERROR(VALUE(SUBSTITUTE(SUBSTITUTE(SUBSTITUTE(INDEX(貼り付け!$A$1:$BZ$3001,1461,$F$1)&amp;"",",",""),"¥",""),"￥","")),0))</f>
        <v/>
      </c>
      <c r="G1462">
        <f>IF(ISNUMBER(B1462),YEAR(B1462),"")</f>
        <v/>
      </c>
      <c r="H1462">
        <f>IF(ISNUMBER(B1462),MONTH(B1462),"")</f>
        <v/>
      </c>
      <c r="I1462">
        <f>IFERROR(IF($B$1=0,"",IF(ISNUMBER(INDEX(貼り付け!$A$1:$BZ$3001,1461,$B$1)),"",SUBSTITUTE(SUBSTITUTE(SUBSTITUTE(SUBSTITUTE(TRIM(LEFT(INDEX(貼り付け!$A$1:$BZ$3001,1461,$B$1)&amp;"",FIND(" ",TRIM(INDEX(貼り付け!$A$1:$BZ$3001,1461,$B$1)&amp;"")&amp;" ")-1)),"/","-"),"年","-"),"月","-"),"日",""))),"")</f>
        <v/>
      </c>
      <c r="J1462">
        <f>IFERROR(MID(I1462,FIND("-",I1462)+1,99),"")</f>
        <v/>
      </c>
    </row>
    <row r="1463">
      <c r="B1463">
        <f>IFERROR(IF($B$1=0,"",IF(INDEX(貼り付け!$A$1:$BZ$3001,1462,$B$1)="","",IF(ISNUMBER(INDEX(貼り付け!$A$1:$BZ$3001,1462,$B$1)),INT(INDEX(貼り付け!$A$1:$BZ$3001,1462,$B$1)),DATE(VALUE(LEFT(I1463,FIND("-",I1463)-1)),VALUE(LEFT(J1463,FIND("-",J1463)-1)),VALUE(MID(J1463,FIND("-",J1463)+1,99)))))),"")</f>
        <v/>
      </c>
      <c r="C1463">
        <f>IF($C$1=0,0,IFERROR(VALUE(SUBSTITUTE(SUBSTITUTE(SUBSTITUTE(INDEX(貼り付け!$A$1:$BZ$3001,1462,$C$1)&amp;"",",",""),"¥",""),"￥","")),0))</f>
        <v/>
      </c>
      <c r="D1463">
        <f>IF($D$1=0,0,IFERROR(VALUE(SUBSTITUTE(SUBSTITUTE(SUBSTITUTE(INDEX(貼り付け!$A$1:$BZ$3001,1462,$D$1)&amp;"",",",""),"¥",""),"￥","")),0))</f>
        <v/>
      </c>
      <c r="E1463">
        <f>IF($E$1=0,0,IFERROR(VALUE(SUBSTITUTE(SUBSTITUTE(SUBSTITUTE(INDEX(貼り付け!$A$1:$BZ$3001,1462,$E$1)&amp;"",",",""),"¥",""),"￥","")),0))</f>
        <v/>
      </c>
      <c r="F1463">
        <f>IF($F$1=0,0,IFERROR(VALUE(SUBSTITUTE(SUBSTITUTE(SUBSTITUTE(INDEX(貼り付け!$A$1:$BZ$3001,1462,$F$1)&amp;"",",",""),"¥",""),"￥","")),0))</f>
        <v/>
      </c>
      <c r="G1463">
        <f>IF(ISNUMBER(B1463),YEAR(B1463),"")</f>
        <v/>
      </c>
      <c r="H1463">
        <f>IF(ISNUMBER(B1463),MONTH(B1463),"")</f>
        <v/>
      </c>
      <c r="I1463">
        <f>IFERROR(IF($B$1=0,"",IF(ISNUMBER(INDEX(貼り付け!$A$1:$BZ$3001,1462,$B$1)),"",SUBSTITUTE(SUBSTITUTE(SUBSTITUTE(SUBSTITUTE(TRIM(LEFT(INDEX(貼り付け!$A$1:$BZ$3001,1462,$B$1)&amp;"",FIND(" ",TRIM(INDEX(貼り付け!$A$1:$BZ$3001,1462,$B$1)&amp;"")&amp;" ")-1)),"/","-"),"年","-"),"月","-"),"日",""))),"")</f>
        <v/>
      </c>
      <c r="J1463">
        <f>IFERROR(MID(I1463,FIND("-",I1463)+1,99),"")</f>
        <v/>
      </c>
    </row>
    <row r="1464">
      <c r="B1464">
        <f>IFERROR(IF($B$1=0,"",IF(INDEX(貼り付け!$A$1:$BZ$3001,1463,$B$1)="","",IF(ISNUMBER(INDEX(貼り付け!$A$1:$BZ$3001,1463,$B$1)),INT(INDEX(貼り付け!$A$1:$BZ$3001,1463,$B$1)),DATE(VALUE(LEFT(I1464,FIND("-",I1464)-1)),VALUE(LEFT(J1464,FIND("-",J1464)-1)),VALUE(MID(J1464,FIND("-",J1464)+1,99)))))),"")</f>
        <v/>
      </c>
      <c r="C1464">
        <f>IF($C$1=0,0,IFERROR(VALUE(SUBSTITUTE(SUBSTITUTE(SUBSTITUTE(INDEX(貼り付け!$A$1:$BZ$3001,1463,$C$1)&amp;"",",",""),"¥",""),"￥","")),0))</f>
        <v/>
      </c>
      <c r="D1464">
        <f>IF($D$1=0,0,IFERROR(VALUE(SUBSTITUTE(SUBSTITUTE(SUBSTITUTE(INDEX(貼り付け!$A$1:$BZ$3001,1463,$D$1)&amp;"",",",""),"¥",""),"￥","")),0))</f>
        <v/>
      </c>
      <c r="E1464">
        <f>IF($E$1=0,0,IFERROR(VALUE(SUBSTITUTE(SUBSTITUTE(SUBSTITUTE(INDEX(貼り付け!$A$1:$BZ$3001,1463,$E$1)&amp;"",",",""),"¥",""),"￥","")),0))</f>
        <v/>
      </c>
      <c r="F1464">
        <f>IF($F$1=0,0,IFERROR(VALUE(SUBSTITUTE(SUBSTITUTE(SUBSTITUTE(INDEX(貼り付け!$A$1:$BZ$3001,1463,$F$1)&amp;"",",",""),"¥",""),"￥","")),0))</f>
        <v/>
      </c>
      <c r="G1464">
        <f>IF(ISNUMBER(B1464),YEAR(B1464),"")</f>
        <v/>
      </c>
      <c r="H1464">
        <f>IF(ISNUMBER(B1464),MONTH(B1464),"")</f>
        <v/>
      </c>
      <c r="I1464">
        <f>IFERROR(IF($B$1=0,"",IF(ISNUMBER(INDEX(貼り付け!$A$1:$BZ$3001,1463,$B$1)),"",SUBSTITUTE(SUBSTITUTE(SUBSTITUTE(SUBSTITUTE(TRIM(LEFT(INDEX(貼り付け!$A$1:$BZ$3001,1463,$B$1)&amp;"",FIND(" ",TRIM(INDEX(貼り付け!$A$1:$BZ$3001,1463,$B$1)&amp;"")&amp;" ")-1)),"/","-"),"年","-"),"月","-"),"日",""))),"")</f>
        <v/>
      </c>
      <c r="J1464">
        <f>IFERROR(MID(I1464,FIND("-",I1464)+1,99),"")</f>
        <v/>
      </c>
    </row>
    <row r="1465">
      <c r="B1465">
        <f>IFERROR(IF($B$1=0,"",IF(INDEX(貼り付け!$A$1:$BZ$3001,1464,$B$1)="","",IF(ISNUMBER(INDEX(貼り付け!$A$1:$BZ$3001,1464,$B$1)),INT(INDEX(貼り付け!$A$1:$BZ$3001,1464,$B$1)),DATE(VALUE(LEFT(I1465,FIND("-",I1465)-1)),VALUE(LEFT(J1465,FIND("-",J1465)-1)),VALUE(MID(J1465,FIND("-",J1465)+1,99)))))),"")</f>
        <v/>
      </c>
      <c r="C1465">
        <f>IF($C$1=0,0,IFERROR(VALUE(SUBSTITUTE(SUBSTITUTE(SUBSTITUTE(INDEX(貼り付け!$A$1:$BZ$3001,1464,$C$1)&amp;"",",",""),"¥",""),"￥","")),0))</f>
        <v/>
      </c>
      <c r="D1465">
        <f>IF($D$1=0,0,IFERROR(VALUE(SUBSTITUTE(SUBSTITUTE(SUBSTITUTE(INDEX(貼り付け!$A$1:$BZ$3001,1464,$D$1)&amp;"",",",""),"¥",""),"￥","")),0))</f>
        <v/>
      </c>
      <c r="E1465">
        <f>IF($E$1=0,0,IFERROR(VALUE(SUBSTITUTE(SUBSTITUTE(SUBSTITUTE(INDEX(貼り付け!$A$1:$BZ$3001,1464,$E$1)&amp;"",",",""),"¥",""),"￥","")),0))</f>
        <v/>
      </c>
      <c r="F1465">
        <f>IF($F$1=0,0,IFERROR(VALUE(SUBSTITUTE(SUBSTITUTE(SUBSTITUTE(INDEX(貼り付け!$A$1:$BZ$3001,1464,$F$1)&amp;"",",",""),"¥",""),"￥","")),0))</f>
        <v/>
      </c>
      <c r="G1465">
        <f>IF(ISNUMBER(B1465),YEAR(B1465),"")</f>
        <v/>
      </c>
      <c r="H1465">
        <f>IF(ISNUMBER(B1465),MONTH(B1465),"")</f>
        <v/>
      </c>
      <c r="I1465">
        <f>IFERROR(IF($B$1=0,"",IF(ISNUMBER(INDEX(貼り付け!$A$1:$BZ$3001,1464,$B$1)),"",SUBSTITUTE(SUBSTITUTE(SUBSTITUTE(SUBSTITUTE(TRIM(LEFT(INDEX(貼り付け!$A$1:$BZ$3001,1464,$B$1)&amp;"",FIND(" ",TRIM(INDEX(貼り付け!$A$1:$BZ$3001,1464,$B$1)&amp;"")&amp;" ")-1)),"/","-"),"年","-"),"月","-"),"日",""))),"")</f>
        <v/>
      </c>
      <c r="J1465">
        <f>IFERROR(MID(I1465,FIND("-",I1465)+1,99),"")</f>
        <v/>
      </c>
    </row>
    <row r="1466">
      <c r="B1466">
        <f>IFERROR(IF($B$1=0,"",IF(INDEX(貼り付け!$A$1:$BZ$3001,1465,$B$1)="","",IF(ISNUMBER(INDEX(貼り付け!$A$1:$BZ$3001,1465,$B$1)),INT(INDEX(貼り付け!$A$1:$BZ$3001,1465,$B$1)),DATE(VALUE(LEFT(I1466,FIND("-",I1466)-1)),VALUE(LEFT(J1466,FIND("-",J1466)-1)),VALUE(MID(J1466,FIND("-",J1466)+1,99)))))),"")</f>
        <v/>
      </c>
      <c r="C1466">
        <f>IF($C$1=0,0,IFERROR(VALUE(SUBSTITUTE(SUBSTITUTE(SUBSTITUTE(INDEX(貼り付け!$A$1:$BZ$3001,1465,$C$1)&amp;"",",",""),"¥",""),"￥","")),0))</f>
        <v/>
      </c>
      <c r="D1466">
        <f>IF($D$1=0,0,IFERROR(VALUE(SUBSTITUTE(SUBSTITUTE(SUBSTITUTE(INDEX(貼り付け!$A$1:$BZ$3001,1465,$D$1)&amp;"",",",""),"¥",""),"￥","")),0))</f>
        <v/>
      </c>
      <c r="E1466">
        <f>IF($E$1=0,0,IFERROR(VALUE(SUBSTITUTE(SUBSTITUTE(SUBSTITUTE(INDEX(貼り付け!$A$1:$BZ$3001,1465,$E$1)&amp;"",",",""),"¥",""),"￥","")),0))</f>
        <v/>
      </c>
      <c r="F1466">
        <f>IF($F$1=0,0,IFERROR(VALUE(SUBSTITUTE(SUBSTITUTE(SUBSTITUTE(INDEX(貼り付け!$A$1:$BZ$3001,1465,$F$1)&amp;"",",",""),"¥",""),"￥","")),0))</f>
        <v/>
      </c>
      <c r="G1466">
        <f>IF(ISNUMBER(B1466),YEAR(B1466),"")</f>
        <v/>
      </c>
      <c r="H1466">
        <f>IF(ISNUMBER(B1466),MONTH(B1466),"")</f>
        <v/>
      </c>
      <c r="I1466">
        <f>IFERROR(IF($B$1=0,"",IF(ISNUMBER(INDEX(貼り付け!$A$1:$BZ$3001,1465,$B$1)),"",SUBSTITUTE(SUBSTITUTE(SUBSTITUTE(SUBSTITUTE(TRIM(LEFT(INDEX(貼り付け!$A$1:$BZ$3001,1465,$B$1)&amp;"",FIND(" ",TRIM(INDEX(貼り付け!$A$1:$BZ$3001,1465,$B$1)&amp;"")&amp;" ")-1)),"/","-"),"年","-"),"月","-"),"日",""))),"")</f>
        <v/>
      </c>
      <c r="J1466">
        <f>IFERROR(MID(I1466,FIND("-",I1466)+1,99),"")</f>
        <v/>
      </c>
    </row>
    <row r="1467">
      <c r="B1467">
        <f>IFERROR(IF($B$1=0,"",IF(INDEX(貼り付け!$A$1:$BZ$3001,1466,$B$1)="","",IF(ISNUMBER(INDEX(貼り付け!$A$1:$BZ$3001,1466,$B$1)),INT(INDEX(貼り付け!$A$1:$BZ$3001,1466,$B$1)),DATE(VALUE(LEFT(I1467,FIND("-",I1467)-1)),VALUE(LEFT(J1467,FIND("-",J1467)-1)),VALUE(MID(J1467,FIND("-",J1467)+1,99)))))),"")</f>
        <v/>
      </c>
      <c r="C1467">
        <f>IF($C$1=0,0,IFERROR(VALUE(SUBSTITUTE(SUBSTITUTE(SUBSTITUTE(INDEX(貼り付け!$A$1:$BZ$3001,1466,$C$1)&amp;"",",",""),"¥",""),"￥","")),0))</f>
        <v/>
      </c>
      <c r="D1467">
        <f>IF($D$1=0,0,IFERROR(VALUE(SUBSTITUTE(SUBSTITUTE(SUBSTITUTE(INDEX(貼り付け!$A$1:$BZ$3001,1466,$D$1)&amp;"",",",""),"¥",""),"￥","")),0))</f>
        <v/>
      </c>
      <c r="E1467">
        <f>IF($E$1=0,0,IFERROR(VALUE(SUBSTITUTE(SUBSTITUTE(SUBSTITUTE(INDEX(貼り付け!$A$1:$BZ$3001,1466,$E$1)&amp;"",",",""),"¥",""),"￥","")),0))</f>
        <v/>
      </c>
      <c r="F1467">
        <f>IF($F$1=0,0,IFERROR(VALUE(SUBSTITUTE(SUBSTITUTE(SUBSTITUTE(INDEX(貼り付け!$A$1:$BZ$3001,1466,$F$1)&amp;"",",",""),"¥",""),"￥","")),0))</f>
        <v/>
      </c>
      <c r="G1467">
        <f>IF(ISNUMBER(B1467),YEAR(B1467),"")</f>
        <v/>
      </c>
      <c r="H1467">
        <f>IF(ISNUMBER(B1467),MONTH(B1467),"")</f>
        <v/>
      </c>
      <c r="I1467">
        <f>IFERROR(IF($B$1=0,"",IF(ISNUMBER(INDEX(貼り付け!$A$1:$BZ$3001,1466,$B$1)),"",SUBSTITUTE(SUBSTITUTE(SUBSTITUTE(SUBSTITUTE(TRIM(LEFT(INDEX(貼り付け!$A$1:$BZ$3001,1466,$B$1)&amp;"",FIND(" ",TRIM(INDEX(貼り付け!$A$1:$BZ$3001,1466,$B$1)&amp;"")&amp;" ")-1)),"/","-"),"年","-"),"月","-"),"日",""))),"")</f>
        <v/>
      </c>
      <c r="J1467">
        <f>IFERROR(MID(I1467,FIND("-",I1467)+1,99),"")</f>
        <v/>
      </c>
    </row>
    <row r="1468">
      <c r="B1468">
        <f>IFERROR(IF($B$1=0,"",IF(INDEX(貼り付け!$A$1:$BZ$3001,1467,$B$1)="","",IF(ISNUMBER(INDEX(貼り付け!$A$1:$BZ$3001,1467,$B$1)),INT(INDEX(貼り付け!$A$1:$BZ$3001,1467,$B$1)),DATE(VALUE(LEFT(I1468,FIND("-",I1468)-1)),VALUE(LEFT(J1468,FIND("-",J1468)-1)),VALUE(MID(J1468,FIND("-",J1468)+1,99)))))),"")</f>
        <v/>
      </c>
      <c r="C1468">
        <f>IF($C$1=0,0,IFERROR(VALUE(SUBSTITUTE(SUBSTITUTE(SUBSTITUTE(INDEX(貼り付け!$A$1:$BZ$3001,1467,$C$1)&amp;"",",",""),"¥",""),"￥","")),0))</f>
        <v/>
      </c>
      <c r="D1468">
        <f>IF($D$1=0,0,IFERROR(VALUE(SUBSTITUTE(SUBSTITUTE(SUBSTITUTE(INDEX(貼り付け!$A$1:$BZ$3001,1467,$D$1)&amp;"",",",""),"¥",""),"￥","")),0))</f>
        <v/>
      </c>
      <c r="E1468">
        <f>IF($E$1=0,0,IFERROR(VALUE(SUBSTITUTE(SUBSTITUTE(SUBSTITUTE(INDEX(貼り付け!$A$1:$BZ$3001,1467,$E$1)&amp;"",",",""),"¥",""),"￥","")),0))</f>
        <v/>
      </c>
      <c r="F1468">
        <f>IF($F$1=0,0,IFERROR(VALUE(SUBSTITUTE(SUBSTITUTE(SUBSTITUTE(INDEX(貼り付け!$A$1:$BZ$3001,1467,$F$1)&amp;"",",",""),"¥",""),"￥","")),0))</f>
        <v/>
      </c>
      <c r="G1468">
        <f>IF(ISNUMBER(B1468),YEAR(B1468),"")</f>
        <v/>
      </c>
      <c r="H1468">
        <f>IF(ISNUMBER(B1468),MONTH(B1468),"")</f>
        <v/>
      </c>
      <c r="I1468">
        <f>IFERROR(IF($B$1=0,"",IF(ISNUMBER(INDEX(貼り付け!$A$1:$BZ$3001,1467,$B$1)),"",SUBSTITUTE(SUBSTITUTE(SUBSTITUTE(SUBSTITUTE(TRIM(LEFT(INDEX(貼り付け!$A$1:$BZ$3001,1467,$B$1)&amp;"",FIND(" ",TRIM(INDEX(貼り付け!$A$1:$BZ$3001,1467,$B$1)&amp;"")&amp;" ")-1)),"/","-"),"年","-"),"月","-"),"日",""))),"")</f>
        <v/>
      </c>
      <c r="J1468">
        <f>IFERROR(MID(I1468,FIND("-",I1468)+1,99),"")</f>
        <v/>
      </c>
    </row>
    <row r="1469">
      <c r="B1469">
        <f>IFERROR(IF($B$1=0,"",IF(INDEX(貼り付け!$A$1:$BZ$3001,1468,$B$1)="","",IF(ISNUMBER(INDEX(貼り付け!$A$1:$BZ$3001,1468,$B$1)),INT(INDEX(貼り付け!$A$1:$BZ$3001,1468,$B$1)),DATE(VALUE(LEFT(I1469,FIND("-",I1469)-1)),VALUE(LEFT(J1469,FIND("-",J1469)-1)),VALUE(MID(J1469,FIND("-",J1469)+1,99)))))),"")</f>
        <v/>
      </c>
      <c r="C1469">
        <f>IF($C$1=0,0,IFERROR(VALUE(SUBSTITUTE(SUBSTITUTE(SUBSTITUTE(INDEX(貼り付け!$A$1:$BZ$3001,1468,$C$1)&amp;"",",",""),"¥",""),"￥","")),0))</f>
        <v/>
      </c>
      <c r="D1469">
        <f>IF($D$1=0,0,IFERROR(VALUE(SUBSTITUTE(SUBSTITUTE(SUBSTITUTE(INDEX(貼り付け!$A$1:$BZ$3001,1468,$D$1)&amp;"",",",""),"¥",""),"￥","")),0))</f>
        <v/>
      </c>
      <c r="E1469">
        <f>IF($E$1=0,0,IFERROR(VALUE(SUBSTITUTE(SUBSTITUTE(SUBSTITUTE(INDEX(貼り付け!$A$1:$BZ$3001,1468,$E$1)&amp;"",",",""),"¥",""),"￥","")),0))</f>
        <v/>
      </c>
      <c r="F1469">
        <f>IF($F$1=0,0,IFERROR(VALUE(SUBSTITUTE(SUBSTITUTE(SUBSTITUTE(INDEX(貼り付け!$A$1:$BZ$3001,1468,$F$1)&amp;"",",",""),"¥",""),"￥","")),0))</f>
        <v/>
      </c>
      <c r="G1469">
        <f>IF(ISNUMBER(B1469),YEAR(B1469),"")</f>
        <v/>
      </c>
      <c r="H1469">
        <f>IF(ISNUMBER(B1469),MONTH(B1469),"")</f>
        <v/>
      </c>
      <c r="I1469">
        <f>IFERROR(IF($B$1=0,"",IF(ISNUMBER(INDEX(貼り付け!$A$1:$BZ$3001,1468,$B$1)),"",SUBSTITUTE(SUBSTITUTE(SUBSTITUTE(SUBSTITUTE(TRIM(LEFT(INDEX(貼り付け!$A$1:$BZ$3001,1468,$B$1)&amp;"",FIND(" ",TRIM(INDEX(貼り付け!$A$1:$BZ$3001,1468,$B$1)&amp;"")&amp;" ")-1)),"/","-"),"年","-"),"月","-"),"日",""))),"")</f>
        <v/>
      </c>
      <c r="J1469">
        <f>IFERROR(MID(I1469,FIND("-",I1469)+1,99),"")</f>
        <v/>
      </c>
    </row>
    <row r="1470">
      <c r="B1470">
        <f>IFERROR(IF($B$1=0,"",IF(INDEX(貼り付け!$A$1:$BZ$3001,1469,$B$1)="","",IF(ISNUMBER(INDEX(貼り付け!$A$1:$BZ$3001,1469,$B$1)),INT(INDEX(貼り付け!$A$1:$BZ$3001,1469,$B$1)),DATE(VALUE(LEFT(I1470,FIND("-",I1470)-1)),VALUE(LEFT(J1470,FIND("-",J1470)-1)),VALUE(MID(J1470,FIND("-",J1470)+1,99)))))),"")</f>
        <v/>
      </c>
      <c r="C1470">
        <f>IF($C$1=0,0,IFERROR(VALUE(SUBSTITUTE(SUBSTITUTE(SUBSTITUTE(INDEX(貼り付け!$A$1:$BZ$3001,1469,$C$1)&amp;"",",",""),"¥",""),"￥","")),0))</f>
        <v/>
      </c>
      <c r="D1470">
        <f>IF($D$1=0,0,IFERROR(VALUE(SUBSTITUTE(SUBSTITUTE(SUBSTITUTE(INDEX(貼り付け!$A$1:$BZ$3001,1469,$D$1)&amp;"",",",""),"¥",""),"￥","")),0))</f>
        <v/>
      </c>
      <c r="E1470">
        <f>IF($E$1=0,0,IFERROR(VALUE(SUBSTITUTE(SUBSTITUTE(SUBSTITUTE(INDEX(貼り付け!$A$1:$BZ$3001,1469,$E$1)&amp;"",",",""),"¥",""),"￥","")),0))</f>
        <v/>
      </c>
      <c r="F1470">
        <f>IF($F$1=0,0,IFERROR(VALUE(SUBSTITUTE(SUBSTITUTE(SUBSTITUTE(INDEX(貼り付け!$A$1:$BZ$3001,1469,$F$1)&amp;"",",",""),"¥",""),"￥","")),0))</f>
        <v/>
      </c>
      <c r="G1470">
        <f>IF(ISNUMBER(B1470),YEAR(B1470),"")</f>
        <v/>
      </c>
      <c r="H1470">
        <f>IF(ISNUMBER(B1470),MONTH(B1470),"")</f>
        <v/>
      </c>
      <c r="I1470">
        <f>IFERROR(IF($B$1=0,"",IF(ISNUMBER(INDEX(貼り付け!$A$1:$BZ$3001,1469,$B$1)),"",SUBSTITUTE(SUBSTITUTE(SUBSTITUTE(SUBSTITUTE(TRIM(LEFT(INDEX(貼り付け!$A$1:$BZ$3001,1469,$B$1)&amp;"",FIND(" ",TRIM(INDEX(貼り付け!$A$1:$BZ$3001,1469,$B$1)&amp;"")&amp;" ")-1)),"/","-"),"年","-"),"月","-"),"日",""))),"")</f>
        <v/>
      </c>
      <c r="J1470">
        <f>IFERROR(MID(I1470,FIND("-",I1470)+1,99),"")</f>
        <v/>
      </c>
    </row>
    <row r="1471">
      <c r="B1471">
        <f>IFERROR(IF($B$1=0,"",IF(INDEX(貼り付け!$A$1:$BZ$3001,1470,$B$1)="","",IF(ISNUMBER(INDEX(貼り付け!$A$1:$BZ$3001,1470,$B$1)),INT(INDEX(貼り付け!$A$1:$BZ$3001,1470,$B$1)),DATE(VALUE(LEFT(I1471,FIND("-",I1471)-1)),VALUE(LEFT(J1471,FIND("-",J1471)-1)),VALUE(MID(J1471,FIND("-",J1471)+1,99)))))),"")</f>
        <v/>
      </c>
      <c r="C1471">
        <f>IF($C$1=0,0,IFERROR(VALUE(SUBSTITUTE(SUBSTITUTE(SUBSTITUTE(INDEX(貼り付け!$A$1:$BZ$3001,1470,$C$1)&amp;"",",",""),"¥",""),"￥","")),0))</f>
        <v/>
      </c>
      <c r="D1471">
        <f>IF($D$1=0,0,IFERROR(VALUE(SUBSTITUTE(SUBSTITUTE(SUBSTITUTE(INDEX(貼り付け!$A$1:$BZ$3001,1470,$D$1)&amp;"",",",""),"¥",""),"￥","")),0))</f>
        <v/>
      </c>
      <c r="E1471">
        <f>IF($E$1=0,0,IFERROR(VALUE(SUBSTITUTE(SUBSTITUTE(SUBSTITUTE(INDEX(貼り付け!$A$1:$BZ$3001,1470,$E$1)&amp;"",",",""),"¥",""),"￥","")),0))</f>
        <v/>
      </c>
      <c r="F1471">
        <f>IF($F$1=0,0,IFERROR(VALUE(SUBSTITUTE(SUBSTITUTE(SUBSTITUTE(INDEX(貼り付け!$A$1:$BZ$3001,1470,$F$1)&amp;"",",",""),"¥",""),"￥","")),0))</f>
        <v/>
      </c>
      <c r="G1471">
        <f>IF(ISNUMBER(B1471),YEAR(B1471),"")</f>
        <v/>
      </c>
      <c r="H1471">
        <f>IF(ISNUMBER(B1471),MONTH(B1471),"")</f>
        <v/>
      </c>
      <c r="I1471">
        <f>IFERROR(IF($B$1=0,"",IF(ISNUMBER(INDEX(貼り付け!$A$1:$BZ$3001,1470,$B$1)),"",SUBSTITUTE(SUBSTITUTE(SUBSTITUTE(SUBSTITUTE(TRIM(LEFT(INDEX(貼り付け!$A$1:$BZ$3001,1470,$B$1)&amp;"",FIND(" ",TRIM(INDEX(貼り付け!$A$1:$BZ$3001,1470,$B$1)&amp;"")&amp;" ")-1)),"/","-"),"年","-"),"月","-"),"日",""))),"")</f>
        <v/>
      </c>
      <c r="J1471">
        <f>IFERROR(MID(I1471,FIND("-",I1471)+1,99),"")</f>
        <v/>
      </c>
    </row>
    <row r="1472">
      <c r="B1472">
        <f>IFERROR(IF($B$1=0,"",IF(INDEX(貼り付け!$A$1:$BZ$3001,1471,$B$1)="","",IF(ISNUMBER(INDEX(貼り付け!$A$1:$BZ$3001,1471,$B$1)),INT(INDEX(貼り付け!$A$1:$BZ$3001,1471,$B$1)),DATE(VALUE(LEFT(I1472,FIND("-",I1472)-1)),VALUE(LEFT(J1472,FIND("-",J1472)-1)),VALUE(MID(J1472,FIND("-",J1472)+1,99)))))),"")</f>
        <v/>
      </c>
      <c r="C1472">
        <f>IF($C$1=0,0,IFERROR(VALUE(SUBSTITUTE(SUBSTITUTE(SUBSTITUTE(INDEX(貼り付け!$A$1:$BZ$3001,1471,$C$1)&amp;"",",",""),"¥",""),"￥","")),0))</f>
        <v/>
      </c>
      <c r="D1472">
        <f>IF($D$1=0,0,IFERROR(VALUE(SUBSTITUTE(SUBSTITUTE(SUBSTITUTE(INDEX(貼り付け!$A$1:$BZ$3001,1471,$D$1)&amp;"",",",""),"¥",""),"￥","")),0))</f>
        <v/>
      </c>
      <c r="E1472">
        <f>IF($E$1=0,0,IFERROR(VALUE(SUBSTITUTE(SUBSTITUTE(SUBSTITUTE(INDEX(貼り付け!$A$1:$BZ$3001,1471,$E$1)&amp;"",",",""),"¥",""),"￥","")),0))</f>
        <v/>
      </c>
      <c r="F1472">
        <f>IF($F$1=0,0,IFERROR(VALUE(SUBSTITUTE(SUBSTITUTE(SUBSTITUTE(INDEX(貼り付け!$A$1:$BZ$3001,1471,$F$1)&amp;"",",",""),"¥",""),"￥","")),0))</f>
        <v/>
      </c>
      <c r="G1472">
        <f>IF(ISNUMBER(B1472),YEAR(B1472),"")</f>
        <v/>
      </c>
      <c r="H1472">
        <f>IF(ISNUMBER(B1472),MONTH(B1472),"")</f>
        <v/>
      </c>
      <c r="I1472">
        <f>IFERROR(IF($B$1=0,"",IF(ISNUMBER(INDEX(貼り付け!$A$1:$BZ$3001,1471,$B$1)),"",SUBSTITUTE(SUBSTITUTE(SUBSTITUTE(SUBSTITUTE(TRIM(LEFT(INDEX(貼り付け!$A$1:$BZ$3001,1471,$B$1)&amp;"",FIND(" ",TRIM(INDEX(貼り付け!$A$1:$BZ$3001,1471,$B$1)&amp;"")&amp;" ")-1)),"/","-"),"年","-"),"月","-"),"日",""))),"")</f>
        <v/>
      </c>
      <c r="J1472">
        <f>IFERROR(MID(I1472,FIND("-",I1472)+1,99),"")</f>
        <v/>
      </c>
    </row>
    <row r="1473">
      <c r="B1473">
        <f>IFERROR(IF($B$1=0,"",IF(INDEX(貼り付け!$A$1:$BZ$3001,1472,$B$1)="","",IF(ISNUMBER(INDEX(貼り付け!$A$1:$BZ$3001,1472,$B$1)),INT(INDEX(貼り付け!$A$1:$BZ$3001,1472,$B$1)),DATE(VALUE(LEFT(I1473,FIND("-",I1473)-1)),VALUE(LEFT(J1473,FIND("-",J1473)-1)),VALUE(MID(J1473,FIND("-",J1473)+1,99)))))),"")</f>
        <v/>
      </c>
      <c r="C1473">
        <f>IF($C$1=0,0,IFERROR(VALUE(SUBSTITUTE(SUBSTITUTE(SUBSTITUTE(INDEX(貼り付け!$A$1:$BZ$3001,1472,$C$1)&amp;"",",",""),"¥",""),"￥","")),0))</f>
        <v/>
      </c>
      <c r="D1473">
        <f>IF($D$1=0,0,IFERROR(VALUE(SUBSTITUTE(SUBSTITUTE(SUBSTITUTE(INDEX(貼り付け!$A$1:$BZ$3001,1472,$D$1)&amp;"",",",""),"¥",""),"￥","")),0))</f>
        <v/>
      </c>
      <c r="E1473">
        <f>IF($E$1=0,0,IFERROR(VALUE(SUBSTITUTE(SUBSTITUTE(SUBSTITUTE(INDEX(貼り付け!$A$1:$BZ$3001,1472,$E$1)&amp;"",",",""),"¥",""),"￥","")),0))</f>
        <v/>
      </c>
      <c r="F1473">
        <f>IF($F$1=0,0,IFERROR(VALUE(SUBSTITUTE(SUBSTITUTE(SUBSTITUTE(INDEX(貼り付け!$A$1:$BZ$3001,1472,$F$1)&amp;"",",",""),"¥",""),"￥","")),0))</f>
        <v/>
      </c>
      <c r="G1473">
        <f>IF(ISNUMBER(B1473),YEAR(B1473),"")</f>
        <v/>
      </c>
      <c r="H1473">
        <f>IF(ISNUMBER(B1473),MONTH(B1473),"")</f>
        <v/>
      </c>
      <c r="I1473">
        <f>IFERROR(IF($B$1=0,"",IF(ISNUMBER(INDEX(貼り付け!$A$1:$BZ$3001,1472,$B$1)),"",SUBSTITUTE(SUBSTITUTE(SUBSTITUTE(SUBSTITUTE(TRIM(LEFT(INDEX(貼り付け!$A$1:$BZ$3001,1472,$B$1)&amp;"",FIND(" ",TRIM(INDEX(貼り付け!$A$1:$BZ$3001,1472,$B$1)&amp;"")&amp;" ")-1)),"/","-"),"年","-"),"月","-"),"日",""))),"")</f>
        <v/>
      </c>
      <c r="J1473">
        <f>IFERROR(MID(I1473,FIND("-",I1473)+1,99),"")</f>
        <v/>
      </c>
    </row>
    <row r="1474">
      <c r="B1474">
        <f>IFERROR(IF($B$1=0,"",IF(INDEX(貼り付け!$A$1:$BZ$3001,1473,$B$1)="","",IF(ISNUMBER(INDEX(貼り付け!$A$1:$BZ$3001,1473,$B$1)),INT(INDEX(貼り付け!$A$1:$BZ$3001,1473,$B$1)),DATE(VALUE(LEFT(I1474,FIND("-",I1474)-1)),VALUE(LEFT(J1474,FIND("-",J1474)-1)),VALUE(MID(J1474,FIND("-",J1474)+1,99)))))),"")</f>
        <v/>
      </c>
      <c r="C1474">
        <f>IF($C$1=0,0,IFERROR(VALUE(SUBSTITUTE(SUBSTITUTE(SUBSTITUTE(INDEX(貼り付け!$A$1:$BZ$3001,1473,$C$1)&amp;"",",",""),"¥",""),"￥","")),0))</f>
        <v/>
      </c>
      <c r="D1474">
        <f>IF($D$1=0,0,IFERROR(VALUE(SUBSTITUTE(SUBSTITUTE(SUBSTITUTE(INDEX(貼り付け!$A$1:$BZ$3001,1473,$D$1)&amp;"",",",""),"¥",""),"￥","")),0))</f>
        <v/>
      </c>
      <c r="E1474">
        <f>IF($E$1=0,0,IFERROR(VALUE(SUBSTITUTE(SUBSTITUTE(SUBSTITUTE(INDEX(貼り付け!$A$1:$BZ$3001,1473,$E$1)&amp;"",",",""),"¥",""),"￥","")),0))</f>
        <v/>
      </c>
      <c r="F1474">
        <f>IF($F$1=0,0,IFERROR(VALUE(SUBSTITUTE(SUBSTITUTE(SUBSTITUTE(INDEX(貼り付け!$A$1:$BZ$3001,1473,$F$1)&amp;"",",",""),"¥",""),"￥","")),0))</f>
        <v/>
      </c>
      <c r="G1474">
        <f>IF(ISNUMBER(B1474),YEAR(B1474),"")</f>
        <v/>
      </c>
      <c r="H1474">
        <f>IF(ISNUMBER(B1474),MONTH(B1474),"")</f>
        <v/>
      </c>
      <c r="I1474">
        <f>IFERROR(IF($B$1=0,"",IF(ISNUMBER(INDEX(貼り付け!$A$1:$BZ$3001,1473,$B$1)),"",SUBSTITUTE(SUBSTITUTE(SUBSTITUTE(SUBSTITUTE(TRIM(LEFT(INDEX(貼り付け!$A$1:$BZ$3001,1473,$B$1)&amp;"",FIND(" ",TRIM(INDEX(貼り付け!$A$1:$BZ$3001,1473,$B$1)&amp;"")&amp;" ")-1)),"/","-"),"年","-"),"月","-"),"日",""))),"")</f>
        <v/>
      </c>
      <c r="J1474">
        <f>IFERROR(MID(I1474,FIND("-",I1474)+1,99),"")</f>
        <v/>
      </c>
    </row>
    <row r="1475">
      <c r="B1475">
        <f>IFERROR(IF($B$1=0,"",IF(INDEX(貼り付け!$A$1:$BZ$3001,1474,$B$1)="","",IF(ISNUMBER(INDEX(貼り付け!$A$1:$BZ$3001,1474,$B$1)),INT(INDEX(貼り付け!$A$1:$BZ$3001,1474,$B$1)),DATE(VALUE(LEFT(I1475,FIND("-",I1475)-1)),VALUE(LEFT(J1475,FIND("-",J1475)-1)),VALUE(MID(J1475,FIND("-",J1475)+1,99)))))),"")</f>
        <v/>
      </c>
      <c r="C1475">
        <f>IF($C$1=0,0,IFERROR(VALUE(SUBSTITUTE(SUBSTITUTE(SUBSTITUTE(INDEX(貼り付け!$A$1:$BZ$3001,1474,$C$1)&amp;"",",",""),"¥",""),"￥","")),0))</f>
        <v/>
      </c>
      <c r="D1475">
        <f>IF($D$1=0,0,IFERROR(VALUE(SUBSTITUTE(SUBSTITUTE(SUBSTITUTE(INDEX(貼り付け!$A$1:$BZ$3001,1474,$D$1)&amp;"",",",""),"¥",""),"￥","")),0))</f>
        <v/>
      </c>
      <c r="E1475">
        <f>IF($E$1=0,0,IFERROR(VALUE(SUBSTITUTE(SUBSTITUTE(SUBSTITUTE(INDEX(貼り付け!$A$1:$BZ$3001,1474,$E$1)&amp;"",",",""),"¥",""),"￥","")),0))</f>
        <v/>
      </c>
      <c r="F1475">
        <f>IF($F$1=0,0,IFERROR(VALUE(SUBSTITUTE(SUBSTITUTE(SUBSTITUTE(INDEX(貼り付け!$A$1:$BZ$3001,1474,$F$1)&amp;"",",",""),"¥",""),"￥","")),0))</f>
        <v/>
      </c>
      <c r="G1475">
        <f>IF(ISNUMBER(B1475),YEAR(B1475),"")</f>
        <v/>
      </c>
      <c r="H1475">
        <f>IF(ISNUMBER(B1475),MONTH(B1475),"")</f>
        <v/>
      </c>
      <c r="I1475">
        <f>IFERROR(IF($B$1=0,"",IF(ISNUMBER(INDEX(貼り付け!$A$1:$BZ$3001,1474,$B$1)),"",SUBSTITUTE(SUBSTITUTE(SUBSTITUTE(SUBSTITUTE(TRIM(LEFT(INDEX(貼り付け!$A$1:$BZ$3001,1474,$B$1)&amp;"",FIND(" ",TRIM(INDEX(貼り付け!$A$1:$BZ$3001,1474,$B$1)&amp;"")&amp;" ")-1)),"/","-"),"年","-"),"月","-"),"日",""))),"")</f>
        <v/>
      </c>
      <c r="J1475">
        <f>IFERROR(MID(I1475,FIND("-",I1475)+1,99),"")</f>
        <v/>
      </c>
    </row>
    <row r="1476">
      <c r="B1476">
        <f>IFERROR(IF($B$1=0,"",IF(INDEX(貼り付け!$A$1:$BZ$3001,1475,$B$1)="","",IF(ISNUMBER(INDEX(貼り付け!$A$1:$BZ$3001,1475,$B$1)),INT(INDEX(貼り付け!$A$1:$BZ$3001,1475,$B$1)),DATE(VALUE(LEFT(I1476,FIND("-",I1476)-1)),VALUE(LEFT(J1476,FIND("-",J1476)-1)),VALUE(MID(J1476,FIND("-",J1476)+1,99)))))),"")</f>
        <v/>
      </c>
      <c r="C1476">
        <f>IF($C$1=0,0,IFERROR(VALUE(SUBSTITUTE(SUBSTITUTE(SUBSTITUTE(INDEX(貼り付け!$A$1:$BZ$3001,1475,$C$1)&amp;"",",",""),"¥",""),"￥","")),0))</f>
        <v/>
      </c>
      <c r="D1476">
        <f>IF($D$1=0,0,IFERROR(VALUE(SUBSTITUTE(SUBSTITUTE(SUBSTITUTE(INDEX(貼り付け!$A$1:$BZ$3001,1475,$D$1)&amp;"",",",""),"¥",""),"￥","")),0))</f>
        <v/>
      </c>
      <c r="E1476">
        <f>IF($E$1=0,0,IFERROR(VALUE(SUBSTITUTE(SUBSTITUTE(SUBSTITUTE(INDEX(貼り付け!$A$1:$BZ$3001,1475,$E$1)&amp;"",",",""),"¥",""),"￥","")),0))</f>
        <v/>
      </c>
      <c r="F1476">
        <f>IF($F$1=0,0,IFERROR(VALUE(SUBSTITUTE(SUBSTITUTE(SUBSTITUTE(INDEX(貼り付け!$A$1:$BZ$3001,1475,$F$1)&amp;"",",",""),"¥",""),"￥","")),0))</f>
        <v/>
      </c>
      <c r="G1476">
        <f>IF(ISNUMBER(B1476),YEAR(B1476),"")</f>
        <v/>
      </c>
      <c r="H1476">
        <f>IF(ISNUMBER(B1476),MONTH(B1476),"")</f>
        <v/>
      </c>
      <c r="I1476">
        <f>IFERROR(IF($B$1=0,"",IF(ISNUMBER(INDEX(貼り付け!$A$1:$BZ$3001,1475,$B$1)),"",SUBSTITUTE(SUBSTITUTE(SUBSTITUTE(SUBSTITUTE(TRIM(LEFT(INDEX(貼り付け!$A$1:$BZ$3001,1475,$B$1)&amp;"",FIND(" ",TRIM(INDEX(貼り付け!$A$1:$BZ$3001,1475,$B$1)&amp;"")&amp;" ")-1)),"/","-"),"年","-"),"月","-"),"日",""))),"")</f>
        <v/>
      </c>
      <c r="J1476">
        <f>IFERROR(MID(I1476,FIND("-",I1476)+1,99),"")</f>
        <v/>
      </c>
    </row>
    <row r="1477">
      <c r="B1477">
        <f>IFERROR(IF($B$1=0,"",IF(INDEX(貼り付け!$A$1:$BZ$3001,1476,$B$1)="","",IF(ISNUMBER(INDEX(貼り付け!$A$1:$BZ$3001,1476,$B$1)),INT(INDEX(貼り付け!$A$1:$BZ$3001,1476,$B$1)),DATE(VALUE(LEFT(I1477,FIND("-",I1477)-1)),VALUE(LEFT(J1477,FIND("-",J1477)-1)),VALUE(MID(J1477,FIND("-",J1477)+1,99)))))),"")</f>
        <v/>
      </c>
      <c r="C1477">
        <f>IF($C$1=0,0,IFERROR(VALUE(SUBSTITUTE(SUBSTITUTE(SUBSTITUTE(INDEX(貼り付け!$A$1:$BZ$3001,1476,$C$1)&amp;"",",",""),"¥",""),"￥","")),0))</f>
        <v/>
      </c>
      <c r="D1477">
        <f>IF($D$1=0,0,IFERROR(VALUE(SUBSTITUTE(SUBSTITUTE(SUBSTITUTE(INDEX(貼り付け!$A$1:$BZ$3001,1476,$D$1)&amp;"",",",""),"¥",""),"￥","")),0))</f>
        <v/>
      </c>
      <c r="E1477">
        <f>IF($E$1=0,0,IFERROR(VALUE(SUBSTITUTE(SUBSTITUTE(SUBSTITUTE(INDEX(貼り付け!$A$1:$BZ$3001,1476,$E$1)&amp;"",",",""),"¥",""),"￥","")),0))</f>
        <v/>
      </c>
      <c r="F1477">
        <f>IF($F$1=0,0,IFERROR(VALUE(SUBSTITUTE(SUBSTITUTE(SUBSTITUTE(INDEX(貼り付け!$A$1:$BZ$3001,1476,$F$1)&amp;"",",",""),"¥",""),"￥","")),0))</f>
        <v/>
      </c>
      <c r="G1477">
        <f>IF(ISNUMBER(B1477),YEAR(B1477),"")</f>
        <v/>
      </c>
      <c r="H1477">
        <f>IF(ISNUMBER(B1477),MONTH(B1477),"")</f>
        <v/>
      </c>
      <c r="I1477">
        <f>IFERROR(IF($B$1=0,"",IF(ISNUMBER(INDEX(貼り付け!$A$1:$BZ$3001,1476,$B$1)),"",SUBSTITUTE(SUBSTITUTE(SUBSTITUTE(SUBSTITUTE(TRIM(LEFT(INDEX(貼り付け!$A$1:$BZ$3001,1476,$B$1)&amp;"",FIND(" ",TRIM(INDEX(貼り付け!$A$1:$BZ$3001,1476,$B$1)&amp;"")&amp;" ")-1)),"/","-"),"年","-"),"月","-"),"日",""))),"")</f>
        <v/>
      </c>
      <c r="J1477">
        <f>IFERROR(MID(I1477,FIND("-",I1477)+1,99),"")</f>
        <v/>
      </c>
    </row>
    <row r="1478">
      <c r="B1478">
        <f>IFERROR(IF($B$1=0,"",IF(INDEX(貼り付け!$A$1:$BZ$3001,1477,$B$1)="","",IF(ISNUMBER(INDEX(貼り付け!$A$1:$BZ$3001,1477,$B$1)),INT(INDEX(貼り付け!$A$1:$BZ$3001,1477,$B$1)),DATE(VALUE(LEFT(I1478,FIND("-",I1478)-1)),VALUE(LEFT(J1478,FIND("-",J1478)-1)),VALUE(MID(J1478,FIND("-",J1478)+1,99)))))),"")</f>
        <v/>
      </c>
      <c r="C1478">
        <f>IF($C$1=0,0,IFERROR(VALUE(SUBSTITUTE(SUBSTITUTE(SUBSTITUTE(INDEX(貼り付け!$A$1:$BZ$3001,1477,$C$1)&amp;"",",",""),"¥",""),"￥","")),0))</f>
        <v/>
      </c>
      <c r="D1478">
        <f>IF($D$1=0,0,IFERROR(VALUE(SUBSTITUTE(SUBSTITUTE(SUBSTITUTE(INDEX(貼り付け!$A$1:$BZ$3001,1477,$D$1)&amp;"",",",""),"¥",""),"￥","")),0))</f>
        <v/>
      </c>
      <c r="E1478">
        <f>IF($E$1=0,0,IFERROR(VALUE(SUBSTITUTE(SUBSTITUTE(SUBSTITUTE(INDEX(貼り付け!$A$1:$BZ$3001,1477,$E$1)&amp;"",",",""),"¥",""),"￥","")),0))</f>
        <v/>
      </c>
      <c r="F1478">
        <f>IF($F$1=0,0,IFERROR(VALUE(SUBSTITUTE(SUBSTITUTE(SUBSTITUTE(INDEX(貼り付け!$A$1:$BZ$3001,1477,$F$1)&amp;"",",",""),"¥",""),"￥","")),0))</f>
        <v/>
      </c>
      <c r="G1478">
        <f>IF(ISNUMBER(B1478),YEAR(B1478),"")</f>
        <v/>
      </c>
      <c r="H1478">
        <f>IF(ISNUMBER(B1478),MONTH(B1478),"")</f>
        <v/>
      </c>
      <c r="I1478">
        <f>IFERROR(IF($B$1=0,"",IF(ISNUMBER(INDEX(貼り付け!$A$1:$BZ$3001,1477,$B$1)),"",SUBSTITUTE(SUBSTITUTE(SUBSTITUTE(SUBSTITUTE(TRIM(LEFT(INDEX(貼り付け!$A$1:$BZ$3001,1477,$B$1)&amp;"",FIND(" ",TRIM(INDEX(貼り付け!$A$1:$BZ$3001,1477,$B$1)&amp;"")&amp;" ")-1)),"/","-"),"年","-"),"月","-"),"日",""))),"")</f>
        <v/>
      </c>
      <c r="J1478">
        <f>IFERROR(MID(I1478,FIND("-",I1478)+1,99),"")</f>
        <v/>
      </c>
    </row>
    <row r="1479">
      <c r="B1479">
        <f>IFERROR(IF($B$1=0,"",IF(INDEX(貼り付け!$A$1:$BZ$3001,1478,$B$1)="","",IF(ISNUMBER(INDEX(貼り付け!$A$1:$BZ$3001,1478,$B$1)),INT(INDEX(貼り付け!$A$1:$BZ$3001,1478,$B$1)),DATE(VALUE(LEFT(I1479,FIND("-",I1479)-1)),VALUE(LEFT(J1479,FIND("-",J1479)-1)),VALUE(MID(J1479,FIND("-",J1479)+1,99)))))),"")</f>
        <v/>
      </c>
      <c r="C1479">
        <f>IF($C$1=0,0,IFERROR(VALUE(SUBSTITUTE(SUBSTITUTE(SUBSTITUTE(INDEX(貼り付け!$A$1:$BZ$3001,1478,$C$1)&amp;"",",",""),"¥",""),"￥","")),0))</f>
        <v/>
      </c>
      <c r="D1479">
        <f>IF($D$1=0,0,IFERROR(VALUE(SUBSTITUTE(SUBSTITUTE(SUBSTITUTE(INDEX(貼り付け!$A$1:$BZ$3001,1478,$D$1)&amp;"",",",""),"¥",""),"￥","")),0))</f>
        <v/>
      </c>
      <c r="E1479">
        <f>IF($E$1=0,0,IFERROR(VALUE(SUBSTITUTE(SUBSTITUTE(SUBSTITUTE(INDEX(貼り付け!$A$1:$BZ$3001,1478,$E$1)&amp;"",",",""),"¥",""),"￥","")),0))</f>
        <v/>
      </c>
      <c r="F1479">
        <f>IF($F$1=0,0,IFERROR(VALUE(SUBSTITUTE(SUBSTITUTE(SUBSTITUTE(INDEX(貼り付け!$A$1:$BZ$3001,1478,$F$1)&amp;"",",",""),"¥",""),"￥","")),0))</f>
        <v/>
      </c>
      <c r="G1479">
        <f>IF(ISNUMBER(B1479),YEAR(B1479),"")</f>
        <v/>
      </c>
      <c r="H1479">
        <f>IF(ISNUMBER(B1479),MONTH(B1479),"")</f>
        <v/>
      </c>
      <c r="I1479">
        <f>IFERROR(IF($B$1=0,"",IF(ISNUMBER(INDEX(貼り付け!$A$1:$BZ$3001,1478,$B$1)),"",SUBSTITUTE(SUBSTITUTE(SUBSTITUTE(SUBSTITUTE(TRIM(LEFT(INDEX(貼り付け!$A$1:$BZ$3001,1478,$B$1)&amp;"",FIND(" ",TRIM(INDEX(貼り付け!$A$1:$BZ$3001,1478,$B$1)&amp;"")&amp;" ")-1)),"/","-"),"年","-"),"月","-"),"日",""))),"")</f>
        <v/>
      </c>
      <c r="J1479">
        <f>IFERROR(MID(I1479,FIND("-",I1479)+1,99),"")</f>
        <v/>
      </c>
    </row>
    <row r="1480">
      <c r="B1480">
        <f>IFERROR(IF($B$1=0,"",IF(INDEX(貼り付け!$A$1:$BZ$3001,1479,$B$1)="","",IF(ISNUMBER(INDEX(貼り付け!$A$1:$BZ$3001,1479,$B$1)),INT(INDEX(貼り付け!$A$1:$BZ$3001,1479,$B$1)),DATE(VALUE(LEFT(I1480,FIND("-",I1480)-1)),VALUE(LEFT(J1480,FIND("-",J1480)-1)),VALUE(MID(J1480,FIND("-",J1480)+1,99)))))),"")</f>
        <v/>
      </c>
      <c r="C1480">
        <f>IF($C$1=0,0,IFERROR(VALUE(SUBSTITUTE(SUBSTITUTE(SUBSTITUTE(INDEX(貼り付け!$A$1:$BZ$3001,1479,$C$1)&amp;"",",",""),"¥",""),"￥","")),0))</f>
        <v/>
      </c>
      <c r="D1480">
        <f>IF($D$1=0,0,IFERROR(VALUE(SUBSTITUTE(SUBSTITUTE(SUBSTITUTE(INDEX(貼り付け!$A$1:$BZ$3001,1479,$D$1)&amp;"",",",""),"¥",""),"￥","")),0))</f>
        <v/>
      </c>
      <c r="E1480">
        <f>IF($E$1=0,0,IFERROR(VALUE(SUBSTITUTE(SUBSTITUTE(SUBSTITUTE(INDEX(貼り付け!$A$1:$BZ$3001,1479,$E$1)&amp;"",",",""),"¥",""),"￥","")),0))</f>
        <v/>
      </c>
      <c r="F1480">
        <f>IF($F$1=0,0,IFERROR(VALUE(SUBSTITUTE(SUBSTITUTE(SUBSTITUTE(INDEX(貼り付け!$A$1:$BZ$3001,1479,$F$1)&amp;"",",",""),"¥",""),"￥","")),0))</f>
        <v/>
      </c>
      <c r="G1480">
        <f>IF(ISNUMBER(B1480),YEAR(B1480),"")</f>
        <v/>
      </c>
      <c r="H1480">
        <f>IF(ISNUMBER(B1480),MONTH(B1480),"")</f>
        <v/>
      </c>
      <c r="I1480">
        <f>IFERROR(IF($B$1=0,"",IF(ISNUMBER(INDEX(貼り付け!$A$1:$BZ$3001,1479,$B$1)),"",SUBSTITUTE(SUBSTITUTE(SUBSTITUTE(SUBSTITUTE(TRIM(LEFT(INDEX(貼り付け!$A$1:$BZ$3001,1479,$B$1)&amp;"",FIND(" ",TRIM(INDEX(貼り付け!$A$1:$BZ$3001,1479,$B$1)&amp;"")&amp;" ")-1)),"/","-"),"年","-"),"月","-"),"日",""))),"")</f>
        <v/>
      </c>
      <c r="J1480">
        <f>IFERROR(MID(I1480,FIND("-",I1480)+1,99),"")</f>
        <v/>
      </c>
    </row>
    <row r="1481">
      <c r="B1481">
        <f>IFERROR(IF($B$1=0,"",IF(INDEX(貼り付け!$A$1:$BZ$3001,1480,$B$1)="","",IF(ISNUMBER(INDEX(貼り付け!$A$1:$BZ$3001,1480,$B$1)),INT(INDEX(貼り付け!$A$1:$BZ$3001,1480,$B$1)),DATE(VALUE(LEFT(I1481,FIND("-",I1481)-1)),VALUE(LEFT(J1481,FIND("-",J1481)-1)),VALUE(MID(J1481,FIND("-",J1481)+1,99)))))),"")</f>
        <v/>
      </c>
      <c r="C1481">
        <f>IF($C$1=0,0,IFERROR(VALUE(SUBSTITUTE(SUBSTITUTE(SUBSTITUTE(INDEX(貼り付け!$A$1:$BZ$3001,1480,$C$1)&amp;"",",",""),"¥",""),"￥","")),0))</f>
        <v/>
      </c>
      <c r="D1481">
        <f>IF($D$1=0,0,IFERROR(VALUE(SUBSTITUTE(SUBSTITUTE(SUBSTITUTE(INDEX(貼り付け!$A$1:$BZ$3001,1480,$D$1)&amp;"",",",""),"¥",""),"￥","")),0))</f>
        <v/>
      </c>
      <c r="E1481">
        <f>IF($E$1=0,0,IFERROR(VALUE(SUBSTITUTE(SUBSTITUTE(SUBSTITUTE(INDEX(貼り付け!$A$1:$BZ$3001,1480,$E$1)&amp;"",",",""),"¥",""),"￥","")),0))</f>
        <v/>
      </c>
      <c r="F1481">
        <f>IF($F$1=0,0,IFERROR(VALUE(SUBSTITUTE(SUBSTITUTE(SUBSTITUTE(INDEX(貼り付け!$A$1:$BZ$3001,1480,$F$1)&amp;"",",",""),"¥",""),"￥","")),0))</f>
        <v/>
      </c>
      <c r="G1481">
        <f>IF(ISNUMBER(B1481),YEAR(B1481),"")</f>
        <v/>
      </c>
      <c r="H1481">
        <f>IF(ISNUMBER(B1481),MONTH(B1481),"")</f>
        <v/>
      </c>
      <c r="I1481">
        <f>IFERROR(IF($B$1=0,"",IF(ISNUMBER(INDEX(貼り付け!$A$1:$BZ$3001,1480,$B$1)),"",SUBSTITUTE(SUBSTITUTE(SUBSTITUTE(SUBSTITUTE(TRIM(LEFT(INDEX(貼り付け!$A$1:$BZ$3001,1480,$B$1)&amp;"",FIND(" ",TRIM(INDEX(貼り付け!$A$1:$BZ$3001,1480,$B$1)&amp;"")&amp;" ")-1)),"/","-"),"年","-"),"月","-"),"日",""))),"")</f>
        <v/>
      </c>
      <c r="J1481">
        <f>IFERROR(MID(I1481,FIND("-",I1481)+1,99),"")</f>
        <v/>
      </c>
    </row>
    <row r="1482">
      <c r="B1482">
        <f>IFERROR(IF($B$1=0,"",IF(INDEX(貼り付け!$A$1:$BZ$3001,1481,$B$1)="","",IF(ISNUMBER(INDEX(貼り付け!$A$1:$BZ$3001,1481,$B$1)),INT(INDEX(貼り付け!$A$1:$BZ$3001,1481,$B$1)),DATE(VALUE(LEFT(I1482,FIND("-",I1482)-1)),VALUE(LEFT(J1482,FIND("-",J1482)-1)),VALUE(MID(J1482,FIND("-",J1482)+1,99)))))),"")</f>
        <v/>
      </c>
      <c r="C1482">
        <f>IF($C$1=0,0,IFERROR(VALUE(SUBSTITUTE(SUBSTITUTE(SUBSTITUTE(INDEX(貼り付け!$A$1:$BZ$3001,1481,$C$1)&amp;"",",",""),"¥",""),"￥","")),0))</f>
        <v/>
      </c>
      <c r="D1482">
        <f>IF($D$1=0,0,IFERROR(VALUE(SUBSTITUTE(SUBSTITUTE(SUBSTITUTE(INDEX(貼り付け!$A$1:$BZ$3001,1481,$D$1)&amp;"",",",""),"¥",""),"￥","")),0))</f>
        <v/>
      </c>
      <c r="E1482">
        <f>IF($E$1=0,0,IFERROR(VALUE(SUBSTITUTE(SUBSTITUTE(SUBSTITUTE(INDEX(貼り付け!$A$1:$BZ$3001,1481,$E$1)&amp;"",",",""),"¥",""),"￥","")),0))</f>
        <v/>
      </c>
      <c r="F1482">
        <f>IF($F$1=0,0,IFERROR(VALUE(SUBSTITUTE(SUBSTITUTE(SUBSTITUTE(INDEX(貼り付け!$A$1:$BZ$3001,1481,$F$1)&amp;"",",",""),"¥",""),"￥","")),0))</f>
        <v/>
      </c>
      <c r="G1482">
        <f>IF(ISNUMBER(B1482),YEAR(B1482),"")</f>
        <v/>
      </c>
      <c r="H1482">
        <f>IF(ISNUMBER(B1482),MONTH(B1482),"")</f>
        <v/>
      </c>
      <c r="I1482">
        <f>IFERROR(IF($B$1=0,"",IF(ISNUMBER(INDEX(貼り付け!$A$1:$BZ$3001,1481,$B$1)),"",SUBSTITUTE(SUBSTITUTE(SUBSTITUTE(SUBSTITUTE(TRIM(LEFT(INDEX(貼り付け!$A$1:$BZ$3001,1481,$B$1)&amp;"",FIND(" ",TRIM(INDEX(貼り付け!$A$1:$BZ$3001,1481,$B$1)&amp;"")&amp;" ")-1)),"/","-"),"年","-"),"月","-"),"日",""))),"")</f>
        <v/>
      </c>
      <c r="J1482">
        <f>IFERROR(MID(I1482,FIND("-",I1482)+1,99),"")</f>
        <v/>
      </c>
    </row>
    <row r="1483">
      <c r="B1483">
        <f>IFERROR(IF($B$1=0,"",IF(INDEX(貼り付け!$A$1:$BZ$3001,1482,$B$1)="","",IF(ISNUMBER(INDEX(貼り付け!$A$1:$BZ$3001,1482,$B$1)),INT(INDEX(貼り付け!$A$1:$BZ$3001,1482,$B$1)),DATE(VALUE(LEFT(I1483,FIND("-",I1483)-1)),VALUE(LEFT(J1483,FIND("-",J1483)-1)),VALUE(MID(J1483,FIND("-",J1483)+1,99)))))),"")</f>
        <v/>
      </c>
      <c r="C1483">
        <f>IF($C$1=0,0,IFERROR(VALUE(SUBSTITUTE(SUBSTITUTE(SUBSTITUTE(INDEX(貼り付け!$A$1:$BZ$3001,1482,$C$1)&amp;"",",",""),"¥",""),"￥","")),0))</f>
        <v/>
      </c>
      <c r="D1483">
        <f>IF($D$1=0,0,IFERROR(VALUE(SUBSTITUTE(SUBSTITUTE(SUBSTITUTE(INDEX(貼り付け!$A$1:$BZ$3001,1482,$D$1)&amp;"",",",""),"¥",""),"￥","")),0))</f>
        <v/>
      </c>
      <c r="E1483">
        <f>IF($E$1=0,0,IFERROR(VALUE(SUBSTITUTE(SUBSTITUTE(SUBSTITUTE(INDEX(貼り付け!$A$1:$BZ$3001,1482,$E$1)&amp;"",",",""),"¥",""),"￥","")),0))</f>
        <v/>
      </c>
      <c r="F1483">
        <f>IF($F$1=0,0,IFERROR(VALUE(SUBSTITUTE(SUBSTITUTE(SUBSTITUTE(INDEX(貼り付け!$A$1:$BZ$3001,1482,$F$1)&amp;"",",",""),"¥",""),"￥","")),0))</f>
        <v/>
      </c>
      <c r="G1483">
        <f>IF(ISNUMBER(B1483),YEAR(B1483),"")</f>
        <v/>
      </c>
      <c r="H1483">
        <f>IF(ISNUMBER(B1483),MONTH(B1483),"")</f>
        <v/>
      </c>
      <c r="I1483">
        <f>IFERROR(IF($B$1=0,"",IF(ISNUMBER(INDEX(貼り付け!$A$1:$BZ$3001,1482,$B$1)),"",SUBSTITUTE(SUBSTITUTE(SUBSTITUTE(SUBSTITUTE(TRIM(LEFT(INDEX(貼り付け!$A$1:$BZ$3001,1482,$B$1)&amp;"",FIND(" ",TRIM(INDEX(貼り付け!$A$1:$BZ$3001,1482,$B$1)&amp;"")&amp;" ")-1)),"/","-"),"年","-"),"月","-"),"日",""))),"")</f>
        <v/>
      </c>
      <c r="J1483">
        <f>IFERROR(MID(I1483,FIND("-",I1483)+1,99),"")</f>
        <v/>
      </c>
    </row>
    <row r="1484">
      <c r="B1484">
        <f>IFERROR(IF($B$1=0,"",IF(INDEX(貼り付け!$A$1:$BZ$3001,1483,$B$1)="","",IF(ISNUMBER(INDEX(貼り付け!$A$1:$BZ$3001,1483,$B$1)),INT(INDEX(貼り付け!$A$1:$BZ$3001,1483,$B$1)),DATE(VALUE(LEFT(I1484,FIND("-",I1484)-1)),VALUE(LEFT(J1484,FIND("-",J1484)-1)),VALUE(MID(J1484,FIND("-",J1484)+1,99)))))),"")</f>
        <v/>
      </c>
      <c r="C1484">
        <f>IF($C$1=0,0,IFERROR(VALUE(SUBSTITUTE(SUBSTITUTE(SUBSTITUTE(INDEX(貼り付け!$A$1:$BZ$3001,1483,$C$1)&amp;"",",",""),"¥",""),"￥","")),0))</f>
        <v/>
      </c>
      <c r="D1484">
        <f>IF($D$1=0,0,IFERROR(VALUE(SUBSTITUTE(SUBSTITUTE(SUBSTITUTE(INDEX(貼り付け!$A$1:$BZ$3001,1483,$D$1)&amp;"",",",""),"¥",""),"￥","")),0))</f>
        <v/>
      </c>
      <c r="E1484">
        <f>IF($E$1=0,0,IFERROR(VALUE(SUBSTITUTE(SUBSTITUTE(SUBSTITUTE(INDEX(貼り付け!$A$1:$BZ$3001,1483,$E$1)&amp;"",",",""),"¥",""),"￥","")),0))</f>
        <v/>
      </c>
      <c r="F1484">
        <f>IF($F$1=0,0,IFERROR(VALUE(SUBSTITUTE(SUBSTITUTE(SUBSTITUTE(INDEX(貼り付け!$A$1:$BZ$3001,1483,$F$1)&amp;"",",",""),"¥",""),"￥","")),0))</f>
        <v/>
      </c>
      <c r="G1484">
        <f>IF(ISNUMBER(B1484),YEAR(B1484),"")</f>
        <v/>
      </c>
      <c r="H1484">
        <f>IF(ISNUMBER(B1484),MONTH(B1484),"")</f>
        <v/>
      </c>
      <c r="I1484">
        <f>IFERROR(IF($B$1=0,"",IF(ISNUMBER(INDEX(貼り付け!$A$1:$BZ$3001,1483,$B$1)),"",SUBSTITUTE(SUBSTITUTE(SUBSTITUTE(SUBSTITUTE(TRIM(LEFT(INDEX(貼り付け!$A$1:$BZ$3001,1483,$B$1)&amp;"",FIND(" ",TRIM(INDEX(貼り付け!$A$1:$BZ$3001,1483,$B$1)&amp;"")&amp;" ")-1)),"/","-"),"年","-"),"月","-"),"日",""))),"")</f>
        <v/>
      </c>
      <c r="J1484">
        <f>IFERROR(MID(I1484,FIND("-",I1484)+1,99),"")</f>
        <v/>
      </c>
    </row>
    <row r="1485">
      <c r="B1485">
        <f>IFERROR(IF($B$1=0,"",IF(INDEX(貼り付け!$A$1:$BZ$3001,1484,$B$1)="","",IF(ISNUMBER(INDEX(貼り付け!$A$1:$BZ$3001,1484,$B$1)),INT(INDEX(貼り付け!$A$1:$BZ$3001,1484,$B$1)),DATE(VALUE(LEFT(I1485,FIND("-",I1485)-1)),VALUE(LEFT(J1485,FIND("-",J1485)-1)),VALUE(MID(J1485,FIND("-",J1485)+1,99)))))),"")</f>
        <v/>
      </c>
      <c r="C1485">
        <f>IF($C$1=0,0,IFERROR(VALUE(SUBSTITUTE(SUBSTITUTE(SUBSTITUTE(INDEX(貼り付け!$A$1:$BZ$3001,1484,$C$1)&amp;"",",",""),"¥",""),"￥","")),0))</f>
        <v/>
      </c>
      <c r="D1485">
        <f>IF($D$1=0,0,IFERROR(VALUE(SUBSTITUTE(SUBSTITUTE(SUBSTITUTE(INDEX(貼り付け!$A$1:$BZ$3001,1484,$D$1)&amp;"",",",""),"¥",""),"￥","")),0))</f>
        <v/>
      </c>
      <c r="E1485">
        <f>IF($E$1=0,0,IFERROR(VALUE(SUBSTITUTE(SUBSTITUTE(SUBSTITUTE(INDEX(貼り付け!$A$1:$BZ$3001,1484,$E$1)&amp;"",",",""),"¥",""),"￥","")),0))</f>
        <v/>
      </c>
      <c r="F1485">
        <f>IF($F$1=0,0,IFERROR(VALUE(SUBSTITUTE(SUBSTITUTE(SUBSTITUTE(INDEX(貼り付け!$A$1:$BZ$3001,1484,$F$1)&amp;"",",",""),"¥",""),"￥","")),0))</f>
        <v/>
      </c>
      <c r="G1485">
        <f>IF(ISNUMBER(B1485),YEAR(B1485),"")</f>
        <v/>
      </c>
      <c r="H1485">
        <f>IF(ISNUMBER(B1485),MONTH(B1485),"")</f>
        <v/>
      </c>
      <c r="I1485">
        <f>IFERROR(IF($B$1=0,"",IF(ISNUMBER(INDEX(貼り付け!$A$1:$BZ$3001,1484,$B$1)),"",SUBSTITUTE(SUBSTITUTE(SUBSTITUTE(SUBSTITUTE(TRIM(LEFT(INDEX(貼り付け!$A$1:$BZ$3001,1484,$B$1)&amp;"",FIND(" ",TRIM(INDEX(貼り付け!$A$1:$BZ$3001,1484,$B$1)&amp;"")&amp;" ")-1)),"/","-"),"年","-"),"月","-"),"日",""))),"")</f>
        <v/>
      </c>
      <c r="J1485">
        <f>IFERROR(MID(I1485,FIND("-",I1485)+1,99),"")</f>
        <v/>
      </c>
    </row>
    <row r="1486">
      <c r="B1486">
        <f>IFERROR(IF($B$1=0,"",IF(INDEX(貼り付け!$A$1:$BZ$3001,1485,$B$1)="","",IF(ISNUMBER(INDEX(貼り付け!$A$1:$BZ$3001,1485,$B$1)),INT(INDEX(貼り付け!$A$1:$BZ$3001,1485,$B$1)),DATE(VALUE(LEFT(I1486,FIND("-",I1486)-1)),VALUE(LEFT(J1486,FIND("-",J1486)-1)),VALUE(MID(J1486,FIND("-",J1486)+1,99)))))),"")</f>
        <v/>
      </c>
      <c r="C1486">
        <f>IF($C$1=0,0,IFERROR(VALUE(SUBSTITUTE(SUBSTITUTE(SUBSTITUTE(INDEX(貼り付け!$A$1:$BZ$3001,1485,$C$1)&amp;"",",",""),"¥",""),"￥","")),0))</f>
        <v/>
      </c>
      <c r="D1486">
        <f>IF($D$1=0,0,IFERROR(VALUE(SUBSTITUTE(SUBSTITUTE(SUBSTITUTE(INDEX(貼り付け!$A$1:$BZ$3001,1485,$D$1)&amp;"",",",""),"¥",""),"￥","")),0))</f>
        <v/>
      </c>
      <c r="E1486">
        <f>IF($E$1=0,0,IFERROR(VALUE(SUBSTITUTE(SUBSTITUTE(SUBSTITUTE(INDEX(貼り付け!$A$1:$BZ$3001,1485,$E$1)&amp;"",",",""),"¥",""),"￥","")),0))</f>
        <v/>
      </c>
      <c r="F1486">
        <f>IF($F$1=0,0,IFERROR(VALUE(SUBSTITUTE(SUBSTITUTE(SUBSTITUTE(INDEX(貼り付け!$A$1:$BZ$3001,1485,$F$1)&amp;"",",",""),"¥",""),"￥","")),0))</f>
        <v/>
      </c>
      <c r="G1486">
        <f>IF(ISNUMBER(B1486),YEAR(B1486),"")</f>
        <v/>
      </c>
      <c r="H1486">
        <f>IF(ISNUMBER(B1486),MONTH(B1486),"")</f>
        <v/>
      </c>
      <c r="I1486">
        <f>IFERROR(IF($B$1=0,"",IF(ISNUMBER(INDEX(貼り付け!$A$1:$BZ$3001,1485,$B$1)),"",SUBSTITUTE(SUBSTITUTE(SUBSTITUTE(SUBSTITUTE(TRIM(LEFT(INDEX(貼り付け!$A$1:$BZ$3001,1485,$B$1)&amp;"",FIND(" ",TRIM(INDEX(貼り付け!$A$1:$BZ$3001,1485,$B$1)&amp;"")&amp;" ")-1)),"/","-"),"年","-"),"月","-"),"日",""))),"")</f>
        <v/>
      </c>
      <c r="J1486">
        <f>IFERROR(MID(I1486,FIND("-",I1486)+1,99),"")</f>
        <v/>
      </c>
    </row>
    <row r="1487">
      <c r="B1487">
        <f>IFERROR(IF($B$1=0,"",IF(INDEX(貼り付け!$A$1:$BZ$3001,1486,$B$1)="","",IF(ISNUMBER(INDEX(貼り付け!$A$1:$BZ$3001,1486,$B$1)),INT(INDEX(貼り付け!$A$1:$BZ$3001,1486,$B$1)),DATE(VALUE(LEFT(I1487,FIND("-",I1487)-1)),VALUE(LEFT(J1487,FIND("-",J1487)-1)),VALUE(MID(J1487,FIND("-",J1487)+1,99)))))),"")</f>
        <v/>
      </c>
      <c r="C1487">
        <f>IF($C$1=0,0,IFERROR(VALUE(SUBSTITUTE(SUBSTITUTE(SUBSTITUTE(INDEX(貼り付け!$A$1:$BZ$3001,1486,$C$1)&amp;"",",",""),"¥",""),"￥","")),0))</f>
        <v/>
      </c>
      <c r="D1487">
        <f>IF($D$1=0,0,IFERROR(VALUE(SUBSTITUTE(SUBSTITUTE(SUBSTITUTE(INDEX(貼り付け!$A$1:$BZ$3001,1486,$D$1)&amp;"",",",""),"¥",""),"￥","")),0))</f>
        <v/>
      </c>
      <c r="E1487">
        <f>IF($E$1=0,0,IFERROR(VALUE(SUBSTITUTE(SUBSTITUTE(SUBSTITUTE(INDEX(貼り付け!$A$1:$BZ$3001,1486,$E$1)&amp;"",",",""),"¥",""),"￥","")),0))</f>
        <v/>
      </c>
      <c r="F1487">
        <f>IF($F$1=0,0,IFERROR(VALUE(SUBSTITUTE(SUBSTITUTE(SUBSTITUTE(INDEX(貼り付け!$A$1:$BZ$3001,1486,$F$1)&amp;"",",",""),"¥",""),"￥","")),0))</f>
        <v/>
      </c>
      <c r="G1487">
        <f>IF(ISNUMBER(B1487),YEAR(B1487),"")</f>
        <v/>
      </c>
      <c r="H1487">
        <f>IF(ISNUMBER(B1487),MONTH(B1487),"")</f>
        <v/>
      </c>
      <c r="I1487">
        <f>IFERROR(IF($B$1=0,"",IF(ISNUMBER(INDEX(貼り付け!$A$1:$BZ$3001,1486,$B$1)),"",SUBSTITUTE(SUBSTITUTE(SUBSTITUTE(SUBSTITUTE(TRIM(LEFT(INDEX(貼り付け!$A$1:$BZ$3001,1486,$B$1)&amp;"",FIND(" ",TRIM(INDEX(貼り付け!$A$1:$BZ$3001,1486,$B$1)&amp;"")&amp;" ")-1)),"/","-"),"年","-"),"月","-"),"日",""))),"")</f>
        <v/>
      </c>
      <c r="J1487">
        <f>IFERROR(MID(I1487,FIND("-",I1487)+1,99),"")</f>
        <v/>
      </c>
    </row>
    <row r="1488">
      <c r="B1488">
        <f>IFERROR(IF($B$1=0,"",IF(INDEX(貼り付け!$A$1:$BZ$3001,1487,$B$1)="","",IF(ISNUMBER(INDEX(貼り付け!$A$1:$BZ$3001,1487,$B$1)),INT(INDEX(貼り付け!$A$1:$BZ$3001,1487,$B$1)),DATE(VALUE(LEFT(I1488,FIND("-",I1488)-1)),VALUE(LEFT(J1488,FIND("-",J1488)-1)),VALUE(MID(J1488,FIND("-",J1488)+1,99)))))),"")</f>
        <v/>
      </c>
      <c r="C1488">
        <f>IF($C$1=0,0,IFERROR(VALUE(SUBSTITUTE(SUBSTITUTE(SUBSTITUTE(INDEX(貼り付け!$A$1:$BZ$3001,1487,$C$1)&amp;"",",",""),"¥",""),"￥","")),0))</f>
        <v/>
      </c>
      <c r="D1488">
        <f>IF($D$1=0,0,IFERROR(VALUE(SUBSTITUTE(SUBSTITUTE(SUBSTITUTE(INDEX(貼り付け!$A$1:$BZ$3001,1487,$D$1)&amp;"",",",""),"¥",""),"￥","")),0))</f>
        <v/>
      </c>
      <c r="E1488">
        <f>IF($E$1=0,0,IFERROR(VALUE(SUBSTITUTE(SUBSTITUTE(SUBSTITUTE(INDEX(貼り付け!$A$1:$BZ$3001,1487,$E$1)&amp;"",",",""),"¥",""),"￥","")),0))</f>
        <v/>
      </c>
      <c r="F1488">
        <f>IF($F$1=0,0,IFERROR(VALUE(SUBSTITUTE(SUBSTITUTE(SUBSTITUTE(INDEX(貼り付け!$A$1:$BZ$3001,1487,$F$1)&amp;"",",",""),"¥",""),"￥","")),0))</f>
        <v/>
      </c>
      <c r="G1488">
        <f>IF(ISNUMBER(B1488),YEAR(B1488),"")</f>
        <v/>
      </c>
      <c r="H1488">
        <f>IF(ISNUMBER(B1488),MONTH(B1488),"")</f>
        <v/>
      </c>
      <c r="I1488">
        <f>IFERROR(IF($B$1=0,"",IF(ISNUMBER(INDEX(貼り付け!$A$1:$BZ$3001,1487,$B$1)),"",SUBSTITUTE(SUBSTITUTE(SUBSTITUTE(SUBSTITUTE(TRIM(LEFT(INDEX(貼り付け!$A$1:$BZ$3001,1487,$B$1)&amp;"",FIND(" ",TRIM(INDEX(貼り付け!$A$1:$BZ$3001,1487,$B$1)&amp;"")&amp;" ")-1)),"/","-"),"年","-"),"月","-"),"日",""))),"")</f>
        <v/>
      </c>
      <c r="J1488">
        <f>IFERROR(MID(I1488,FIND("-",I1488)+1,99),"")</f>
        <v/>
      </c>
    </row>
    <row r="1489">
      <c r="B1489">
        <f>IFERROR(IF($B$1=0,"",IF(INDEX(貼り付け!$A$1:$BZ$3001,1488,$B$1)="","",IF(ISNUMBER(INDEX(貼り付け!$A$1:$BZ$3001,1488,$B$1)),INT(INDEX(貼り付け!$A$1:$BZ$3001,1488,$B$1)),DATE(VALUE(LEFT(I1489,FIND("-",I1489)-1)),VALUE(LEFT(J1489,FIND("-",J1489)-1)),VALUE(MID(J1489,FIND("-",J1489)+1,99)))))),"")</f>
        <v/>
      </c>
      <c r="C1489">
        <f>IF($C$1=0,0,IFERROR(VALUE(SUBSTITUTE(SUBSTITUTE(SUBSTITUTE(INDEX(貼り付け!$A$1:$BZ$3001,1488,$C$1)&amp;"",",",""),"¥",""),"￥","")),0))</f>
        <v/>
      </c>
      <c r="D1489">
        <f>IF($D$1=0,0,IFERROR(VALUE(SUBSTITUTE(SUBSTITUTE(SUBSTITUTE(INDEX(貼り付け!$A$1:$BZ$3001,1488,$D$1)&amp;"",",",""),"¥",""),"￥","")),0))</f>
        <v/>
      </c>
      <c r="E1489">
        <f>IF($E$1=0,0,IFERROR(VALUE(SUBSTITUTE(SUBSTITUTE(SUBSTITUTE(INDEX(貼り付け!$A$1:$BZ$3001,1488,$E$1)&amp;"",",",""),"¥",""),"￥","")),0))</f>
        <v/>
      </c>
      <c r="F1489">
        <f>IF($F$1=0,0,IFERROR(VALUE(SUBSTITUTE(SUBSTITUTE(SUBSTITUTE(INDEX(貼り付け!$A$1:$BZ$3001,1488,$F$1)&amp;"",",",""),"¥",""),"￥","")),0))</f>
        <v/>
      </c>
      <c r="G1489">
        <f>IF(ISNUMBER(B1489),YEAR(B1489),"")</f>
        <v/>
      </c>
      <c r="H1489">
        <f>IF(ISNUMBER(B1489),MONTH(B1489),"")</f>
        <v/>
      </c>
      <c r="I1489">
        <f>IFERROR(IF($B$1=0,"",IF(ISNUMBER(INDEX(貼り付け!$A$1:$BZ$3001,1488,$B$1)),"",SUBSTITUTE(SUBSTITUTE(SUBSTITUTE(SUBSTITUTE(TRIM(LEFT(INDEX(貼り付け!$A$1:$BZ$3001,1488,$B$1)&amp;"",FIND(" ",TRIM(INDEX(貼り付け!$A$1:$BZ$3001,1488,$B$1)&amp;"")&amp;" ")-1)),"/","-"),"年","-"),"月","-"),"日",""))),"")</f>
        <v/>
      </c>
      <c r="J1489">
        <f>IFERROR(MID(I1489,FIND("-",I1489)+1,99),"")</f>
        <v/>
      </c>
    </row>
    <row r="1490">
      <c r="B1490">
        <f>IFERROR(IF($B$1=0,"",IF(INDEX(貼り付け!$A$1:$BZ$3001,1489,$B$1)="","",IF(ISNUMBER(INDEX(貼り付け!$A$1:$BZ$3001,1489,$B$1)),INT(INDEX(貼り付け!$A$1:$BZ$3001,1489,$B$1)),DATE(VALUE(LEFT(I1490,FIND("-",I1490)-1)),VALUE(LEFT(J1490,FIND("-",J1490)-1)),VALUE(MID(J1490,FIND("-",J1490)+1,99)))))),"")</f>
        <v/>
      </c>
      <c r="C1490">
        <f>IF($C$1=0,0,IFERROR(VALUE(SUBSTITUTE(SUBSTITUTE(SUBSTITUTE(INDEX(貼り付け!$A$1:$BZ$3001,1489,$C$1)&amp;"",",",""),"¥",""),"￥","")),0))</f>
        <v/>
      </c>
      <c r="D1490">
        <f>IF($D$1=0,0,IFERROR(VALUE(SUBSTITUTE(SUBSTITUTE(SUBSTITUTE(INDEX(貼り付け!$A$1:$BZ$3001,1489,$D$1)&amp;"",",",""),"¥",""),"￥","")),0))</f>
        <v/>
      </c>
      <c r="E1490">
        <f>IF($E$1=0,0,IFERROR(VALUE(SUBSTITUTE(SUBSTITUTE(SUBSTITUTE(INDEX(貼り付け!$A$1:$BZ$3001,1489,$E$1)&amp;"",",",""),"¥",""),"￥","")),0))</f>
        <v/>
      </c>
      <c r="F1490">
        <f>IF($F$1=0,0,IFERROR(VALUE(SUBSTITUTE(SUBSTITUTE(SUBSTITUTE(INDEX(貼り付け!$A$1:$BZ$3001,1489,$F$1)&amp;"",",",""),"¥",""),"￥","")),0))</f>
        <v/>
      </c>
      <c r="G1490">
        <f>IF(ISNUMBER(B1490),YEAR(B1490),"")</f>
        <v/>
      </c>
      <c r="H1490">
        <f>IF(ISNUMBER(B1490),MONTH(B1490),"")</f>
        <v/>
      </c>
      <c r="I1490">
        <f>IFERROR(IF($B$1=0,"",IF(ISNUMBER(INDEX(貼り付け!$A$1:$BZ$3001,1489,$B$1)),"",SUBSTITUTE(SUBSTITUTE(SUBSTITUTE(SUBSTITUTE(TRIM(LEFT(INDEX(貼り付け!$A$1:$BZ$3001,1489,$B$1)&amp;"",FIND(" ",TRIM(INDEX(貼り付け!$A$1:$BZ$3001,1489,$B$1)&amp;"")&amp;" ")-1)),"/","-"),"年","-"),"月","-"),"日",""))),"")</f>
        <v/>
      </c>
      <c r="J1490">
        <f>IFERROR(MID(I1490,FIND("-",I1490)+1,99),"")</f>
        <v/>
      </c>
    </row>
    <row r="1491">
      <c r="B1491">
        <f>IFERROR(IF($B$1=0,"",IF(INDEX(貼り付け!$A$1:$BZ$3001,1490,$B$1)="","",IF(ISNUMBER(INDEX(貼り付け!$A$1:$BZ$3001,1490,$B$1)),INT(INDEX(貼り付け!$A$1:$BZ$3001,1490,$B$1)),DATE(VALUE(LEFT(I1491,FIND("-",I1491)-1)),VALUE(LEFT(J1491,FIND("-",J1491)-1)),VALUE(MID(J1491,FIND("-",J1491)+1,99)))))),"")</f>
        <v/>
      </c>
      <c r="C1491">
        <f>IF($C$1=0,0,IFERROR(VALUE(SUBSTITUTE(SUBSTITUTE(SUBSTITUTE(INDEX(貼り付け!$A$1:$BZ$3001,1490,$C$1)&amp;"",",",""),"¥",""),"￥","")),0))</f>
        <v/>
      </c>
      <c r="D1491">
        <f>IF($D$1=0,0,IFERROR(VALUE(SUBSTITUTE(SUBSTITUTE(SUBSTITUTE(INDEX(貼り付け!$A$1:$BZ$3001,1490,$D$1)&amp;"",",",""),"¥",""),"￥","")),0))</f>
        <v/>
      </c>
      <c r="E1491">
        <f>IF($E$1=0,0,IFERROR(VALUE(SUBSTITUTE(SUBSTITUTE(SUBSTITUTE(INDEX(貼り付け!$A$1:$BZ$3001,1490,$E$1)&amp;"",",",""),"¥",""),"￥","")),0))</f>
        <v/>
      </c>
      <c r="F1491">
        <f>IF($F$1=0,0,IFERROR(VALUE(SUBSTITUTE(SUBSTITUTE(SUBSTITUTE(INDEX(貼り付け!$A$1:$BZ$3001,1490,$F$1)&amp;"",",",""),"¥",""),"￥","")),0))</f>
        <v/>
      </c>
      <c r="G1491">
        <f>IF(ISNUMBER(B1491),YEAR(B1491),"")</f>
        <v/>
      </c>
      <c r="H1491">
        <f>IF(ISNUMBER(B1491),MONTH(B1491),"")</f>
        <v/>
      </c>
      <c r="I1491">
        <f>IFERROR(IF($B$1=0,"",IF(ISNUMBER(INDEX(貼り付け!$A$1:$BZ$3001,1490,$B$1)),"",SUBSTITUTE(SUBSTITUTE(SUBSTITUTE(SUBSTITUTE(TRIM(LEFT(INDEX(貼り付け!$A$1:$BZ$3001,1490,$B$1)&amp;"",FIND(" ",TRIM(INDEX(貼り付け!$A$1:$BZ$3001,1490,$B$1)&amp;"")&amp;" ")-1)),"/","-"),"年","-"),"月","-"),"日",""))),"")</f>
        <v/>
      </c>
      <c r="J1491">
        <f>IFERROR(MID(I1491,FIND("-",I1491)+1,99),"")</f>
        <v/>
      </c>
    </row>
    <row r="1492">
      <c r="B1492">
        <f>IFERROR(IF($B$1=0,"",IF(INDEX(貼り付け!$A$1:$BZ$3001,1491,$B$1)="","",IF(ISNUMBER(INDEX(貼り付け!$A$1:$BZ$3001,1491,$B$1)),INT(INDEX(貼り付け!$A$1:$BZ$3001,1491,$B$1)),DATE(VALUE(LEFT(I1492,FIND("-",I1492)-1)),VALUE(LEFT(J1492,FIND("-",J1492)-1)),VALUE(MID(J1492,FIND("-",J1492)+1,99)))))),"")</f>
        <v/>
      </c>
      <c r="C1492">
        <f>IF($C$1=0,0,IFERROR(VALUE(SUBSTITUTE(SUBSTITUTE(SUBSTITUTE(INDEX(貼り付け!$A$1:$BZ$3001,1491,$C$1)&amp;"",",",""),"¥",""),"￥","")),0))</f>
        <v/>
      </c>
      <c r="D1492">
        <f>IF($D$1=0,0,IFERROR(VALUE(SUBSTITUTE(SUBSTITUTE(SUBSTITUTE(INDEX(貼り付け!$A$1:$BZ$3001,1491,$D$1)&amp;"",",",""),"¥",""),"￥","")),0))</f>
        <v/>
      </c>
      <c r="E1492">
        <f>IF($E$1=0,0,IFERROR(VALUE(SUBSTITUTE(SUBSTITUTE(SUBSTITUTE(INDEX(貼り付け!$A$1:$BZ$3001,1491,$E$1)&amp;"",",",""),"¥",""),"￥","")),0))</f>
        <v/>
      </c>
      <c r="F1492">
        <f>IF($F$1=0,0,IFERROR(VALUE(SUBSTITUTE(SUBSTITUTE(SUBSTITUTE(INDEX(貼り付け!$A$1:$BZ$3001,1491,$F$1)&amp;"",",",""),"¥",""),"￥","")),0))</f>
        <v/>
      </c>
      <c r="G1492">
        <f>IF(ISNUMBER(B1492),YEAR(B1492),"")</f>
        <v/>
      </c>
      <c r="H1492">
        <f>IF(ISNUMBER(B1492),MONTH(B1492),"")</f>
        <v/>
      </c>
      <c r="I1492">
        <f>IFERROR(IF($B$1=0,"",IF(ISNUMBER(INDEX(貼り付け!$A$1:$BZ$3001,1491,$B$1)),"",SUBSTITUTE(SUBSTITUTE(SUBSTITUTE(SUBSTITUTE(TRIM(LEFT(INDEX(貼り付け!$A$1:$BZ$3001,1491,$B$1)&amp;"",FIND(" ",TRIM(INDEX(貼り付け!$A$1:$BZ$3001,1491,$B$1)&amp;"")&amp;" ")-1)),"/","-"),"年","-"),"月","-"),"日",""))),"")</f>
        <v/>
      </c>
      <c r="J1492">
        <f>IFERROR(MID(I1492,FIND("-",I1492)+1,99),"")</f>
        <v/>
      </c>
    </row>
    <row r="1493">
      <c r="B1493">
        <f>IFERROR(IF($B$1=0,"",IF(INDEX(貼り付け!$A$1:$BZ$3001,1492,$B$1)="","",IF(ISNUMBER(INDEX(貼り付け!$A$1:$BZ$3001,1492,$B$1)),INT(INDEX(貼り付け!$A$1:$BZ$3001,1492,$B$1)),DATE(VALUE(LEFT(I1493,FIND("-",I1493)-1)),VALUE(LEFT(J1493,FIND("-",J1493)-1)),VALUE(MID(J1493,FIND("-",J1493)+1,99)))))),"")</f>
        <v/>
      </c>
      <c r="C1493">
        <f>IF($C$1=0,0,IFERROR(VALUE(SUBSTITUTE(SUBSTITUTE(SUBSTITUTE(INDEX(貼り付け!$A$1:$BZ$3001,1492,$C$1)&amp;"",",",""),"¥",""),"￥","")),0))</f>
        <v/>
      </c>
      <c r="D1493">
        <f>IF($D$1=0,0,IFERROR(VALUE(SUBSTITUTE(SUBSTITUTE(SUBSTITUTE(INDEX(貼り付け!$A$1:$BZ$3001,1492,$D$1)&amp;"",",",""),"¥",""),"￥","")),0))</f>
        <v/>
      </c>
      <c r="E1493">
        <f>IF($E$1=0,0,IFERROR(VALUE(SUBSTITUTE(SUBSTITUTE(SUBSTITUTE(INDEX(貼り付け!$A$1:$BZ$3001,1492,$E$1)&amp;"",",",""),"¥",""),"￥","")),0))</f>
        <v/>
      </c>
      <c r="F1493">
        <f>IF($F$1=0,0,IFERROR(VALUE(SUBSTITUTE(SUBSTITUTE(SUBSTITUTE(INDEX(貼り付け!$A$1:$BZ$3001,1492,$F$1)&amp;"",",",""),"¥",""),"￥","")),0))</f>
        <v/>
      </c>
      <c r="G1493">
        <f>IF(ISNUMBER(B1493),YEAR(B1493),"")</f>
        <v/>
      </c>
      <c r="H1493">
        <f>IF(ISNUMBER(B1493),MONTH(B1493),"")</f>
        <v/>
      </c>
      <c r="I1493">
        <f>IFERROR(IF($B$1=0,"",IF(ISNUMBER(INDEX(貼り付け!$A$1:$BZ$3001,1492,$B$1)),"",SUBSTITUTE(SUBSTITUTE(SUBSTITUTE(SUBSTITUTE(TRIM(LEFT(INDEX(貼り付け!$A$1:$BZ$3001,1492,$B$1)&amp;"",FIND(" ",TRIM(INDEX(貼り付け!$A$1:$BZ$3001,1492,$B$1)&amp;"")&amp;" ")-1)),"/","-"),"年","-"),"月","-"),"日",""))),"")</f>
        <v/>
      </c>
      <c r="J1493">
        <f>IFERROR(MID(I1493,FIND("-",I1493)+1,99),"")</f>
        <v/>
      </c>
    </row>
    <row r="1494">
      <c r="B1494">
        <f>IFERROR(IF($B$1=0,"",IF(INDEX(貼り付け!$A$1:$BZ$3001,1493,$B$1)="","",IF(ISNUMBER(INDEX(貼り付け!$A$1:$BZ$3001,1493,$B$1)),INT(INDEX(貼り付け!$A$1:$BZ$3001,1493,$B$1)),DATE(VALUE(LEFT(I1494,FIND("-",I1494)-1)),VALUE(LEFT(J1494,FIND("-",J1494)-1)),VALUE(MID(J1494,FIND("-",J1494)+1,99)))))),"")</f>
        <v/>
      </c>
      <c r="C1494">
        <f>IF($C$1=0,0,IFERROR(VALUE(SUBSTITUTE(SUBSTITUTE(SUBSTITUTE(INDEX(貼り付け!$A$1:$BZ$3001,1493,$C$1)&amp;"",",",""),"¥",""),"￥","")),0))</f>
        <v/>
      </c>
      <c r="D1494">
        <f>IF($D$1=0,0,IFERROR(VALUE(SUBSTITUTE(SUBSTITUTE(SUBSTITUTE(INDEX(貼り付け!$A$1:$BZ$3001,1493,$D$1)&amp;"",",",""),"¥",""),"￥","")),0))</f>
        <v/>
      </c>
      <c r="E1494">
        <f>IF($E$1=0,0,IFERROR(VALUE(SUBSTITUTE(SUBSTITUTE(SUBSTITUTE(INDEX(貼り付け!$A$1:$BZ$3001,1493,$E$1)&amp;"",",",""),"¥",""),"￥","")),0))</f>
        <v/>
      </c>
      <c r="F1494">
        <f>IF($F$1=0,0,IFERROR(VALUE(SUBSTITUTE(SUBSTITUTE(SUBSTITUTE(INDEX(貼り付け!$A$1:$BZ$3001,1493,$F$1)&amp;"",",",""),"¥",""),"￥","")),0))</f>
        <v/>
      </c>
      <c r="G1494">
        <f>IF(ISNUMBER(B1494),YEAR(B1494),"")</f>
        <v/>
      </c>
      <c r="H1494">
        <f>IF(ISNUMBER(B1494),MONTH(B1494),"")</f>
        <v/>
      </c>
      <c r="I1494">
        <f>IFERROR(IF($B$1=0,"",IF(ISNUMBER(INDEX(貼り付け!$A$1:$BZ$3001,1493,$B$1)),"",SUBSTITUTE(SUBSTITUTE(SUBSTITUTE(SUBSTITUTE(TRIM(LEFT(INDEX(貼り付け!$A$1:$BZ$3001,1493,$B$1)&amp;"",FIND(" ",TRIM(INDEX(貼り付け!$A$1:$BZ$3001,1493,$B$1)&amp;"")&amp;" ")-1)),"/","-"),"年","-"),"月","-"),"日",""))),"")</f>
        <v/>
      </c>
      <c r="J1494">
        <f>IFERROR(MID(I1494,FIND("-",I1494)+1,99),"")</f>
        <v/>
      </c>
    </row>
    <row r="1495">
      <c r="B1495">
        <f>IFERROR(IF($B$1=0,"",IF(INDEX(貼り付け!$A$1:$BZ$3001,1494,$B$1)="","",IF(ISNUMBER(INDEX(貼り付け!$A$1:$BZ$3001,1494,$B$1)),INT(INDEX(貼り付け!$A$1:$BZ$3001,1494,$B$1)),DATE(VALUE(LEFT(I1495,FIND("-",I1495)-1)),VALUE(LEFT(J1495,FIND("-",J1495)-1)),VALUE(MID(J1495,FIND("-",J1495)+1,99)))))),"")</f>
        <v/>
      </c>
      <c r="C1495">
        <f>IF($C$1=0,0,IFERROR(VALUE(SUBSTITUTE(SUBSTITUTE(SUBSTITUTE(INDEX(貼り付け!$A$1:$BZ$3001,1494,$C$1)&amp;"",",",""),"¥",""),"￥","")),0))</f>
        <v/>
      </c>
      <c r="D1495">
        <f>IF($D$1=0,0,IFERROR(VALUE(SUBSTITUTE(SUBSTITUTE(SUBSTITUTE(INDEX(貼り付け!$A$1:$BZ$3001,1494,$D$1)&amp;"",",",""),"¥",""),"￥","")),0))</f>
        <v/>
      </c>
      <c r="E1495">
        <f>IF($E$1=0,0,IFERROR(VALUE(SUBSTITUTE(SUBSTITUTE(SUBSTITUTE(INDEX(貼り付け!$A$1:$BZ$3001,1494,$E$1)&amp;"",",",""),"¥",""),"￥","")),0))</f>
        <v/>
      </c>
      <c r="F1495">
        <f>IF($F$1=0,0,IFERROR(VALUE(SUBSTITUTE(SUBSTITUTE(SUBSTITUTE(INDEX(貼り付け!$A$1:$BZ$3001,1494,$F$1)&amp;"",",",""),"¥",""),"￥","")),0))</f>
        <v/>
      </c>
      <c r="G1495">
        <f>IF(ISNUMBER(B1495),YEAR(B1495),"")</f>
        <v/>
      </c>
      <c r="H1495">
        <f>IF(ISNUMBER(B1495),MONTH(B1495),"")</f>
        <v/>
      </c>
      <c r="I1495">
        <f>IFERROR(IF($B$1=0,"",IF(ISNUMBER(INDEX(貼り付け!$A$1:$BZ$3001,1494,$B$1)),"",SUBSTITUTE(SUBSTITUTE(SUBSTITUTE(SUBSTITUTE(TRIM(LEFT(INDEX(貼り付け!$A$1:$BZ$3001,1494,$B$1)&amp;"",FIND(" ",TRIM(INDEX(貼り付け!$A$1:$BZ$3001,1494,$B$1)&amp;"")&amp;" ")-1)),"/","-"),"年","-"),"月","-"),"日",""))),"")</f>
        <v/>
      </c>
      <c r="J1495">
        <f>IFERROR(MID(I1495,FIND("-",I1495)+1,99),"")</f>
        <v/>
      </c>
    </row>
    <row r="1496">
      <c r="B1496">
        <f>IFERROR(IF($B$1=0,"",IF(INDEX(貼り付け!$A$1:$BZ$3001,1495,$B$1)="","",IF(ISNUMBER(INDEX(貼り付け!$A$1:$BZ$3001,1495,$B$1)),INT(INDEX(貼り付け!$A$1:$BZ$3001,1495,$B$1)),DATE(VALUE(LEFT(I1496,FIND("-",I1496)-1)),VALUE(LEFT(J1496,FIND("-",J1496)-1)),VALUE(MID(J1496,FIND("-",J1496)+1,99)))))),"")</f>
        <v/>
      </c>
      <c r="C1496">
        <f>IF($C$1=0,0,IFERROR(VALUE(SUBSTITUTE(SUBSTITUTE(SUBSTITUTE(INDEX(貼り付け!$A$1:$BZ$3001,1495,$C$1)&amp;"",",",""),"¥",""),"￥","")),0))</f>
        <v/>
      </c>
      <c r="D1496">
        <f>IF($D$1=0,0,IFERROR(VALUE(SUBSTITUTE(SUBSTITUTE(SUBSTITUTE(INDEX(貼り付け!$A$1:$BZ$3001,1495,$D$1)&amp;"",",",""),"¥",""),"￥","")),0))</f>
        <v/>
      </c>
      <c r="E1496">
        <f>IF($E$1=0,0,IFERROR(VALUE(SUBSTITUTE(SUBSTITUTE(SUBSTITUTE(INDEX(貼り付け!$A$1:$BZ$3001,1495,$E$1)&amp;"",",",""),"¥",""),"￥","")),0))</f>
        <v/>
      </c>
      <c r="F1496">
        <f>IF($F$1=0,0,IFERROR(VALUE(SUBSTITUTE(SUBSTITUTE(SUBSTITUTE(INDEX(貼り付け!$A$1:$BZ$3001,1495,$F$1)&amp;"",",",""),"¥",""),"￥","")),0))</f>
        <v/>
      </c>
      <c r="G1496">
        <f>IF(ISNUMBER(B1496),YEAR(B1496),"")</f>
        <v/>
      </c>
      <c r="H1496">
        <f>IF(ISNUMBER(B1496),MONTH(B1496),"")</f>
        <v/>
      </c>
      <c r="I1496">
        <f>IFERROR(IF($B$1=0,"",IF(ISNUMBER(INDEX(貼り付け!$A$1:$BZ$3001,1495,$B$1)),"",SUBSTITUTE(SUBSTITUTE(SUBSTITUTE(SUBSTITUTE(TRIM(LEFT(INDEX(貼り付け!$A$1:$BZ$3001,1495,$B$1)&amp;"",FIND(" ",TRIM(INDEX(貼り付け!$A$1:$BZ$3001,1495,$B$1)&amp;"")&amp;" ")-1)),"/","-"),"年","-"),"月","-"),"日",""))),"")</f>
        <v/>
      </c>
      <c r="J1496">
        <f>IFERROR(MID(I1496,FIND("-",I1496)+1,99),"")</f>
        <v/>
      </c>
    </row>
    <row r="1497">
      <c r="B1497">
        <f>IFERROR(IF($B$1=0,"",IF(INDEX(貼り付け!$A$1:$BZ$3001,1496,$B$1)="","",IF(ISNUMBER(INDEX(貼り付け!$A$1:$BZ$3001,1496,$B$1)),INT(INDEX(貼り付け!$A$1:$BZ$3001,1496,$B$1)),DATE(VALUE(LEFT(I1497,FIND("-",I1497)-1)),VALUE(LEFT(J1497,FIND("-",J1497)-1)),VALUE(MID(J1497,FIND("-",J1497)+1,99)))))),"")</f>
        <v/>
      </c>
      <c r="C1497">
        <f>IF($C$1=0,0,IFERROR(VALUE(SUBSTITUTE(SUBSTITUTE(SUBSTITUTE(INDEX(貼り付け!$A$1:$BZ$3001,1496,$C$1)&amp;"",",",""),"¥",""),"￥","")),0))</f>
        <v/>
      </c>
      <c r="D1497">
        <f>IF($D$1=0,0,IFERROR(VALUE(SUBSTITUTE(SUBSTITUTE(SUBSTITUTE(INDEX(貼り付け!$A$1:$BZ$3001,1496,$D$1)&amp;"",",",""),"¥",""),"￥","")),0))</f>
        <v/>
      </c>
      <c r="E1497">
        <f>IF($E$1=0,0,IFERROR(VALUE(SUBSTITUTE(SUBSTITUTE(SUBSTITUTE(INDEX(貼り付け!$A$1:$BZ$3001,1496,$E$1)&amp;"",",",""),"¥",""),"￥","")),0))</f>
        <v/>
      </c>
      <c r="F1497">
        <f>IF($F$1=0,0,IFERROR(VALUE(SUBSTITUTE(SUBSTITUTE(SUBSTITUTE(INDEX(貼り付け!$A$1:$BZ$3001,1496,$F$1)&amp;"",",",""),"¥",""),"￥","")),0))</f>
        <v/>
      </c>
      <c r="G1497">
        <f>IF(ISNUMBER(B1497),YEAR(B1497),"")</f>
        <v/>
      </c>
      <c r="H1497">
        <f>IF(ISNUMBER(B1497),MONTH(B1497),"")</f>
        <v/>
      </c>
      <c r="I1497">
        <f>IFERROR(IF($B$1=0,"",IF(ISNUMBER(INDEX(貼り付け!$A$1:$BZ$3001,1496,$B$1)),"",SUBSTITUTE(SUBSTITUTE(SUBSTITUTE(SUBSTITUTE(TRIM(LEFT(INDEX(貼り付け!$A$1:$BZ$3001,1496,$B$1)&amp;"",FIND(" ",TRIM(INDEX(貼り付け!$A$1:$BZ$3001,1496,$B$1)&amp;"")&amp;" ")-1)),"/","-"),"年","-"),"月","-"),"日",""))),"")</f>
        <v/>
      </c>
      <c r="J1497">
        <f>IFERROR(MID(I1497,FIND("-",I1497)+1,99),"")</f>
        <v/>
      </c>
    </row>
    <row r="1498">
      <c r="B1498">
        <f>IFERROR(IF($B$1=0,"",IF(INDEX(貼り付け!$A$1:$BZ$3001,1497,$B$1)="","",IF(ISNUMBER(INDEX(貼り付け!$A$1:$BZ$3001,1497,$B$1)),INT(INDEX(貼り付け!$A$1:$BZ$3001,1497,$B$1)),DATE(VALUE(LEFT(I1498,FIND("-",I1498)-1)),VALUE(LEFT(J1498,FIND("-",J1498)-1)),VALUE(MID(J1498,FIND("-",J1498)+1,99)))))),"")</f>
        <v/>
      </c>
      <c r="C1498">
        <f>IF($C$1=0,0,IFERROR(VALUE(SUBSTITUTE(SUBSTITUTE(SUBSTITUTE(INDEX(貼り付け!$A$1:$BZ$3001,1497,$C$1)&amp;"",",",""),"¥",""),"￥","")),0))</f>
        <v/>
      </c>
      <c r="D1498">
        <f>IF($D$1=0,0,IFERROR(VALUE(SUBSTITUTE(SUBSTITUTE(SUBSTITUTE(INDEX(貼り付け!$A$1:$BZ$3001,1497,$D$1)&amp;"",",",""),"¥",""),"￥","")),0))</f>
        <v/>
      </c>
      <c r="E1498">
        <f>IF($E$1=0,0,IFERROR(VALUE(SUBSTITUTE(SUBSTITUTE(SUBSTITUTE(INDEX(貼り付け!$A$1:$BZ$3001,1497,$E$1)&amp;"",",",""),"¥",""),"￥","")),0))</f>
        <v/>
      </c>
      <c r="F1498">
        <f>IF($F$1=0,0,IFERROR(VALUE(SUBSTITUTE(SUBSTITUTE(SUBSTITUTE(INDEX(貼り付け!$A$1:$BZ$3001,1497,$F$1)&amp;"",",",""),"¥",""),"￥","")),0))</f>
        <v/>
      </c>
      <c r="G1498">
        <f>IF(ISNUMBER(B1498),YEAR(B1498),"")</f>
        <v/>
      </c>
      <c r="H1498">
        <f>IF(ISNUMBER(B1498),MONTH(B1498),"")</f>
        <v/>
      </c>
      <c r="I1498">
        <f>IFERROR(IF($B$1=0,"",IF(ISNUMBER(INDEX(貼り付け!$A$1:$BZ$3001,1497,$B$1)),"",SUBSTITUTE(SUBSTITUTE(SUBSTITUTE(SUBSTITUTE(TRIM(LEFT(INDEX(貼り付け!$A$1:$BZ$3001,1497,$B$1)&amp;"",FIND(" ",TRIM(INDEX(貼り付け!$A$1:$BZ$3001,1497,$B$1)&amp;"")&amp;" ")-1)),"/","-"),"年","-"),"月","-"),"日",""))),"")</f>
        <v/>
      </c>
      <c r="J1498">
        <f>IFERROR(MID(I1498,FIND("-",I1498)+1,99),"")</f>
        <v/>
      </c>
    </row>
    <row r="1499">
      <c r="B1499">
        <f>IFERROR(IF($B$1=0,"",IF(INDEX(貼り付け!$A$1:$BZ$3001,1498,$B$1)="","",IF(ISNUMBER(INDEX(貼り付け!$A$1:$BZ$3001,1498,$B$1)),INT(INDEX(貼り付け!$A$1:$BZ$3001,1498,$B$1)),DATE(VALUE(LEFT(I1499,FIND("-",I1499)-1)),VALUE(LEFT(J1499,FIND("-",J1499)-1)),VALUE(MID(J1499,FIND("-",J1499)+1,99)))))),"")</f>
        <v/>
      </c>
      <c r="C1499">
        <f>IF($C$1=0,0,IFERROR(VALUE(SUBSTITUTE(SUBSTITUTE(SUBSTITUTE(INDEX(貼り付け!$A$1:$BZ$3001,1498,$C$1)&amp;"",",",""),"¥",""),"￥","")),0))</f>
        <v/>
      </c>
      <c r="D1499">
        <f>IF($D$1=0,0,IFERROR(VALUE(SUBSTITUTE(SUBSTITUTE(SUBSTITUTE(INDEX(貼り付け!$A$1:$BZ$3001,1498,$D$1)&amp;"",",",""),"¥",""),"￥","")),0))</f>
        <v/>
      </c>
      <c r="E1499">
        <f>IF($E$1=0,0,IFERROR(VALUE(SUBSTITUTE(SUBSTITUTE(SUBSTITUTE(INDEX(貼り付け!$A$1:$BZ$3001,1498,$E$1)&amp;"",",",""),"¥",""),"￥","")),0))</f>
        <v/>
      </c>
      <c r="F1499">
        <f>IF($F$1=0,0,IFERROR(VALUE(SUBSTITUTE(SUBSTITUTE(SUBSTITUTE(INDEX(貼り付け!$A$1:$BZ$3001,1498,$F$1)&amp;"",",",""),"¥",""),"￥","")),0))</f>
        <v/>
      </c>
      <c r="G1499">
        <f>IF(ISNUMBER(B1499),YEAR(B1499),"")</f>
        <v/>
      </c>
      <c r="H1499">
        <f>IF(ISNUMBER(B1499),MONTH(B1499),"")</f>
        <v/>
      </c>
      <c r="I1499">
        <f>IFERROR(IF($B$1=0,"",IF(ISNUMBER(INDEX(貼り付け!$A$1:$BZ$3001,1498,$B$1)),"",SUBSTITUTE(SUBSTITUTE(SUBSTITUTE(SUBSTITUTE(TRIM(LEFT(INDEX(貼り付け!$A$1:$BZ$3001,1498,$B$1)&amp;"",FIND(" ",TRIM(INDEX(貼り付け!$A$1:$BZ$3001,1498,$B$1)&amp;"")&amp;" ")-1)),"/","-"),"年","-"),"月","-"),"日",""))),"")</f>
        <v/>
      </c>
      <c r="J1499">
        <f>IFERROR(MID(I1499,FIND("-",I1499)+1,99),"")</f>
        <v/>
      </c>
    </row>
    <row r="1500">
      <c r="B1500">
        <f>IFERROR(IF($B$1=0,"",IF(INDEX(貼り付け!$A$1:$BZ$3001,1499,$B$1)="","",IF(ISNUMBER(INDEX(貼り付け!$A$1:$BZ$3001,1499,$B$1)),INT(INDEX(貼り付け!$A$1:$BZ$3001,1499,$B$1)),DATE(VALUE(LEFT(I1500,FIND("-",I1500)-1)),VALUE(LEFT(J1500,FIND("-",J1500)-1)),VALUE(MID(J1500,FIND("-",J1500)+1,99)))))),"")</f>
        <v/>
      </c>
      <c r="C1500">
        <f>IF($C$1=0,0,IFERROR(VALUE(SUBSTITUTE(SUBSTITUTE(SUBSTITUTE(INDEX(貼り付け!$A$1:$BZ$3001,1499,$C$1)&amp;"",",",""),"¥",""),"￥","")),0))</f>
        <v/>
      </c>
      <c r="D1500">
        <f>IF($D$1=0,0,IFERROR(VALUE(SUBSTITUTE(SUBSTITUTE(SUBSTITUTE(INDEX(貼り付け!$A$1:$BZ$3001,1499,$D$1)&amp;"",",",""),"¥",""),"￥","")),0))</f>
        <v/>
      </c>
      <c r="E1500">
        <f>IF($E$1=0,0,IFERROR(VALUE(SUBSTITUTE(SUBSTITUTE(SUBSTITUTE(INDEX(貼り付け!$A$1:$BZ$3001,1499,$E$1)&amp;"",",",""),"¥",""),"￥","")),0))</f>
        <v/>
      </c>
      <c r="F1500">
        <f>IF($F$1=0,0,IFERROR(VALUE(SUBSTITUTE(SUBSTITUTE(SUBSTITUTE(INDEX(貼り付け!$A$1:$BZ$3001,1499,$F$1)&amp;"",",",""),"¥",""),"￥","")),0))</f>
        <v/>
      </c>
      <c r="G1500">
        <f>IF(ISNUMBER(B1500),YEAR(B1500),"")</f>
        <v/>
      </c>
      <c r="H1500">
        <f>IF(ISNUMBER(B1500),MONTH(B1500),"")</f>
        <v/>
      </c>
      <c r="I1500">
        <f>IFERROR(IF($B$1=0,"",IF(ISNUMBER(INDEX(貼り付け!$A$1:$BZ$3001,1499,$B$1)),"",SUBSTITUTE(SUBSTITUTE(SUBSTITUTE(SUBSTITUTE(TRIM(LEFT(INDEX(貼り付け!$A$1:$BZ$3001,1499,$B$1)&amp;"",FIND(" ",TRIM(INDEX(貼り付け!$A$1:$BZ$3001,1499,$B$1)&amp;"")&amp;" ")-1)),"/","-"),"年","-"),"月","-"),"日",""))),"")</f>
        <v/>
      </c>
      <c r="J1500">
        <f>IFERROR(MID(I1500,FIND("-",I1500)+1,99),"")</f>
        <v/>
      </c>
    </row>
    <row r="1501">
      <c r="B1501">
        <f>IFERROR(IF($B$1=0,"",IF(INDEX(貼り付け!$A$1:$BZ$3001,1500,$B$1)="","",IF(ISNUMBER(INDEX(貼り付け!$A$1:$BZ$3001,1500,$B$1)),INT(INDEX(貼り付け!$A$1:$BZ$3001,1500,$B$1)),DATE(VALUE(LEFT(I1501,FIND("-",I1501)-1)),VALUE(LEFT(J1501,FIND("-",J1501)-1)),VALUE(MID(J1501,FIND("-",J1501)+1,99)))))),"")</f>
        <v/>
      </c>
      <c r="C1501">
        <f>IF($C$1=0,0,IFERROR(VALUE(SUBSTITUTE(SUBSTITUTE(SUBSTITUTE(INDEX(貼り付け!$A$1:$BZ$3001,1500,$C$1)&amp;"",",",""),"¥",""),"￥","")),0))</f>
        <v/>
      </c>
      <c r="D1501">
        <f>IF($D$1=0,0,IFERROR(VALUE(SUBSTITUTE(SUBSTITUTE(SUBSTITUTE(INDEX(貼り付け!$A$1:$BZ$3001,1500,$D$1)&amp;"",",",""),"¥",""),"￥","")),0))</f>
        <v/>
      </c>
      <c r="E1501">
        <f>IF($E$1=0,0,IFERROR(VALUE(SUBSTITUTE(SUBSTITUTE(SUBSTITUTE(INDEX(貼り付け!$A$1:$BZ$3001,1500,$E$1)&amp;"",",",""),"¥",""),"￥","")),0))</f>
        <v/>
      </c>
      <c r="F1501">
        <f>IF($F$1=0,0,IFERROR(VALUE(SUBSTITUTE(SUBSTITUTE(SUBSTITUTE(INDEX(貼り付け!$A$1:$BZ$3001,1500,$F$1)&amp;"",",",""),"¥",""),"￥","")),0))</f>
        <v/>
      </c>
      <c r="G1501">
        <f>IF(ISNUMBER(B1501),YEAR(B1501),"")</f>
        <v/>
      </c>
      <c r="H1501">
        <f>IF(ISNUMBER(B1501),MONTH(B1501),"")</f>
        <v/>
      </c>
      <c r="I1501">
        <f>IFERROR(IF($B$1=0,"",IF(ISNUMBER(INDEX(貼り付け!$A$1:$BZ$3001,1500,$B$1)),"",SUBSTITUTE(SUBSTITUTE(SUBSTITUTE(SUBSTITUTE(TRIM(LEFT(INDEX(貼り付け!$A$1:$BZ$3001,1500,$B$1)&amp;"",FIND(" ",TRIM(INDEX(貼り付け!$A$1:$BZ$3001,1500,$B$1)&amp;"")&amp;" ")-1)),"/","-"),"年","-"),"月","-"),"日",""))),"")</f>
        <v/>
      </c>
      <c r="J1501">
        <f>IFERROR(MID(I1501,FIND("-",I1501)+1,99),"")</f>
        <v/>
      </c>
    </row>
    <row r="1502">
      <c r="B1502">
        <f>IFERROR(IF($B$1=0,"",IF(INDEX(貼り付け!$A$1:$BZ$3001,1501,$B$1)="","",IF(ISNUMBER(INDEX(貼り付け!$A$1:$BZ$3001,1501,$B$1)),INT(INDEX(貼り付け!$A$1:$BZ$3001,1501,$B$1)),DATE(VALUE(LEFT(I1502,FIND("-",I1502)-1)),VALUE(LEFT(J1502,FIND("-",J1502)-1)),VALUE(MID(J1502,FIND("-",J1502)+1,99)))))),"")</f>
        <v/>
      </c>
      <c r="C1502">
        <f>IF($C$1=0,0,IFERROR(VALUE(SUBSTITUTE(SUBSTITUTE(SUBSTITUTE(INDEX(貼り付け!$A$1:$BZ$3001,1501,$C$1)&amp;"",",",""),"¥",""),"￥","")),0))</f>
        <v/>
      </c>
      <c r="D1502">
        <f>IF($D$1=0,0,IFERROR(VALUE(SUBSTITUTE(SUBSTITUTE(SUBSTITUTE(INDEX(貼り付け!$A$1:$BZ$3001,1501,$D$1)&amp;"",",",""),"¥",""),"￥","")),0))</f>
        <v/>
      </c>
      <c r="E1502">
        <f>IF($E$1=0,0,IFERROR(VALUE(SUBSTITUTE(SUBSTITUTE(SUBSTITUTE(INDEX(貼り付け!$A$1:$BZ$3001,1501,$E$1)&amp;"",",",""),"¥",""),"￥","")),0))</f>
        <v/>
      </c>
      <c r="F1502">
        <f>IF($F$1=0,0,IFERROR(VALUE(SUBSTITUTE(SUBSTITUTE(SUBSTITUTE(INDEX(貼り付け!$A$1:$BZ$3001,1501,$F$1)&amp;"",",",""),"¥",""),"￥","")),0))</f>
        <v/>
      </c>
      <c r="G1502">
        <f>IF(ISNUMBER(B1502),YEAR(B1502),"")</f>
        <v/>
      </c>
      <c r="H1502">
        <f>IF(ISNUMBER(B1502),MONTH(B1502),"")</f>
        <v/>
      </c>
      <c r="I1502">
        <f>IFERROR(IF($B$1=0,"",IF(ISNUMBER(INDEX(貼り付け!$A$1:$BZ$3001,1501,$B$1)),"",SUBSTITUTE(SUBSTITUTE(SUBSTITUTE(SUBSTITUTE(TRIM(LEFT(INDEX(貼り付け!$A$1:$BZ$3001,1501,$B$1)&amp;"",FIND(" ",TRIM(INDEX(貼り付け!$A$1:$BZ$3001,1501,$B$1)&amp;"")&amp;" ")-1)),"/","-"),"年","-"),"月","-"),"日",""))),"")</f>
        <v/>
      </c>
      <c r="J1502">
        <f>IFERROR(MID(I1502,FIND("-",I1502)+1,99),"")</f>
        <v/>
      </c>
    </row>
    <row r="1503">
      <c r="B1503">
        <f>IFERROR(IF($B$1=0,"",IF(INDEX(貼り付け!$A$1:$BZ$3001,1502,$B$1)="","",IF(ISNUMBER(INDEX(貼り付け!$A$1:$BZ$3001,1502,$B$1)),INT(INDEX(貼り付け!$A$1:$BZ$3001,1502,$B$1)),DATE(VALUE(LEFT(I1503,FIND("-",I1503)-1)),VALUE(LEFT(J1503,FIND("-",J1503)-1)),VALUE(MID(J1503,FIND("-",J1503)+1,99)))))),"")</f>
        <v/>
      </c>
      <c r="C1503">
        <f>IF($C$1=0,0,IFERROR(VALUE(SUBSTITUTE(SUBSTITUTE(SUBSTITUTE(INDEX(貼り付け!$A$1:$BZ$3001,1502,$C$1)&amp;"",",",""),"¥",""),"￥","")),0))</f>
        <v/>
      </c>
      <c r="D1503">
        <f>IF($D$1=0,0,IFERROR(VALUE(SUBSTITUTE(SUBSTITUTE(SUBSTITUTE(INDEX(貼り付け!$A$1:$BZ$3001,1502,$D$1)&amp;"",",",""),"¥",""),"￥","")),0))</f>
        <v/>
      </c>
      <c r="E1503">
        <f>IF($E$1=0,0,IFERROR(VALUE(SUBSTITUTE(SUBSTITUTE(SUBSTITUTE(INDEX(貼り付け!$A$1:$BZ$3001,1502,$E$1)&amp;"",",",""),"¥",""),"￥","")),0))</f>
        <v/>
      </c>
      <c r="F1503">
        <f>IF($F$1=0,0,IFERROR(VALUE(SUBSTITUTE(SUBSTITUTE(SUBSTITUTE(INDEX(貼り付け!$A$1:$BZ$3001,1502,$F$1)&amp;"",",",""),"¥",""),"￥","")),0))</f>
        <v/>
      </c>
      <c r="G1503">
        <f>IF(ISNUMBER(B1503),YEAR(B1503),"")</f>
        <v/>
      </c>
      <c r="H1503">
        <f>IF(ISNUMBER(B1503),MONTH(B1503),"")</f>
        <v/>
      </c>
      <c r="I1503">
        <f>IFERROR(IF($B$1=0,"",IF(ISNUMBER(INDEX(貼り付け!$A$1:$BZ$3001,1502,$B$1)),"",SUBSTITUTE(SUBSTITUTE(SUBSTITUTE(SUBSTITUTE(TRIM(LEFT(INDEX(貼り付け!$A$1:$BZ$3001,1502,$B$1)&amp;"",FIND(" ",TRIM(INDEX(貼り付け!$A$1:$BZ$3001,1502,$B$1)&amp;"")&amp;" ")-1)),"/","-"),"年","-"),"月","-"),"日",""))),"")</f>
        <v/>
      </c>
      <c r="J1503">
        <f>IFERROR(MID(I1503,FIND("-",I1503)+1,99),"")</f>
        <v/>
      </c>
    </row>
    <row r="1504">
      <c r="B1504">
        <f>IFERROR(IF($B$1=0,"",IF(INDEX(貼り付け!$A$1:$BZ$3001,1503,$B$1)="","",IF(ISNUMBER(INDEX(貼り付け!$A$1:$BZ$3001,1503,$B$1)),INT(INDEX(貼り付け!$A$1:$BZ$3001,1503,$B$1)),DATE(VALUE(LEFT(I1504,FIND("-",I1504)-1)),VALUE(LEFT(J1504,FIND("-",J1504)-1)),VALUE(MID(J1504,FIND("-",J1504)+1,99)))))),"")</f>
        <v/>
      </c>
      <c r="C1504">
        <f>IF($C$1=0,0,IFERROR(VALUE(SUBSTITUTE(SUBSTITUTE(SUBSTITUTE(INDEX(貼り付け!$A$1:$BZ$3001,1503,$C$1)&amp;"",",",""),"¥",""),"￥","")),0))</f>
        <v/>
      </c>
      <c r="D1504">
        <f>IF($D$1=0,0,IFERROR(VALUE(SUBSTITUTE(SUBSTITUTE(SUBSTITUTE(INDEX(貼り付け!$A$1:$BZ$3001,1503,$D$1)&amp;"",",",""),"¥",""),"￥","")),0))</f>
        <v/>
      </c>
      <c r="E1504">
        <f>IF($E$1=0,0,IFERROR(VALUE(SUBSTITUTE(SUBSTITUTE(SUBSTITUTE(INDEX(貼り付け!$A$1:$BZ$3001,1503,$E$1)&amp;"",",",""),"¥",""),"￥","")),0))</f>
        <v/>
      </c>
      <c r="F1504">
        <f>IF($F$1=0,0,IFERROR(VALUE(SUBSTITUTE(SUBSTITUTE(SUBSTITUTE(INDEX(貼り付け!$A$1:$BZ$3001,1503,$F$1)&amp;"",",",""),"¥",""),"￥","")),0))</f>
        <v/>
      </c>
      <c r="G1504">
        <f>IF(ISNUMBER(B1504),YEAR(B1504),"")</f>
        <v/>
      </c>
      <c r="H1504">
        <f>IF(ISNUMBER(B1504),MONTH(B1504),"")</f>
        <v/>
      </c>
      <c r="I1504">
        <f>IFERROR(IF($B$1=0,"",IF(ISNUMBER(INDEX(貼り付け!$A$1:$BZ$3001,1503,$B$1)),"",SUBSTITUTE(SUBSTITUTE(SUBSTITUTE(SUBSTITUTE(TRIM(LEFT(INDEX(貼り付け!$A$1:$BZ$3001,1503,$B$1)&amp;"",FIND(" ",TRIM(INDEX(貼り付け!$A$1:$BZ$3001,1503,$B$1)&amp;"")&amp;" ")-1)),"/","-"),"年","-"),"月","-"),"日",""))),"")</f>
        <v/>
      </c>
      <c r="J1504">
        <f>IFERROR(MID(I1504,FIND("-",I1504)+1,99),"")</f>
        <v/>
      </c>
    </row>
    <row r="1505">
      <c r="B1505">
        <f>IFERROR(IF($B$1=0,"",IF(INDEX(貼り付け!$A$1:$BZ$3001,1504,$B$1)="","",IF(ISNUMBER(INDEX(貼り付け!$A$1:$BZ$3001,1504,$B$1)),INT(INDEX(貼り付け!$A$1:$BZ$3001,1504,$B$1)),DATE(VALUE(LEFT(I1505,FIND("-",I1505)-1)),VALUE(LEFT(J1505,FIND("-",J1505)-1)),VALUE(MID(J1505,FIND("-",J1505)+1,99)))))),"")</f>
        <v/>
      </c>
      <c r="C1505">
        <f>IF($C$1=0,0,IFERROR(VALUE(SUBSTITUTE(SUBSTITUTE(SUBSTITUTE(INDEX(貼り付け!$A$1:$BZ$3001,1504,$C$1)&amp;"",",",""),"¥",""),"￥","")),0))</f>
        <v/>
      </c>
      <c r="D1505">
        <f>IF($D$1=0,0,IFERROR(VALUE(SUBSTITUTE(SUBSTITUTE(SUBSTITUTE(INDEX(貼り付け!$A$1:$BZ$3001,1504,$D$1)&amp;"",",",""),"¥",""),"￥","")),0))</f>
        <v/>
      </c>
      <c r="E1505">
        <f>IF($E$1=0,0,IFERROR(VALUE(SUBSTITUTE(SUBSTITUTE(SUBSTITUTE(INDEX(貼り付け!$A$1:$BZ$3001,1504,$E$1)&amp;"",",",""),"¥",""),"￥","")),0))</f>
        <v/>
      </c>
      <c r="F1505">
        <f>IF($F$1=0,0,IFERROR(VALUE(SUBSTITUTE(SUBSTITUTE(SUBSTITUTE(INDEX(貼り付け!$A$1:$BZ$3001,1504,$F$1)&amp;"",",",""),"¥",""),"￥","")),0))</f>
        <v/>
      </c>
      <c r="G1505">
        <f>IF(ISNUMBER(B1505),YEAR(B1505),"")</f>
        <v/>
      </c>
      <c r="H1505">
        <f>IF(ISNUMBER(B1505),MONTH(B1505),"")</f>
        <v/>
      </c>
      <c r="I1505">
        <f>IFERROR(IF($B$1=0,"",IF(ISNUMBER(INDEX(貼り付け!$A$1:$BZ$3001,1504,$B$1)),"",SUBSTITUTE(SUBSTITUTE(SUBSTITUTE(SUBSTITUTE(TRIM(LEFT(INDEX(貼り付け!$A$1:$BZ$3001,1504,$B$1)&amp;"",FIND(" ",TRIM(INDEX(貼り付け!$A$1:$BZ$3001,1504,$B$1)&amp;"")&amp;" ")-1)),"/","-"),"年","-"),"月","-"),"日",""))),"")</f>
        <v/>
      </c>
      <c r="J1505">
        <f>IFERROR(MID(I1505,FIND("-",I1505)+1,99),"")</f>
        <v/>
      </c>
    </row>
    <row r="1506">
      <c r="B1506">
        <f>IFERROR(IF($B$1=0,"",IF(INDEX(貼り付け!$A$1:$BZ$3001,1505,$B$1)="","",IF(ISNUMBER(INDEX(貼り付け!$A$1:$BZ$3001,1505,$B$1)),INT(INDEX(貼り付け!$A$1:$BZ$3001,1505,$B$1)),DATE(VALUE(LEFT(I1506,FIND("-",I1506)-1)),VALUE(LEFT(J1506,FIND("-",J1506)-1)),VALUE(MID(J1506,FIND("-",J1506)+1,99)))))),"")</f>
        <v/>
      </c>
      <c r="C1506">
        <f>IF($C$1=0,0,IFERROR(VALUE(SUBSTITUTE(SUBSTITUTE(SUBSTITUTE(INDEX(貼り付け!$A$1:$BZ$3001,1505,$C$1)&amp;"",",",""),"¥",""),"￥","")),0))</f>
        <v/>
      </c>
      <c r="D1506">
        <f>IF($D$1=0,0,IFERROR(VALUE(SUBSTITUTE(SUBSTITUTE(SUBSTITUTE(INDEX(貼り付け!$A$1:$BZ$3001,1505,$D$1)&amp;"",",",""),"¥",""),"￥","")),0))</f>
        <v/>
      </c>
      <c r="E1506">
        <f>IF($E$1=0,0,IFERROR(VALUE(SUBSTITUTE(SUBSTITUTE(SUBSTITUTE(INDEX(貼り付け!$A$1:$BZ$3001,1505,$E$1)&amp;"",",",""),"¥",""),"￥","")),0))</f>
        <v/>
      </c>
      <c r="F1506">
        <f>IF($F$1=0,0,IFERROR(VALUE(SUBSTITUTE(SUBSTITUTE(SUBSTITUTE(INDEX(貼り付け!$A$1:$BZ$3001,1505,$F$1)&amp;"",",",""),"¥",""),"￥","")),0))</f>
        <v/>
      </c>
      <c r="G1506">
        <f>IF(ISNUMBER(B1506),YEAR(B1506),"")</f>
        <v/>
      </c>
      <c r="H1506">
        <f>IF(ISNUMBER(B1506),MONTH(B1506),"")</f>
        <v/>
      </c>
      <c r="I1506">
        <f>IFERROR(IF($B$1=0,"",IF(ISNUMBER(INDEX(貼り付け!$A$1:$BZ$3001,1505,$B$1)),"",SUBSTITUTE(SUBSTITUTE(SUBSTITUTE(SUBSTITUTE(TRIM(LEFT(INDEX(貼り付け!$A$1:$BZ$3001,1505,$B$1)&amp;"",FIND(" ",TRIM(INDEX(貼り付け!$A$1:$BZ$3001,1505,$B$1)&amp;"")&amp;" ")-1)),"/","-"),"年","-"),"月","-"),"日",""))),"")</f>
        <v/>
      </c>
      <c r="J1506">
        <f>IFERROR(MID(I1506,FIND("-",I1506)+1,99),"")</f>
        <v/>
      </c>
    </row>
    <row r="1507">
      <c r="B1507">
        <f>IFERROR(IF($B$1=0,"",IF(INDEX(貼り付け!$A$1:$BZ$3001,1506,$B$1)="","",IF(ISNUMBER(INDEX(貼り付け!$A$1:$BZ$3001,1506,$B$1)),INT(INDEX(貼り付け!$A$1:$BZ$3001,1506,$B$1)),DATE(VALUE(LEFT(I1507,FIND("-",I1507)-1)),VALUE(LEFT(J1507,FIND("-",J1507)-1)),VALUE(MID(J1507,FIND("-",J1507)+1,99)))))),"")</f>
        <v/>
      </c>
      <c r="C1507">
        <f>IF($C$1=0,0,IFERROR(VALUE(SUBSTITUTE(SUBSTITUTE(SUBSTITUTE(INDEX(貼り付け!$A$1:$BZ$3001,1506,$C$1)&amp;"",",",""),"¥",""),"￥","")),0))</f>
        <v/>
      </c>
      <c r="D1507">
        <f>IF($D$1=0,0,IFERROR(VALUE(SUBSTITUTE(SUBSTITUTE(SUBSTITUTE(INDEX(貼り付け!$A$1:$BZ$3001,1506,$D$1)&amp;"",",",""),"¥",""),"￥","")),0))</f>
        <v/>
      </c>
      <c r="E1507">
        <f>IF($E$1=0,0,IFERROR(VALUE(SUBSTITUTE(SUBSTITUTE(SUBSTITUTE(INDEX(貼り付け!$A$1:$BZ$3001,1506,$E$1)&amp;"",",",""),"¥",""),"￥","")),0))</f>
        <v/>
      </c>
      <c r="F1507">
        <f>IF($F$1=0,0,IFERROR(VALUE(SUBSTITUTE(SUBSTITUTE(SUBSTITUTE(INDEX(貼り付け!$A$1:$BZ$3001,1506,$F$1)&amp;"",",",""),"¥",""),"￥","")),0))</f>
        <v/>
      </c>
      <c r="G1507">
        <f>IF(ISNUMBER(B1507),YEAR(B1507),"")</f>
        <v/>
      </c>
      <c r="H1507">
        <f>IF(ISNUMBER(B1507),MONTH(B1507),"")</f>
        <v/>
      </c>
      <c r="I1507">
        <f>IFERROR(IF($B$1=0,"",IF(ISNUMBER(INDEX(貼り付け!$A$1:$BZ$3001,1506,$B$1)),"",SUBSTITUTE(SUBSTITUTE(SUBSTITUTE(SUBSTITUTE(TRIM(LEFT(INDEX(貼り付け!$A$1:$BZ$3001,1506,$B$1)&amp;"",FIND(" ",TRIM(INDEX(貼り付け!$A$1:$BZ$3001,1506,$B$1)&amp;"")&amp;" ")-1)),"/","-"),"年","-"),"月","-"),"日",""))),"")</f>
        <v/>
      </c>
      <c r="J1507">
        <f>IFERROR(MID(I1507,FIND("-",I1507)+1,99),"")</f>
        <v/>
      </c>
    </row>
    <row r="1508">
      <c r="B1508">
        <f>IFERROR(IF($B$1=0,"",IF(INDEX(貼り付け!$A$1:$BZ$3001,1507,$B$1)="","",IF(ISNUMBER(INDEX(貼り付け!$A$1:$BZ$3001,1507,$B$1)),INT(INDEX(貼り付け!$A$1:$BZ$3001,1507,$B$1)),DATE(VALUE(LEFT(I1508,FIND("-",I1508)-1)),VALUE(LEFT(J1508,FIND("-",J1508)-1)),VALUE(MID(J1508,FIND("-",J1508)+1,99)))))),"")</f>
        <v/>
      </c>
      <c r="C1508">
        <f>IF($C$1=0,0,IFERROR(VALUE(SUBSTITUTE(SUBSTITUTE(SUBSTITUTE(INDEX(貼り付け!$A$1:$BZ$3001,1507,$C$1)&amp;"",",",""),"¥",""),"￥","")),0))</f>
        <v/>
      </c>
      <c r="D1508">
        <f>IF($D$1=0,0,IFERROR(VALUE(SUBSTITUTE(SUBSTITUTE(SUBSTITUTE(INDEX(貼り付け!$A$1:$BZ$3001,1507,$D$1)&amp;"",",",""),"¥",""),"￥","")),0))</f>
        <v/>
      </c>
      <c r="E1508">
        <f>IF($E$1=0,0,IFERROR(VALUE(SUBSTITUTE(SUBSTITUTE(SUBSTITUTE(INDEX(貼り付け!$A$1:$BZ$3001,1507,$E$1)&amp;"",",",""),"¥",""),"￥","")),0))</f>
        <v/>
      </c>
      <c r="F1508">
        <f>IF($F$1=0,0,IFERROR(VALUE(SUBSTITUTE(SUBSTITUTE(SUBSTITUTE(INDEX(貼り付け!$A$1:$BZ$3001,1507,$F$1)&amp;"",",",""),"¥",""),"￥","")),0))</f>
        <v/>
      </c>
      <c r="G1508">
        <f>IF(ISNUMBER(B1508),YEAR(B1508),"")</f>
        <v/>
      </c>
      <c r="H1508">
        <f>IF(ISNUMBER(B1508),MONTH(B1508),"")</f>
        <v/>
      </c>
      <c r="I1508">
        <f>IFERROR(IF($B$1=0,"",IF(ISNUMBER(INDEX(貼り付け!$A$1:$BZ$3001,1507,$B$1)),"",SUBSTITUTE(SUBSTITUTE(SUBSTITUTE(SUBSTITUTE(TRIM(LEFT(INDEX(貼り付け!$A$1:$BZ$3001,1507,$B$1)&amp;"",FIND(" ",TRIM(INDEX(貼り付け!$A$1:$BZ$3001,1507,$B$1)&amp;"")&amp;" ")-1)),"/","-"),"年","-"),"月","-"),"日",""))),"")</f>
        <v/>
      </c>
      <c r="J1508">
        <f>IFERROR(MID(I1508,FIND("-",I1508)+1,99),"")</f>
        <v/>
      </c>
    </row>
    <row r="1509">
      <c r="B1509">
        <f>IFERROR(IF($B$1=0,"",IF(INDEX(貼り付け!$A$1:$BZ$3001,1508,$B$1)="","",IF(ISNUMBER(INDEX(貼り付け!$A$1:$BZ$3001,1508,$B$1)),INT(INDEX(貼り付け!$A$1:$BZ$3001,1508,$B$1)),DATE(VALUE(LEFT(I1509,FIND("-",I1509)-1)),VALUE(LEFT(J1509,FIND("-",J1509)-1)),VALUE(MID(J1509,FIND("-",J1509)+1,99)))))),"")</f>
        <v/>
      </c>
      <c r="C1509">
        <f>IF($C$1=0,0,IFERROR(VALUE(SUBSTITUTE(SUBSTITUTE(SUBSTITUTE(INDEX(貼り付け!$A$1:$BZ$3001,1508,$C$1)&amp;"",",",""),"¥",""),"￥","")),0))</f>
        <v/>
      </c>
      <c r="D1509">
        <f>IF($D$1=0,0,IFERROR(VALUE(SUBSTITUTE(SUBSTITUTE(SUBSTITUTE(INDEX(貼り付け!$A$1:$BZ$3001,1508,$D$1)&amp;"",",",""),"¥",""),"￥","")),0))</f>
        <v/>
      </c>
      <c r="E1509">
        <f>IF($E$1=0,0,IFERROR(VALUE(SUBSTITUTE(SUBSTITUTE(SUBSTITUTE(INDEX(貼り付け!$A$1:$BZ$3001,1508,$E$1)&amp;"",",",""),"¥",""),"￥","")),0))</f>
        <v/>
      </c>
      <c r="F1509">
        <f>IF($F$1=0,0,IFERROR(VALUE(SUBSTITUTE(SUBSTITUTE(SUBSTITUTE(INDEX(貼り付け!$A$1:$BZ$3001,1508,$F$1)&amp;"",",",""),"¥",""),"￥","")),0))</f>
        <v/>
      </c>
      <c r="G1509">
        <f>IF(ISNUMBER(B1509),YEAR(B1509),"")</f>
        <v/>
      </c>
      <c r="H1509">
        <f>IF(ISNUMBER(B1509),MONTH(B1509),"")</f>
        <v/>
      </c>
      <c r="I1509">
        <f>IFERROR(IF($B$1=0,"",IF(ISNUMBER(INDEX(貼り付け!$A$1:$BZ$3001,1508,$B$1)),"",SUBSTITUTE(SUBSTITUTE(SUBSTITUTE(SUBSTITUTE(TRIM(LEFT(INDEX(貼り付け!$A$1:$BZ$3001,1508,$B$1)&amp;"",FIND(" ",TRIM(INDEX(貼り付け!$A$1:$BZ$3001,1508,$B$1)&amp;"")&amp;" ")-1)),"/","-"),"年","-"),"月","-"),"日",""))),"")</f>
        <v/>
      </c>
      <c r="J1509">
        <f>IFERROR(MID(I1509,FIND("-",I1509)+1,99),"")</f>
        <v/>
      </c>
    </row>
    <row r="1510">
      <c r="B1510">
        <f>IFERROR(IF($B$1=0,"",IF(INDEX(貼り付け!$A$1:$BZ$3001,1509,$B$1)="","",IF(ISNUMBER(INDEX(貼り付け!$A$1:$BZ$3001,1509,$B$1)),INT(INDEX(貼り付け!$A$1:$BZ$3001,1509,$B$1)),DATE(VALUE(LEFT(I1510,FIND("-",I1510)-1)),VALUE(LEFT(J1510,FIND("-",J1510)-1)),VALUE(MID(J1510,FIND("-",J1510)+1,99)))))),"")</f>
        <v/>
      </c>
      <c r="C1510">
        <f>IF($C$1=0,0,IFERROR(VALUE(SUBSTITUTE(SUBSTITUTE(SUBSTITUTE(INDEX(貼り付け!$A$1:$BZ$3001,1509,$C$1)&amp;"",",",""),"¥",""),"￥","")),0))</f>
        <v/>
      </c>
      <c r="D1510">
        <f>IF($D$1=0,0,IFERROR(VALUE(SUBSTITUTE(SUBSTITUTE(SUBSTITUTE(INDEX(貼り付け!$A$1:$BZ$3001,1509,$D$1)&amp;"",",",""),"¥",""),"￥","")),0))</f>
        <v/>
      </c>
      <c r="E1510">
        <f>IF($E$1=0,0,IFERROR(VALUE(SUBSTITUTE(SUBSTITUTE(SUBSTITUTE(INDEX(貼り付け!$A$1:$BZ$3001,1509,$E$1)&amp;"",",",""),"¥",""),"￥","")),0))</f>
        <v/>
      </c>
      <c r="F1510">
        <f>IF($F$1=0,0,IFERROR(VALUE(SUBSTITUTE(SUBSTITUTE(SUBSTITUTE(INDEX(貼り付け!$A$1:$BZ$3001,1509,$F$1)&amp;"",",",""),"¥",""),"￥","")),0))</f>
        <v/>
      </c>
      <c r="G1510">
        <f>IF(ISNUMBER(B1510),YEAR(B1510),"")</f>
        <v/>
      </c>
      <c r="H1510">
        <f>IF(ISNUMBER(B1510),MONTH(B1510),"")</f>
        <v/>
      </c>
      <c r="I1510">
        <f>IFERROR(IF($B$1=0,"",IF(ISNUMBER(INDEX(貼り付け!$A$1:$BZ$3001,1509,$B$1)),"",SUBSTITUTE(SUBSTITUTE(SUBSTITUTE(SUBSTITUTE(TRIM(LEFT(INDEX(貼り付け!$A$1:$BZ$3001,1509,$B$1)&amp;"",FIND(" ",TRIM(INDEX(貼り付け!$A$1:$BZ$3001,1509,$B$1)&amp;"")&amp;" ")-1)),"/","-"),"年","-"),"月","-"),"日",""))),"")</f>
        <v/>
      </c>
      <c r="J1510">
        <f>IFERROR(MID(I1510,FIND("-",I1510)+1,99),"")</f>
        <v/>
      </c>
    </row>
    <row r="1511">
      <c r="B1511">
        <f>IFERROR(IF($B$1=0,"",IF(INDEX(貼り付け!$A$1:$BZ$3001,1510,$B$1)="","",IF(ISNUMBER(INDEX(貼り付け!$A$1:$BZ$3001,1510,$B$1)),INT(INDEX(貼り付け!$A$1:$BZ$3001,1510,$B$1)),DATE(VALUE(LEFT(I1511,FIND("-",I1511)-1)),VALUE(LEFT(J1511,FIND("-",J1511)-1)),VALUE(MID(J1511,FIND("-",J1511)+1,99)))))),"")</f>
        <v/>
      </c>
      <c r="C1511">
        <f>IF($C$1=0,0,IFERROR(VALUE(SUBSTITUTE(SUBSTITUTE(SUBSTITUTE(INDEX(貼り付け!$A$1:$BZ$3001,1510,$C$1)&amp;"",",",""),"¥",""),"￥","")),0))</f>
        <v/>
      </c>
      <c r="D1511">
        <f>IF($D$1=0,0,IFERROR(VALUE(SUBSTITUTE(SUBSTITUTE(SUBSTITUTE(INDEX(貼り付け!$A$1:$BZ$3001,1510,$D$1)&amp;"",",",""),"¥",""),"￥","")),0))</f>
        <v/>
      </c>
      <c r="E1511">
        <f>IF($E$1=0,0,IFERROR(VALUE(SUBSTITUTE(SUBSTITUTE(SUBSTITUTE(INDEX(貼り付け!$A$1:$BZ$3001,1510,$E$1)&amp;"",",",""),"¥",""),"￥","")),0))</f>
        <v/>
      </c>
      <c r="F1511">
        <f>IF($F$1=0,0,IFERROR(VALUE(SUBSTITUTE(SUBSTITUTE(SUBSTITUTE(INDEX(貼り付け!$A$1:$BZ$3001,1510,$F$1)&amp;"",",",""),"¥",""),"￥","")),0))</f>
        <v/>
      </c>
      <c r="G1511">
        <f>IF(ISNUMBER(B1511),YEAR(B1511),"")</f>
        <v/>
      </c>
      <c r="H1511">
        <f>IF(ISNUMBER(B1511),MONTH(B1511),"")</f>
        <v/>
      </c>
      <c r="I1511">
        <f>IFERROR(IF($B$1=0,"",IF(ISNUMBER(INDEX(貼り付け!$A$1:$BZ$3001,1510,$B$1)),"",SUBSTITUTE(SUBSTITUTE(SUBSTITUTE(SUBSTITUTE(TRIM(LEFT(INDEX(貼り付け!$A$1:$BZ$3001,1510,$B$1)&amp;"",FIND(" ",TRIM(INDEX(貼り付け!$A$1:$BZ$3001,1510,$B$1)&amp;"")&amp;" ")-1)),"/","-"),"年","-"),"月","-"),"日",""))),"")</f>
        <v/>
      </c>
      <c r="J1511">
        <f>IFERROR(MID(I1511,FIND("-",I1511)+1,99),"")</f>
        <v/>
      </c>
    </row>
    <row r="1512">
      <c r="B1512">
        <f>IFERROR(IF($B$1=0,"",IF(INDEX(貼り付け!$A$1:$BZ$3001,1511,$B$1)="","",IF(ISNUMBER(INDEX(貼り付け!$A$1:$BZ$3001,1511,$B$1)),INT(INDEX(貼り付け!$A$1:$BZ$3001,1511,$B$1)),DATE(VALUE(LEFT(I1512,FIND("-",I1512)-1)),VALUE(LEFT(J1512,FIND("-",J1512)-1)),VALUE(MID(J1512,FIND("-",J1512)+1,99)))))),"")</f>
        <v/>
      </c>
      <c r="C1512">
        <f>IF($C$1=0,0,IFERROR(VALUE(SUBSTITUTE(SUBSTITUTE(SUBSTITUTE(INDEX(貼り付け!$A$1:$BZ$3001,1511,$C$1)&amp;"",",",""),"¥",""),"￥","")),0))</f>
        <v/>
      </c>
      <c r="D1512">
        <f>IF($D$1=0,0,IFERROR(VALUE(SUBSTITUTE(SUBSTITUTE(SUBSTITUTE(INDEX(貼り付け!$A$1:$BZ$3001,1511,$D$1)&amp;"",",",""),"¥",""),"￥","")),0))</f>
        <v/>
      </c>
      <c r="E1512">
        <f>IF($E$1=0,0,IFERROR(VALUE(SUBSTITUTE(SUBSTITUTE(SUBSTITUTE(INDEX(貼り付け!$A$1:$BZ$3001,1511,$E$1)&amp;"",",",""),"¥",""),"￥","")),0))</f>
        <v/>
      </c>
      <c r="F1512">
        <f>IF($F$1=0,0,IFERROR(VALUE(SUBSTITUTE(SUBSTITUTE(SUBSTITUTE(INDEX(貼り付け!$A$1:$BZ$3001,1511,$F$1)&amp;"",",",""),"¥",""),"￥","")),0))</f>
        <v/>
      </c>
      <c r="G1512">
        <f>IF(ISNUMBER(B1512),YEAR(B1512),"")</f>
        <v/>
      </c>
      <c r="H1512">
        <f>IF(ISNUMBER(B1512),MONTH(B1512),"")</f>
        <v/>
      </c>
      <c r="I1512">
        <f>IFERROR(IF($B$1=0,"",IF(ISNUMBER(INDEX(貼り付け!$A$1:$BZ$3001,1511,$B$1)),"",SUBSTITUTE(SUBSTITUTE(SUBSTITUTE(SUBSTITUTE(TRIM(LEFT(INDEX(貼り付け!$A$1:$BZ$3001,1511,$B$1)&amp;"",FIND(" ",TRIM(INDEX(貼り付け!$A$1:$BZ$3001,1511,$B$1)&amp;"")&amp;" ")-1)),"/","-"),"年","-"),"月","-"),"日",""))),"")</f>
        <v/>
      </c>
      <c r="J1512">
        <f>IFERROR(MID(I1512,FIND("-",I1512)+1,99),"")</f>
        <v/>
      </c>
    </row>
    <row r="1513">
      <c r="B1513">
        <f>IFERROR(IF($B$1=0,"",IF(INDEX(貼り付け!$A$1:$BZ$3001,1512,$B$1)="","",IF(ISNUMBER(INDEX(貼り付け!$A$1:$BZ$3001,1512,$B$1)),INT(INDEX(貼り付け!$A$1:$BZ$3001,1512,$B$1)),DATE(VALUE(LEFT(I1513,FIND("-",I1513)-1)),VALUE(LEFT(J1513,FIND("-",J1513)-1)),VALUE(MID(J1513,FIND("-",J1513)+1,99)))))),"")</f>
        <v/>
      </c>
      <c r="C1513">
        <f>IF($C$1=0,0,IFERROR(VALUE(SUBSTITUTE(SUBSTITUTE(SUBSTITUTE(INDEX(貼り付け!$A$1:$BZ$3001,1512,$C$1)&amp;"",",",""),"¥",""),"￥","")),0))</f>
        <v/>
      </c>
      <c r="D1513">
        <f>IF($D$1=0,0,IFERROR(VALUE(SUBSTITUTE(SUBSTITUTE(SUBSTITUTE(INDEX(貼り付け!$A$1:$BZ$3001,1512,$D$1)&amp;"",",",""),"¥",""),"￥","")),0))</f>
        <v/>
      </c>
      <c r="E1513">
        <f>IF($E$1=0,0,IFERROR(VALUE(SUBSTITUTE(SUBSTITUTE(SUBSTITUTE(INDEX(貼り付け!$A$1:$BZ$3001,1512,$E$1)&amp;"",",",""),"¥",""),"￥","")),0))</f>
        <v/>
      </c>
      <c r="F1513">
        <f>IF($F$1=0,0,IFERROR(VALUE(SUBSTITUTE(SUBSTITUTE(SUBSTITUTE(INDEX(貼り付け!$A$1:$BZ$3001,1512,$F$1)&amp;"",",",""),"¥",""),"￥","")),0))</f>
        <v/>
      </c>
      <c r="G1513">
        <f>IF(ISNUMBER(B1513),YEAR(B1513),"")</f>
        <v/>
      </c>
      <c r="H1513">
        <f>IF(ISNUMBER(B1513),MONTH(B1513),"")</f>
        <v/>
      </c>
      <c r="I1513">
        <f>IFERROR(IF($B$1=0,"",IF(ISNUMBER(INDEX(貼り付け!$A$1:$BZ$3001,1512,$B$1)),"",SUBSTITUTE(SUBSTITUTE(SUBSTITUTE(SUBSTITUTE(TRIM(LEFT(INDEX(貼り付け!$A$1:$BZ$3001,1512,$B$1)&amp;"",FIND(" ",TRIM(INDEX(貼り付け!$A$1:$BZ$3001,1512,$B$1)&amp;"")&amp;" ")-1)),"/","-"),"年","-"),"月","-"),"日",""))),"")</f>
        <v/>
      </c>
      <c r="J1513">
        <f>IFERROR(MID(I1513,FIND("-",I1513)+1,99),"")</f>
        <v/>
      </c>
    </row>
    <row r="1514">
      <c r="B1514">
        <f>IFERROR(IF($B$1=0,"",IF(INDEX(貼り付け!$A$1:$BZ$3001,1513,$B$1)="","",IF(ISNUMBER(INDEX(貼り付け!$A$1:$BZ$3001,1513,$B$1)),INT(INDEX(貼り付け!$A$1:$BZ$3001,1513,$B$1)),DATE(VALUE(LEFT(I1514,FIND("-",I1514)-1)),VALUE(LEFT(J1514,FIND("-",J1514)-1)),VALUE(MID(J1514,FIND("-",J1514)+1,99)))))),"")</f>
        <v/>
      </c>
      <c r="C1514">
        <f>IF($C$1=0,0,IFERROR(VALUE(SUBSTITUTE(SUBSTITUTE(SUBSTITUTE(INDEX(貼り付け!$A$1:$BZ$3001,1513,$C$1)&amp;"",",",""),"¥",""),"￥","")),0))</f>
        <v/>
      </c>
      <c r="D1514">
        <f>IF($D$1=0,0,IFERROR(VALUE(SUBSTITUTE(SUBSTITUTE(SUBSTITUTE(INDEX(貼り付け!$A$1:$BZ$3001,1513,$D$1)&amp;"",",",""),"¥",""),"￥","")),0))</f>
        <v/>
      </c>
      <c r="E1514">
        <f>IF($E$1=0,0,IFERROR(VALUE(SUBSTITUTE(SUBSTITUTE(SUBSTITUTE(INDEX(貼り付け!$A$1:$BZ$3001,1513,$E$1)&amp;"",",",""),"¥",""),"￥","")),0))</f>
        <v/>
      </c>
      <c r="F1514">
        <f>IF($F$1=0,0,IFERROR(VALUE(SUBSTITUTE(SUBSTITUTE(SUBSTITUTE(INDEX(貼り付け!$A$1:$BZ$3001,1513,$F$1)&amp;"",",",""),"¥",""),"￥","")),0))</f>
        <v/>
      </c>
      <c r="G1514">
        <f>IF(ISNUMBER(B1514),YEAR(B1514),"")</f>
        <v/>
      </c>
      <c r="H1514">
        <f>IF(ISNUMBER(B1514),MONTH(B1514),"")</f>
        <v/>
      </c>
      <c r="I1514">
        <f>IFERROR(IF($B$1=0,"",IF(ISNUMBER(INDEX(貼り付け!$A$1:$BZ$3001,1513,$B$1)),"",SUBSTITUTE(SUBSTITUTE(SUBSTITUTE(SUBSTITUTE(TRIM(LEFT(INDEX(貼り付け!$A$1:$BZ$3001,1513,$B$1)&amp;"",FIND(" ",TRIM(INDEX(貼り付け!$A$1:$BZ$3001,1513,$B$1)&amp;"")&amp;" ")-1)),"/","-"),"年","-"),"月","-"),"日",""))),"")</f>
        <v/>
      </c>
      <c r="J1514">
        <f>IFERROR(MID(I1514,FIND("-",I1514)+1,99),"")</f>
        <v/>
      </c>
    </row>
    <row r="1515">
      <c r="B1515">
        <f>IFERROR(IF($B$1=0,"",IF(INDEX(貼り付け!$A$1:$BZ$3001,1514,$B$1)="","",IF(ISNUMBER(INDEX(貼り付け!$A$1:$BZ$3001,1514,$B$1)),INT(INDEX(貼り付け!$A$1:$BZ$3001,1514,$B$1)),DATE(VALUE(LEFT(I1515,FIND("-",I1515)-1)),VALUE(LEFT(J1515,FIND("-",J1515)-1)),VALUE(MID(J1515,FIND("-",J1515)+1,99)))))),"")</f>
        <v/>
      </c>
      <c r="C1515">
        <f>IF($C$1=0,0,IFERROR(VALUE(SUBSTITUTE(SUBSTITUTE(SUBSTITUTE(INDEX(貼り付け!$A$1:$BZ$3001,1514,$C$1)&amp;"",",",""),"¥",""),"￥","")),0))</f>
        <v/>
      </c>
      <c r="D1515">
        <f>IF($D$1=0,0,IFERROR(VALUE(SUBSTITUTE(SUBSTITUTE(SUBSTITUTE(INDEX(貼り付け!$A$1:$BZ$3001,1514,$D$1)&amp;"",",",""),"¥",""),"￥","")),0))</f>
        <v/>
      </c>
      <c r="E1515">
        <f>IF($E$1=0,0,IFERROR(VALUE(SUBSTITUTE(SUBSTITUTE(SUBSTITUTE(INDEX(貼り付け!$A$1:$BZ$3001,1514,$E$1)&amp;"",",",""),"¥",""),"￥","")),0))</f>
        <v/>
      </c>
      <c r="F1515">
        <f>IF($F$1=0,0,IFERROR(VALUE(SUBSTITUTE(SUBSTITUTE(SUBSTITUTE(INDEX(貼り付け!$A$1:$BZ$3001,1514,$F$1)&amp;"",",",""),"¥",""),"￥","")),0))</f>
        <v/>
      </c>
      <c r="G1515">
        <f>IF(ISNUMBER(B1515),YEAR(B1515),"")</f>
        <v/>
      </c>
      <c r="H1515">
        <f>IF(ISNUMBER(B1515),MONTH(B1515),"")</f>
        <v/>
      </c>
      <c r="I1515">
        <f>IFERROR(IF($B$1=0,"",IF(ISNUMBER(INDEX(貼り付け!$A$1:$BZ$3001,1514,$B$1)),"",SUBSTITUTE(SUBSTITUTE(SUBSTITUTE(SUBSTITUTE(TRIM(LEFT(INDEX(貼り付け!$A$1:$BZ$3001,1514,$B$1)&amp;"",FIND(" ",TRIM(INDEX(貼り付け!$A$1:$BZ$3001,1514,$B$1)&amp;"")&amp;" ")-1)),"/","-"),"年","-"),"月","-"),"日",""))),"")</f>
        <v/>
      </c>
      <c r="J1515">
        <f>IFERROR(MID(I1515,FIND("-",I1515)+1,99),"")</f>
        <v/>
      </c>
    </row>
    <row r="1516">
      <c r="B1516">
        <f>IFERROR(IF($B$1=0,"",IF(INDEX(貼り付け!$A$1:$BZ$3001,1515,$B$1)="","",IF(ISNUMBER(INDEX(貼り付け!$A$1:$BZ$3001,1515,$B$1)),INT(INDEX(貼り付け!$A$1:$BZ$3001,1515,$B$1)),DATE(VALUE(LEFT(I1516,FIND("-",I1516)-1)),VALUE(LEFT(J1516,FIND("-",J1516)-1)),VALUE(MID(J1516,FIND("-",J1516)+1,99)))))),"")</f>
        <v/>
      </c>
      <c r="C1516">
        <f>IF($C$1=0,0,IFERROR(VALUE(SUBSTITUTE(SUBSTITUTE(SUBSTITUTE(INDEX(貼り付け!$A$1:$BZ$3001,1515,$C$1)&amp;"",",",""),"¥",""),"￥","")),0))</f>
        <v/>
      </c>
      <c r="D1516">
        <f>IF($D$1=0,0,IFERROR(VALUE(SUBSTITUTE(SUBSTITUTE(SUBSTITUTE(INDEX(貼り付け!$A$1:$BZ$3001,1515,$D$1)&amp;"",",",""),"¥",""),"￥","")),0))</f>
        <v/>
      </c>
      <c r="E1516">
        <f>IF($E$1=0,0,IFERROR(VALUE(SUBSTITUTE(SUBSTITUTE(SUBSTITUTE(INDEX(貼り付け!$A$1:$BZ$3001,1515,$E$1)&amp;"",",",""),"¥",""),"￥","")),0))</f>
        <v/>
      </c>
      <c r="F1516">
        <f>IF($F$1=0,0,IFERROR(VALUE(SUBSTITUTE(SUBSTITUTE(SUBSTITUTE(INDEX(貼り付け!$A$1:$BZ$3001,1515,$F$1)&amp;"",",",""),"¥",""),"￥","")),0))</f>
        <v/>
      </c>
      <c r="G1516">
        <f>IF(ISNUMBER(B1516),YEAR(B1516),"")</f>
        <v/>
      </c>
      <c r="H1516">
        <f>IF(ISNUMBER(B1516),MONTH(B1516),"")</f>
        <v/>
      </c>
      <c r="I1516">
        <f>IFERROR(IF($B$1=0,"",IF(ISNUMBER(INDEX(貼り付け!$A$1:$BZ$3001,1515,$B$1)),"",SUBSTITUTE(SUBSTITUTE(SUBSTITUTE(SUBSTITUTE(TRIM(LEFT(INDEX(貼り付け!$A$1:$BZ$3001,1515,$B$1)&amp;"",FIND(" ",TRIM(INDEX(貼り付け!$A$1:$BZ$3001,1515,$B$1)&amp;"")&amp;" ")-1)),"/","-"),"年","-"),"月","-"),"日",""))),"")</f>
        <v/>
      </c>
      <c r="J1516">
        <f>IFERROR(MID(I1516,FIND("-",I1516)+1,99),"")</f>
        <v/>
      </c>
    </row>
    <row r="1517">
      <c r="B1517">
        <f>IFERROR(IF($B$1=0,"",IF(INDEX(貼り付け!$A$1:$BZ$3001,1516,$B$1)="","",IF(ISNUMBER(INDEX(貼り付け!$A$1:$BZ$3001,1516,$B$1)),INT(INDEX(貼り付け!$A$1:$BZ$3001,1516,$B$1)),DATE(VALUE(LEFT(I1517,FIND("-",I1517)-1)),VALUE(LEFT(J1517,FIND("-",J1517)-1)),VALUE(MID(J1517,FIND("-",J1517)+1,99)))))),"")</f>
        <v/>
      </c>
      <c r="C1517">
        <f>IF($C$1=0,0,IFERROR(VALUE(SUBSTITUTE(SUBSTITUTE(SUBSTITUTE(INDEX(貼り付け!$A$1:$BZ$3001,1516,$C$1)&amp;"",",",""),"¥",""),"￥","")),0))</f>
        <v/>
      </c>
      <c r="D1517">
        <f>IF($D$1=0,0,IFERROR(VALUE(SUBSTITUTE(SUBSTITUTE(SUBSTITUTE(INDEX(貼り付け!$A$1:$BZ$3001,1516,$D$1)&amp;"",",",""),"¥",""),"￥","")),0))</f>
        <v/>
      </c>
      <c r="E1517">
        <f>IF($E$1=0,0,IFERROR(VALUE(SUBSTITUTE(SUBSTITUTE(SUBSTITUTE(INDEX(貼り付け!$A$1:$BZ$3001,1516,$E$1)&amp;"",",",""),"¥",""),"￥","")),0))</f>
        <v/>
      </c>
      <c r="F1517">
        <f>IF($F$1=0,0,IFERROR(VALUE(SUBSTITUTE(SUBSTITUTE(SUBSTITUTE(INDEX(貼り付け!$A$1:$BZ$3001,1516,$F$1)&amp;"",",",""),"¥",""),"￥","")),0))</f>
        <v/>
      </c>
      <c r="G1517">
        <f>IF(ISNUMBER(B1517),YEAR(B1517),"")</f>
        <v/>
      </c>
      <c r="H1517">
        <f>IF(ISNUMBER(B1517),MONTH(B1517),"")</f>
        <v/>
      </c>
      <c r="I1517">
        <f>IFERROR(IF($B$1=0,"",IF(ISNUMBER(INDEX(貼り付け!$A$1:$BZ$3001,1516,$B$1)),"",SUBSTITUTE(SUBSTITUTE(SUBSTITUTE(SUBSTITUTE(TRIM(LEFT(INDEX(貼り付け!$A$1:$BZ$3001,1516,$B$1)&amp;"",FIND(" ",TRIM(INDEX(貼り付け!$A$1:$BZ$3001,1516,$B$1)&amp;"")&amp;" ")-1)),"/","-"),"年","-"),"月","-"),"日",""))),"")</f>
        <v/>
      </c>
      <c r="J1517">
        <f>IFERROR(MID(I1517,FIND("-",I1517)+1,99),"")</f>
        <v/>
      </c>
    </row>
    <row r="1518">
      <c r="B1518">
        <f>IFERROR(IF($B$1=0,"",IF(INDEX(貼り付け!$A$1:$BZ$3001,1517,$B$1)="","",IF(ISNUMBER(INDEX(貼り付け!$A$1:$BZ$3001,1517,$B$1)),INT(INDEX(貼り付け!$A$1:$BZ$3001,1517,$B$1)),DATE(VALUE(LEFT(I1518,FIND("-",I1518)-1)),VALUE(LEFT(J1518,FIND("-",J1518)-1)),VALUE(MID(J1518,FIND("-",J1518)+1,99)))))),"")</f>
        <v/>
      </c>
      <c r="C1518">
        <f>IF($C$1=0,0,IFERROR(VALUE(SUBSTITUTE(SUBSTITUTE(SUBSTITUTE(INDEX(貼り付け!$A$1:$BZ$3001,1517,$C$1)&amp;"",",",""),"¥",""),"￥","")),0))</f>
        <v/>
      </c>
      <c r="D1518">
        <f>IF($D$1=0,0,IFERROR(VALUE(SUBSTITUTE(SUBSTITUTE(SUBSTITUTE(INDEX(貼り付け!$A$1:$BZ$3001,1517,$D$1)&amp;"",",",""),"¥",""),"￥","")),0))</f>
        <v/>
      </c>
      <c r="E1518">
        <f>IF($E$1=0,0,IFERROR(VALUE(SUBSTITUTE(SUBSTITUTE(SUBSTITUTE(INDEX(貼り付け!$A$1:$BZ$3001,1517,$E$1)&amp;"",",",""),"¥",""),"￥","")),0))</f>
        <v/>
      </c>
      <c r="F1518">
        <f>IF($F$1=0,0,IFERROR(VALUE(SUBSTITUTE(SUBSTITUTE(SUBSTITUTE(INDEX(貼り付け!$A$1:$BZ$3001,1517,$F$1)&amp;"",",",""),"¥",""),"￥","")),0))</f>
        <v/>
      </c>
      <c r="G1518">
        <f>IF(ISNUMBER(B1518),YEAR(B1518),"")</f>
        <v/>
      </c>
      <c r="H1518">
        <f>IF(ISNUMBER(B1518),MONTH(B1518),"")</f>
        <v/>
      </c>
      <c r="I1518">
        <f>IFERROR(IF($B$1=0,"",IF(ISNUMBER(INDEX(貼り付け!$A$1:$BZ$3001,1517,$B$1)),"",SUBSTITUTE(SUBSTITUTE(SUBSTITUTE(SUBSTITUTE(TRIM(LEFT(INDEX(貼り付け!$A$1:$BZ$3001,1517,$B$1)&amp;"",FIND(" ",TRIM(INDEX(貼り付け!$A$1:$BZ$3001,1517,$B$1)&amp;"")&amp;" ")-1)),"/","-"),"年","-"),"月","-"),"日",""))),"")</f>
        <v/>
      </c>
      <c r="J1518">
        <f>IFERROR(MID(I1518,FIND("-",I1518)+1,99),"")</f>
        <v/>
      </c>
    </row>
    <row r="1519">
      <c r="B1519">
        <f>IFERROR(IF($B$1=0,"",IF(INDEX(貼り付け!$A$1:$BZ$3001,1518,$B$1)="","",IF(ISNUMBER(INDEX(貼り付け!$A$1:$BZ$3001,1518,$B$1)),INT(INDEX(貼り付け!$A$1:$BZ$3001,1518,$B$1)),DATE(VALUE(LEFT(I1519,FIND("-",I1519)-1)),VALUE(LEFT(J1519,FIND("-",J1519)-1)),VALUE(MID(J1519,FIND("-",J1519)+1,99)))))),"")</f>
        <v/>
      </c>
      <c r="C1519">
        <f>IF($C$1=0,0,IFERROR(VALUE(SUBSTITUTE(SUBSTITUTE(SUBSTITUTE(INDEX(貼り付け!$A$1:$BZ$3001,1518,$C$1)&amp;"",",",""),"¥",""),"￥","")),0))</f>
        <v/>
      </c>
      <c r="D1519">
        <f>IF($D$1=0,0,IFERROR(VALUE(SUBSTITUTE(SUBSTITUTE(SUBSTITUTE(INDEX(貼り付け!$A$1:$BZ$3001,1518,$D$1)&amp;"",",",""),"¥",""),"￥","")),0))</f>
        <v/>
      </c>
      <c r="E1519">
        <f>IF($E$1=0,0,IFERROR(VALUE(SUBSTITUTE(SUBSTITUTE(SUBSTITUTE(INDEX(貼り付け!$A$1:$BZ$3001,1518,$E$1)&amp;"",",",""),"¥",""),"￥","")),0))</f>
        <v/>
      </c>
      <c r="F1519">
        <f>IF($F$1=0,0,IFERROR(VALUE(SUBSTITUTE(SUBSTITUTE(SUBSTITUTE(INDEX(貼り付け!$A$1:$BZ$3001,1518,$F$1)&amp;"",",",""),"¥",""),"￥","")),0))</f>
        <v/>
      </c>
      <c r="G1519">
        <f>IF(ISNUMBER(B1519),YEAR(B1519),"")</f>
        <v/>
      </c>
      <c r="H1519">
        <f>IF(ISNUMBER(B1519),MONTH(B1519),"")</f>
        <v/>
      </c>
      <c r="I1519">
        <f>IFERROR(IF($B$1=0,"",IF(ISNUMBER(INDEX(貼り付け!$A$1:$BZ$3001,1518,$B$1)),"",SUBSTITUTE(SUBSTITUTE(SUBSTITUTE(SUBSTITUTE(TRIM(LEFT(INDEX(貼り付け!$A$1:$BZ$3001,1518,$B$1)&amp;"",FIND(" ",TRIM(INDEX(貼り付け!$A$1:$BZ$3001,1518,$B$1)&amp;"")&amp;" ")-1)),"/","-"),"年","-"),"月","-"),"日",""))),"")</f>
        <v/>
      </c>
      <c r="J1519">
        <f>IFERROR(MID(I1519,FIND("-",I1519)+1,99),"")</f>
        <v/>
      </c>
    </row>
    <row r="1520">
      <c r="B1520">
        <f>IFERROR(IF($B$1=0,"",IF(INDEX(貼り付け!$A$1:$BZ$3001,1519,$B$1)="","",IF(ISNUMBER(INDEX(貼り付け!$A$1:$BZ$3001,1519,$B$1)),INT(INDEX(貼り付け!$A$1:$BZ$3001,1519,$B$1)),DATE(VALUE(LEFT(I1520,FIND("-",I1520)-1)),VALUE(LEFT(J1520,FIND("-",J1520)-1)),VALUE(MID(J1520,FIND("-",J1520)+1,99)))))),"")</f>
        <v/>
      </c>
      <c r="C1520">
        <f>IF($C$1=0,0,IFERROR(VALUE(SUBSTITUTE(SUBSTITUTE(SUBSTITUTE(INDEX(貼り付け!$A$1:$BZ$3001,1519,$C$1)&amp;"",",",""),"¥",""),"￥","")),0))</f>
        <v/>
      </c>
      <c r="D1520">
        <f>IF($D$1=0,0,IFERROR(VALUE(SUBSTITUTE(SUBSTITUTE(SUBSTITUTE(INDEX(貼り付け!$A$1:$BZ$3001,1519,$D$1)&amp;"",",",""),"¥",""),"￥","")),0))</f>
        <v/>
      </c>
      <c r="E1520">
        <f>IF($E$1=0,0,IFERROR(VALUE(SUBSTITUTE(SUBSTITUTE(SUBSTITUTE(INDEX(貼り付け!$A$1:$BZ$3001,1519,$E$1)&amp;"",",",""),"¥",""),"￥","")),0))</f>
        <v/>
      </c>
      <c r="F1520">
        <f>IF($F$1=0,0,IFERROR(VALUE(SUBSTITUTE(SUBSTITUTE(SUBSTITUTE(INDEX(貼り付け!$A$1:$BZ$3001,1519,$F$1)&amp;"",",",""),"¥",""),"￥","")),0))</f>
        <v/>
      </c>
      <c r="G1520">
        <f>IF(ISNUMBER(B1520),YEAR(B1520),"")</f>
        <v/>
      </c>
      <c r="H1520">
        <f>IF(ISNUMBER(B1520),MONTH(B1520),"")</f>
        <v/>
      </c>
      <c r="I1520">
        <f>IFERROR(IF($B$1=0,"",IF(ISNUMBER(INDEX(貼り付け!$A$1:$BZ$3001,1519,$B$1)),"",SUBSTITUTE(SUBSTITUTE(SUBSTITUTE(SUBSTITUTE(TRIM(LEFT(INDEX(貼り付け!$A$1:$BZ$3001,1519,$B$1)&amp;"",FIND(" ",TRIM(INDEX(貼り付け!$A$1:$BZ$3001,1519,$B$1)&amp;"")&amp;" ")-1)),"/","-"),"年","-"),"月","-"),"日",""))),"")</f>
        <v/>
      </c>
      <c r="J1520">
        <f>IFERROR(MID(I1520,FIND("-",I1520)+1,99),"")</f>
        <v/>
      </c>
    </row>
    <row r="1521">
      <c r="B1521">
        <f>IFERROR(IF($B$1=0,"",IF(INDEX(貼り付け!$A$1:$BZ$3001,1520,$B$1)="","",IF(ISNUMBER(INDEX(貼り付け!$A$1:$BZ$3001,1520,$B$1)),INT(INDEX(貼り付け!$A$1:$BZ$3001,1520,$B$1)),DATE(VALUE(LEFT(I1521,FIND("-",I1521)-1)),VALUE(LEFT(J1521,FIND("-",J1521)-1)),VALUE(MID(J1521,FIND("-",J1521)+1,99)))))),"")</f>
        <v/>
      </c>
      <c r="C1521">
        <f>IF($C$1=0,0,IFERROR(VALUE(SUBSTITUTE(SUBSTITUTE(SUBSTITUTE(INDEX(貼り付け!$A$1:$BZ$3001,1520,$C$1)&amp;"",",",""),"¥",""),"￥","")),0))</f>
        <v/>
      </c>
      <c r="D1521">
        <f>IF($D$1=0,0,IFERROR(VALUE(SUBSTITUTE(SUBSTITUTE(SUBSTITUTE(INDEX(貼り付け!$A$1:$BZ$3001,1520,$D$1)&amp;"",",",""),"¥",""),"￥","")),0))</f>
        <v/>
      </c>
      <c r="E1521">
        <f>IF($E$1=0,0,IFERROR(VALUE(SUBSTITUTE(SUBSTITUTE(SUBSTITUTE(INDEX(貼り付け!$A$1:$BZ$3001,1520,$E$1)&amp;"",",",""),"¥",""),"￥","")),0))</f>
        <v/>
      </c>
      <c r="F1521">
        <f>IF($F$1=0,0,IFERROR(VALUE(SUBSTITUTE(SUBSTITUTE(SUBSTITUTE(INDEX(貼り付け!$A$1:$BZ$3001,1520,$F$1)&amp;"",",",""),"¥",""),"￥","")),0))</f>
        <v/>
      </c>
      <c r="G1521">
        <f>IF(ISNUMBER(B1521),YEAR(B1521),"")</f>
        <v/>
      </c>
      <c r="H1521">
        <f>IF(ISNUMBER(B1521),MONTH(B1521),"")</f>
        <v/>
      </c>
      <c r="I1521">
        <f>IFERROR(IF($B$1=0,"",IF(ISNUMBER(INDEX(貼り付け!$A$1:$BZ$3001,1520,$B$1)),"",SUBSTITUTE(SUBSTITUTE(SUBSTITUTE(SUBSTITUTE(TRIM(LEFT(INDEX(貼り付け!$A$1:$BZ$3001,1520,$B$1)&amp;"",FIND(" ",TRIM(INDEX(貼り付け!$A$1:$BZ$3001,1520,$B$1)&amp;"")&amp;" ")-1)),"/","-"),"年","-"),"月","-"),"日",""))),"")</f>
        <v/>
      </c>
      <c r="J1521">
        <f>IFERROR(MID(I1521,FIND("-",I1521)+1,99),"")</f>
        <v/>
      </c>
    </row>
    <row r="1522">
      <c r="B1522">
        <f>IFERROR(IF($B$1=0,"",IF(INDEX(貼り付け!$A$1:$BZ$3001,1521,$B$1)="","",IF(ISNUMBER(INDEX(貼り付け!$A$1:$BZ$3001,1521,$B$1)),INT(INDEX(貼り付け!$A$1:$BZ$3001,1521,$B$1)),DATE(VALUE(LEFT(I1522,FIND("-",I1522)-1)),VALUE(LEFT(J1522,FIND("-",J1522)-1)),VALUE(MID(J1522,FIND("-",J1522)+1,99)))))),"")</f>
        <v/>
      </c>
      <c r="C1522">
        <f>IF($C$1=0,0,IFERROR(VALUE(SUBSTITUTE(SUBSTITUTE(SUBSTITUTE(INDEX(貼り付け!$A$1:$BZ$3001,1521,$C$1)&amp;"",",",""),"¥",""),"￥","")),0))</f>
        <v/>
      </c>
      <c r="D1522">
        <f>IF($D$1=0,0,IFERROR(VALUE(SUBSTITUTE(SUBSTITUTE(SUBSTITUTE(INDEX(貼り付け!$A$1:$BZ$3001,1521,$D$1)&amp;"",",",""),"¥",""),"￥","")),0))</f>
        <v/>
      </c>
      <c r="E1522">
        <f>IF($E$1=0,0,IFERROR(VALUE(SUBSTITUTE(SUBSTITUTE(SUBSTITUTE(INDEX(貼り付け!$A$1:$BZ$3001,1521,$E$1)&amp;"",",",""),"¥",""),"￥","")),0))</f>
        <v/>
      </c>
      <c r="F1522">
        <f>IF($F$1=0,0,IFERROR(VALUE(SUBSTITUTE(SUBSTITUTE(SUBSTITUTE(INDEX(貼り付け!$A$1:$BZ$3001,1521,$F$1)&amp;"",",",""),"¥",""),"￥","")),0))</f>
        <v/>
      </c>
      <c r="G1522">
        <f>IF(ISNUMBER(B1522),YEAR(B1522),"")</f>
        <v/>
      </c>
      <c r="H1522">
        <f>IF(ISNUMBER(B1522),MONTH(B1522),"")</f>
        <v/>
      </c>
      <c r="I1522">
        <f>IFERROR(IF($B$1=0,"",IF(ISNUMBER(INDEX(貼り付け!$A$1:$BZ$3001,1521,$B$1)),"",SUBSTITUTE(SUBSTITUTE(SUBSTITUTE(SUBSTITUTE(TRIM(LEFT(INDEX(貼り付け!$A$1:$BZ$3001,1521,$B$1)&amp;"",FIND(" ",TRIM(INDEX(貼り付け!$A$1:$BZ$3001,1521,$B$1)&amp;"")&amp;" ")-1)),"/","-"),"年","-"),"月","-"),"日",""))),"")</f>
        <v/>
      </c>
      <c r="J1522">
        <f>IFERROR(MID(I1522,FIND("-",I1522)+1,99),"")</f>
        <v/>
      </c>
    </row>
    <row r="1523">
      <c r="B1523">
        <f>IFERROR(IF($B$1=0,"",IF(INDEX(貼り付け!$A$1:$BZ$3001,1522,$B$1)="","",IF(ISNUMBER(INDEX(貼り付け!$A$1:$BZ$3001,1522,$B$1)),INT(INDEX(貼り付け!$A$1:$BZ$3001,1522,$B$1)),DATE(VALUE(LEFT(I1523,FIND("-",I1523)-1)),VALUE(LEFT(J1523,FIND("-",J1523)-1)),VALUE(MID(J1523,FIND("-",J1523)+1,99)))))),"")</f>
        <v/>
      </c>
      <c r="C1523">
        <f>IF($C$1=0,0,IFERROR(VALUE(SUBSTITUTE(SUBSTITUTE(SUBSTITUTE(INDEX(貼り付け!$A$1:$BZ$3001,1522,$C$1)&amp;"",",",""),"¥",""),"￥","")),0))</f>
        <v/>
      </c>
      <c r="D1523">
        <f>IF($D$1=0,0,IFERROR(VALUE(SUBSTITUTE(SUBSTITUTE(SUBSTITUTE(INDEX(貼り付け!$A$1:$BZ$3001,1522,$D$1)&amp;"",",",""),"¥",""),"￥","")),0))</f>
        <v/>
      </c>
      <c r="E1523">
        <f>IF($E$1=0,0,IFERROR(VALUE(SUBSTITUTE(SUBSTITUTE(SUBSTITUTE(INDEX(貼り付け!$A$1:$BZ$3001,1522,$E$1)&amp;"",",",""),"¥",""),"￥","")),0))</f>
        <v/>
      </c>
      <c r="F1523">
        <f>IF($F$1=0,0,IFERROR(VALUE(SUBSTITUTE(SUBSTITUTE(SUBSTITUTE(INDEX(貼り付け!$A$1:$BZ$3001,1522,$F$1)&amp;"",",",""),"¥",""),"￥","")),0))</f>
        <v/>
      </c>
      <c r="G1523">
        <f>IF(ISNUMBER(B1523),YEAR(B1523),"")</f>
        <v/>
      </c>
      <c r="H1523">
        <f>IF(ISNUMBER(B1523),MONTH(B1523),"")</f>
        <v/>
      </c>
      <c r="I1523">
        <f>IFERROR(IF($B$1=0,"",IF(ISNUMBER(INDEX(貼り付け!$A$1:$BZ$3001,1522,$B$1)),"",SUBSTITUTE(SUBSTITUTE(SUBSTITUTE(SUBSTITUTE(TRIM(LEFT(INDEX(貼り付け!$A$1:$BZ$3001,1522,$B$1)&amp;"",FIND(" ",TRIM(INDEX(貼り付け!$A$1:$BZ$3001,1522,$B$1)&amp;"")&amp;" ")-1)),"/","-"),"年","-"),"月","-"),"日",""))),"")</f>
        <v/>
      </c>
      <c r="J1523">
        <f>IFERROR(MID(I1523,FIND("-",I1523)+1,99),"")</f>
        <v/>
      </c>
    </row>
    <row r="1524">
      <c r="B1524">
        <f>IFERROR(IF($B$1=0,"",IF(INDEX(貼り付け!$A$1:$BZ$3001,1523,$B$1)="","",IF(ISNUMBER(INDEX(貼り付け!$A$1:$BZ$3001,1523,$B$1)),INT(INDEX(貼り付け!$A$1:$BZ$3001,1523,$B$1)),DATE(VALUE(LEFT(I1524,FIND("-",I1524)-1)),VALUE(LEFT(J1524,FIND("-",J1524)-1)),VALUE(MID(J1524,FIND("-",J1524)+1,99)))))),"")</f>
        <v/>
      </c>
      <c r="C1524">
        <f>IF($C$1=0,0,IFERROR(VALUE(SUBSTITUTE(SUBSTITUTE(SUBSTITUTE(INDEX(貼り付け!$A$1:$BZ$3001,1523,$C$1)&amp;"",",",""),"¥",""),"￥","")),0))</f>
        <v/>
      </c>
      <c r="D1524">
        <f>IF($D$1=0,0,IFERROR(VALUE(SUBSTITUTE(SUBSTITUTE(SUBSTITUTE(INDEX(貼り付け!$A$1:$BZ$3001,1523,$D$1)&amp;"",",",""),"¥",""),"￥","")),0))</f>
        <v/>
      </c>
      <c r="E1524">
        <f>IF($E$1=0,0,IFERROR(VALUE(SUBSTITUTE(SUBSTITUTE(SUBSTITUTE(INDEX(貼り付け!$A$1:$BZ$3001,1523,$E$1)&amp;"",",",""),"¥",""),"￥","")),0))</f>
        <v/>
      </c>
      <c r="F1524">
        <f>IF($F$1=0,0,IFERROR(VALUE(SUBSTITUTE(SUBSTITUTE(SUBSTITUTE(INDEX(貼り付け!$A$1:$BZ$3001,1523,$F$1)&amp;"",",",""),"¥",""),"￥","")),0))</f>
        <v/>
      </c>
      <c r="G1524">
        <f>IF(ISNUMBER(B1524),YEAR(B1524),"")</f>
        <v/>
      </c>
      <c r="H1524">
        <f>IF(ISNUMBER(B1524),MONTH(B1524),"")</f>
        <v/>
      </c>
      <c r="I1524">
        <f>IFERROR(IF($B$1=0,"",IF(ISNUMBER(INDEX(貼り付け!$A$1:$BZ$3001,1523,$B$1)),"",SUBSTITUTE(SUBSTITUTE(SUBSTITUTE(SUBSTITUTE(TRIM(LEFT(INDEX(貼り付け!$A$1:$BZ$3001,1523,$B$1)&amp;"",FIND(" ",TRIM(INDEX(貼り付け!$A$1:$BZ$3001,1523,$B$1)&amp;"")&amp;" ")-1)),"/","-"),"年","-"),"月","-"),"日",""))),"")</f>
        <v/>
      </c>
      <c r="J1524">
        <f>IFERROR(MID(I1524,FIND("-",I1524)+1,99),"")</f>
        <v/>
      </c>
    </row>
    <row r="1525">
      <c r="B1525">
        <f>IFERROR(IF($B$1=0,"",IF(INDEX(貼り付け!$A$1:$BZ$3001,1524,$B$1)="","",IF(ISNUMBER(INDEX(貼り付け!$A$1:$BZ$3001,1524,$B$1)),INT(INDEX(貼り付け!$A$1:$BZ$3001,1524,$B$1)),DATE(VALUE(LEFT(I1525,FIND("-",I1525)-1)),VALUE(LEFT(J1525,FIND("-",J1525)-1)),VALUE(MID(J1525,FIND("-",J1525)+1,99)))))),"")</f>
        <v/>
      </c>
      <c r="C1525">
        <f>IF($C$1=0,0,IFERROR(VALUE(SUBSTITUTE(SUBSTITUTE(SUBSTITUTE(INDEX(貼り付け!$A$1:$BZ$3001,1524,$C$1)&amp;"",",",""),"¥",""),"￥","")),0))</f>
        <v/>
      </c>
      <c r="D1525">
        <f>IF($D$1=0,0,IFERROR(VALUE(SUBSTITUTE(SUBSTITUTE(SUBSTITUTE(INDEX(貼り付け!$A$1:$BZ$3001,1524,$D$1)&amp;"",",",""),"¥",""),"￥","")),0))</f>
        <v/>
      </c>
      <c r="E1525">
        <f>IF($E$1=0,0,IFERROR(VALUE(SUBSTITUTE(SUBSTITUTE(SUBSTITUTE(INDEX(貼り付け!$A$1:$BZ$3001,1524,$E$1)&amp;"",",",""),"¥",""),"￥","")),0))</f>
        <v/>
      </c>
      <c r="F1525">
        <f>IF($F$1=0,0,IFERROR(VALUE(SUBSTITUTE(SUBSTITUTE(SUBSTITUTE(INDEX(貼り付け!$A$1:$BZ$3001,1524,$F$1)&amp;"",",",""),"¥",""),"￥","")),0))</f>
        <v/>
      </c>
      <c r="G1525">
        <f>IF(ISNUMBER(B1525),YEAR(B1525),"")</f>
        <v/>
      </c>
      <c r="H1525">
        <f>IF(ISNUMBER(B1525),MONTH(B1525),"")</f>
        <v/>
      </c>
      <c r="I1525">
        <f>IFERROR(IF($B$1=0,"",IF(ISNUMBER(INDEX(貼り付け!$A$1:$BZ$3001,1524,$B$1)),"",SUBSTITUTE(SUBSTITUTE(SUBSTITUTE(SUBSTITUTE(TRIM(LEFT(INDEX(貼り付け!$A$1:$BZ$3001,1524,$B$1)&amp;"",FIND(" ",TRIM(INDEX(貼り付け!$A$1:$BZ$3001,1524,$B$1)&amp;"")&amp;" ")-1)),"/","-"),"年","-"),"月","-"),"日",""))),"")</f>
        <v/>
      </c>
      <c r="J1525">
        <f>IFERROR(MID(I1525,FIND("-",I1525)+1,99),"")</f>
        <v/>
      </c>
    </row>
    <row r="1526">
      <c r="B1526">
        <f>IFERROR(IF($B$1=0,"",IF(INDEX(貼り付け!$A$1:$BZ$3001,1525,$B$1)="","",IF(ISNUMBER(INDEX(貼り付け!$A$1:$BZ$3001,1525,$B$1)),INT(INDEX(貼り付け!$A$1:$BZ$3001,1525,$B$1)),DATE(VALUE(LEFT(I1526,FIND("-",I1526)-1)),VALUE(LEFT(J1526,FIND("-",J1526)-1)),VALUE(MID(J1526,FIND("-",J1526)+1,99)))))),"")</f>
        <v/>
      </c>
      <c r="C1526">
        <f>IF($C$1=0,0,IFERROR(VALUE(SUBSTITUTE(SUBSTITUTE(SUBSTITUTE(INDEX(貼り付け!$A$1:$BZ$3001,1525,$C$1)&amp;"",",",""),"¥",""),"￥","")),0))</f>
        <v/>
      </c>
      <c r="D1526">
        <f>IF($D$1=0,0,IFERROR(VALUE(SUBSTITUTE(SUBSTITUTE(SUBSTITUTE(INDEX(貼り付け!$A$1:$BZ$3001,1525,$D$1)&amp;"",",",""),"¥",""),"￥","")),0))</f>
        <v/>
      </c>
      <c r="E1526">
        <f>IF($E$1=0,0,IFERROR(VALUE(SUBSTITUTE(SUBSTITUTE(SUBSTITUTE(INDEX(貼り付け!$A$1:$BZ$3001,1525,$E$1)&amp;"",",",""),"¥",""),"￥","")),0))</f>
        <v/>
      </c>
      <c r="F1526">
        <f>IF($F$1=0,0,IFERROR(VALUE(SUBSTITUTE(SUBSTITUTE(SUBSTITUTE(INDEX(貼り付け!$A$1:$BZ$3001,1525,$F$1)&amp;"",",",""),"¥",""),"￥","")),0))</f>
        <v/>
      </c>
      <c r="G1526">
        <f>IF(ISNUMBER(B1526),YEAR(B1526),"")</f>
        <v/>
      </c>
      <c r="H1526">
        <f>IF(ISNUMBER(B1526),MONTH(B1526),"")</f>
        <v/>
      </c>
      <c r="I1526">
        <f>IFERROR(IF($B$1=0,"",IF(ISNUMBER(INDEX(貼り付け!$A$1:$BZ$3001,1525,$B$1)),"",SUBSTITUTE(SUBSTITUTE(SUBSTITUTE(SUBSTITUTE(TRIM(LEFT(INDEX(貼り付け!$A$1:$BZ$3001,1525,$B$1)&amp;"",FIND(" ",TRIM(INDEX(貼り付け!$A$1:$BZ$3001,1525,$B$1)&amp;"")&amp;" ")-1)),"/","-"),"年","-"),"月","-"),"日",""))),"")</f>
        <v/>
      </c>
      <c r="J1526">
        <f>IFERROR(MID(I1526,FIND("-",I1526)+1,99),"")</f>
        <v/>
      </c>
    </row>
    <row r="1527">
      <c r="B1527">
        <f>IFERROR(IF($B$1=0,"",IF(INDEX(貼り付け!$A$1:$BZ$3001,1526,$B$1)="","",IF(ISNUMBER(INDEX(貼り付け!$A$1:$BZ$3001,1526,$B$1)),INT(INDEX(貼り付け!$A$1:$BZ$3001,1526,$B$1)),DATE(VALUE(LEFT(I1527,FIND("-",I1527)-1)),VALUE(LEFT(J1527,FIND("-",J1527)-1)),VALUE(MID(J1527,FIND("-",J1527)+1,99)))))),"")</f>
        <v/>
      </c>
      <c r="C1527">
        <f>IF($C$1=0,0,IFERROR(VALUE(SUBSTITUTE(SUBSTITUTE(SUBSTITUTE(INDEX(貼り付け!$A$1:$BZ$3001,1526,$C$1)&amp;"",",",""),"¥",""),"￥","")),0))</f>
        <v/>
      </c>
      <c r="D1527">
        <f>IF($D$1=0,0,IFERROR(VALUE(SUBSTITUTE(SUBSTITUTE(SUBSTITUTE(INDEX(貼り付け!$A$1:$BZ$3001,1526,$D$1)&amp;"",",",""),"¥",""),"￥","")),0))</f>
        <v/>
      </c>
      <c r="E1527">
        <f>IF($E$1=0,0,IFERROR(VALUE(SUBSTITUTE(SUBSTITUTE(SUBSTITUTE(INDEX(貼り付け!$A$1:$BZ$3001,1526,$E$1)&amp;"",",",""),"¥",""),"￥","")),0))</f>
        <v/>
      </c>
      <c r="F1527">
        <f>IF($F$1=0,0,IFERROR(VALUE(SUBSTITUTE(SUBSTITUTE(SUBSTITUTE(INDEX(貼り付け!$A$1:$BZ$3001,1526,$F$1)&amp;"",",",""),"¥",""),"￥","")),0))</f>
        <v/>
      </c>
      <c r="G1527">
        <f>IF(ISNUMBER(B1527),YEAR(B1527),"")</f>
        <v/>
      </c>
      <c r="H1527">
        <f>IF(ISNUMBER(B1527),MONTH(B1527),"")</f>
        <v/>
      </c>
      <c r="I1527">
        <f>IFERROR(IF($B$1=0,"",IF(ISNUMBER(INDEX(貼り付け!$A$1:$BZ$3001,1526,$B$1)),"",SUBSTITUTE(SUBSTITUTE(SUBSTITUTE(SUBSTITUTE(TRIM(LEFT(INDEX(貼り付け!$A$1:$BZ$3001,1526,$B$1)&amp;"",FIND(" ",TRIM(INDEX(貼り付け!$A$1:$BZ$3001,1526,$B$1)&amp;"")&amp;" ")-1)),"/","-"),"年","-"),"月","-"),"日",""))),"")</f>
        <v/>
      </c>
      <c r="J1527">
        <f>IFERROR(MID(I1527,FIND("-",I1527)+1,99),"")</f>
        <v/>
      </c>
    </row>
    <row r="1528">
      <c r="B1528">
        <f>IFERROR(IF($B$1=0,"",IF(INDEX(貼り付け!$A$1:$BZ$3001,1527,$B$1)="","",IF(ISNUMBER(INDEX(貼り付け!$A$1:$BZ$3001,1527,$B$1)),INT(INDEX(貼り付け!$A$1:$BZ$3001,1527,$B$1)),DATE(VALUE(LEFT(I1528,FIND("-",I1528)-1)),VALUE(LEFT(J1528,FIND("-",J1528)-1)),VALUE(MID(J1528,FIND("-",J1528)+1,99)))))),"")</f>
        <v/>
      </c>
      <c r="C1528">
        <f>IF($C$1=0,0,IFERROR(VALUE(SUBSTITUTE(SUBSTITUTE(SUBSTITUTE(INDEX(貼り付け!$A$1:$BZ$3001,1527,$C$1)&amp;"",",",""),"¥",""),"￥","")),0))</f>
        <v/>
      </c>
      <c r="D1528">
        <f>IF($D$1=0,0,IFERROR(VALUE(SUBSTITUTE(SUBSTITUTE(SUBSTITUTE(INDEX(貼り付け!$A$1:$BZ$3001,1527,$D$1)&amp;"",",",""),"¥",""),"￥","")),0))</f>
        <v/>
      </c>
      <c r="E1528">
        <f>IF($E$1=0,0,IFERROR(VALUE(SUBSTITUTE(SUBSTITUTE(SUBSTITUTE(INDEX(貼り付け!$A$1:$BZ$3001,1527,$E$1)&amp;"",",",""),"¥",""),"￥","")),0))</f>
        <v/>
      </c>
      <c r="F1528">
        <f>IF($F$1=0,0,IFERROR(VALUE(SUBSTITUTE(SUBSTITUTE(SUBSTITUTE(INDEX(貼り付け!$A$1:$BZ$3001,1527,$F$1)&amp;"",",",""),"¥",""),"￥","")),0))</f>
        <v/>
      </c>
      <c r="G1528">
        <f>IF(ISNUMBER(B1528),YEAR(B1528),"")</f>
        <v/>
      </c>
      <c r="H1528">
        <f>IF(ISNUMBER(B1528),MONTH(B1528),"")</f>
        <v/>
      </c>
      <c r="I1528">
        <f>IFERROR(IF($B$1=0,"",IF(ISNUMBER(INDEX(貼り付け!$A$1:$BZ$3001,1527,$B$1)),"",SUBSTITUTE(SUBSTITUTE(SUBSTITUTE(SUBSTITUTE(TRIM(LEFT(INDEX(貼り付け!$A$1:$BZ$3001,1527,$B$1)&amp;"",FIND(" ",TRIM(INDEX(貼り付け!$A$1:$BZ$3001,1527,$B$1)&amp;"")&amp;" ")-1)),"/","-"),"年","-"),"月","-"),"日",""))),"")</f>
        <v/>
      </c>
      <c r="J1528">
        <f>IFERROR(MID(I1528,FIND("-",I1528)+1,99),"")</f>
        <v/>
      </c>
    </row>
    <row r="1529">
      <c r="B1529">
        <f>IFERROR(IF($B$1=0,"",IF(INDEX(貼り付け!$A$1:$BZ$3001,1528,$B$1)="","",IF(ISNUMBER(INDEX(貼り付け!$A$1:$BZ$3001,1528,$B$1)),INT(INDEX(貼り付け!$A$1:$BZ$3001,1528,$B$1)),DATE(VALUE(LEFT(I1529,FIND("-",I1529)-1)),VALUE(LEFT(J1529,FIND("-",J1529)-1)),VALUE(MID(J1529,FIND("-",J1529)+1,99)))))),"")</f>
        <v/>
      </c>
      <c r="C1529">
        <f>IF($C$1=0,0,IFERROR(VALUE(SUBSTITUTE(SUBSTITUTE(SUBSTITUTE(INDEX(貼り付け!$A$1:$BZ$3001,1528,$C$1)&amp;"",",",""),"¥",""),"￥","")),0))</f>
        <v/>
      </c>
      <c r="D1529">
        <f>IF($D$1=0,0,IFERROR(VALUE(SUBSTITUTE(SUBSTITUTE(SUBSTITUTE(INDEX(貼り付け!$A$1:$BZ$3001,1528,$D$1)&amp;"",",",""),"¥",""),"￥","")),0))</f>
        <v/>
      </c>
      <c r="E1529">
        <f>IF($E$1=0,0,IFERROR(VALUE(SUBSTITUTE(SUBSTITUTE(SUBSTITUTE(INDEX(貼り付け!$A$1:$BZ$3001,1528,$E$1)&amp;"",",",""),"¥",""),"￥","")),0))</f>
        <v/>
      </c>
      <c r="F1529">
        <f>IF($F$1=0,0,IFERROR(VALUE(SUBSTITUTE(SUBSTITUTE(SUBSTITUTE(INDEX(貼り付け!$A$1:$BZ$3001,1528,$F$1)&amp;"",",",""),"¥",""),"￥","")),0))</f>
        <v/>
      </c>
      <c r="G1529">
        <f>IF(ISNUMBER(B1529),YEAR(B1529),"")</f>
        <v/>
      </c>
      <c r="H1529">
        <f>IF(ISNUMBER(B1529),MONTH(B1529),"")</f>
        <v/>
      </c>
      <c r="I1529">
        <f>IFERROR(IF($B$1=0,"",IF(ISNUMBER(INDEX(貼り付け!$A$1:$BZ$3001,1528,$B$1)),"",SUBSTITUTE(SUBSTITUTE(SUBSTITUTE(SUBSTITUTE(TRIM(LEFT(INDEX(貼り付け!$A$1:$BZ$3001,1528,$B$1)&amp;"",FIND(" ",TRIM(INDEX(貼り付け!$A$1:$BZ$3001,1528,$B$1)&amp;"")&amp;" ")-1)),"/","-"),"年","-"),"月","-"),"日",""))),"")</f>
        <v/>
      </c>
      <c r="J1529">
        <f>IFERROR(MID(I1529,FIND("-",I1529)+1,99),"")</f>
        <v/>
      </c>
    </row>
    <row r="1530">
      <c r="B1530">
        <f>IFERROR(IF($B$1=0,"",IF(INDEX(貼り付け!$A$1:$BZ$3001,1529,$B$1)="","",IF(ISNUMBER(INDEX(貼り付け!$A$1:$BZ$3001,1529,$B$1)),INT(INDEX(貼り付け!$A$1:$BZ$3001,1529,$B$1)),DATE(VALUE(LEFT(I1530,FIND("-",I1530)-1)),VALUE(LEFT(J1530,FIND("-",J1530)-1)),VALUE(MID(J1530,FIND("-",J1530)+1,99)))))),"")</f>
        <v/>
      </c>
      <c r="C1530">
        <f>IF($C$1=0,0,IFERROR(VALUE(SUBSTITUTE(SUBSTITUTE(SUBSTITUTE(INDEX(貼り付け!$A$1:$BZ$3001,1529,$C$1)&amp;"",",",""),"¥",""),"￥","")),0))</f>
        <v/>
      </c>
      <c r="D1530">
        <f>IF($D$1=0,0,IFERROR(VALUE(SUBSTITUTE(SUBSTITUTE(SUBSTITUTE(INDEX(貼り付け!$A$1:$BZ$3001,1529,$D$1)&amp;"",",",""),"¥",""),"￥","")),0))</f>
        <v/>
      </c>
      <c r="E1530">
        <f>IF($E$1=0,0,IFERROR(VALUE(SUBSTITUTE(SUBSTITUTE(SUBSTITUTE(INDEX(貼り付け!$A$1:$BZ$3001,1529,$E$1)&amp;"",",",""),"¥",""),"￥","")),0))</f>
        <v/>
      </c>
      <c r="F1530">
        <f>IF($F$1=0,0,IFERROR(VALUE(SUBSTITUTE(SUBSTITUTE(SUBSTITUTE(INDEX(貼り付け!$A$1:$BZ$3001,1529,$F$1)&amp;"",",",""),"¥",""),"￥","")),0))</f>
        <v/>
      </c>
      <c r="G1530">
        <f>IF(ISNUMBER(B1530),YEAR(B1530),"")</f>
        <v/>
      </c>
      <c r="H1530">
        <f>IF(ISNUMBER(B1530),MONTH(B1530),"")</f>
        <v/>
      </c>
      <c r="I1530">
        <f>IFERROR(IF($B$1=0,"",IF(ISNUMBER(INDEX(貼り付け!$A$1:$BZ$3001,1529,$B$1)),"",SUBSTITUTE(SUBSTITUTE(SUBSTITUTE(SUBSTITUTE(TRIM(LEFT(INDEX(貼り付け!$A$1:$BZ$3001,1529,$B$1)&amp;"",FIND(" ",TRIM(INDEX(貼り付け!$A$1:$BZ$3001,1529,$B$1)&amp;"")&amp;" ")-1)),"/","-"),"年","-"),"月","-"),"日",""))),"")</f>
        <v/>
      </c>
      <c r="J1530">
        <f>IFERROR(MID(I1530,FIND("-",I1530)+1,99),"")</f>
        <v/>
      </c>
    </row>
    <row r="1531">
      <c r="B1531">
        <f>IFERROR(IF($B$1=0,"",IF(INDEX(貼り付け!$A$1:$BZ$3001,1530,$B$1)="","",IF(ISNUMBER(INDEX(貼り付け!$A$1:$BZ$3001,1530,$B$1)),INT(INDEX(貼り付け!$A$1:$BZ$3001,1530,$B$1)),DATE(VALUE(LEFT(I1531,FIND("-",I1531)-1)),VALUE(LEFT(J1531,FIND("-",J1531)-1)),VALUE(MID(J1531,FIND("-",J1531)+1,99)))))),"")</f>
        <v/>
      </c>
      <c r="C1531">
        <f>IF($C$1=0,0,IFERROR(VALUE(SUBSTITUTE(SUBSTITUTE(SUBSTITUTE(INDEX(貼り付け!$A$1:$BZ$3001,1530,$C$1)&amp;"",",",""),"¥",""),"￥","")),0))</f>
        <v/>
      </c>
      <c r="D1531">
        <f>IF($D$1=0,0,IFERROR(VALUE(SUBSTITUTE(SUBSTITUTE(SUBSTITUTE(INDEX(貼り付け!$A$1:$BZ$3001,1530,$D$1)&amp;"",",",""),"¥",""),"￥","")),0))</f>
        <v/>
      </c>
      <c r="E1531">
        <f>IF($E$1=0,0,IFERROR(VALUE(SUBSTITUTE(SUBSTITUTE(SUBSTITUTE(INDEX(貼り付け!$A$1:$BZ$3001,1530,$E$1)&amp;"",",",""),"¥",""),"￥","")),0))</f>
        <v/>
      </c>
      <c r="F1531">
        <f>IF($F$1=0,0,IFERROR(VALUE(SUBSTITUTE(SUBSTITUTE(SUBSTITUTE(INDEX(貼り付け!$A$1:$BZ$3001,1530,$F$1)&amp;"",",",""),"¥",""),"￥","")),0))</f>
        <v/>
      </c>
      <c r="G1531">
        <f>IF(ISNUMBER(B1531),YEAR(B1531),"")</f>
        <v/>
      </c>
      <c r="H1531">
        <f>IF(ISNUMBER(B1531),MONTH(B1531),"")</f>
        <v/>
      </c>
      <c r="I1531">
        <f>IFERROR(IF($B$1=0,"",IF(ISNUMBER(INDEX(貼り付け!$A$1:$BZ$3001,1530,$B$1)),"",SUBSTITUTE(SUBSTITUTE(SUBSTITUTE(SUBSTITUTE(TRIM(LEFT(INDEX(貼り付け!$A$1:$BZ$3001,1530,$B$1)&amp;"",FIND(" ",TRIM(INDEX(貼り付け!$A$1:$BZ$3001,1530,$B$1)&amp;"")&amp;" ")-1)),"/","-"),"年","-"),"月","-"),"日",""))),"")</f>
        <v/>
      </c>
      <c r="J1531">
        <f>IFERROR(MID(I1531,FIND("-",I1531)+1,99),"")</f>
        <v/>
      </c>
    </row>
    <row r="1532">
      <c r="B1532">
        <f>IFERROR(IF($B$1=0,"",IF(INDEX(貼り付け!$A$1:$BZ$3001,1531,$B$1)="","",IF(ISNUMBER(INDEX(貼り付け!$A$1:$BZ$3001,1531,$B$1)),INT(INDEX(貼り付け!$A$1:$BZ$3001,1531,$B$1)),DATE(VALUE(LEFT(I1532,FIND("-",I1532)-1)),VALUE(LEFT(J1532,FIND("-",J1532)-1)),VALUE(MID(J1532,FIND("-",J1532)+1,99)))))),"")</f>
        <v/>
      </c>
      <c r="C1532">
        <f>IF($C$1=0,0,IFERROR(VALUE(SUBSTITUTE(SUBSTITUTE(SUBSTITUTE(INDEX(貼り付け!$A$1:$BZ$3001,1531,$C$1)&amp;"",",",""),"¥",""),"￥","")),0))</f>
        <v/>
      </c>
      <c r="D1532">
        <f>IF($D$1=0,0,IFERROR(VALUE(SUBSTITUTE(SUBSTITUTE(SUBSTITUTE(INDEX(貼り付け!$A$1:$BZ$3001,1531,$D$1)&amp;"",",",""),"¥",""),"￥","")),0))</f>
        <v/>
      </c>
      <c r="E1532">
        <f>IF($E$1=0,0,IFERROR(VALUE(SUBSTITUTE(SUBSTITUTE(SUBSTITUTE(INDEX(貼り付け!$A$1:$BZ$3001,1531,$E$1)&amp;"",",",""),"¥",""),"￥","")),0))</f>
        <v/>
      </c>
      <c r="F1532">
        <f>IF($F$1=0,0,IFERROR(VALUE(SUBSTITUTE(SUBSTITUTE(SUBSTITUTE(INDEX(貼り付け!$A$1:$BZ$3001,1531,$F$1)&amp;"",",",""),"¥",""),"￥","")),0))</f>
        <v/>
      </c>
      <c r="G1532">
        <f>IF(ISNUMBER(B1532),YEAR(B1532),"")</f>
        <v/>
      </c>
      <c r="H1532">
        <f>IF(ISNUMBER(B1532),MONTH(B1532),"")</f>
        <v/>
      </c>
      <c r="I1532">
        <f>IFERROR(IF($B$1=0,"",IF(ISNUMBER(INDEX(貼り付け!$A$1:$BZ$3001,1531,$B$1)),"",SUBSTITUTE(SUBSTITUTE(SUBSTITUTE(SUBSTITUTE(TRIM(LEFT(INDEX(貼り付け!$A$1:$BZ$3001,1531,$B$1)&amp;"",FIND(" ",TRIM(INDEX(貼り付け!$A$1:$BZ$3001,1531,$B$1)&amp;"")&amp;" ")-1)),"/","-"),"年","-"),"月","-"),"日",""))),"")</f>
        <v/>
      </c>
      <c r="J1532">
        <f>IFERROR(MID(I1532,FIND("-",I1532)+1,99),"")</f>
        <v/>
      </c>
    </row>
    <row r="1533">
      <c r="B1533">
        <f>IFERROR(IF($B$1=0,"",IF(INDEX(貼り付け!$A$1:$BZ$3001,1532,$B$1)="","",IF(ISNUMBER(INDEX(貼り付け!$A$1:$BZ$3001,1532,$B$1)),INT(INDEX(貼り付け!$A$1:$BZ$3001,1532,$B$1)),DATE(VALUE(LEFT(I1533,FIND("-",I1533)-1)),VALUE(LEFT(J1533,FIND("-",J1533)-1)),VALUE(MID(J1533,FIND("-",J1533)+1,99)))))),"")</f>
        <v/>
      </c>
      <c r="C1533">
        <f>IF($C$1=0,0,IFERROR(VALUE(SUBSTITUTE(SUBSTITUTE(SUBSTITUTE(INDEX(貼り付け!$A$1:$BZ$3001,1532,$C$1)&amp;"",",",""),"¥",""),"￥","")),0))</f>
        <v/>
      </c>
      <c r="D1533">
        <f>IF($D$1=0,0,IFERROR(VALUE(SUBSTITUTE(SUBSTITUTE(SUBSTITUTE(INDEX(貼り付け!$A$1:$BZ$3001,1532,$D$1)&amp;"",",",""),"¥",""),"￥","")),0))</f>
        <v/>
      </c>
      <c r="E1533">
        <f>IF($E$1=0,0,IFERROR(VALUE(SUBSTITUTE(SUBSTITUTE(SUBSTITUTE(INDEX(貼り付け!$A$1:$BZ$3001,1532,$E$1)&amp;"",",",""),"¥",""),"￥","")),0))</f>
        <v/>
      </c>
      <c r="F1533">
        <f>IF($F$1=0,0,IFERROR(VALUE(SUBSTITUTE(SUBSTITUTE(SUBSTITUTE(INDEX(貼り付け!$A$1:$BZ$3001,1532,$F$1)&amp;"",",",""),"¥",""),"￥","")),0))</f>
        <v/>
      </c>
      <c r="G1533">
        <f>IF(ISNUMBER(B1533),YEAR(B1533),"")</f>
        <v/>
      </c>
      <c r="H1533">
        <f>IF(ISNUMBER(B1533),MONTH(B1533),"")</f>
        <v/>
      </c>
      <c r="I1533">
        <f>IFERROR(IF($B$1=0,"",IF(ISNUMBER(INDEX(貼り付け!$A$1:$BZ$3001,1532,$B$1)),"",SUBSTITUTE(SUBSTITUTE(SUBSTITUTE(SUBSTITUTE(TRIM(LEFT(INDEX(貼り付け!$A$1:$BZ$3001,1532,$B$1)&amp;"",FIND(" ",TRIM(INDEX(貼り付け!$A$1:$BZ$3001,1532,$B$1)&amp;"")&amp;" ")-1)),"/","-"),"年","-"),"月","-"),"日",""))),"")</f>
        <v/>
      </c>
      <c r="J1533">
        <f>IFERROR(MID(I1533,FIND("-",I1533)+1,99),"")</f>
        <v/>
      </c>
    </row>
    <row r="1534">
      <c r="B1534">
        <f>IFERROR(IF($B$1=0,"",IF(INDEX(貼り付け!$A$1:$BZ$3001,1533,$B$1)="","",IF(ISNUMBER(INDEX(貼り付け!$A$1:$BZ$3001,1533,$B$1)),INT(INDEX(貼り付け!$A$1:$BZ$3001,1533,$B$1)),DATE(VALUE(LEFT(I1534,FIND("-",I1534)-1)),VALUE(LEFT(J1534,FIND("-",J1534)-1)),VALUE(MID(J1534,FIND("-",J1534)+1,99)))))),"")</f>
        <v/>
      </c>
      <c r="C1534">
        <f>IF($C$1=0,0,IFERROR(VALUE(SUBSTITUTE(SUBSTITUTE(SUBSTITUTE(INDEX(貼り付け!$A$1:$BZ$3001,1533,$C$1)&amp;"",",",""),"¥",""),"￥","")),0))</f>
        <v/>
      </c>
      <c r="D1534">
        <f>IF($D$1=0,0,IFERROR(VALUE(SUBSTITUTE(SUBSTITUTE(SUBSTITUTE(INDEX(貼り付け!$A$1:$BZ$3001,1533,$D$1)&amp;"",",",""),"¥",""),"￥","")),0))</f>
        <v/>
      </c>
      <c r="E1534">
        <f>IF($E$1=0,0,IFERROR(VALUE(SUBSTITUTE(SUBSTITUTE(SUBSTITUTE(INDEX(貼り付け!$A$1:$BZ$3001,1533,$E$1)&amp;"",",",""),"¥",""),"￥","")),0))</f>
        <v/>
      </c>
      <c r="F1534">
        <f>IF($F$1=0,0,IFERROR(VALUE(SUBSTITUTE(SUBSTITUTE(SUBSTITUTE(INDEX(貼り付け!$A$1:$BZ$3001,1533,$F$1)&amp;"",",",""),"¥",""),"￥","")),0))</f>
        <v/>
      </c>
      <c r="G1534">
        <f>IF(ISNUMBER(B1534),YEAR(B1534),"")</f>
        <v/>
      </c>
      <c r="H1534">
        <f>IF(ISNUMBER(B1534),MONTH(B1534),"")</f>
        <v/>
      </c>
      <c r="I1534">
        <f>IFERROR(IF($B$1=0,"",IF(ISNUMBER(INDEX(貼り付け!$A$1:$BZ$3001,1533,$B$1)),"",SUBSTITUTE(SUBSTITUTE(SUBSTITUTE(SUBSTITUTE(TRIM(LEFT(INDEX(貼り付け!$A$1:$BZ$3001,1533,$B$1)&amp;"",FIND(" ",TRIM(INDEX(貼り付け!$A$1:$BZ$3001,1533,$B$1)&amp;"")&amp;" ")-1)),"/","-"),"年","-"),"月","-"),"日",""))),"")</f>
        <v/>
      </c>
      <c r="J1534">
        <f>IFERROR(MID(I1534,FIND("-",I1534)+1,99),"")</f>
        <v/>
      </c>
    </row>
    <row r="1535">
      <c r="B1535">
        <f>IFERROR(IF($B$1=0,"",IF(INDEX(貼り付け!$A$1:$BZ$3001,1534,$B$1)="","",IF(ISNUMBER(INDEX(貼り付け!$A$1:$BZ$3001,1534,$B$1)),INT(INDEX(貼り付け!$A$1:$BZ$3001,1534,$B$1)),DATE(VALUE(LEFT(I1535,FIND("-",I1535)-1)),VALUE(LEFT(J1535,FIND("-",J1535)-1)),VALUE(MID(J1535,FIND("-",J1535)+1,99)))))),"")</f>
        <v/>
      </c>
      <c r="C1535">
        <f>IF($C$1=0,0,IFERROR(VALUE(SUBSTITUTE(SUBSTITUTE(SUBSTITUTE(INDEX(貼り付け!$A$1:$BZ$3001,1534,$C$1)&amp;"",",",""),"¥",""),"￥","")),0))</f>
        <v/>
      </c>
      <c r="D1535">
        <f>IF($D$1=0,0,IFERROR(VALUE(SUBSTITUTE(SUBSTITUTE(SUBSTITUTE(INDEX(貼り付け!$A$1:$BZ$3001,1534,$D$1)&amp;"",",",""),"¥",""),"￥","")),0))</f>
        <v/>
      </c>
      <c r="E1535">
        <f>IF($E$1=0,0,IFERROR(VALUE(SUBSTITUTE(SUBSTITUTE(SUBSTITUTE(INDEX(貼り付け!$A$1:$BZ$3001,1534,$E$1)&amp;"",",",""),"¥",""),"￥","")),0))</f>
        <v/>
      </c>
      <c r="F1535">
        <f>IF($F$1=0,0,IFERROR(VALUE(SUBSTITUTE(SUBSTITUTE(SUBSTITUTE(INDEX(貼り付け!$A$1:$BZ$3001,1534,$F$1)&amp;"",",",""),"¥",""),"￥","")),0))</f>
        <v/>
      </c>
      <c r="G1535">
        <f>IF(ISNUMBER(B1535),YEAR(B1535),"")</f>
        <v/>
      </c>
      <c r="H1535">
        <f>IF(ISNUMBER(B1535),MONTH(B1535),"")</f>
        <v/>
      </c>
      <c r="I1535">
        <f>IFERROR(IF($B$1=0,"",IF(ISNUMBER(INDEX(貼り付け!$A$1:$BZ$3001,1534,$B$1)),"",SUBSTITUTE(SUBSTITUTE(SUBSTITUTE(SUBSTITUTE(TRIM(LEFT(INDEX(貼り付け!$A$1:$BZ$3001,1534,$B$1)&amp;"",FIND(" ",TRIM(INDEX(貼り付け!$A$1:$BZ$3001,1534,$B$1)&amp;"")&amp;" ")-1)),"/","-"),"年","-"),"月","-"),"日",""))),"")</f>
        <v/>
      </c>
      <c r="J1535">
        <f>IFERROR(MID(I1535,FIND("-",I1535)+1,99),"")</f>
        <v/>
      </c>
    </row>
    <row r="1536">
      <c r="B1536">
        <f>IFERROR(IF($B$1=0,"",IF(INDEX(貼り付け!$A$1:$BZ$3001,1535,$B$1)="","",IF(ISNUMBER(INDEX(貼り付け!$A$1:$BZ$3001,1535,$B$1)),INT(INDEX(貼り付け!$A$1:$BZ$3001,1535,$B$1)),DATE(VALUE(LEFT(I1536,FIND("-",I1536)-1)),VALUE(LEFT(J1536,FIND("-",J1536)-1)),VALUE(MID(J1536,FIND("-",J1536)+1,99)))))),"")</f>
        <v/>
      </c>
      <c r="C1536">
        <f>IF($C$1=0,0,IFERROR(VALUE(SUBSTITUTE(SUBSTITUTE(SUBSTITUTE(INDEX(貼り付け!$A$1:$BZ$3001,1535,$C$1)&amp;"",",",""),"¥",""),"￥","")),0))</f>
        <v/>
      </c>
      <c r="D1536">
        <f>IF($D$1=0,0,IFERROR(VALUE(SUBSTITUTE(SUBSTITUTE(SUBSTITUTE(INDEX(貼り付け!$A$1:$BZ$3001,1535,$D$1)&amp;"",",",""),"¥",""),"￥","")),0))</f>
        <v/>
      </c>
      <c r="E1536">
        <f>IF($E$1=0,0,IFERROR(VALUE(SUBSTITUTE(SUBSTITUTE(SUBSTITUTE(INDEX(貼り付け!$A$1:$BZ$3001,1535,$E$1)&amp;"",",",""),"¥",""),"￥","")),0))</f>
        <v/>
      </c>
      <c r="F1536">
        <f>IF($F$1=0,0,IFERROR(VALUE(SUBSTITUTE(SUBSTITUTE(SUBSTITUTE(INDEX(貼り付け!$A$1:$BZ$3001,1535,$F$1)&amp;"",",",""),"¥",""),"￥","")),0))</f>
        <v/>
      </c>
      <c r="G1536">
        <f>IF(ISNUMBER(B1536),YEAR(B1536),"")</f>
        <v/>
      </c>
      <c r="H1536">
        <f>IF(ISNUMBER(B1536),MONTH(B1536),"")</f>
        <v/>
      </c>
      <c r="I1536">
        <f>IFERROR(IF($B$1=0,"",IF(ISNUMBER(INDEX(貼り付け!$A$1:$BZ$3001,1535,$B$1)),"",SUBSTITUTE(SUBSTITUTE(SUBSTITUTE(SUBSTITUTE(TRIM(LEFT(INDEX(貼り付け!$A$1:$BZ$3001,1535,$B$1)&amp;"",FIND(" ",TRIM(INDEX(貼り付け!$A$1:$BZ$3001,1535,$B$1)&amp;"")&amp;" ")-1)),"/","-"),"年","-"),"月","-"),"日",""))),"")</f>
        <v/>
      </c>
      <c r="J1536">
        <f>IFERROR(MID(I1536,FIND("-",I1536)+1,99),"")</f>
        <v/>
      </c>
    </row>
    <row r="1537">
      <c r="B1537">
        <f>IFERROR(IF($B$1=0,"",IF(INDEX(貼り付け!$A$1:$BZ$3001,1536,$B$1)="","",IF(ISNUMBER(INDEX(貼り付け!$A$1:$BZ$3001,1536,$B$1)),INT(INDEX(貼り付け!$A$1:$BZ$3001,1536,$B$1)),DATE(VALUE(LEFT(I1537,FIND("-",I1537)-1)),VALUE(LEFT(J1537,FIND("-",J1537)-1)),VALUE(MID(J1537,FIND("-",J1537)+1,99)))))),"")</f>
        <v/>
      </c>
      <c r="C1537">
        <f>IF($C$1=0,0,IFERROR(VALUE(SUBSTITUTE(SUBSTITUTE(SUBSTITUTE(INDEX(貼り付け!$A$1:$BZ$3001,1536,$C$1)&amp;"",",",""),"¥",""),"￥","")),0))</f>
        <v/>
      </c>
      <c r="D1537">
        <f>IF($D$1=0,0,IFERROR(VALUE(SUBSTITUTE(SUBSTITUTE(SUBSTITUTE(INDEX(貼り付け!$A$1:$BZ$3001,1536,$D$1)&amp;"",",",""),"¥",""),"￥","")),0))</f>
        <v/>
      </c>
      <c r="E1537">
        <f>IF($E$1=0,0,IFERROR(VALUE(SUBSTITUTE(SUBSTITUTE(SUBSTITUTE(INDEX(貼り付け!$A$1:$BZ$3001,1536,$E$1)&amp;"",",",""),"¥",""),"￥","")),0))</f>
        <v/>
      </c>
      <c r="F1537">
        <f>IF($F$1=0,0,IFERROR(VALUE(SUBSTITUTE(SUBSTITUTE(SUBSTITUTE(INDEX(貼り付け!$A$1:$BZ$3001,1536,$F$1)&amp;"",",",""),"¥",""),"￥","")),0))</f>
        <v/>
      </c>
      <c r="G1537">
        <f>IF(ISNUMBER(B1537),YEAR(B1537),"")</f>
        <v/>
      </c>
      <c r="H1537">
        <f>IF(ISNUMBER(B1537),MONTH(B1537),"")</f>
        <v/>
      </c>
      <c r="I1537">
        <f>IFERROR(IF($B$1=0,"",IF(ISNUMBER(INDEX(貼り付け!$A$1:$BZ$3001,1536,$B$1)),"",SUBSTITUTE(SUBSTITUTE(SUBSTITUTE(SUBSTITUTE(TRIM(LEFT(INDEX(貼り付け!$A$1:$BZ$3001,1536,$B$1)&amp;"",FIND(" ",TRIM(INDEX(貼り付け!$A$1:$BZ$3001,1536,$B$1)&amp;"")&amp;" ")-1)),"/","-"),"年","-"),"月","-"),"日",""))),"")</f>
        <v/>
      </c>
      <c r="J1537">
        <f>IFERROR(MID(I1537,FIND("-",I1537)+1,99),"")</f>
        <v/>
      </c>
    </row>
    <row r="1538">
      <c r="B1538">
        <f>IFERROR(IF($B$1=0,"",IF(INDEX(貼り付け!$A$1:$BZ$3001,1537,$B$1)="","",IF(ISNUMBER(INDEX(貼り付け!$A$1:$BZ$3001,1537,$B$1)),INT(INDEX(貼り付け!$A$1:$BZ$3001,1537,$B$1)),DATE(VALUE(LEFT(I1538,FIND("-",I1538)-1)),VALUE(LEFT(J1538,FIND("-",J1538)-1)),VALUE(MID(J1538,FIND("-",J1538)+1,99)))))),"")</f>
        <v/>
      </c>
      <c r="C1538">
        <f>IF($C$1=0,0,IFERROR(VALUE(SUBSTITUTE(SUBSTITUTE(SUBSTITUTE(INDEX(貼り付け!$A$1:$BZ$3001,1537,$C$1)&amp;"",",",""),"¥",""),"￥","")),0))</f>
        <v/>
      </c>
      <c r="D1538">
        <f>IF($D$1=0,0,IFERROR(VALUE(SUBSTITUTE(SUBSTITUTE(SUBSTITUTE(INDEX(貼り付け!$A$1:$BZ$3001,1537,$D$1)&amp;"",",",""),"¥",""),"￥","")),0))</f>
        <v/>
      </c>
      <c r="E1538">
        <f>IF($E$1=0,0,IFERROR(VALUE(SUBSTITUTE(SUBSTITUTE(SUBSTITUTE(INDEX(貼り付け!$A$1:$BZ$3001,1537,$E$1)&amp;"",",",""),"¥",""),"￥","")),0))</f>
        <v/>
      </c>
      <c r="F1538">
        <f>IF($F$1=0,0,IFERROR(VALUE(SUBSTITUTE(SUBSTITUTE(SUBSTITUTE(INDEX(貼り付け!$A$1:$BZ$3001,1537,$F$1)&amp;"",",",""),"¥",""),"￥","")),0))</f>
        <v/>
      </c>
      <c r="G1538">
        <f>IF(ISNUMBER(B1538),YEAR(B1538),"")</f>
        <v/>
      </c>
      <c r="H1538">
        <f>IF(ISNUMBER(B1538),MONTH(B1538),"")</f>
        <v/>
      </c>
      <c r="I1538">
        <f>IFERROR(IF($B$1=0,"",IF(ISNUMBER(INDEX(貼り付け!$A$1:$BZ$3001,1537,$B$1)),"",SUBSTITUTE(SUBSTITUTE(SUBSTITUTE(SUBSTITUTE(TRIM(LEFT(INDEX(貼り付け!$A$1:$BZ$3001,1537,$B$1)&amp;"",FIND(" ",TRIM(INDEX(貼り付け!$A$1:$BZ$3001,1537,$B$1)&amp;"")&amp;" ")-1)),"/","-"),"年","-"),"月","-"),"日",""))),"")</f>
        <v/>
      </c>
      <c r="J1538">
        <f>IFERROR(MID(I1538,FIND("-",I1538)+1,99),"")</f>
        <v/>
      </c>
    </row>
    <row r="1539">
      <c r="B1539">
        <f>IFERROR(IF($B$1=0,"",IF(INDEX(貼り付け!$A$1:$BZ$3001,1538,$B$1)="","",IF(ISNUMBER(INDEX(貼り付け!$A$1:$BZ$3001,1538,$B$1)),INT(INDEX(貼り付け!$A$1:$BZ$3001,1538,$B$1)),DATE(VALUE(LEFT(I1539,FIND("-",I1539)-1)),VALUE(LEFT(J1539,FIND("-",J1539)-1)),VALUE(MID(J1539,FIND("-",J1539)+1,99)))))),"")</f>
        <v/>
      </c>
      <c r="C1539">
        <f>IF($C$1=0,0,IFERROR(VALUE(SUBSTITUTE(SUBSTITUTE(SUBSTITUTE(INDEX(貼り付け!$A$1:$BZ$3001,1538,$C$1)&amp;"",",",""),"¥",""),"￥","")),0))</f>
        <v/>
      </c>
      <c r="D1539">
        <f>IF($D$1=0,0,IFERROR(VALUE(SUBSTITUTE(SUBSTITUTE(SUBSTITUTE(INDEX(貼り付け!$A$1:$BZ$3001,1538,$D$1)&amp;"",",",""),"¥",""),"￥","")),0))</f>
        <v/>
      </c>
      <c r="E1539">
        <f>IF($E$1=0,0,IFERROR(VALUE(SUBSTITUTE(SUBSTITUTE(SUBSTITUTE(INDEX(貼り付け!$A$1:$BZ$3001,1538,$E$1)&amp;"",",",""),"¥",""),"￥","")),0))</f>
        <v/>
      </c>
      <c r="F1539">
        <f>IF($F$1=0,0,IFERROR(VALUE(SUBSTITUTE(SUBSTITUTE(SUBSTITUTE(INDEX(貼り付け!$A$1:$BZ$3001,1538,$F$1)&amp;"",",",""),"¥",""),"￥","")),0))</f>
        <v/>
      </c>
      <c r="G1539">
        <f>IF(ISNUMBER(B1539),YEAR(B1539),"")</f>
        <v/>
      </c>
      <c r="H1539">
        <f>IF(ISNUMBER(B1539),MONTH(B1539),"")</f>
        <v/>
      </c>
      <c r="I1539">
        <f>IFERROR(IF($B$1=0,"",IF(ISNUMBER(INDEX(貼り付け!$A$1:$BZ$3001,1538,$B$1)),"",SUBSTITUTE(SUBSTITUTE(SUBSTITUTE(SUBSTITUTE(TRIM(LEFT(INDEX(貼り付け!$A$1:$BZ$3001,1538,$B$1)&amp;"",FIND(" ",TRIM(INDEX(貼り付け!$A$1:$BZ$3001,1538,$B$1)&amp;"")&amp;" ")-1)),"/","-"),"年","-"),"月","-"),"日",""))),"")</f>
        <v/>
      </c>
      <c r="J1539">
        <f>IFERROR(MID(I1539,FIND("-",I1539)+1,99),"")</f>
        <v/>
      </c>
    </row>
    <row r="1540">
      <c r="B1540">
        <f>IFERROR(IF($B$1=0,"",IF(INDEX(貼り付け!$A$1:$BZ$3001,1539,$B$1)="","",IF(ISNUMBER(INDEX(貼り付け!$A$1:$BZ$3001,1539,$B$1)),INT(INDEX(貼り付け!$A$1:$BZ$3001,1539,$B$1)),DATE(VALUE(LEFT(I1540,FIND("-",I1540)-1)),VALUE(LEFT(J1540,FIND("-",J1540)-1)),VALUE(MID(J1540,FIND("-",J1540)+1,99)))))),"")</f>
        <v/>
      </c>
      <c r="C1540">
        <f>IF($C$1=0,0,IFERROR(VALUE(SUBSTITUTE(SUBSTITUTE(SUBSTITUTE(INDEX(貼り付け!$A$1:$BZ$3001,1539,$C$1)&amp;"",",",""),"¥",""),"￥","")),0))</f>
        <v/>
      </c>
      <c r="D1540">
        <f>IF($D$1=0,0,IFERROR(VALUE(SUBSTITUTE(SUBSTITUTE(SUBSTITUTE(INDEX(貼り付け!$A$1:$BZ$3001,1539,$D$1)&amp;"",",",""),"¥",""),"￥","")),0))</f>
        <v/>
      </c>
      <c r="E1540">
        <f>IF($E$1=0,0,IFERROR(VALUE(SUBSTITUTE(SUBSTITUTE(SUBSTITUTE(INDEX(貼り付け!$A$1:$BZ$3001,1539,$E$1)&amp;"",",",""),"¥",""),"￥","")),0))</f>
        <v/>
      </c>
      <c r="F1540">
        <f>IF($F$1=0,0,IFERROR(VALUE(SUBSTITUTE(SUBSTITUTE(SUBSTITUTE(INDEX(貼り付け!$A$1:$BZ$3001,1539,$F$1)&amp;"",",",""),"¥",""),"￥","")),0))</f>
        <v/>
      </c>
      <c r="G1540">
        <f>IF(ISNUMBER(B1540),YEAR(B1540),"")</f>
        <v/>
      </c>
      <c r="H1540">
        <f>IF(ISNUMBER(B1540),MONTH(B1540),"")</f>
        <v/>
      </c>
      <c r="I1540">
        <f>IFERROR(IF($B$1=0,"",IF(ISNUMBER(INDEX(貼り付け!$A$1:$BZ$3001,1539,$B$1)),"",SUBSTITUTE(SUBSTITUTE(SUBSTITUTE(SUBSTITUTE(TRIM(LEFT(INDEX(貼り付け!$A$1:$BZ$3001,1539,$B$1)&amp;"",FIND(" ",TRIM(INDEX(貼り付け!$A$1:$BZ$3001,1539,$B$1)&amp;"")&amp;" ")-1)),"/","-"),"年","-"),"月","-"),"日",""))),"")</f>
        <v/>
      </c>
      <c r="J1540">
        <f>IFERROR(MID(I1540,FIND("-",I1540)+1,99),"")</f>
        <v/>
      </c>
    </row>
    <row r="1541">
      <c r="B1541">
        <f>IFERROR(IF($B$1=0,"",IF(INDEX(貼り付け!$A$1:$BZ$3001,1540,$B$1)="","",IF(ISNUMBER(INDEX(貼り付け!$A$1:$BZ$3001,1540,$B$1)),INT(INDEX(貼り付け!$A$1:$BZ$3001,1540,$B$1)),DATE(VALUE(LEFT(I1541,FIND("-",I1541)-1)),VALUE(LEFT(J1541,FIND("-",J1541)-1)),VALUE(MID(J1541,FIND("-",J1541)+1,99)))))),"")</f>
        <v/>
      </c>
      <c r="C1541">
        <f>IF($C$1=0,0,IFERROR(VALUE(SUBSTITUTE(SUBSTITUTE(SUBSTITUTE(INDEX(貼り付け!$A$1:$BZ$3001,1540,$C$1)&amp;"",",",""),"¥",""),"￥","")),0))</f>
        <v/>
      </c>
      <c r="D1541">
        <f>IF($D$1=0,0,IFERROR(VALUE(SUBSTITUTE(SUBSTITUTE(SUBSTITUTE(INDEX(貼り付け!$A$1:$BZ$3001,1540,$D$1)&amp;"",",",""),"¥",""),"￥","")),0))</f>
        <v/>
      </c>
      <c r="E1541">
        <f>IF($E$1=0,0,IFERROR(VALUE(SUBSTITUTE(SUBSTITUTE(SUBSTITUTE(INDEX(貼り付け!$A$1:$BZ$3001,1540,$E$1)&amp;"",",",""),"¥",""),"￥","")),0))</f>
        <v/>
      </c>
      <c r="F1541">
        <f>IF($F$1=0,0,IFERROR(VALUE(SUBSTITUTE(SUBSTITUTE(SUBSTITUTE(INDEX(貼り付け!$A$1:$BZ$3001,1540,$F$1)&amp;"",",",""),"¥",""),"￥","")),0))</f>
        <v/>
      </c>
      <c r="G1541">
        <f>IF(ISNUMBER(B1541),YEAR(B1541),"")</f>
        <v/>
      </c>
      <c r="H1541">
        <f>IF(ISNUMBER(B1541),MONTH(B1541),"")</f>
        <v/>
      </c>
      <c r="I1541">
        <f>IFERROR(IF($B$1=0,"",IF(ISNUMBER(INDEX(貼り付け!$A$1:$BZ$3001,1540,$B$1)),"",SUBSTITUTE(SUBSTITUTE(SUBSTITUTE(SUBSTITUTE(TRIM(LEFT(INDEX(貼り付け!$A$1:$BZ$3001,1540,$B$1)&amp;"",FIND(" ",TRIM(INDEX(貼り付け!$A$1:$BZ$3001,1540,$B$1)&amp;"")&amp;" ")-1)),"/","-"),"年","-"),"月","-"),"日",""))),"")</f>
        <v/>
      </c>
      <c r="J1541">
        <f>IFERROR(MID(I1541,FIND("-",I1541)+1,99),"")</f>
        <v/>
      </c>
    </row>
    <row r="1542">
      <c r="B1542">
        <f>IFERROR(IF($B$1=0,"",IF(INDEX(貼り付け!$A$1:$BZ$3001,1541,$B$1)="","",IF(ISNUMBER(INDEX(貼り付け!$A$1:$BZ$3001,1541,$B$1)),INT(INDEX(貼り付け!$A$1:$BZ$3001,1541,$B$1)),DATE(VALUE(LEFT(I1542,FIND("-",I1542)-1)),VALUE(LEFT(J1542,FIND("-",J1542)-1)),VALUE(MID(J1542,FIND("-",J1542)+1,99)))))),"")</f>
        <v/>
      </c>
      <c r="C1542">
        <f>IF($C$1=0,0,IFERROR(VALUE(SUBSTITUTE(SUBSTITUTE(SUBSTITUTE(INDEX(貼り付け!$A$1:$BZ$3001,1541,$C$1)&amp;"",",",""),"¥",""),"￥","")),0))</f>
        <v/>
      </c>
      <c r="D1542">
        <f>IF($D$1=0,0,IFERROR(VALUE(SUBSTITUTE(SUBSTITUTE(SUBSTITUTE(INDEX(貼り付け!$A$1:$BZ$3001,1541,$D$1)&amp;"",",",""),"¥",""),"￥","")),0))</f>
        <v/>
      </c>
      <c r="E1542">
        <f>IF($E$1=0,0,IFERROR(VALUE(SUBSTITUTE(SUBSTITUTE(SUBSTITUTE(INDEX(貼り付け!$A$1:$BZ$3001,1541,$E$1)&amp;"",",",""),"¥",""),"￥","")),0))</f>
        <v/>
      </c>
      <c r="F1542">
        <f>IF($F$1=0,0,IFERROR(VALUE(SUBSTITUTE(SUBSTITUTE(SUBSTITUTE(INDEX(貼り付け!$A$1:$BZ$3001,1541,$F$1)&amp;"",",",""),"¥",""),"￥","")),0))</f>
        <v/>
      </c>
      <c r="G1542">
        <f>IF(ISNUMBER(B1542),YEAR(B1542),"")</f>
        <v/>
      </c>
      <c r="H1542">
        <f>IF(ISNUMBER(B1542),MONTH(B1542),"")</f>
        <v/>
      </c>
      <c r="I1542">
        <f>IFERROR(IF($B$1=0,"",IF(ISNUMBER(INDEX(貼り付け!$A$1:$BZ$3001,1541,$B$1)),"",SUBSTITUTE(SUBSTITUTE(SUBSTITUTE(SUBSTITUTE(TRIM(LEFT(INDEX(貼り付け!$A$1:$BZ$3001,1541,$B$1)&amp;"",FIND(" ",TRIM(INDEX(貼り付け!$A$1:$BZ$3001,1541,$B$1)&amp;"")&amp;" ")-1)),"/","-"),"年","-"),"月","-"),"日",""))),"")</f>
        <v/>
      </c>
      <c r="J1542">
        <f>IFERROR(MID(I1542,FIND("-",I1542)+1,99),"")</f>
        <v/>
      </c>
    </row>
    <row r="1543">
      <c r="B1543">
        <f>IFERROR(IF($B$1=0,"",IF(INDEX(貼り付け!$A$1:$BZ$3001,1542,$B$1)="","",IF(ISNUMBER(INDEX(貼り付け!$A$1:$BZ$3001,1542,$B$1)),INT(INDEX(貼り付け!$A$1:$BZ$3001,1542,$B$1)),DATE(VALUE(LEFT(I1543,FIND("-",I1543)-1)),VALUE(LEFT(J1543,FIND("-",J1543)-1)),VALUE(MID(J1543,FIND("-",J1543)+1,99)))))),"")</f>
        <v/>
      </c>
      <c r="C1543">
        <f>IF($C$1=0,0,IFERROR(VALUE(SUBSTITUTE(SUBSTITUTE(SUBSTITUTE(INDEX(貼り付け!$A$1:$BZ$3001,1542,$C$1)&amp;"",",",""),"¥",""),"￥","")),0))</f>
        <v/>
      </c>
      <c r="D1543">
        <f>IF($D$1=0,0,IFERROR(VALUE(SUBSTITUTE(SUBSTITUTE(SUBSTITUTE(INDEX(貼り付け!$A$1:$BZ$3001,1542,$D$1)&amp;"",",",""),"¥",""),"￥","")),0))</f>
        <v/>
      </c>
      <c r="E1543">
        <f>IF($E$1=0,0,IFERROR(VALUE(SUBSTITUTE(SUBSTITUTE(SUBSTITUTE(INDEX(貼り付け!$A$1:$BZ$3001,1542,$E$1)&amp;"",",",""),"¥",""),"￥","")),0))</f>
        <v/>
      </c>
      <c r="F1543">
        <f>IF($F$1=0,0,IFERROR(VALUE(SUBSTITUTE(SUBSTITUTE(SUBSTITUTE(INDEX(貼り付け!$A$1:$BZ$3001,1542,$F$1)&amp;"",",",""),"¥",""),"￥","")),0))</f>
        <v/>
      </c>
      <c r="G1543">
        <f>IF(ISNUMBER(B1543),YEAR(B1543),"")</f>
        <v/>
      </c>
      <c r="H1543">
        <f>IF(ISNUMBER(B1543),MONTH(B1543),"")</f>
        <v/>
      </c>
      <c r="I1543">
        <f>IFERROR(IF($B$1=0,"",IF(ISNUMBER(INDEX(貼り付け!$A$1:$BZ$3001,1542,$B$1)),"",SUBSTITUTE(SUBSTITUTE(SUBSTITUTE(SUBSTITUTE(TRIM(LEFT(INDEX(貼り付け!$A$1:$BZ$3001,1542,$B$1)&amp;"",FIND(" ",TRIM(INDEX(貼り付け!$A$1:$BZ$3001,1542,$B$1)&amp;"")&amp;" ")-1)),"/","-"),"年","-"),"月","-"),"日",""))),"")</f>
        <v/>
      </c>
      <c r="J1543">
        <f>IFERROR(MID(I1543,FIND("-",I1543)+1,99),"")</f>
        <v/>
      </c>
    </row>
    <row r="1544">
      <c r="B1544">
        <f>IFERROR(IF($B$1=0,"",IF(INDEX(貼り付け!$A$1:$BZ$3001,1543,$B$1)="","",IF(ISNUMBER(INDEX(貼り付け!$A$1:$BZ$3001,1543,$B$1)),INT(INDEX(貼り付け!$A$1:$BZ$3001,1543,$B$1)),DATE(VALUE(LEFT(I1544,FIND("-",I1544)-1)),VALUE(LEFT(J1544,FIND("-",J1544)-1)),VALUE(MID(J1544,FIND("-",J1544)+1,99)))))),"")</f>
        <v/>
      </c>
      <c r="C1544">
        <f>IF($C$1=0,0,IFERROR(VALUE(SUBSTITUTE(SUBSTITUTE(SUBSTITUTE(INDEX(貼り付け!$A$1:$BZ$3001,1543,$C$1)&amp;"",",",""),"¥",""),"￥","")),0))</f>
        <v/>
      </c>
      <c r="D1544">
        <f>IF($D$1=0,0,IFERROR(VALUE(SUBSTITUTE(SUBSTITUTE(SUBSTITUTE(INDEX(貼り付け!$A$1:$BZ$3001,1543,$D$1)&amp;"",",",""),"¥",""),"￥","")),0))</f>
        <v/>
      </c>
      <c r="E1544">
        <f>IF($E$1=0,0,IFERROR(VALUE(SUBSTITUTE(SUBSTITUTE(SUBSTITUTE(INDEX(貼り付け!$A$1:$BZ$3001,1543,$E$1)&amp;"",",",""),"¥",""),"￥","")),0))</f>
        <v/>
      </c>
      <c r="F1544">
        <f>IF($F$1=0,0,IFERROR(VALUE(SUBSTITUTE(SUBSTITUTE(SUBSTITUTE(INDEX(貼り付け!$A$1:$BZ$3001,1543,$F$1)&amp;"",",",""),"¥",""),"￥","")),0))</f>
        <v/>
      </c>
      <c r="G1544">
        <f>IF(ISNUMBER(B1544),YEAR(B1544),"")</f>
        <v/>
      </c>
      <c r="H1544">
        <f>IF(ISNUMBER(B1544),MONTH(B1544),"")</f>
        <v/>
      </c>
      <c r="I1544">
        <f>IFERROR(IF($B$1=0,"",IF(ISNUMBER(INDEX(貼り付け!$A$1:$BZ$3001,1543,$B$1)),"",SUBSTITUTE(SUBSTITUTE(SUBSTITUTE(SUBSTITUTE(TRIM(LEFT(INDEX(貼り付け!$A$1:$BZ$3001,1543,$B$1)&amp;"",FIND(" ",TRIM(INDEX(貼り付け!$A$1:$BZ$3001,1543,$B$1)&amp;"")&amp;" ")-1)),"/","-"),"年","-"),"月","-"),"日",""))),"")</f>
        <v/>
      </c>
      <c r="J1544">
        <f>IFERROR(MID(I1544,FIND("-",I1544)+1,99),"")</f>
        <v/>
      </c>
    </row>
    <row r="1545">
      <c r="B1545">
        <f>IFERROR(IF($B$1=0,"",IF(INDEX(貼り付け!$A$1:$BZ$3001,1544,$B$1)="","",IF(ISNUMBER(INDEX(貼り付け!$A$1:$BZ$3001,1544,$B$1)),INT(INDEX(貼り付け!$A$1:$BZ$3001,1544,$B$1)),DATE(VALUE(LEFT(I1545,FIND("-",I1545)-1)),VALUE(LEFT(J1545,FIND("-",J1545)-1)),VALUE(MID(J1545,FIND("-",J1545)+1,99)))))),"")</f>
        <v/>
      </c>
      <c r="C1545">
        <f>IF($C$1=0,0,IFERROR(VALUE(SUBSTITUTE(SUBSTITUTE(SUBSTITUTE(INDEX(貼り付け!$A$1:$BZ$3001,1544,$C$1)&amp;"",",",""),"¥",""),"￥","")),0))</f>
        <v/>
      </c>
      <c r="D1545">
        <f>IF($D$1=0,0,IFERROR(VALUE(SUBSTITUTE(SUBSTITUTE(SUBSTITUTE(INDEX(貼り付け!$A$1:$BZ$3001,1544,$D$1)&amp;"",",",""),"¥",""),"￥","")),0))</f>
        <v/>
      </c>
      <c r="E1545">
        <f>IF($E$1=0,0,IFERROR(VALUE(SUBSTITUTE(SUBSTITUTE(SUBSTITUTE(INDEX(貼り付け!$A$1:$BZ$3001,1544,$E$1)&amp;"",",",""),"¥",""),"￥","")),0))</f>
        <v/>
      </c>
      <c r="F1545">
        <f>IF($F$1=0,0,IFERROR(VALUE(SUBSTITUTE(SUBSTITUTE(SUBSTITUTE(INDEX(貼り付け!$A$1:$BZ$3001,1544,$F$1)&amp;"",",",""),"¥",""),"￥","")),0))</f>
        <v/>
      </c>
      <c r="G1545">
        <f>IF(ISNUMBER(B1545),YEAR(B1545),"")</f>
        <v/>
      </c>
      <c r="H1545">
        <f>IF(ISNUMBER(B1545),MONTH(B1545),"")</f>
        <v/>
      </c>
      <c r="I1545">
        <f>IFERROR(IF($B$1=0,"",IF(ISNUMBER(INDEX(貼り付け!$A$1:$BZ$3001,1544,$B$1)),"",SUBSTITUTE(SUBSTITUTE(SUBSTITUTE(SUBSTITUTE(TRIM(LEFT(INDEX(貼り付け!$A$1:$BZ$3001,1544,$B$1)&amp;"",FIND(" ",TRIM(INDEX(貼り付け!$A$1:$BZ$3001,1544,$B$1)&amp;"")&amp;" ")-1)),"/","-"),"年","-"),"月","-"),"日",""))),"")</f>
        <v/>
      </c>
      <c r="J1545">
        <f>IFERROR(MID(I1545,FIND("-",I1545)+1,99),"")</f>
        <v/>
      </c>
    </row>
    <row r="1546">
      <c r="B1546">
        <f>IFERROR(IF($B$1=0,"",IF(INDEX(貼り付け!$A$1:$BZ$3001,1545,$B$1)="","",IF(ISNUMBER(INDEX(貼り付け!$A$1:$BZ$3001,1545,$B$1)),INT(INDEX(貼り付け!$A$1:$BZ$3001,1545,$B$1)),DATE(VALUE(LEFT(I1546,FIND("-",I1546)-1)),VALUE(LEFT(J1546,FIND("-",J1546)-1)),VALUE(MID(J1546,FIND("-",J1546)+1,99)))))),"")</f>
        <v/>
      </c>
      <c r="C1546">
        <f>IF($C$1=0,0,IFERROR(VALUE(SUBSTITUTE(SUBSTITUTE(SUBSTITUTE(INDEX(貼り付け!$A$1:$BZ$3001,1545,$C$1)&amp;"",",",""),"¥",""),"￥","")),0))</f>
        <v/>
      </c>
      <c r="D1546">
        <f>IF($D$1=0,0,IFERROR(VALUE(SUBSTITUTE(SUBSTITUTE(SUBSTITUTE(INDEX(貼り付け!$A$1:$BZ$3001,1545,$D$1)&amp;"",",",""),"¥",""),"￥","")),0))</f>
        <v/>
      </c>
      <c r="E1546">
        <f>IF($E$1=0,0,IFERROR(VALUE(SUBSTITUTE(SUBSTITUTE(SUBSTITUTE(INDEX(貼り付け!$A$1:$BZ$3001,1545,$E$1)&amp;"",",",""),"¥",""),"￥","")),0))</f>
        <v/>
      </c>
      <c r="F1546">
        <f>IF($F$1=0,0,IFERROR(VALUE(SUBSTITUTE(SUBSTITUTE(SUBSTITUTE(INDEX(貼り付け!$A$1:$BZ$3001,1545,$F$1)&amp;"",",",""),"¥",""),"￥","")),0))</f>
        <v/>
      </c>
      <c r="G1546">
        <f>IF(ISNUMBER(B1546),YEAR(B1546),"")</f>
        <v/>
      </c>
      <c r="H1546">
        <f>IF(ISNUMBER(B1546),MONTH(B1546),"")</f>
        <v/>
      </c>
      <c r="I1546">
        <f>IFERROR(IF($B$1=0,"",IF(ISNUMBER(INDEX(貼り付け!$A$1:$BZ$3001,1545,$B$1)),"",SUBSTITUTE(SUBSTITUTE(SUBSTITUTE(SUBSTITUTE(TRIM(LEFT(INDEX(貼り付け!$A$1:$BZ$3001,1545,$B$1)&amp;"",FIND(" ",TRIM(INDEX(貼り付け!$A$1:$BZ$3001,1545,$B$1)&amp;"")&amp;" ")-1)),"/","-"),"年","-"),"月","-"),"日",""))),"")</f>
        <v/>
      </c>
      <c r="J1546">
        <f>IFERROR(MID(I1546,FIND("-",I1546)+1,99),"")</f>
        <v/>
      </c>
    </row>
    <row r="1547">
      <c r="B1547">
        <f>IFERROR(IF($B$1=0,"",IF(INDEX(貼り付け!$A$1:$BZ$3001,1546,$B$1)="","",IF(ISNUMBER(INDEX(貼り付け!$A$1:$BZ$3001,1546,$B$1)),INT(INDEX(貼り付け!$A$1:$BZ$3001,1546,$B$1)),DATE(VALUE(LEFT(I1547,FIND("-",I1547)-1)),VALUE(LEFT(J1547,FIND("-",J1547)-1)),VALUE(MID(J1547,FIND("-",J1547)+1,99)))))),"")</f>
        <v/>
      </c>
      <c r="C1547">
        <f>IF($C$1=0,0,IFERROR(VALUE(SUBSTITUTE(SUBSTITUTE(SUBSTITUTE(INDEX(貼り付け!$A$1:$BZ$3001,1546,$C$1)&amp;"",",",""),"¥",""),"￥","")),0))</f>
        <v/>
      </c>
      <c r="D1547">
        <f>IF($D$1=0,0,IFERROR(VALUE(SUBSTITUTE(SUBSTITUTE(SUBSTITUTE(INDEX(貼り付け!$A$1:$BZ$3001,1546,$D$1)&amp;"",",",""),"¥",""),"￥","")),0))</f>
        <v/>
      </c>
      <c r="E1547">
        <f>IF($E$1=0,0,IFERROR(VALUE(SUBSTITUTE(SUBSTITUTE(SUBSTITUTE(INDEX(貼り付け!$A$1:$BZ$3001,1546,$E$1)&amp;"",",",""),"¥",""),"￥","")),0))</f>
        <v/>
      </c>
      <c r="F1547">
        <f>IF($F$1=0,0,IFERROR(VALUE(SUBSTITUTE(SUBSTITUTE(SUBSTITUTE(INDEX(貼り付け!$A$1:$BZ$3001,1546,$F$1)&amp;"",",",""),"¥",""),"￥","")),0))</f>
        <v/>
      </c>
      <c r="G1547">
        <f>IF(ISNUMBER(B1547),YEAR(B1547),"")</f>
        <v/>
      </c>
      <c r="H1547">
        <f>IF(ISNUMBER(B1547),MONTH(B1547),"")</f>
        <v/>
      </c>
      <c r="I1547">
        <f>IFERROR(IF($B$1=0,"",IF(ISNUMBER(INDEX(貼り付け!$A$1:$BZ$3001,1546,$B$1)),"",SUBSTITUTE(SUBSTITUTE(SUBSTITUTE(SUBSTITUTE(TRIM(LEFT(INDEX(貼り付け!$A$1:$BZ$3001,1546,$B$1)&amp;"",FIND(" ",TRIM(INDEX(貼り付け!$A$1:$BZ$3001,1546,$B$1)&amp;"")&amp;" ")-1)),"/","-"),"年","-"),"月","-"),"日",""))),"")</f>
        <v/>
      </c>
      <c r="J1547">
        <f>IFERROR(MID(I1547,FIND("-",I1547)+1,99),"")</f>
        <v/>
      </c>
    </row>
    <row r="1548">
      <c r="B1548">
        <f>IFERROR(IF($B$1=0,"",IF(INDEX(貼り付け!$A$1:$BZ$3001,1547,$B$1)="","",IF(ISNUMBER(INDEX(貼り付け!$A$1:$BZ$3001,1547,$B$1)),INT(INDEX(貼り付け!$A$1:$BZ$3001,1547,$B$1)),DATE(VALUE(LEFT(I1548,FIND("-",I1548)-1)),VALUE(LEFT(J1548,FIND("-",J1548)-1)),VALUE(MID(J1548,FIND("-",J1548)+1,99)))))),"")</f>
        <v/>
      </c>
      <c r="C1548">
        <f>IF($C$1=0,0,IFERROR(VALUE(SUBSTITUTE(SUBSTITUTE(SUBSTITUTE(INDEX(貼り付け!$A$1:$BZ$3001,1547,$C$1)&amp;"",",",""),"¥",""),"￥","")),0))</f>
        <v/>
      </c>
      <c r="D1548">
        <f>IF($D$1=0,0,IFERROR(VALUE(SUBSTITUTE(SUBSTITUTE(SUBSTITUTE(INDEX(貼り付け!$A$1:$BZ$3001,1547,$D$1)&amp;"",",",""),"¥",""),"￥","")),0))</f>
        <v/>
      </c>
      <c r="E1548">
        <f>IF($E$1=0,0,IFERROR(VALUE(SUBSTITUTE(SUBSTITUTE(SUBSTITUTE(INDEX(貼り付け!$A$1:$BZ$3001,1547,$E$1)&amp;"",",",""),"¥",""),"￥","")),0))</f>
        <v/>
      </c>
      <c r="F1548">
        <f>IF($F$1=0,0,IFERROR(VALUE(SUBSTITUTE(SUBSTITUTE(SUBSTITUTE(INDEX(貼り付け!$A$1:$BZ$3001,1547,$F$1)&amp;"",",",""),"¥",""),"￥","")),0))</f>
        <v/>
      </c>
      <c r="G1548">
        <f>IF(ISNUMBER(B1548),YEAR(B1548),"")</f>
        <v/>
      </c>
      <c r="H1548">
        <f>IF(ISNUMBER(B1548),MONTH(B1548),"")</f>
        <v/>
      </c>
      <c r="I1548">
        <f>IFERROR(IF($B$1=0,"",IF(ISNUMBER(INDEX(貼り付け!$A$1:$BZ$3001,1547,$B$1)),"",SUBSTITUTE(SUBSTITUTE(SUBSTITUTE(SUBSTITUTE(TRIM(LEFT(INDEX(貼り付け!$A$1:$BZ$3001,1547,$B$1)&amp;"",FIND(" ",TRIM(INDEX(貼り付け!$A$1:$BZ$3001,1547,$B$1)&amp;"")&amp;" ")-1)),"/","-"),"年","-"),"月","-"),"日",""))),"")</f>
        <v/>
      </c>
      <c r="J1548">
        <f>IFERROR(MID(I1548,FIND("-",I1548)+1,99),"")</f>
        <v/>
      </c>
    </row>
    <row r="1549">
      <c r="B1549">
        <f>IFERROR(IF($B$1=0,"",IF(INDEX(貼り付け!$A$1:$BZ$3001,1548,$B$1)="","",IF(ISNUMBER(INDEX(貼り付け!$A$1:$BZ$3001,1548,$B$1)),INT(INDEX(貼り付け!$A$1:$BZ$3001,1548,$B$1)),DATE(VALUE(LEFT(I1549,FIND("-",I1549)-1)),VALUE(LEFT(J1549,FIND("-",J1549)-1)),VALUE(MID(J1549,FIND("-",J1549)+1,99)))))),"")</f>
        <v/>
      </c>
      <c r="C1549">
        <f>IF($C$1=0,0,IFERROR(VALUE(SUBSTITUTE(SUBSTITUTE(SUBSTITUTE(INDEX(貼り付け!$A$1:$BZ$3001,1548,$C$1)&amp;"",",",""),"¥",""),"￥","")),0))</f>
        <v/>
      </c>
      <c r="D1549">
        <f>IF($D$1=0,0,IFERROR(VALUE(SUBSTITUTE(SUBSTITUTE(SUBSTITUTE(INDEX(貼り付け!$A$1:$BZ$3001,1548,$D$1)&amp;"",",",""),"¥",""),"￥","")),0))</f>
        <v/>
      </c>
      <c r="E1549">
        <f>IF($E$1=0,0,IFERROR(VALUE(SUBSTITUTE(SUBSTITUTE(SUBSTITUTE(INDEX(貼り付け!$A$1:$BZ$3001,1548,$E$1)&amp;"",",",""),"¥",""),"￥","")),0))</f>
        <v/>
      </c>
      <c r="F1549">
        <f>IF($F$1=0,0,IFERROR(VALUE(SUBSTITUTE(SUBSTITUTE(SUBSTITUTE(INDEX(貼り付け!$A$1:$BZ$3001,1548,$F$1)&amp;"",",",""),"¥",""),"￥","")),0))</f>
        <v/>
      </c>
      <c r="G1549">
        <f>IF(ISNUMBER(B1549),YEAR(B1549),"")</f>
        <v/>
      </c>
      <c r="H1549">
        <f>IF(ISNUMBER(B1549),MONTH(B1549),"")</f>
        <v/>
      </c>
      <c r="I1549">
        <f>IFERROR(IF($B$1=0,"",IF(ISNUMBER(INDEX(貼り付け!$A$1:$BZ$3001,1548,$B$1)),"",SUBSTITUTE(SUBSTITUTE(SUBSTITUTE(SUBSTITUTE(TRIM(LEFT(INDEX(貼り付け!$A$1:$BZ$3001,1548,$B$1)&amp;"",FIND(" ",TRIM(INDEX(貼り付け!$A$1:$BZ$3001,1548,$B$1)&amp;"")&amp;" ")-1)),"/","-"),"年","-"),"月","-"),"日",""))),"")</f>
        <v/>
      </c>
      <c r="J1549">
        <f>IFERROR(MID(I1549,FIND("-",I1549)+1,99),"")</f>
        <v/>
      </c>
    </row>
    <row r="1550">
      <c r="B1550">
        <f>IFERROR(IF($B$1=0,"",IF(INDEX(貼り付け!$A$1:$BZ$3001,1549,$B$1)="","",IF(ISNUMBER(INDEX(貼り付け!$A$1:$BZ$3001,1549,$B$1)),INT(INDEX(貼り付け!$A$1:$BZ$3001,1549,$B$1)),DATE(VALUE(LEFT(I1550,FIND("-",I1550)-1)),VALUE(LEFT(J1550,FIND("-",J1550)-1)),VALUE(MID(J1550,FIND("-",J1550)+1,99)))))),"")</f>
        <v/>
      </c>
      <c r="C1550">
        <f>IF($C$1=0,0,IFERROR(VALUE(SUBSTITUTE(SUBSTITUTE(SUBSTITUTE(INDEX(貼り付け!$A$1:$BZ$3001,1549,$C$1)&amp;"",",",""),"¥",""),"￥","")),0))</f>
        <v/>
      </c>
      <c r="D1550">
        <f>IF($D$1=0,0,IFERROR(VALUE(SUBSTITUTE(SUBSTITUTE(SUBSTITUTE(INDEX(貼り付け!$A$1:$BZ$3001,1549,$D$1)&amp;"",",",""),"¥",""),"￥","")),0))</f>
        <v/>
      </c>
      <c r="E1550">
        <f>IF($E$1=0,0,IFERROR(VALUE(SUBSTITUTE(SUBSTITUTE(SUBSTITUTE(INDEX(貼り付け!$A$1:$BZ$3001,1549,$E$1)&amp;"",",",""),"¥",""),"￥","")),0))</f>
        <v/>
      </c>
      <c r="F1550">
        <f>IF($F$1=0,0,IFERROR(VALUE(SUBSTITUTE(SUBSTITUTE(SUBSTITUTE(INDEX(貼り付け!$A$1:$BZ$3001,1549,$F$1)&amp;"",",",""),"¥",""),"￥","")),0))</f>
        <v/>
      </c>
      <c r="G1550">
        <f>IF(ISNUMBER(B1550),YEAR(B1550),"")</f>
        <v/>
      </c>
      <c r="H1550">
        <f>IF(ISNUMBER(B1550),MONTH(B1550),"")</f>
        <v/>
      </c>
      <c r="I1550">
        <f>IFERROR(IF($B$1=0,"",IF(ISNUMBER(INDEX(貼り付け!$A$1:$BZ$3001,1549,$B$1)),"",SUBSTITUTE(SUBSTITUTE(SUBSTITUTE(SUBSTITUTE(TRIM(LEFT(INDEX(貼り付け!$A$1:$BZ$3001,1549,$B$1)&amp;"",FIND(" ",TRIM(INDEX(貼り付け!$A$1:$BZ$3001,1549,$B$1)&amp;"")&amp;" ")-1)),"/","-"),"年","-"),"月","-"),"日",""))),"")</f>
        <v/>
      </c>
      <c r="J1550">
        <f>IFERROR(MID(I1550,FIND("-",I1550)+1,99),"")</f>
        <v/>
      </c>
    </row>
    <row r="1551">
      <c r="B1551">
        <f>IFERROR(IF($B$1=0,"",IF(INDEX(貼り付け!$A$1:$BZ$3001,1550,$B$1)="","",IF(ISNUMBER(INDEX(貼り付け!$A$1:$BZ$3001,1550,$B$1)),INT(INDEX(貼り付け!$A$1:$BZ$3001,1550,$B$1)),DATE(VALUE(LEFT(I1551,FIND("-",I1551)-1)),VALUE(LEFT(J1551,FIND("-",J1551)-1)),VALUE(MID(J1551,FIND("-",J1551)+1,99)))))),"")</f>
        <v/>
      </c>
      <c r="C1551">
        <f>IF($C$1=0,0,IFERROR(VALUE(SUBSTITUTE(SUBSTITUTE(SUBSTITUTE(INDEX(貼り付け!$A$1:$BZ$3001,1550,$C$1)&amp;"",",",""),"¥",""),"￥","")),0))</f>
        <v/>
      </c>
      <c r="D1551">
        <f>IF($D$1=0,0,IFERROR(VALUE(SUBSTITUTE(SUBSTITUTE(SUBSTITUTE(INDEX(貼り付け!$A$1:$BZ$3001,1550,$D$1)&amp;"",",",""),"¥",""),"￥","")),0))</f>
        <v/>
      </c>
      <c r="E1551">
        <f>IF($E$1=0,0,IFERROR(VALUE(SUBSTITUTE(SUBSTITUTE(SUBSTITUTE(INDEX(貼り付け!$A$1:$BZ$3001,1550,$E$1)&amp;"",",",""),"¥",""),"￥","")),0))</f>
        <v/>
      </c>
      <c r="F1551">
        <f>IF($F$1=0,0,IFERROR(VALUE(SUBSTITUTE(SUBSTITUTE(SUBSTITUTE(INDEX(貼り付け!$A$1:$BZ$3001,1550,$F$1)&amp;"",",",""),"¥",""),"￥","")),0))</f>
        <v/>
      </c>
      <c r="G1551">
        <f>IF(ISNUMBER(B1551),YEAR(B1551),"")</f>
        <v/>
      </c>
      <c r="H1551">
        <f>IF(ISNUMBER(B1551),MONTH(B1551),"")</f>
        <v/>
      </c>
      <c r="I1551">
        <f>IFERROR(IF($B$1=0,"",IF(ISNUMBER(INDEX(貼り付け!$A$1:$BZ$3001,1550,$B$1)),"",SUBSTITUTE(SUBSTITUTE(SUBSTITUTE(SUBSTITUTE(TRIM(LEFT(INDEX(貼り付け!$A$1:$BZ$3001,1550,$B$1)&amp;"",FIND(" ",TRIM(INDEX(貼り付け!$A$1:$BZ$3001,1550,$B$1)&amp;"")&amp;" ")-1)),"/","-"),"年","-"),"月","-"),"日",""))),"")</f>
        <v/>
      </c>
      <c r="J1551">
        <f>IFERROR(MID(I1551,FIND("-",I1551)+1,99),"")</f>
        <v/>
      </c>
    </row>
    <row r="1552">
      <c r="B1552">
        <f>IFERROR(IF($B$1=0,"",IF(INDEX(貼り付け!$A$1:$BZ$3001,1551,$B$1)="","",IF(ISNUMBER(INDEX(貼り付け!$A$1:$BZ$3001,1551,$B$1)),INT(INDEX(貼り付け!$A$1:$BZ$3001,1551,$B$1)),DATE(VALUE(LEFT(I1552,FIND("-",I1552)-1)),VALUE(LEFT(J1552,FIND("-",J1552)-1)),VALUE(MID(J1552,FIND("-",J1552)+1,99)))))),"")</f>
        <v/>
      </c>
      <c r="C1552">
        <f>IF($C$1=0,0,IFERROR(VALUE(SUBSTITUTE(SUBSTITUTE(SUBSTITUTE(INDEX(貼り付け!$A$1:$BZ$3001,1551,$C$1)&amp;"",",",""),"¥",""),"￥","")),0))</f>
        <v/>
      </c>
      <c r="D1552">
        <f>IF($D$1=0,0,IFERROR(VALUE(SUBSTITUTE(SUBSTITUTE(SUBSTITUTE(INDEX(貼り付け!$A$1:$BZ$3001,1551,$D$1)&amp;"",",",""),"¥",""),"￥","")),0))</f>
        <v/>
      </c>
      <c r="E1552">
        <f>IF($E$1=0,0,IFERROR(VALUE(SUBSTITUTE(SUBSTITUTE(SUBSTITUTE(INDEX(貼り付け!$A$1:$BZ$3001,1551,$E$1)&amp;"",",",""),"¥",""),"￥","")),0))</f>
        <v/>
      </c>
      <c r="F1552">
        <f>IF($F$1=0,0,IFERROR(VALUE(SUBSTITUTE(SUBSTITUTE(SUBSTITUTE(INDEX(貼り付け!$A$1:$BZ$3001,1551,$F$1)&amp;"",",",""),"¥",""),"￥","")),0))</f>
        <v/>
      </c>
      <c r="G1552">
        <f>IF(ISNUMBER(B1552),YEAR(B1552),"")</f>
        <v/>
      </c>
      <c r="H1552">
        <f>IF(ISNUMBER(B1552),MONTH(B1552),"")</f>
        <v/>
      </c>
      <c r="I1552">
        <f>IFERROR(IF($B$1=0,"",IF(ISNUMBER(INDEX(貼り付け!$A$1:$BZ$3001,1551,$B$1)),"",SUBSTITUTE(SUBSTITUTE(SUBSTITUTE(SUBSTITUTE(TRIM(LEFT(INDEX(貼り付け!$A$1:$BZ$3001,1551,$B$1)&amp;"",FIND(" ",TRIM(INDEX(貼り付け!$A$1:$BZ$3001,1551,$B$1)&amp;"")&amp;" ")-1)),"/","-"),"年","-"),"月","-"),"日",""))),"")</f>
        <v/>
      </c>
      <c r="J1552">
        <f>IFERROR(MID(I1552,FIND("-",I1552)+1,99),"")</f>
        <v/>
      </c>
    </row>
    <row r="1553">
      <c r="B1553">
        <f>IFERROR(IF($B$1=0,"",IF(INDEX(貼り付け!$A$1:$BZ$3001,1552,$B$1)="","",IF(ISNUMBER(INDEX(貼り付け!$A$1:$BZ$3001,1552,$B$1)),INT(INDEX(貼り付け!$A$1:$BZ$3001,1552,$B$1)),DATE(VALUE(LEFT(I1553,FIND("-",I1553)-1)),VALUE(LEFT(J1553,FIND("-",J1553)-1)),VALUE(MID(J1553,FIND("-",J1553)+1,99)))))),"")</f>
        <v/>
      </c>
      <c r="C1553">
        <f>IF($C$1=0,0,IFERROR(VALUE(SUBSTITUTE(SUBSTITUTE(SUBSTITUTE(INDEX(貼り付け!$A$1:$BZ$3001,1552,$C$1)&amp;"",",",""),"¥",""),"￥","")),0))</f>
        <v/>
      </c>
      <c r="D1553">
        <f>IF($D$1=0,0,IFERROR(VALUE(SUBSTITUTE(SUBSTITUTE(SUBSTITUTE(INDEX(貼り付け!$A$1:$BZ$3001,1552,$D$1)&amp;"",",",""),"¥",""),"￥","")),0))</f>
        <v/>
      </c>
      <c r="E1553">
        <f>IF($E$1=0,0,IFERROR(VALUE(SUBSTITUTE(SUBSTITUTE(SUBSTITUTE(INDEX(貼り付け!$A$1:$BZ$3001,1552,$E$1)&amp;"",",",""),"¥",""),"￥","")),0))</f>
        <v/>
      </c>
      <c r="F1553">
        <f>IF($F$1=0,0,IFERROR(VALUE(SUBSTITUTE(SUBSTITUTE(SUBSTITUTE(INDEX(貼り付け!$A$1:$BZ$3001,1552,$F$1)&amp;"",",",""),"¥",""),"￥","")),0))</f>
        <v/>
      </c>
      <c r="G1553">
        <f>IF(ISNUMBER(B1553),YEAR(B1553),"")</f>
        <v/>
      </c>
      <c r="H1553">
        <f>IF(ISNUMBER(B1553),MONTH(B1553),"")</f>
        <v/>
      </c>
      <c r="I1553">
        <f>IFERROR(IF($B$1=0,"",IF(ISNUMBER(INDEX(貼り付け!$A$1:$BZ$3001,1552,$B$1)),"",SUBSTITUTE(SUBSTITUTE(SUBSTITUTE(SUBSTITUTE(TRIM(LEFT(INDEX(貼り付け!$A$1:$BZ$3001,1552,$B$1)&amp;"",FIND(" ",TRIM(INDEX(貼り付け!$A$1:$BZ$3001,1552,$B$1)&amp;"")&amp;" ")-1)),"/","-"),"年","-"),"月","-"),"日",""))),"")</f>
        <v/>
      </c>
      <c r="J1553">
        <f>IFERROR(MID(I1553,FIND("-",I1553)+1,99),"")</f>
        <v/>
      </c>
    </row>
    <row r="1554">
      <c r="B1554">
        <f>IFERROR(IF($B$1=0,"",IF(INDEX(貼り付け!$A$1:$BZ$3001,1553,$B$1)="","",IF(ISNUMBER(INDEX(貼り付け!$A$1:$BZ$3001,1553,$B$1)),INT(INDEX(貼り付け!$A$1:$BZ$3001,1553,$B$1)),DATE(VALUE(LEFT(I1554,FIND("-",I1554)-1)),VALUE(LEFT(J1554,FIND("-",J1554)-1)),VALUE(MID(J1554,FIND("-",J1554)+1,99)))))),"")</f>
        <v/>
      </c>
      <c r="C1554">
        <f>IF($C$1=0,0,IFERROR(VALUE(SUBSTITUTE(SUBSTITUTE(SUBSTITUTE(INDEX(貼り付け!$A$1:$BZ$3001,1553,$C$1)&amp;"",",",""),"¥",""),"￥","")),0))</f>
        <v/>
      </c>
      <c r="D1554">
        <f>IF($D$1=0,0,IFERROR(VALUE(SUBSTITUTE(SUBSTITUTE(SUBSTITUTE(INDEX(貼り付け!$A$1:$BZ$3001,1553,$D$1)&amp;"",",",""),"¥",""),"￥","")),0))</f>
        <v/>
      </c>
      <c r="E1554">
        <f>IF($E$1=0,0,IFERROR(VALUE(SUBSTITUTE(SUBSTITUTE(SUBSTITUTE(INDEX(貼り付け!$A$1:$BZ$3001,1553,$E$1)&amp;"",",",""),"¥",""),"￥","")),0))</f>
        <v/>
      </c>
      <c r="F1554">
        <f>IF($F$1=0,0,IFERROR(VALUE(SUBSTITUTE(SUBSTITUTE(SUBSTITUTE(INDEX(貼り付け!$A$1:$BZ$3001,1553,$F$1)&amp;"",",",""),"¥",""),"￥","")),0))</f>
        <v/>
      </c>
      <c r="G1554">
        <f>IF(ISNUMBER(B1554),YEAR(B1554),"")</f>
        <v/>
      </c>
      <c r="H1554">
        <f>IF(ISNUMBER(B1554),MONTH(B1554),"")</f>
        <v/>
      </c>
      <c r="I1554">
        <f>IFERROR(IF($B$1=0,"",IF(ISNUMBER(INDEX(貼り付け!$A$1:$BZ$3001,1553,$B$1)),"",SUBSTITUTE(SUBSTITUTE(SUBSTITUTE(SUBSTITUTE(TRIM(LEFT(INDEX(貼り付け!$A$1:$BZ$3001,1553,$B$1)&amp;"",FIND(" ",TRIM(INDEX(貼り付け!$A$1:$BZ$3001,1553,$B$1)&amp;"")&amp;" ")-1)),"/","-"),"年","-"),"月","-"),"日",""))),"")</f>
        <v/>
      </c>
      <c r="J1554">
        <f>IFERROR(MID(I1554,FIND("-",I1554)+1,99),"")</f>
        <v/>
      </c>
    </row>
    <row r="1555">
      <c r="B1555">
        <f>IFERROR(IF($B$1=0,"",IF(INDEX(貼り付け!$A$1:$BZ$3001,1554,$B$1)="","",IF(ISNUMBER(INDEX(貼り付け!$A$1:$BZ$3001,1554,$B$1)),INT(INDEX(貼り付け!$A$1:$BZ$3001,1554,$B$1)),DATE(VALUE(LEFT(I1555,FIND("-",I1555)-1)),VALUE(LEFT(J1555,FIND("-",J1555)-1)),VALUE(MID(J1555,FIND("-",J1555)+1,99)))))),"")</f>
        <v/>
      </c>
      <c r="C1555">
        <f>IF($C$1=0,0,IFERROR(VALUE(SUBSTITUTE(SUBSTITUTE(SUBSTITUTE(INDEX(貼り付け!$A$1:$BZ$3001,1554,$C$1)&amp;"",",",""),"¥",""),"￥","")),0))</f>
        <v/>
      </c>
      <c r="D1555">
        <f>IF($D$1=0,0,IFERROR(VALUE(SUBSTITUTE(SUBSTITUTE(SUBSTITUTE(INDEX(貼り付け!$A$1:$BZ$3001,1554,$D$1)&amp;"",",",""),"¥",""),"￥","")),0))</f>
        <v/>
      </c>
      <c r="E1555">
        <f>IF($E$1=0,0,IFERROR(VALUE(SUBSTITUTE(SUBSTITUTE(SUBSTITUTE(INDEX(貼り付け!$A$1:$BZ$3001,1554,$E$1)&amp;"",",",""),"¥",""),"￥","")),0))</f>
        <v/>
      </c>
      <c r="F1555">
        <f>IF($F$1=0,0,IFERROR(VALUE(SUBSTITUTE(SUBSTITUTE(SUBSTITUTE(INDEX(貼り付け!$A$1:$BZ$3001,1554,$F$1)&amp;"",",",""),"¥",""),"￥","")),0))</f>
        <v/>
      </c>
      <c r="G1555">
        <f>IF(ISNUMBER(B1555),YEAR(B1555),"")</f>
        <v/>
      </c>
      <c r="H1555">
        <f>IF(ISNUMBER(B1555),MONTH(B1555),"")</f>
        <v/>
      </c>
      <c r="I1555">
        <f>IFERROR(IF($B$1=0,"",IF(ISNUMBER(INDEX(貼り付け!$A$1:$BZ$3001,1554,$B$1)),"",SUBSTITUTE(SUBSTITUTE(SUBSTITUTE(SUBSTITUTE(TRIM(LEFT(INDEX(貼り付け!$A$1:$BZ$3001,1554,$B$1)&amp;"",FIND(" ",TRIM(INDEX(貼り付け!$A$1:$BZ$3001,1554,$B$1)&amp;"")&amp;" ")-1)),"/","-"),"年","-"),"月","-"),"日",""))),"")</f>
        <v/>
      </c>
      <c r="J1555">
        <f>IFERROR(MID(I1555,FIND("-",I1555)+1,99),"")</f>
        <v/>
      </c>
    </row>
    <row r="1556">
      <c r="B1556">
        <f>IFERROR(IF($B$1=0,"",IF(INDEX(貼り付け!$A$1:$BZ$3001,1555,$B$1)="","",IF(ISNUMBER(INDEX(貼り付け!$A$1:$BZ$3001,1555,$B$1)),INT(INDEX(貼り付け!$A$1:$BZ$3001,1555,$B$1)),DATE(VALUE(LEFT(I1556,FIND("-",I1556)-1)),VALUE(LEFT(J1556,FIND("-",J1556)-1)),VALUE(MID(J1556,FIND("-",J1556)+1,99)))))),"")</f>
        <v/>
      </c>
      <c r="C1556">
        <f>IF($C$1=0,0,IFERROR(VALUE(SUBSTITUTE(SUBSTITUTE(SUBSTITUTE(INDEX(貼り付け!$A$1:$BZ$3001,1555,$C$1)&amp;"",",",""),"¥",""),"￥","")),0))</f>
        <v/>
      </c>
      <c r="D1556">
        <f>IF($D$1=0,0,IFERROR(VALUE(SUBSTITUTE(SUBSTITUTE(SUBSTITUTE(INDEX(貼り付け!$A$1:$BZ$3001,1555,$D$1)&amp;"",",",""),"¥",""),"￥","")),0))</f>
        <v/>
      </c>
      <c r="E1556">
        <f>IF($E$1=0,0,IFERROR(VALUE(SUBSTITUTE(SUBSTITUTE(SUBSTITUTE(INDEX(貼り付け!$A$1:$BZ$3001,1555,$E$1)&amp;"",",",""),"¥",""),"￥","")),0))</f>
        <v/>
      </c>
      <c r="F1556">
        <f>IF($F$1=0,0,IFERROR(VALUE(SUBSTITUTE(SUBSTITUTE(SUBSTITUTE(INDEX(貼り付け!$A$1:$BZ$3001,1555,$F$1)&amp;"",",",""),"¥",""),"￥","")),0))</f>
        <v/>
      </c>
      <c r="G1556">
        <f>IF(ISNUMBER(B1556),YEAR(B1556),"")</f>
        <v/>
      </c>
      <c r="H1556">
        <f>IF(ISNUMBER(B1556),MONTH(B1556),"")</f>
        <v/>
      </c>
      <c r="I1556">
        <f>IFERROR(IF($B$1=0,"",IF(ISNUMBER(INDEX(貼り付け!$A$1:$BZ$3001,1555,$B$1)),"",SUBSTITUTE(SUBSTITUTE(SUBSTITUTE(SUBSTITUTE(TRIM(LEFT(INDEX(貼り付け!$A$1:$BZ$3001,1555,$B$1)&amp;"",FIND(" ",TRIM(INDEX(貼り付け!$A$1:$BZ$3001,1555,$B$1)&amp;"")&amp;" ")-1)),"/","-"),"年","-"),"月","-"),"日",""))),"")</f>
        <v/>
      </c>
      <c r="J1556">
        <f>IFERROR(MID(I1556,FIND("-",I1556)+1,99),"")</f>
        <v/>
      </c>
    </row>
    <row r="1557">
      <c r="B1557">
        <f>IFERROR(IF($B$1=0,"",IF(INDEX(貼り付け!$A$1:$BZ$3001,1556,$B$1)="","",IF(ISNUMBER(INDEX(貼り付け!$A$1:$BZ$3001,1556,$B$1)),INT(INDEX(貼り付け!$A$1:$BZ$3001,1556,$B$1)),DATE(VALUE(LEFT(I1557,FIND("-",I1557)-1)),VALUE(LEFT(J1557,FIND("-",J1557)-1)),VALUE(MID(J1557,FIND("-",J1557)+1,99)))))),"")</f>
        <v/>
      </c>
      <c r="C1557">
        <f>IF($C$1=0,0,IFERROR(VALUE(SUBSTITUTE(SUBSTITUTE(SUBSTITUTE(INDEX(貼り付け!$A$1:$BZ$3001,1556,$C$1)&amp;"",",",""),"¥",""),"￥","")),0))</f>
        <v/>
      </c>
      <c r="D1557">
        <f>IF($D$1=0,0,IFERROR(VALUE(SUBSTITUTE(SUBSTITUTE(SUBSTITUTE(INDEX(貼り付け!$A$1:$BZ$3001,1556,$D$1)&amp;"",",",""),"¥",""),"￥","")),0))</f>
        <v/>
      </c>
      <c r="E1557">
        <f>IF($E$1=0,0,IFERROR(VALUE(SUBSTITUTE(SUBSTITUTE(SUBSTITUTE(INDEX(貼り付け!$A$1:$BZ$3001,1556,$E$1)&amp;"",",",""),"¥",""),"￥","")),0))</f>
        <v/>
      </c>
      <c r="F1557">
        <f>IF($F$1=0,0,IFERROR(VALUE(SUBSTITUTE(SUBSTITUTE(SUBSTITUTE(INDEX(貼り付け!$A$1:$BZ$3001,1556,$F$1)&amp;"",",",""),"¥",""),"￥","")),0))</f>
        <v/>
      </c>
      <c r="G1557">
        <f>IF(ISNUMBER(B1557),YEAR(B1557),"")</f>
        <v/>
      </c>
      <c r="H1557">
        <f>IF(ISNUMBER(B1557),MONTH(B1557),"")</f>
        <v/>
      </c>
      <c r="I1557">
        <f>IFERROR(IF($B$1=0,"",IF(ISNUMBER(INDEX(貼り付け!$A$1:$BZ$3001,1556,$B$1)),"",SUBSTITUTE(SUBSTITUTE(SUBSTITUTE(SUBSTITUTE(TRIM(LEFT(INDEX(貼り付け!$A$1:$BZ$3001,1556,$B$1)&amp;"",FIND(" ",TRIM(INDEX(貼り付け!$A$1:$BZ$3001,1556,$B$1)&amp;"")&amp;" ")-1)),"/","-"),"年","-"),"月","-"),"日",""))),"")</f>
        <v/>
      </c>
      <c r="J1557">
        <f>IFERROR(MID(I1557,FIND("-",I1557)+1,99),"")</f>
        <v/>
      </c>
    </row>
    <row r="1558">
      <c r="B1558">
        <f>IFERROR(IF($B$1=0,"",IF(INDEX(貼り付け!$A$1:$BZ$3001,1557,$B$1)="","",IF(ISNUMBER(INDEX(貼り付け!$A$1:$BZ$3001,1557,$B$1)),INT(INDEX(貼り付け!$A$1:$BZ$3001,1557,$B$1)),DATE(VALUE(LEFT(I1558,FIND("-",I1558)-1)),VALUE(LEFT(J1558,FIND("-",J1558)-1)),VALUE(MID(J1558,FIND("-",J1558)+1,99)))))),"")</f>
        <v/>
      </c>
      <c r="C1558">
        <f>IF($C$1=0,0,IFERROR(VALUE(SUBSTITUTE(SUBSTITUTE(SUBSTITUTE(INDEX(貼り付け!$A$1:$BZ$3001,1557,$C$1)&amp;"",",",""),"¥",""),"￥","")),0))</f>
        <v/>
      </c>
      <c r="D1558">
        <f>IF($D$1=0,0,IFERROR(VALUE(SUBSTITUTE(SUBSTITUTE(SUBSTITUTE(INDEX(貼り付け!$A$1:$BZ$3001,1557,$D$1)&amp;"",",",""),"¥",""),"￥","")),0))</f>
        <v/>
      </c>
      <c r="E1558">
        <f>IF($E$1=0,0,IFERROR(VALUE(SUBSTITUTE(SUBSTITUTE(SUBSTITUTE(INDEX(貼り付け!$A$1:$BZ$3001,1557,$E$1)&amp;"",",",""),"¥",""),"￥","")),0))</f>
        <v/>
      </c>
      <c r="F1558">
        <f>IF($F$1=0,0,IFERROR(VALUE(SUBSTITUTE(SUBSTITUTE(SUBSTITUTE(INDEX(貼り付け!$A$1:$BZ$3001,1557,$F$1)&amp;"",",",""),"¥",""),"￥","")),0))</f>
        <v/>
      </c>
      <c r="G1558">
        <f>IF(ISNUMBER(B1558),YEAR(B1558),"")</f>
        <v/>
      </c>
      <c r="H1558">
        <f>IF(ISNUMBER(B1558),MONTH(B1558),"")</f>
        <v/>
      </c>
      <c r="I1558">
        <f>IFERROR(IF($B$1=0,"",IF(ISNUMBER(INDEX(貼り付け!$A$1:$BZ$3001,1557,$B$1)),"",SUBSTITUTE(SUBSTITUTE(SUBSTITUTE(SUBSTITUTE(TRIM(LEFT(INDEX(貼り付け!$A$1:$BZ$3001,1557,$B$1)&amp;"",FIND(" ",TRIM(INDEX(貼り付け!$A$1:$BZ$3001,1557,$B$1)&amp;"")&amp;" ")-1)),"/","-"),"年","-"),"月","-"),"日",""))),"")</f>
        <v/>
      </c>
      <c r="J1558">
        <f>IFERROR(MID(I1558,FIND("-",I1558)+1,99),"")</f>
        <v/>
      </c>
    </row>
    <row r="1559">
      <c r="B1559">
        <f>IFERROR(IF($B$1=0,"",IF(INDEX(貼り付け!$A$1:$BZ$3001,1558,$B$1)="","",IF(ISNUMBER(INDEX(貼り付け!$A$1:$BZ$3001,1558,$B$1)),INT(INDEX(貼り付け!$A$1:$BZ$3001,1558,$B$1)),DATE(VALUE(LEFT(I1559,FIND("-",I1559)-1)),VALUE(LEFT(J1559,FIND("-",J1559)-1)),VALUE(MID(J1559,FIND("-",J1559)+1,99)))))),"")</f>
        <v/>
      </c>
      <c r="C1559">
        <f>IF($C$1=0,0,IFERROR(VALUE(SUBSTITUTE(SUBSTITUTE(SUBSTITUTE(INDEX(貼り付け!$A$1:$BZ$3001,1558,$C$1)&amp;"",",",""),"¥",""),"￥","")),0))</f>
        <v/>
      </c>
      <c r="D1559">
        <f>IF($D$1=0,0,IFERROR(VALUE(SUBSTITUTE(SUBSTITUTE(SUBSTITUTE(INDEX(貼り付け!$A$1:$BZ$3001,1558,$D$1)&amp;"",",",""),"¥",""),"￥","")),0))</f>
        <v/>
      </c>
      <c r="E1559">
        <f>IF($E$1=0,0,IFERROR(VALUE(SUBSTITUTE(SUBSTITUTE(SUBSTITUTE(INDEX(貼り付け!$A$1:$BZ$3001,1558,$E$1)&amp;"",",",""),"¥",""),"￥","")),0))</f>
        <v/>
      </c>
      <c r="F1559">
        <f>IF($F$1=0,0,IFERROR(VALUE(SUBSTITUTE(SUBSTITUTE(SUBSTITUTE(INDEX(貼り付け!$A$1:$BZ$3001,1558,$F$1)&amp;"",",",""),"¥",""),"￥","")),0))</f>
        <v/>
      </c>
      <c r="G1559">
        <f>IF(ISNUMBER(B1559),YEAR(B1559),"")</f>
        <v/>
      </c>
      <c r="H1559">
        <f>IF(ISNUMBER(B1559),MONTH(B1559),"")</f>
        <v/>
      </c>
      <c r="I1559">
        <f>IFERROR(IF($B$1=0,"",IF(ISNUMBER(INDEX(貼り付け!$A$1:$BZ$3001,1558,$B$1)),"",SUBSTITUTE(SUBSTITUTE(SUBSTITUTE(SUBSTITUTE(TRIM(LEFT(INDEX(貼り付け!$A$1:$BZ$3001,1558,$B$1)&amp;"",FIND(" ",TRIM(INDEX(貼り付け!$A$1:$BZ$3001,1558,$B$1)&amp;"")&amp;" ")-1)),"/","-"),"年","-"),"月","-"),"日",""))),"")</f>
        <v/>
      </c>
      <c r="J1559">
        <f>IFERROR(MID(I1559,FIND("-",I1559)+1,99),"")</f>
        <v/>
      </c>
    </row>
    <row r="1560">
      <c r="B1560">
        <f>IFERROR(IF($B$1=0,"",IF(INDEX(貼り付け!$A$1:$BZ$3001,1559,$B$1)="","",IF(ISNUMBER(INDEX(貼り付け!$A$1:$BZ$3001,1559,$B$1)),INT(INDEX(貼り付け!$A$1:$BZ$3001,1559,$B$1)),DATE(VALUE(LEFT(I1560,FIND("-",I1560)-1)),VALUE(LEFT(J1560,FIND("-",J1560)-1)),VALUE(MID(J1560,FIND("-",J1560)+1,99)))))),"")</f>
        <v/>
      </c>
      <c r="C1560">
        <f>IF($C$1=0,0,IFERROR(VALUE(SUBSTITUTE(SUBSTITUTE(SUBSTITUTE(INDEX(貼り付け!$A$1:$BZ$3001,1559,$C$1)&amp;"",",",""),"¥",""),"￥","")),0))</f>
        <v/>
      </c>
      <c r="D1560">
        <f>IF($D$1=0,0,IFERROR(VALUE(SUBSTITUTE(SUBSTITUTE(SUBSTITUTE(INDEX(貼り付け!$A$1:$BZ$3001,1559,$D$1)&amp;"",",",""),"¥",""),"￥","")),0))</f>
        <v/>
      </c>
      <c r="E1560">
        <f>IF($E$1=0,0,IFERROR(VALUE(SUBSTITUTE(SUBSTITUTE(SUBSTITUTE(INDEX(貼り付け!$A$1:$BZ$3001,1559,$E$1)&amp;"",",",""),"¥",""),"￥","")),0))</f>
        <v/>
      </c>
      <c r="F1560">
        <f>IF($F$1=0,0,IFERROR(VALUE(SUBSTITUTE(SUBSTITUTE(SUBSTITUTE(INDEX(貼り付け!$A$1:$BZ$3001,1559,$F$1)&amp;"",",",""),"¥",""),"￥","")),0))</f>
        <v/>
      </c>
      <c r="G1560">
        <f>IF(ISNUMBER(B1560),YEAR(B1560),"")</f>
        <v/>
      </c>
      <c r="H1560">
        <f>IF(ISNUMBER(B1560),MONTH(B1560),"")</f>
        <v/>
      </c>
      <c r="I1560">
        <f>IFERROR(IF($B$1=0,"",IF(ISNUMBER(INDEX(貼り付け!$A$1:$BZ$3001,1559,$B$1)),"",SUBSTITUTE(SUBSTITUTE(SUBSTITUTE(SUBSTITUTE(TRIM(LEFT(INDEX(貼り付け!$A$1:$BZ$3001,1559,$B$1)&amp;"",FIND(" ",TRIM(INDEX(貼り付け!$A$1:$BZ$3001,1559,$B$1)&amp;"")&amp;" ")-1)),"/","-"),"年","-"),"月","-"),"日",""))),"")</f>
        <v/>
      </c>
      <c r="J1560">
        <f>IFERROR(MID(I1560,FIND("-",I1560)+1,99),"")</f>
        <v/>
      </c>
    </row>
    <row r="1561">
      <c r="B1561">
        <f>IFERROR(IF($B$1=0,"",IF(INDEX(貼り付け!$A$1:$BZ$3001,1560,$B$1)="","",IF(ISNUMBER(INDEX(貼り付け!$A$1:$BZ$3001,1560,$B$1)),INT(INDEX(貼り付け!$A$1:$BZ$3001,1560,$B$1)),DATE(VALUE(LEFT(I1561,FIND("-",I1561)-1)),VALUE(LEFT(J1561,FIND("-",J1561)-1)),VALUE(MID(J1561,FIND("-",J1561)+1,99)))))),"")</f>
        <v/>
      </c>
      <c r="C1561">
        <f>IF($C$1=0,0,IFERROR(VALUE(SUBSTITUTE(SUBSTITUTE(SUBSTITUTE(INDEX(貼り付け!$A$1:$BZ$3001,1560,$C$1)&amp;"",",",""),"¥",""),"￥","")),0))</f>
        <v/>
      </c>
      <c r="D1561">
        <f>IF($D$1=0,0,IFERROR(VALUE(SUBSTITUTE(SUBSTITUTE(SUBSTITUTE(INDEX(貼り付け!$A$1:$BZ$3001,1560,$D$1)&amp;"",",",""),"¥",""),"￥","")),0))</f>
        <v/>
      </c>
      <c r="E1561">
        <f>IF($E$1=0,0,IFERROR(VALUE(SUBSTITUTE(SUBSTITUTE(SUBSTITUTE(INDEX(貼り付け!$A$1:$BZ$3001,1560,$E$1)&amp;"",",",""),"¥",""),"￥","")),0))</f>
        <v/>
      </c>
      <c r="F1561">
        <f>IF($F$1=0,0,IFERROR(VALUE(SUBSTITUTE(SUBSTITUTE(SUBSTITUTE(INDEX(貼り付け!$A$1:$BZ$3001,1560,$F$1)&amp;"",",",""),"¥",""),"￥","")),0))</f>
        <v/>
      </c>
      <c r="G1561">
        <f>IF(ISNUMBER(B1561),YEAR(B1561),"")</f>
        <v/>
      </c>
      <c r="H1561">
        <f>IF(ISNUMBER(B1561),MONTH(B1561),"")</f>
        <v/>
      </c>
      <c r="I1561">
        <f>IFERROR(IF($B$1=0,"",IF(ISNUMBER(INDEX(貼り付け!$A$1:$BZ$3001,1560,$B$1)),"",SUBSTITUTE(SUBSTITUTE(SUBSTITUTE(SUBSTITUTE(TRIM(LEFT(INDEX(貼り付け!$A$1:$BZ$3001,1560,$B$1)&amp;"",FIND(" ",TRIM(INDEX(貼り付け!$A$1:$BZ$3001,1560,$B$1)&amp;"")&amp;" ")-1)),"/","-"),"年","-"),"月","-"),"日",""))),"")</f>
        <v/>
      </c>
      <c r="J1561">
        <f>IFERROR(MID(I1561,FIND("-",I1561)+1,99),"")</f>
        <v/>
      </c>
    </row>
    <row r="1562">
      <c r="B1562">
        <f>IFERROR(IF($B$1=0,"",IF(INDEX(貼り付け!$A$1:$BZ$3001,1561,$B$1)="","",IF(ISNUMBER(INDEX(貼り付け!$A$1:$BZ$3001,1561,$B$1)),INT(INDEX(貼り付け!$A$1:$BZ$3001,1561,$B$1)),DATE(VALUE(LEFT(I1562,FIND("-",I1562)-1)),VALUE(LEFT(J1562,FIND("-",J1562)-1)),VALUE(MID(J1562,FIND("-",J1562)+1,99)))))),"")</f>
        <v/>
      </c>
      <c r="C1562">
        <f>IF($C$1=0,0,IFERROR(VALUE(SUBSTITUTE(SUBSTITUTE(SUBSTITUTE(INDEX(貼り付け!$A$1:$BZ$3001,1561,$C$1)&amp;"",",",""),"¥",""),"￥","")),0))</f>
        <v/>
      </c>
      <c r="D1562">
        <f>IF($D$1=0,0,IFERROR(VALUE(SUBSTITUTE(SUBSTITUTE(SUBSTITUTE(INDEX(貼り付け!$A$1:$BZ$3001,1561,$D$1)&amp;"",",",""),"¥",""),"￥","")),0))</f>
        <v/>
      </c>
      <c r="E1562">
        <f>IF($E$1=0,0,IFERROR(VALUE(SUBSTITUTE(SUBSTITUTE(SUBSTITUTE(INDEX(貼り付け!$A$1:$BZ$3001,1561,$E$1)&amp;"",",",""),"¥",""),"￥","")),0))</f>
        <v/>
      </c>
      <c r="F1562">
        <f>IF($F$1=0,0,IFERROR(VALUE(SUBSTITUTE(SUBSTITUTE(SUBSTITUTE(INDEX(貼り付け!$A$1:$BZ$3001,1561,$F$1)&amp;"",",",""),"¥",""),"￥","")),0))</f>
        <v/>
      </c>
      <c r="G1562">
        <f>IF(ISNUMBER(B1562),YEAR(B1562),"")</f>
        <v/>
      </c>
      <c r="H1562">
        <f>IF(ISNUMBER(B1562),MONTH(B1562),"")</f>
        <v/>
      </c>
      <c r="I1562">
        <f>IFERROR(IF($B$1=0,"",IF(ISNUMBER(INDEX(貼り付け!$A$1:$BZ$3001,1561,$B$1)),"",SUBSTITUTE(SUBSTITUTE(SUBSTITUTE(SUBSTITUTE(TRIM(LEFT(INDEX(貼り付け!$A$1:$BZ$3001,1561,$B$1)&amp;"",FIND(" ",TRIM(INDEX(貼り付け!$A$1:$BZ$3001,1561,$B$1)&amp;"")&amp;" ")-1)),"/","-"),"年","-"),"月","-"),"日",""))),"")</f>
        <v/>
      </c>
      <c r="J1562">
        <f>IFERROR(MID(I1562,FIND("-",I1562)+1,99),"")</f>
        <v/>
      </c>
    </row>
    <row r="1563">
      <c r="B1563">
        <f>IFERROR(IF($B$1=0,"",IF(INDEX(貼り付け!$A$1:$BZ$3001,1562,$B$1)="","",IF(ISNUMBER(INDEX(貼り付け!$A$1:$BZ$3001,1562,$B$1)),INT(INDEX(貼り付け!$A$1:$BZ$3001,1562,$B$1)),DATE(VALUE(LEFT(I1563,FIND("-",I1563)-1)),VALUE(LEFT(J1563,FIND("-",J1563)-1)),VALUE(MID(J1563,FIND("-",J1563)+1,99)))))),"")</f>
        <v/>
      </c>
      <c r="C1563">
        <f>IF($C$1=0,0,IFERROR(VALUE(SUBSTITUTE(SUBSTITUTE(SUBSTITUTE(INDEX(貼り付け!$A$1:$BZ$3001,1562,$C$1)&amp;"",",",""),"¥",""),"￥","")),0))</f>
        <v/>
      </c>
      <c r="D1563">
        <f>IF($D$1=0,0,IFERROR(VALUE(SUBSTITUTE(SUBSTITUTE(SUBSTITUTE(INDEX(貼り付け!$A$1:$BZ$3001,1562,$D$1)&amp;"",",",""),"¥",""),"￥","")),0))</f>
        <v/>
      </c>
      <c r="E1563">
        <f>IF($E$1=0,0,IFERROR(VALUE(SUBSTITUTE(SUBSTITUTE(SUBSTITUTE(INDEX(貼り付け!$A$1:$BZ$3001,1562,$E$1)&amp;"",",",""),"¥",""),"￥","")),0))</f>
        <v/>
      </c>
      <c r="F1563">
        <f>IF($F$1=0,0,IFERROR(VALUE(SUBSTITUTE(SUBSTITUTE(SUBSTITUTE(INDEX(貼り付け!$A$1:$BZ$3001,1562,$F$1)&amp;"",",",""),"¥",""),"￥","")),0))</f>
        <v/>
      </c>
      <c r="G1563">
        <f>IF(ISNUMBER(B1563),YEAR(B1563),"")</f>
        <v/>
      </c>
      <c r="H1563">
        <f>IF(ISNUMBER(B1563),MONTH(B1563),"")</f>
        <v/>
      </c>
      <c r="I1563">
        <f>IFERROR(IF($B$1=0,"",IF(ISNUMBER(INDEX(貼り付け!$A$1:$BZ$3001,1562,$B$1)),"",SUBSTITUTE(SUBSTITUTE(SUBSTITUTE(SUBSTITUTE(TRIM(LEFT(INDEX(貼り付け!$A$1:$BZ$3001,1562,$B$1)&amp;"",FIND(" ",TRIM(INDEX(貼り付け!$A$1:$BZ$3001,1562,$B$1)&amp;"")&amp;" ")-1)),"/","-"),"年","-"),"月","-"),"日",""))),"")</f>
        <v/>
      </c>
      <c r="J1563">
        <f>IFERROR(MID(I1563,FIND("-",I1563)+1,99),"")</f>
        <v/>
      </c>
    </row>
    <row r="1564">
      <c r="B1564">
        <f>IFERROR(IF($B$1=0,"",IF(INDEX(貼り付け!$A$1:$BZ$3001,1563,$B$1)="","",IF(ISNUMBER(INDEX(貼り付け!$A$1:$BZ$3001,1563,$B$1)),INT(INDEX(貼り付け!$A$1:$BZ$3001,1563,$B$1)),DATE(VALUE(LEFT(I1564,FIND("-",I1564)-1)),VALUE(LEFT(J1564,FIND("-",J1564)-1)),VALUE(MID(J1564,FIND("-",J1564)+1,99)))))),"")</f>
        <v/>
      </c>
      <c r="C1564">
        <f>IF($C$1=0,0,IFERROR(VALUE(SUBSTITUTE(SUBSTITUTE(SUBSTITUTE(INDEX(貼り付け!$A$1:$BZ$3001,1563,$C$1)&amp;"",",",""),"¥",""),"￥","")),0))</f>
        <v/>
      </c>
      <c r="D1564">
        <f>IF($D$1=0,0,IFERROR(VALUE(SUBSTITUTE(SUBSTITUTE(SUBSTITUTE(INDEX(貼り付け!$A$1:$BZ$3001,1563,$D$1)&amp;"",",",""),"¥",""),"￥","")),0))</f>
        <v/>
      </c>
      <c r="E1564">
        <f>IF($E$1=0,0,IFERROR(VALUE(SUBSTITUTE(SUBSTITUTE(SUBSTITUTE(INDEX(貼り付け!$A$1:$BZ$3001,1563,$E$1)&amp;"",",",""),"¥",""),"￥","")),0))</f>
        <v/>
      </c>
      <c r="F1564">
        <f>IF($F$1=0,0,IFERROR(VALUE(SUBSTITUTE(SUBSTITUTE(SUBSTITUTE(INDEX(貼り付け!$A$1:$BZ$3001,1563,$F$1)&amp;"",",",""),"¥",""),"￥","")),0))</f>
        <v/>
      </c>
      <c r="G1564">
        <f>IF(ISNUMBER(B1564),YEAR(B1564),"")</f>
        <v/>
      </c>
      <c r="H1564">
        <f>IF(ISNUMBER(B1564),MONTH(B1564),"")</f>
        <v/>
      </c>
      <c r="I1564">
        <f>IFERROR(IF($B$1=0,"",IF(ISNUMBER(INDEX(貼り付け!$A$1:$BZ$3001,1563,$B$1)),"",SUBSTITUTE(SUBSTITUTE(SUBSTITUTE(SUBSTITUTE(TRIM(LEFT(INDEX(貼り付け!$A$1:$BZ$3001,1563,$B$1)&amp;"",FIND(" ",TRIM(INDEX(貼り付け!$A$1:$BZ$3001,1563,$B$1)&amp;"")&amp;" ")-1)),"/","-"),"年","-"),"月","-"),"日",""))),"")</f>
        <v/>
      </c>
      <c r="J1564">
        <f>IFERROR(MID(I1564,FIND("-",I1564)+1,99),"")</f>
        <v/>
      </c>
    </row>
    <row r="1565">
      <c r="B1565">
        <f>IFERROR(IF($B$1=0,"",IF(INDEX(貼り付け!$A$1:$BZ$3001,1564,$B$1)="","",IF(ISNUMBER(INDEX(貼り付け!$A$1:$BZ$3001,1564,$B$1)),INT(INDEX(貼り付け!$A$1:$BZ$3001,1564,$B$1)),DATE(VALUE(LEFT(I1565,FIND("-",I1565)-1)),VALUE(LEFT(J1565,FIND("-",J1565)-1)),VALUE(MID(J1565,FIND("-",J1565)+1,99)))))),"")</f>
        <v/>
      </c>
      <c r="C1565">
        <f>IF($C$1=0,0,IFERROR(VALUE(SUBSTITUTE(SUBSTITUTE(SUBSTITUTE(INDEX(貼り付け!$A$1:$BZ$3001,1564,$C$1)&amp;"",",",""),"¥",""),"￥","")),0))</f>
        <v/>
      </c>
      <c r="D1565">
        <f>IF($D$1=0,0,IFERROR(VALUE(SUBSTITUTE(SUBSTITUTE(SUBSTITUTE(INDEX(貼り付け!$A$1:$BZ$3001,1564,$D$1)&amp;"",",",""),"¥",""),"￥","")),0))</f>
        <v/>
      </c>
      <c r="E1565">
        <f>IF($E$1=0,0,IFERROR(VALUE(SUBSTITUTE(SUBSTITUTE(SUBSTITUTE(INDEX(貼り付け!$A$1:$BZ$3001,1564,$E$1)&amp;"",",",""),"¥",""),"￥","")),0))</f>
        <v/>
      </c>
      <c r="F1565">
        <f>IF($F$1=0,0,IFERROR(VALUE(SUBSTITUTE(SUBSTITUTE(SUBSTITUTE(INDEX(貼り付け!$A$1:$BZ$3001,1564,$F$1)&amp;"",",",""),"¥",""),"￥","")),0))</f>
        <v/>
      </c>
      <c r="G1565">
        <f>IF(ISNUMBER(B1565),YEAR(B1565),"")</f>
        <v/>
      </c>
      <c r="H1565">
        <f>IF(ISNUMBER(B1565),MONTH(B1565),"")</f>
        <v/>
      </c>
      <c r="I1565">
        <f>IFERROR(IF($B$1=0,"",IF(ISNUMBER(INDEX(貼り付け!$A$1:$BZ$3001,1564,$B$1)),"",SUBSTITUTE(SUBSTITUTE(SUBSTITUTE(SUBSTITUTE(TRIM(LEFT(INDEX(貼り付け!$A$1:$BZ$3001,1564,$B$1)&amp;"",FIND(" ",TRIM(INDEX(貼り付け!$A$1:$BZ$3001,1564,$B$1)&amp;"")&amp;" ")-1)),"/","-"),"年","-"),"月","-"),"日",""))),"")</f>
        <v/>
      </c>
      <c r="J1565">
        <f>IFERROR(MID(I1565,FIND("-",I1565)+1,99),"")</f>
        <v/>
      </c>
    </row>
    <row r="1566">
      <c r="B1566">
        <f>IFERROR(IF($B$1=0,"",IF(INDEX(貼り付け!$A$1:$BZ$3001,1565,$B$1)="","",IF(ISNUMBER(INDEX(貼り付け!$A$1:$BZ$3001,1565,$B$1)),INT(INDEX(貼り付け!$A$1:$BZ$3001,1565,$B$1)),DATE(VALUE(LEFT(I1566,FIND("-",I1566)-1)),VALUE(LEFT(J1566,FIND("-",J1566)-1)),VALUE(MID(J1566,FIND("-",J1566)+1,99)))))),"")</f>
        <v/>
      </c>
      <c r="C1566">
        <f>IF($C$1=0,0,IFERROR(VALUE(SUBSTITUTE(SUBSTITUTE(SUBSTITUTE(INDEX(貼り付け!$A$1:$BZ$3001,1565,$C$1)&amp;"",",",""),"¥",""),"￥","")),0))</f>
        <v/>
      </c>
      <c r="D1566">
        <f>IF($D$1=0,0,IFERROR(VALUE(SUBSTITUTE(SUBSTITUTE(SUBSTITUTE(INDEX(貼り付け!$A$1:$BZ$3001,1565,$D$1)&amp;"",",",""),"¥",""),"￥","")),0))</f>
        <v/>
      </c>
      <c r="E1566">
        <f>IF($E$1=0,0,IFERROR(VALUE(SUBSTITUTE(SUBSTITUTE(SUBSTITUTE(INDEX(貼り付け!$A$1:$BZ$3001,1565,$E$1)&amp;"",",",""),"¥",""),"￥","")),0))</f>
        <v/>
      </c>
      <c r="F1566">
        <f>IF($F$1=0,0,IFERROR(VALUE(SUBSTITUTE(SUBSTITUTE(SUBSTITUTE(INDEX(貼り付け!$A$1:$BZ$3001,1565,$F$1)&amp;"",",",""),"¥",""),"￥","")),0))</f>
        <v/>
      </c>
      <c r="G1566">
        <f>IF(ISNUMBER(B1566),YEAR(B1566),"")</f>
        <v/>
      </c>
      <c r="H1566">
        <f>IF(ISNUMBER(B1566),MONTH(B1566),"")</f>
        <v/>
      </c>
      <c r="I1566">
        <f>IFERROR(IF($B$1=0,"",IF(ISNUMBER(INDEX(貼り付け!$A$1:$BZ$3001,1565,$B$1)),"",SUBSTITUTE(SUBSTITUTE(SUBSTITUTE(SUBSTITUTE(TRIM(LEFT(INDEX(貼り付け!$A$1:$BZ$3001,1565,$B$1)&amp;"",FIND(" ",TRIM(INDEX(貼り付け!$A$1:$BZ$3001,1565,$B$1)&amp;"")&amp;" ")-1)),"/","-"),"年","-"),"月","-"),"日",""))),"")</f>
        <v/>
      </c>
      <c r="J1566">
        <f>IFERROR(MID(I1566,FIND("-",I1566)+1,99),"")</f>
        <v/>
      </c>
    </row>
    <row r="1567">
      <c r="B1567">
        <f>IFERROR(IF($B$1=0,"",IF(INDEX(貼り付け!$A$1:$BZ$3001,1566,$B$1)="","",IF(ISNUMBER(INDEX(貼り付け!$A$1:$BZ$3001,1566,$B$1)),INT(INDEX(貼り付け!$A$1:$BZ$3001,1566,$B$1)),DATE(VALUE(LEFT(I1567,FIND("-",I1567)-1)),VALUE(LEFT(J1567,FIND("-",J1567)-1)),VALUE(MID(J1567,FIND("-",J1567)+1,99)))))),"")</f>
        <v/>
      </c>
      <c r="C1567">
        <f>IF($C$1=0,0,IFERROR(VALUE(SUBSTITUTE(SUBSTITUTE(SUBSTITUTE(INDEX(貼り付け!$A$1:$BZ$3001,1566,$C$1)&amp;"",",",""),"¥",""),"￥","")),0))</f>
        <v/>
      </c>
      <c r="D1567">
        <f>IF($D$1=0,0,IFERROR(VALUE(SUBSTITUTE(SUBSTITUTE(SUBSTITUTE(INDEX(貼り付け!$A$1:$BZ$3001,1566,$D$1)&amp;"",",",""),"¥",""),"￥","")),0))</f>
        <v/>
      </c>
      <c r="E1567">
        <f>IF($E$1=0,0,IFERROR(VALUE(SUBSTITUTE(SUBSTITUTE(SUBSTITUTE(INDEX(貼り付け!$A$1:$BZ$3001,1566,$E$1)&amp;"",",",""),"¥",""),"￥","")),0))</f>
        <v/>
      </c>
      <c r="F1567">
        <f>IF($F$1=0,0,IFERROR(VALUE(SUBSTITUTE(SUBSTITUTE(SUBSTITUTE(INDEX(貼り付け!$A$1:$BZ$3001,1566,$F$1)&amp;"",",",""),"¥",""),"￥","")),0))</f>
        <v/>
      </c>
      <c r="G1567">
        <f>IF(ISNUMBER(B1567),YEAR(B1567),"")</f>
        <v/>
      </c>
      <c r="H1567">
        <f>IF(ISNUMBER(B1567),MONTH(B1567),"")</f>
        <v/>
      </c>
      <c r="I1567">
        <f>IFERROR(IF($B$1=0,"",IF(ISNUMBER(INDEX(貼り付け!$A$1:$BZ$3001,1566,$B$1)),"",SUBSTITUTE(SUBSTITUTE(SUBSTITUTE(SUBSTITUTE(TRIM(LEFT(INDEX(貼り付け!$A$1:$BZ$3001,1566,$B$1)&amp;"",FIND(" ",TRIM(INDEX(貼り付け!$A$1:$BZ$3001,1566,$B$1)&amp;"")&amp;" ")-1)),"/","-"),"年","-"),"月","-"),"日",""))),"")</f>
        <v/>
      </c>
      <c r="J1567">
        <f>IFERROR(MID(I1567,FIND("-",I1567)+1,99),"")</f>
        <v/>
      </c>
    </row>
    <row r="1568">
      <c r="B1568">
        <f>IFERROR(IF($B$1=0,"",IF(INDEX(貼り付け!$A$1:$BZ$3001,1567,$B$1)="","",IF(ISNUMBER(INDEX(貼り付け!$A$1:$BZ$3001,1567,$B$1)),INT(INDEX(貼り付け!$A$1:$BZ$3001,1567,$B$1)),DATE(VALUE(LEFT(I1568,FIND("-",I1568)-1)),VALUE(LEFT(J1568,FIND("-",J1568)-1)),VALUE(MID(J1568,FIND("-",J1568)+1,99)))))),"")</f>
        <v/>
      </c>
      <c r="C1568">
        <f>IF($C$1=0,0,IFERROR(VALUE(SUBSTITUTE(SUBSTITUTE(SUBSTITUTE(INDEX(貼り付け!$A$1:$BZ$3001,1567,$C$1)&amp;"",",",""),"¥",""),"￥","")),0))</f>
        <v/>
      </c>
      <c r="D1568">
        <f>IF($D$1=0,0,IFERROR(VALUE(SUBSTITUTE(SUBSTITUTE(SUBSTITUTE(INDEX(貼り付け!$A$1:$BZ$3001,1567,$D$1)&amp;"",",",""),"¥",""),"￥","")),0))</f>
        <v/>
      </c>
      <c r="E1568">
        <f>IF($E$1=0,0,IFERROR(VALUE(SUBSTITUTE(SUBSTITUTE(SUBSTITUTE(INDEX(貼り付け!$A$1:$BZ$3001,1567,$E$1)&amp;"",",",""),"¥",""),"￥","")),0))</f>
        <v/>
      </c>
      <c r="F1568">
        <f>IF($F$1=0,0,IFERROR(VALUE(SUBSTITUTE(SUBSTITUTE(SUBSTITUTE(INDEX(貼り付け!$A$1:$BZ$3001,1567,$F$1)&amp;"",",",""),"¥",""),"￥","")),0))</f>
        <v/>
      </c>
      <c r="G1568">
        <f>IF(ISNUMBER(B1568),YEAR(B1568),"")</f>
        <v/>
      </c>
      <c r="H1568">
        <f>IF(ISNUMBER(B1568),MONTH(B1568),"")</f>
        <v/>
      </c>
      <c r="I1568">
        <f>IFERROR(IF($B$1=0,"",IF(ISNUMBER(INDEX(貼り付け!$A$1:$BZ$3001,1567,$B$1)),"",SUBSTITUTE(SUBSTITUTE(SUBSTITUTE(SUBSTITUTE(TRIM(LEFT(INDEX(貼り付け!$A$1:$BZ$3001,1567,$B$1)&amp;"",FIND(" ",TRIM(INDEX(貼り付け!$A$1:$BZ$3001,1567,$B$1)&amp;"")&amp;" ")-1)),"/","-"),"年","-"),"月","-"),"日",""))),"")</f>
        <v/>
      </c>
      <c r="J1568">
        <f>IFERROR(MID(I1568,FIND("-",I1568)+1,99),"")</f>
        <v/>
      </c>
    </row>
    <row r="1569">
      <c r="B1569">
        <f>IFERROR(IF($B$1=0,"",IF(INDEX(貼り付け!$A$1:$BZ$3001,1568,$B$1)="","",IF(ISNUMBER(INDEX(貼り付け!$A$1:$BZ$3001,1568,$B$1)),INT(INDEX(貼り付け!$A$1:$BZ$3001,1568,$B$1)),DATE(VALUE(LEFT(I1569,FIND("-",I1569)-1)),VALUE(LEFT(J1569,FIND("-",J1569)-1)),VALUE(MID(J1569,FIND("-",J1569)+1,99)))))),"")</f>
        <v/>
      </c>
      <c r="C1569">
        <f>IF($C$1=0,0,IFERROR(VALUE(SUBSTITUTE(SUBSTITUTE(SUBSTITUTE(INDEX(貼り付け!$A$1:$BZ$3001,1568,$C$1)&amp;"",",",""),"¥",""),"￥","")),0))</f>
        <v/>
      </c>
      <c r="D1569">
        <f>IF($D$1=0,0,IFERROR(VALUE(SUBSTITUTE(SUBSTITUTE(SUBSTITUTE(INDEX(貼り付け!$A$1:$BZ$3001,1568,$D$1)&amp;"",",",""),"¥",""),"￥","")),0))</f>
        <v/>
      </c>
      <c r="E1569">
        <f>IF($E$1=0,0,IFERROR(VALUE(SUBSTITUTE(SUBSTITUTE(SUBSTITUTE(INDEX(貼り付け!$A$1:$BZ$3001,1568,$E$1)&amp;"",",",""),"¥",""),"￥","")),0))</f>
        <v/>
      </c>
      <c r="F1569">
        <f>IF($F$1=0,0,IFERROR(VALUE(SUBSTITUTE(SUBSTITUTE(SUBSTITUTE(INDEX(貼り付け!$A$1:$BZ$3001,1568,$F$1)&amp;"",",",""),"¥",""),"￥","")),0))</f>
        <v/>
      </c>
      <c r="G1569">
        <f>IF(ISNUMBER(B1569),YEAR(B1569),"")</f>
        <v/>
      </c>
      <c r="H1569">
        <f>IF(ISNUMBER(B1569),MONTH(B1569),"")</f>
        <v/>
      </c>
      <c r="I1569">
        <f>IFERROR(IF($B$1=0,"",IF(ISNUMBER(INDEX(貼り付け!$A$1:$BZ$3001,1568,$B$1)),"",SUBSTITUTE(SUBSTITUTE(SUBSTITUTE(SUBSTITUTE(TRIM(LEFT(INDEX(貼り付け!$A$1:$BZ$3001,1568,$B$1)&amp;"",FIND(" ",TRIM(INDEX(貼り付け!$A$1:$BZ$3001,1568,$B$1)&amp;"")&amp;" ")-1)),"/","-"),"年","-"),"月","-"),"日",""))),"")</f>
        <v/>
      </c>
      <c r="J1569">
        <f>IFERROR(MID(I1569,FIND("-",I1569)+1,99),"")</f>
        <v/>
      </c>
    </row>
    <row r="1570">
      <c r="B1570">
        <f>IFERROR(IF($B$1=0,"",IF(INDEX(貼り付け!$A$1:$BZ$3001,1569,$B$1)="","",IF(ISNUMBER(INDEX(貼り付け!$A$1:$BZ$3001,1569,$B$1)),INT(INDEX(貼り付け!$A$1:$BZ$3001,1569,$B$1)),DATE(VALUE(LEFT(I1570,FIND("-",I1570)-1)),VALUE(LEFT(J1570,FIND("-",J1570)-1)),VALUE(MID(J1570,FIND("-",J1570)+1,99)))))),"")</f>
        <v/>
      </c>
      <c r="C1570">
        <f>IF($C$1=0,0,IFERROR(VALUE(SUBSTITUTE(SUBSTITUTE(SUBSTITUTE(INDEX(貼り付け!$A$1:$BZ$3001,1569,$C$1)&amp;"",",",""),"¥",""),"￥","")),0))</f>
        <v/>
      </c>
      <c r="D1570">
        <f>IF($D$1=0,0,IFERROR(VALUE(SUBSTITUTE(SUBSTITUTE(SUBSTITUTE(INDEX(貼り付け!$A$1:$BZ$3001,1569,$D$1)&amp;"",",",""),"¥",""),"￥","")),0))</f>
        <v/>
      </c>
      <c r="E1570">
        <f>IF($E$1=0,0,IFERROR(VALUE(SUBSTITUTE(SUBSTITUTE(SUBSTITUTE(INDEX(貼り付け!$A$1:$BZ$3001,1569,$E$1)&amp;"",",",""),"¥",""),"￥","")),0))</f>
        <v/>
      </c>
      <c r="F1570">
        <f>IF($F$1=0,0,IFERROR(VALUE(SUBSTITUTE(SUBSTITUTE(SUBSTITUTE(INDEX(貼り付け!$A$1:$BZ$3001,1569,$F$1)&amp;"",",",""),"¥",""),"￥","")),0))</f>
        <v/>
      </c>
      <c r="G1570">
        <f>IF(ISNUMBER(B1570),YEAR(B1570),"")</f>
        <v/>
      </c>
      <c r="H1570">
        <f>IF(ISNUMBER(B1570),MONTH(B1570),"")</f>
        <v/>
      </c>
      <c r="I1570">
        <f>IFERROR(IF($B$1=0,"",IF(ISNUMBER(INDEX(貼り付け!$A$1:$BZ$3001,1569,$B$1)),"",SUBSTITUTE(SUBSTITUTE(SUBSTITUTE(SUBSTITUTE(TRIM(LEFT(INDEX(貼り付け!$A$1:$BZ$3001,1569,$B$1)&amp;"",FIND(" ",TRIM(INDEX(貼り付け!$A$1:$BZ$3001,1569,$B$1)&amp;"")&amp;" ")-1)),"/","-"),"年","-"),"月","-"),"日",""))),"")</f>
        <v/>
      </c>
      <c r="J1570">
        <f>IFERROR(MID(I1570,FIND("-",I1570)+1,99),"")</f>
        <v/>
      </c>
    </row>
    <row r="1571">
      <c r="B1571">
        <f>IFERROR(IF($B$1=0,"",IF(INDEX(貼り付け!$A$1:$BZ$3001,1570,$B$1)="","",IF(ISNUMBER(INDEX(貼り付け!$A$1:$BZ$3001,1570,$B$1)),INT(INDEX(貼り付け!$A$1:$BZ$3001,1570,$B$1)),DATE(VALUE(LEFT(I1571,FIND("-",I1571)-1)),VALUE(LEFT(J1571,FIND("-",J1571)-1)),VALUE(MID(J1571,FIND("-",J1571)+1,99)))))),"")</f>
        <v/>
      </c>
      <c r="C1571">
        <f>IF($C$1=0,0,IFERROR(VALUE(SUBSTITUTE(SUBSTITUTE(SUBSTITUTE(INDEX(貼り付け!$A$1:$BZ$3001,1570,$C$1)&amp;"",",",""),"¥",""),"￥","")),0))</f>
        <v/>
      </c>
      <c r="D1571">
        <f>IF($D$1=0,0,IFERROR(VALUE(SUBSTITUTE(SUBSTITUTE(SUBSTITUTE(INDEX(貼り付け!$A$1:$BZ$3001,1570,$D$1)&amp;"",",",""),"¥",""),"￥","")),0))</f>
        <v/>
      </c>
      <c r="E1571">
        <f>IF($E$1=0,0,IFERROR(VALUE(SUBSTITUTE(SUBSTITUTE(SUBSTITUTE(INDEX(貼り付け!$A$1:$BZ$3001,1570,$E$1)&amp;"",",",""),"¥",""),"￥","")),0))</f>
        <v/>
      </c>
      <c r="F1571">
        <f>IF($F$1=0,0,IFERROR(VALUE(SUBSTITUTE(SUBSTITUTE(SUBSTITUTE(INDEX(貼り付け!$A$1:$BZ$3001,1570,$F$1)&amp;"",",",""),"¥",""),"￥","")),0))</f>
        <v/>
      </c>
      <c r="G1571">
        <f>IF(ISNUMBER(B1571),YEAR(B1571),"")</f>
        <v/>
      </c>
      <c r="H1571">
        <f>IF(ISNUMBER(B1571),MONTH(B1571),"")</f>
        <v/>
      </c>
      <c r="I1571">
        <f>IFERROR(IF($B$1=0,"",IF(ISNUMBER(INDEX(貼り付け!$A$1:$BZ$3001,1570,$B$1)),"",SUBSTITUTE(SUBSTITUTE(SUBSTITUTE(SUBSTITUTE(TRIM(LEFT(INDEX(貼り付け!$A$1:$BZ$3001,1570,$B$1)&amp;"",FIND(" ",TRIM(INDEX(貼り付け!$A$1:$BZ$3001,1570,$B$1)&amp;"")&amp;" ")-1)),"/","-"),"年","-"),"月","-"),"日",""))),"")</f>
        <v/>
      </c>
      <c r="J1571">
        <f>IFERROR(MID(I1571,FIND("-",I1571)+1,99),"")</f>
        <v/>
      </c>
    </row>
    <row r="1572">
      <c r="B1572">
        <f>IFERROR(IF($B$1=0,"",IF(INDEX(貼り付け!$A$1:$BZ$3001,1571,$B$1)="","",IF(ISNUMBER(INDEX(貼り付け!$A$1:$BZ$3001,1571,$B$1)),INT(INDEX(貼り付け!$A$1:$BZ$3001,1571,$B$1)),DATE(VALUE(LEFT(I1572,FIND("-",I1572)-1)),VALUE(LEFT(J1572,FIND("-",J1572)-1)),VALUE(MID(J1572,FIND("-",J1572)+1,99)))))),"")</f>
        <v/>
      </c>
      <c r="C1572">
        <f>IF($C$1=0,0,IFERROR(VALUE(SUBSTITUTE(SUBSTITUTE(SUBSTITUTE(INDEX(貼り付け!$A$1:$BZ$3001,1571,$C$1)&amp;"",",",""),"¥",""),"￥","")),0))</f>
        <v/>
      </c>
      <c r="D1572">
        <f>IF($D$1=0,0,IFERROR(VALUE(SUBSTITUTE(SUBSTITUTE(SUBSTITUTE(INDEX(貼り付け!$A$1:$BZ$3001,1571,$D$1)&amp;"",",",""),"¥",""),"￥","")),0))</f>
        <v/>
      </c>
      <c r="E1572">
        <f>IF($E$1=0,0,IFERROR(VALUE(SUBSTITUTE(SUBSTITUTE(SUBSTITUTE(INDEX(貼り付け!$A$1:$BZ$3001,1571,$E$1)&amp;"",",",""),"¥",""),"￥","")),0))</f>
        <v/>
      </c>
      <c r="F1572">
        <f>IF($F$1=0,0,IFERROR(VALUE(SUBSTITUTE(SUBSTITUTE(SUBSTITUTE(INDEX(貼り付け!$A$1:$BZ$3001,1571,$F$1)&amp;"",",",""),"¥",""),"￥","")),0))</f>
        <v/>
      </c>
      <c r="G1572">
        <f>IF(ISNUMBER(B1572),YEAR(B1572),"")</f>
        <v/>
      </c>
      <c r="H1572">
        <f>IF(ISNUMBER(B1572),MONTH(B1572),"")</f>
        <v/>
      </c>
      <c r="I1572">
        <f>IFERROR(IF($B$1=0,"",IF(ISNUMBER(INDEX(貼り付け!$A$1:$BZ$3001,1571,$B$1)),"",SUBSTITUTE(SUBSTITUTE(SUBSTITUTE(SUBSTITUTE(TRIM(LEFT(INDEX(貼り付け!$A$1:$BZ$3001,1571,$B$1)&amp;"",FIND(" ",TRIM(INDEX(貼り付け!$A$1:$BZ$3001,1571,$B$1)&amp;"")&amp;" ")-1)),"/","-"),"年","-"),"月","-"),"日",""))),"")</f>
        <v/>
      </c>
      <c r="J1572">
        <f>IFERROR(MID(I1572,FIND("-",I1572)+1,99),"")</f>
        <v/>
      </c>
    </row>
    <row r="1573">
      <c r="B1573">
        <f>IFERROR(IF($B$1=0,"",IF(INDEX(貼り付け!$A$1:$BZ$3001,1572,$B$1)="","",IF(ISNUMBER(INDEX(貼り付け!$A$1:$BZ$3001,1572,$B$1)),INT(INDEX(貼り付け!$A$1:$BZ$3001,1572,$B$1)),DATE(VALUE(LEFT(I1573,FIND("-",I1573)-1)),VALUE(LEFT(J1573,FIND("-",J1573)-1)),VALUE(MID(J1573,FIND("-",J1573)+1,99)))))),"")</f>
        <v/>
      </c>
      <c r="C1573">
        <f>IF($C$1=0,0,IFERROR(VALUE(SUBSTITUTE(SUBSTITUTE(SUBSTITUTE(INDEX(貼り付け!$A$1:$BZ$3001,1572,$C$1)&amp;"",",",""),"¥",""),"￥","")),0))</f>
        <v/>
      </c>
      <c r="D1573">
        <f>IF($D$1=0,0,IFERROR(VALUE(SUBSTITUTE(SUBSTITUTE(SUBSTITUTE(INDEX(貼り付け!$A$1:$BZ$3001,1572,$D$1)&amp;"",",",""),"¥",""),"￥","")),0))</f>
        <v/>
      </c>
      <c r="E1573">
        <f>IF($E$1=0,0,IFERROR(VALUE(SUBSTITUTE(SUBSTITUTE(SUBSTITUTE(INDEX(貼り付け!$A$1:$BZ$3001,1572,$E$1)&amp;"",",",""),"¥",""),"￥","")),0))</f>
        <v/>
      </c>
      <c r="F1573">
        <f>IF($F$1=0,0,IFERROR(VALUE(SUBSTITUTE(SUBSTITUTE(SUBSTITUTE(INDEX(貼り付け!$A$1:$BZ$3001,1572,$F$1)&amp;"",",",""),"¥",""),"￥","")),0))</f>
        <v/>
      </c>
      <c r="G1573">
        <f>IF(ISNUMBER(B1573),YEAR(B1573),"")</f>
        <v/>
      </c>
      <c r="H1573">
        <f>IF(ISNUMBER(B1573),MONTH(B1573),"")</f>
        <v/>
      </c>
      <c r="I1573">
        <f>IFERROR(IF($B$1=0,"",IF(ISNUMBER(INDEX(貼り付け!$A$1:$BZ$3001,1572,$B$1)),"",SUBSTITUTE(SUBSTITUTE(SUBSTITUTE(SUBSTITUTE(TRIM(LEFT(INDEX(貼り付け!$A$1:$BZ$3001,1572,$B$1)&amp;"",FIND(" ",TRIM(INDEX(貼り付け!$A$1:$BZ$3001,1572,$B$1)&amp;"")&amp;" ")-1)),"/","-"),"年","-"),"月","-"),"日",""))),"")</f>
        <v/>
      </c>
      <c r="J1573">
        <f>IFERROR(MID(I1573,FIND("-",I1573)+1,99),"")</f>
        <v/>
      </c>
    </row>
    <row r="1574">
      <c r="B1574">
        <f>IFERROR(IF($B$1=0,"",IF(INDEX(貼り付け!$A$1:$BZ$3001,1573,$B$1)="","",IF(ISNUMBER(INDEX(貼り付け!$A$1:$BZ$3001,1573,$B$1)),INT(INDEX(貼り付け!$A$1:$BZ$3001,1573,$B$1)),DATE(VALUE(LEFT(I1574,FIND("-",I1574)-1)),VALUE(LEFT(J1574,FIND("-",J1574)-1)),VALUE(MID(J1574,FIND("-",J1574)+1,99)))))),"")</f>
        <v/>
      </c>
      <c r="C1574">
        <f>IF($C$1=0,0,IFERROR(VALUE(SUBSTITUTE(SUBSTITUTE(SUBSTITUTE(INDEX(貼り付け!$A$1:$BZ$3001,1573,$C$1)&amp;"",",",""),"¥",""),"￥","")),0))</f>
        <v/>
      </c>
      <c r="D1574">
        <f>IF($D$1=0,0,IFERROR(VALUE(SUBSTITUTE(SUBSTITUTE(SUBSTITUTE(INDEX(貼り付け!$A$1:$BZ$3001,1573,$D$1)&amp;"",",",""),"¥",""),"￥","")),0))</f>
        <v/>
      </c>
      <c r="E1574">
        <f>IF($E$1=0,0,IFERROR(VALUE(SUBSTITUTE(SUBSTITUTE(SUBSTITUTE(INDEX(貼り付け!$A$1:$BZ$3001,1573,$E$1)&amp;"",",",""),"¥",""),"￥","")),0))</f>
        <v/>
      </c>
      <c r="F1574">
        <f>IF($F$1=0,0,IFERROR(VALUE(SUBSTITUTE(SUBSTITUTE(SUBSTITUTE(INDEX(貼り付け!$A$1:$BZ$3001,1573,$F$1)&amp;"",",",""),"¥",""),"￥","")),0))</f>
        <v/>
      </c>
      <c r="G1574">
        <f>IF(ISNUMBER(B1574),YEAR(B1574),"")</f>
        <v/>
      </c>
      <c r="H1574">
        <f>IF(ISNUMBER(B1574),MONTH(B1574),"")</f>
        <v/>
      </c>
      <c r="I1574">
        <f>IFERROR(IF($B$1=0,"",IF(ISNUMBER(INDEX(貼り付け!$A$1:$BZ$3001,1573,$B$1)),"",SUBSTITUTE(SUBSTITUTE(SUBSTITUTE(SUBSTITUTE(TRIM(LEFT(INDEX(貼り付け!$A$1:$BZ$3001,1573,$B$1)&amp;"",FIND(" ",TRIM(INDEX(貼り付け!$A$1:$BZ$3001,1573,$B$1)&amp;"")&amp;" ")-1)),"/","-"),"年","-"),"月","-"),"日",""))),"")</f>
        <v/>
      </c>
      <c r="J1574">
        <f>IFERROR(MID(I1574,FIND("-",I1574)+1,99),"")</f>
        <v/>
      </c>
    </row>
    <row r="1575">
      <c r="B1575">
        <f>IFERROR(IF($B$1=0,"",IF(INDEX(貼り付け!$A$1:$BZ$3001,1574,$B$1)="","",IF(ISNUMBER(INDEX(貼り付け!$A$1:$BZ$3001,1574,$B$1)),INT(INDEX(貼り付け!$A$1:$BZ$3001,1574,$B$1)),DATE(VALUE(LEFT(I1575,FIND("-",I1575)-1)),VALUE(LEFT(J1575,FIND("-",J1575)-1)),VALUE(MID(J1575,FIND("-",J1575)+1,99)))))),"")</f>
        <v/>
      </c>
      <c r="C1575">
        <f>IF($C$1=0,0,IFERROR(VALUE(SUBSTITUTE(SUBSTITUTE(SUBSTITUTE(INDEX(貼り付け!$A$1:$BZ$3001,1574,$C$1)&amp;"",",",""),"¥",""),"￥","")),0))</f>
        <v/>
      </c>
      <c r="D1575">
        <f>IF($D$1=0,0,IFERROR(VALUE(SUBSTITUTE(SUBSTITUTE(SUBSTITUTE(INDEX(貼り付け!$A$1:$BZ$3001,1574,$D$1)&amp;"",",",""),"¥",""),"￥","")),0))</f>
        <v/>
      </c>
      <c r="E1575">
        <f>IF($E$1=0,0,IFERROR(VALUE(SUBSTITUTE(SUBSTITUTE(SUBSTITUTE(INDEX(貼り付け!$A$1:$BZ$3001,1574,$E$1)&amp;"",",",""),"¥",""),"￥","")),0))</f>
        <v/>
      </c>
      <c r="F1575">
        <f>IF($F$1=0,0,IFERROR(VALUE(SUBSTITUTE(SUBSTITUTE(SUBSTITUTE(INDEX(貼り付け!$A$1:$BZ$3001,1574,$F$1)&amp;"",",",""),"¥",""),"￥","")),0))</f>
        <v/>
      </c>
      <c r="G1575">
        <f>IF(ISNUMBER(B1575),YEAR(B1575),"")</f>
        <v/>
      </c>
      <c r="H1575">
        <f>IF(ISNUMBER(B1575),MONTH(B1575),"")</f>
        <v/>
      </c>
      <c r="I1575">
        <f>IFERROR(IF($B$1=0,"",IF(ISNUMBER(INDEX(貼り付け!$A$1:$BZ$3001,1574,$B$1)),"",SUBSTITUTE(SUBSTITUTE(SUBSTITUTE(SUBSTITUTE(TRIM(LEFT(INDEX(貼り付け!$A$1:$BZ$3001,1574,$B$1)&amp;"",FIND(" ",TRIM(INDEX(貼り付け!$A$1:$BZ$3001,1574,$B$1)&amp;"")&amp;" ")-1)),"/","-"),"年","-"),"月","-"),"日",""))),"")</f>
        <v/>
      </c>
      <c r="J1575">
        <f>IFERROR(MID(I1575,FIND("-",I1575)+1,99),"")</f>
        <v/>
      </c>
    </row>
    <row r="1576">
      <c r="B1576">
        <f>IFERROR(IF($B$1=0,"",IF(INDEX(貼り付け!$A$1:$BZ$3001,1575,$B$1)="","",IF(ISNUMBER(INDEX(貼り付け!$A$1:$BZ$3001,1575,$B$1)),INT(INDEX(貼り付け!$A$1:$BZ$3001,1575,$B$1)),DATE(VALUE(LEFT(I1576,FIND("-",I1576)-1)),VALUE(LEFT(J1576,FIND("-",J1576)-1)),VALUE(MID(J1576,FIND("-",J1576)+1,99)))))),"")</f>
        <v/>
      </c>
      <c r="C1576">
        <f>IF($C$1=0,0,IFERROR(VALUE(SUBSTITUTE(SUBSTITUTE(SUBSTITUTE(INDEX(貼り付け!$A$1:$BZ$3001,1575,$C$1)&amp;"",",",""),"¥",""),"￥","")),0))</f>
        <v/>
      </c>
      <c r="D1576">
        <f>IF($D$1=0,0,IFERROR(VALUE(SUBSTITUTE(SUBSTITUTE(SUBSTITUTE(INDEX(貼り付け!$A$1:$BZ$3001,1575,$D$1)&amp;"",",",""),"¥",""),"￥","")),0))</f>
        <v/>
      </c>
      <c r="E1576">
        <f>IF($E$1=0,0,IFERROR(VALUE(SUBSTITUTE(SUBSTITUTE(SUBSTITUTE(INDEX(貼り付け!$A$1:$BZ$3001,1575,$E$1)&amp;"",",",""),"¥",""),"￥","")),0))</f>
        <v/>
      </c>
      <c r="F1576">
        <f>IF($F$1=0,0,IFERROR(VALUE(SUBSTITUTE(SUBSTITUTE(SUBSTITUTE(INDEX(貼り付け!$A$1:$BZ$3001,1575,$F$1)&amp;"",",",""),"¥",""),"￥","")),0))</f>
        <v/>
      </c>
      <c r="G1576">
        <f>IF(ISNUMBER(B1576),YEAR(B1576),"")</f>
        <v/>
      </c>
      <c r="H1576">
        <f>IF(ISNUMBER(B1576),MONTH(B1576),"")</f>
        <v/>
      </c>
      <c r="I1576">
        <f>IFERROR(IF($B$1=0,"",IF(ISNUMBER(INDEX(貼り付け!$A$1:$BZ$3001,1575,$B$1)),"",SUBSTITUTE(SUBSTITUTE(SUBSTITUTE(SUBSTITUTE(TRIM(LEFT(INDEX(貼り付け!$A$1:$BZ$3001,1575,$B$1)&amp;"",FIND(" ",TRIM(INDEX(貼り付け!$A$1:$BZ$3001,1575,$B$1)&amp;"")&amp;" ")-1)),"/","-"),"年","-"),"月","-"),"日",""))),"")</f>
        <v/>
      </c>
      <c r="J1576">
        <f>IFERROR(MID(I1576,FIND("-",I1576)+1,99),"")</f>
        <v/>
      </c>
    </row>
    <row r="1577">
      <c r="B1577">
        <f>IFERROR(IF($B$1=0,"",IF(INDEX(貼り付け!$A$1:$BZ$3001,1576,$B$1)="","",IF(ISNUMBER(INDEX(貼り付け!$A$1:$BZ$3001,1576,$B$1)),INT(INDEX(貼り付け!$A$1:$BZ$3001,1576,$B$1)),DATE(VALUE(LEFT(I1577,FIND("-",I1577)-1)),VALUE(LEFT(J1577,FIND("-",J1577)-1)),VALUE(MID(J1577,FIND("-",J1577)+1,99)))))),"")</f>
        <v/>
      </c>
      <c r="C1577">
        <f>IF($C$1=0,0,IFERROR(VALUE(SUBSTITUTE(SUBSTITUTE(SUBSTITUTE(INDEX(貼り付け!$A$1:$BZ$3001,1576,$C$1)&amp;"",",",""),"¥",""),"￥","")),0))</f>
        <v/>
      </c>
      <c r="D1577">
        <f>IF($D$1=0,0,IFERROR(VALUE(SUBSTITUTE(SUBSTITUTE(SUBSTITUTE(INDEX(貼り付け!$A$1:$BZ$3001,1576,$D$1)&amp;"",",",""),"¥",""),"￥","")),0))</f>
        <v/>
      </c>
      <c r="E1577">
        <f>IF($E$1=0,0,IFERROR(VALUE(SUBSTITUTE(SUBSTITUTE(SUBSTITUTE(INDEX(貼り付け!$A$1:$BZ$3001,1576,$E$1)&amp;"",",",""),"¥",""),"￥","")),0))</f>
        <v/>
      </c>
      <c r="F1577">
        <f>IF($F$1=0,0,IFERROR(VALUE(SUBSTITUTE(SUBSTITUTE(SUBSTITUTE(INDEX(貼り付け!$A$1:$BZ$3001,1576,$F$1)&amp;"",",",""),"¥",""),"￥","")),0))</f>
        <v/>
      </c>
      <c r="G1577">
        <f>IF(ISNUMBER(B1577),YEAR(B1577),"")</f>
        <v/>
      </c>
      <c r="H1577">
        <f>IF(ISNUMBER(B1577),MONTH(B1577),"")</f>
        <v/>
      </c>
      <c r="I1577">
        <f>IFERROR(IF($B$1=0,"",IF(ISNUMBER(INDEX(貼り付け!$A$1:$BZ$3001,1576,$B$1)),"",SUBSTITUTE(SUBSTITUTE(SUBSTITUTE(SUBSTITUTE(TRIM(LEFT(INDEX(貼り付け!$A$1:$BZ$3001,1576,$B$1)&amp;"",FIND(" ",TRIM(INDEX(貼り付け!$A$1:$BZ$3001,1576,$B$1)&amp;"")&amp;" ")-1)),"/","-"),"年","-"),"月","-"),"日",""))),"")</f>
        <v/>
      </c>
      <c r="J1577">
        <f>IFERROR(MID(I1577,FIND("-",I1577)+1,99),"")</f>
        <v/>
      </c>
    </row>
    <row r="1578">
      <c r="B1578">
        <f>IFERROR(IF($B$1=0,"",IF(INDEX(貼り付け!$A$1:$BZ$3001,1577,$B$1)="","",IF(ISNUMBER(INDEX(貼り付け!$A$1:$BZ$3001,1577,$B$1)),INT(INDEX(貼り付け!$A$1:$BZ$3001,1577,$B$1)),DATE(VALUE(LEFT(I1578,FIND("-",I1578)-1)),VALUE(LEFT(J1578,FIND("-",J1578)-1)),VALUE(MID(J1578,FIND("-",J1578)+1,99)))))),"")</f>
        <v/>
      </c>
      <c r="C1578">
        <f>IF($C$1=0,0,IFERROR(VALUE(SUBSTITUTE(SUBSTITUTE(SUBSTITUTE(INDEX(貼り付け!$A$1:$BZ$3001,1577,$C$1)&amp;"",",",""),"¥",""),"￥","")),0))</f>
        <v/>
      </c>
      <c r="D1578">
        <f>IF($D$1=0,0,IFERROR(VALUE(SUBSTITUTE(SUBSTITUTE(SUBSTITUTE(INDEX(貼り付け!$A$1:$BZ$3001,1577,$D$1)&amp;"",",",""),"¥",""),"￥","")),0))</f>
        <v/>
      </c>
      <c r="E1578">
        <f>IF($E$1=0,0,IFERROR(VALUE(SUBSTITUTE(SUBSTITUTE(SUBSTITUTE(INDEX(貼り付け!$A$1:$BZ$3001,1577,$E$1)&amp;"",",",""),"¥",""),"￥","")),0))</f>
        <v/>
      </c>
      <c r="F1578">
        <f>IF($F$1=0,0,IFERROR(VALUE(SUBSTITUTE(SUBSTITUTE(SUBSTITUTE(INDEX(貼り付け!$A$1:$BZ$3001,1577,$F$1)&amp;"",",",""),"¥",""),"￥","")),0))</f>
        <v/>
      </c>
      <c r="G1578">
        <f>IF(ISNUMBER(B1578),YEAR(B1578),"")</f>
        <v/>
      </c>
      <c r="H1578">
        <f>IF(ISNUMBER(B1578),MONTH(B1578),"")</f>
        <v/>
      </c>
      <c r="I1578">
        <f>IFERROR(IF($B$1=0,"",IF(ISNUMBER(INDEX(貼り付け!$A$1:$BZ$3001,1577,$B$1)),"",SUBSTITUTE(SUBSTITUTE(SUBSTITUTE(SUBSTITUTE(TRIM(LEFT(INDEX(貼り付け!$A$1:$BZ$3001,1577,$B$1)&amp;"",FIND(" ",TRIM(INDEX(貼り付け!$A$1:$BZ$3001,1577,$B$1)&amp;"")&amp;" ")-1)),"/","-"),"年","-"),"月","-"),"日",""))),"")</f>
        <v/>
      </c>
      <c r="J1578">
        <f>IFERROR(MID(I1578,FIND("-",I1578)+1,99),"")</f>
        <v/>
      </c>
    </row>
    <row r="1579">
      <c r="B1579">
        <f>IFERROR(IF($B$1=0,"",IF(INDEX(貼り付け!$A$1:$BZ$3001,1578,$B$1)="","",IF(ISNUMBER(INDEX(貼り付け!$A$1:$BZ$3001,1578,$B$1)),INT(INDEX(貼り付け!$A$1:$BZ$3001,1578,$B$1)),DATE(VALUE(LEFT(I1579,FIND("-",I1579)-1)),VALUE(LEFT(J1579,FIND("-",J1579)-1)),VALUE(MID(J1579,FIND("-",J1579)+1,99)))))),"")</f>
        <v/>
      </c>
      <c r="C1579">
        <f>IF($C$1=0,0,IFERROR(VALUE(SUBSTITUTE(SUBSTITUTE(SUBSTITUTE(INDEX(貼り付け!$A$1:$BZ$3001,1578,$C$1)&amp;"",",",""),"¥",""),"￥","")),0))</f>
        <v/>
      </c>
      <c r="D1579">
        <f>IF($D$1=0,0,IFERROR(VALUE(SUBSTITUTE(SUBSTITUTE(SUBSTITUTE(INDEX(貼り付け!$A$1:$BZ$3001,1578,$D$1)&amp;"",",",""),"¥",""),"￥","")),0))</f>
        <v/>
      </c>
      <c r="E1579">
        <f>IF($E$1=0,0,IFERROR(VALUE(SUBSTITUTE(SUBSTITUTE(SUBSTITUTE(INDEX(貼り付け!$A$1:$BZ$3001,1578,$E$1)&amp;"",",",""),"¥",""),"￥","")),0))</f>
        <v/>
      </c>
      <c r="F1579">
        <f>IF($F$1=0,0,IFERROR(VALUE(SUBSTITUTE(SUBSTITUTE(SUBSTITUTE(INDEX(貼り付け!$A$1:$BZ$3001,1578,$F$1)&amp;"",",",""),"¥",""),"￥","")),0))</f>
        <v/>
      </c>
      <c r="G1579">
        <f>IF(ISNUMBER(B1579),YEAR(B1579),"")</f>
        <v/>
      </c>
      <c r="H1579">
        <f>IF(ISNUMBER(B1579),MONTH(B1579),"")</f>
        <v/>
      </c>
      <c r="I1579">
        <f>IFERROR(IF($B$1=0,"",IF(ISNUMBER(INDEX(貼り付け!$A$1:$BZ$3001,1578,$B$1)),"",SUBSTITUTE(SUBSTITUTE(SUBSTITUTE(SUBSTITUTE(TRIM(LEFT(INDEX(貼り付け!$A$1:$BZ$3001,1578,$B$1)&amp;"",FIND(" ",TRIM(INDEX(貼り付け!$A$1:$BZ$3001,1578,$B$1)&amp;"")&amp;" ")-1)),"/","-"),"年","-"),"月","-"),"日",""))),"")</f>
        <v/>
      </c>
      <c r="J1579">
        <f>IFERROR(MID(I1579,FIND("-",I1579)+1,99),"")</f>
        <v/>
      </c>
    </row>
    <row r="1580">
      <c r="B1580">
        <f>IFERROR(IF($B$1=0,"",IF(INDEX(貼り付け!$A$1:$BZ$3001,1579,$B$1)="","",IF(ISNUMBER(INDEX(貼り付け!$A$1:$BZ$3001,1579,$B$1)),INT(INDEX(貼り付け!$A$1:$BZ$3001,1579,$B$1)),DATE(VALUE(LEFT(I1580,FIND("-",I1580)-1)),VALUE(LEFT(J1580,FIND("-",J1580)-1)),VALUE(MID(J1580,FIND("-",J1580)+1,99)))))),"")</f>
        <v/>
      </c>
      <c r="C1580">
        <f>IF($C$1=0,0,IFERROR(VALUE(SUBSTITUTE(SUBSTITUTE(SUBSTITUTE(INDEX(貼り付け!$A$1:$BZ$3001,1579,$C$1)&amp;"",",",""),"¥",""),"￥","")),0))</f>
        <v/>
      </c>
      <c r="D1580">
        <f>IF($D$1=0,0,IFERROR(VALUE(SUBSTITUTE(SUBSTITUTE(SUBSTITUTE(INDEX(貼り付け!$A$1:$BZ$3001,1579,$D$1)&amp;"",",",""),"¥",""),"￥","")),0))</f>
        <v/>
      </c>
      <c r="E1580">
        <f>IF($E$1=0,0,IFERROR(VALUE(SUBSTITUTE(SUBSTITUTE(SUBSTITUTE(INDEX(貼り付け!$A$1:$BZ$3001,1579,$E$1)&amp;"",",",""),"¥",""),"￥","")),0))</f>
        <v/>
      </c>
      <c r="F1580">
        <f>IF($F$1=0,0,IFERROR(VALUE(SUBSTITUTE(SUBSTITUTE(SUBSTITUTE(INDEX(貼り付け!$A$1:$BZ$3001,1579,$F$1)&amp;"",",",""),"¥",""),"￥","")),0))</f>
        <v/>
      </c>
      <c r="G1580">
        <f>IF(ISNUMBER(B1580),YEAR(B1580),"")</f>
        <v/>
      </c>
      <c r="H1580">
        <f>IF(ISNUMBER(B1580),MONTH(B1580),"")</f>
        <v/>
      </c>
      <c r="I1580">
        <f>IFERROR(IF($B$1=0,"",IF(ISNUMBER(INDEX(貼り付け!$A$1:$BZ$3001,1579,$B$1)),"",SUBSTITUTE(SUBSTITUTE(SUBSTITUTE(SUBSTITUTE(TRIM(LEFT(INDEX(貼り付け!$A$1:$BZ$3001,1579,$B$1)&amp;"",FIND(" ",TRIM(INDEX(貼り付け!$A$1:$BZ$3001,1579,$B$1)&amp;"")&amp;" ")-1)),"/","-"),"年","-"),"月","-"),"日",""))),"")</f>
        <v/>
      </c>
      <c r="J1580">
        <f>IFERROR(MID(I1580,FIND("-",I1580)+1,99),"")</f>
        <v/>
      </c>
    </row>
    <row r="1581">
      <c r="B1581">
        <f>IFERROR(IF($B$1=0,"",IF(INDEX(貼り付け!$A$1:$BZ$3001,1580,$B$1)="","",IF(ISNUMBER(INDEX(貼り付け!$A$1:$BZ$3001,1580,$B$1)),INT(INDEX(貼り付け!$A$1:$BZ$3001,1580,$B$1)),DATE(VALUE(LEFT(I1581,FIND("-",I1581)-1)),VALUE(LEFT(J1581,FIND("-",J1581)-1)),VALUE(MID(J1581,FIND("-",J1581)+1,99)))))),"")</f>
        <v/>
      </c>
      <c r="C1581">
        <f>IF($C$1=0,0,IFERROR(VALUE(SUBSTITUTE(SUBSTITUTE(SUBSTITUTE(INDEX(貼り付け!$A$1:$BZ$3001,1580,$C$1)&amp;"",",",""),"¥",""),"￥","")),0))</f>
        <v/>
      </c>
      <c r="D1581">
        <f>IF($D$1=0,0,IFERROR(VALUE(SUBSTITUTE(SUBSTITUTE(SUBSTITUTE(INDEX(貼り付け!$A$1:$BZ$3001,1580,$D$1)&amp;"",",",""),"¥",""),"￥","")),0))</f>
        <v/>
      </c>
      <c r="E1581">
        <f>IF($E$1=0,0,IFERROR(VALUE(SUBSTITUTE(SUBSTITUTE(SUBSTITUTE(INDEX(貼り付け!$A$1:$BZ$3001,1580,$E$1)&amp;"",",",""),"¥",""),"￥","")),0))</f>
        <v/>
      </c>
      <c r="F1581">
        <f>IF($F$1=0,0,IFERROR(VALUE(SUBSTITUTE(SUBSTITUTE(SUBSTITUTE(INDEX(貼り付け!$A$1:$BZ$3001,1580,$F$1)&amp;"",",",""),"¥",""),"￥","")),0))</f>
        <v/>
      </c>
      <c r="G1581">
        <f>IF(ISNUMBER(B1581),YEAR(B1581),"")</f>
        <v/>
      </c>
      <c r="H1581">
        <f>IF(ISNUMBER(B1581),MONTH(B1581),"")</f>
        <v/>
      </c>
      <c r="I1581">
        <f>IFERROR(IF($B$1=0,"",IF(ISNUMBER(INDEX(貼り付け!$A$1:$BZ$3001,1580,$B$1)),"",SUBSTITUTE(SUBSTITUTE(SUBSTITUTE(SUBSTITUTE(TRIM(LEFT(INDEX(貼り付け!$A$1:$BZ$3001,1580,$B$1)&amp;"",FIND(" ",TRIM(INDEX(貼り付け!$A$1:$BZ$3001,1580,$B$1)&amp;"")&amp;" ")-1)),"/","-"),"年","-"),"月","-"),"日",""))),"")</f>
        <v/>
      </c>
      <c r="J1581">
        <f>IFERROR(MID(I1581,FIND("-",I1581)+1,99),"")</f>
        <v/>
      </c>
    </row>
    <row r="1582">
      <c r="B1582">
        <f>IFERROR(IF($B$1=0,"",IF(INDEX(貼り付け!$A$1:$BZ$3001,1581,$B$1)="","",IF(ISNUMBER(INDEX(貼り付け!$A$1:$BZ$3001,1581,$B$1)),INT(INDEX(貼り付け!$A$1:$BZ$3001,1581,$B$1)),DATE(VALUE(LEFT(I1582,FIND("-",I1582)-1)),VALUE(LEFT(J1582,FIND("-",J1582)-1)),VALUE(MID(J1582,FIND("-",J1582)+1,99)))))),"")</f>
        <v/>
      </c>
      <c r="C1582">
        <f>IF($C$1=0,0,IFERROR(VALUE(SUBSTITUTE(SUBSTITUTE(SUBSTITUTE(INDEX(貼り付け!$A$1:$BZ$3001,1581,$C$1)&amp;"",",",""),"¥",""),"￥","")),0))</f>
        <v/>
      </c>
      <c r="D1582">
        <f>IF($D$1=0,0,IFERROR(VALUE(SUBSTITUTE(SUBSTITUTE(SUBSTITUTE(INDEX(貼り付け!$A$1:$BZ$3001,1581,$D$1)&amp;"",",",""),"¥",""),"￥","")),0))</f>
        <v/>
      </c>
      <c r="E1582">
        <f>IF($E$1=0,0,IFERROR(VALUE(SUBSTITUTE(SUBSTITUTE(SUBSTITUTE(INDEX(貼り付け!$A$1:$BZ$3001,1581,$E$1)&amp;"",",",""),"¥",""),"￥","")),0))</f>
        <v/>
      </c>
      <c r="F1582">
        <f>IF($F$1=0,0,IFERROR(VALUE(SUBSTITUTE(SUBSTITUTE(SUBSTITUTE(INDEX(貼り付け!$A$1:$BZ$3001,1581,$F$1)&amp;"",",",""),"¥",""),"￥","")),0))</f>
        <v/>
      </c>
      <c r="G1582">
        <f>IF(ISNUMBER(B1582),YEAR(B1582),"")</f>
        <v/>
      </c>
      <c r="H1582">
        <f>IF(ISNUMBER(B1582),MONTH(B1582),"")</f>
        <v/>
      </c>
      <c r="I1582">
        <f>IFERROR(IF($B$1=0,"",IF(ISNUMBER(INDEX(貼り付け!$A$1:$BZ$3001,1581,$B$1)),"",SUBSTITUTE(SUBSTITUTE(SUBSTITUTE(SUBSTITUTE(TRIM(LEFT(INDEX(貼り付け!$A$1:$BZ$3001,1581,$B$1)&amp;"",FIND(" ",TRIM(INDEX(貼り付け!$A$1:$BZ$3001,1581,$B$1)&amp;"")&amp;" ")-1)),"/","-"),"年","-"),"月","-"),"日",""))),"")</f>
        <v/>
      </c>
      <c r="J1582">
        <f>IFERROR(MID(I1582,FIND("-",I1582)+1,99),"")</f>
        <v/>
      </c>
    </row>
    <row r="1583">
      <c r="B1583">
        <f>IFERROR(IF($B$1=0,"",IF(INDEX(貼り付け!$A$1:$BZ$3001,1582,$B$1)="","",IF(ISNUMBER(INDEX(貼り付け!$A$1:$BZ$3001,1582,$B$1)),INT(INDEX(貼り付け!$A$1:$BZ$3001,1582,$B$1)),DATE(VALUE(LEFT(I1583,FIND("-",I1583)-1)),VALUE(LEFT(J1583,FIND("-",J1583)-1)),VALUE(MID(J1583,FIND("-",J1583)+1,99)))))),"")</f>
        <v/>
      </c>
      <c r="C1583">
        <f>IF($C$1=0,0,IFERROR(VALUE(SUBSTITUTE(SUBSTITUTE(SUBSTITUTE(INDEX(貼り付け!$A$1:$BZ$3001,1582,$C$1)&amp;"",",",""),"¥",""),"￥","")),0))</f>
        <v/>
      </c>
      <c r="D1583">
        <f>IF($D$1=0,0,IFERROR(VALUE(SUBSTITUTE(SUBSTITUTE(SUBSTITUTE(INDEX(貼り付け!$A$1:$BZ$3001,1582,$D$1)&amp;"",",",""),"¥",""),"￥","")),0))</f>
        <v/>
      </c>
      <c r="E1583">
        <f>IF($E$1=0,0,IFERROR(VALUE(SUBSTITUTE(SUBSTITUTE(SUBSTITUTE(INDEX(貼り付け!$A$1:$BZ$3001,1582,$E$1)&amp;"",",",""),"¥",""),"￥","")),0))</f>
        <v/>
      </c>
      <c r="F1583">
        <f>IF($F$1=0,0,IFERROR(VALUE(SUBSTITUTE(SUBSTITUTE(SUBSTITUTE(INDEX(貼り付け!$A$1:$BZ$3001,1582,$F$1)&amp;"",",",""),"¥",""),"￥","")),0))</f>
        <v/>
      </c>
      <c r="G1583">
        <f>IF(ISNUMBER(B1583),YEAR(B1583),"")</f>
        <v/>
      </c>
      <c r="H1583">
        <f>IF(ISNUMBER(B1583),MONTH(B1583),"")</f>
        <v/>
      </c>
      <c r="I1583">
        <f>IFERROR(IF($B$1=0,"",IF(ISNUMBER(INDEX(貼り付け!$A$1:$BZ$3001,1582,$B$1)),"",SUBSTITUTE(SUBSTITUTE(SUBSTITUTE(SUBSTITUTE(TRIM(LEFT(INDEX(貼り付け!$A$1:$BZ$3001,1582,$B$1)&amp;"",FIND(" ",TRIM(INDEX(貼り付け!$A$1:$BZ$3001,1582,$B$1)&amp;"")&amp;" ")-1)),"/","-"),"年","-"),"月","-"),"日",""))),"")</f>
        <v/>
      </c>
      <c r="J1583">
        <f>IFERROR(MID(I1583,FIND("-",I1583)+1,99),"")</f>
        <v/>
      </c>
    </row>
    <row r="1584">
      <c r="B1584">
        <f>IFERROR(IF($B$1=0,"",IF(INDEX(貼り付け!$A$1:$BZ$3001,1583,$B$1)="","",IF(ISNUMBER(INDEX(貼り付け!$A$1:$BZ$3001,1583,$B$1)),INT(INDEX(貼り付け!$A$1:$BZ$3001,1583,$B$1)),DATE(VALUE(LEFT(I1584,FIND("-",I1584)-1)),VALUE(LEFT(J1584,FIND("-",J1584)-1)),VALUE(MID(J1584,FIND("-",J1584)+1,99)))))),"")</f>
        <v/>
      </c>
      <c r="C1584">
        <f>IF($C$1=0,0,IFERROR(VALUE(SUBSTITUTE(SUBSTITUTE(SUBSTITUTE(INDEX(貼り付け!$A$1:$BZ$3001,1583,$C$1)&amp;"",",",""),"¥",""),"￥","")),0))</f>
        <v/>
      </c>
      <c r="D1584">
        <f>IF($D$1=0,0,IFERROR(VALUE(SUBSTITUTE(SUBSTITUTE(SUBSTITUTE(INDEX(貼り付け!$A$1:$BZ$3001,1583,$D$1)&amp;"",",",""),"¥",""),"￥","")),0))</f>
        <v/>
      </c>
      <c r="E1584">
        <f>IF($E$1=0,0,IFERROR(VALUE(SUBSTITUTE(SUBSTITUTE(SUBSTITUTE(INDEX(貼り付け!$A$1:$BZ$3001,1583,$E$1)&amp;"",",",""),"¥",""),"￥","")),0))</f>
        <v/>
      </c>
      <c r="F1584">
        <f>IF($F$1=0,0,IFERROR(VALUE(SUBSTITUTE(SUBSTITUTE(SUBSTITUTE(INDEX(貼り付け!$A$1:$BZ$3001,1583,$F$1)&amp;"",",",""),"¥",""),"￥","")),0))</f>
        <v/>
      </c>
      <c r="G1584">
        <f>IF(ISNUMBER(B1584),YEAR(B1584),"")</f>
        <v/>
      </c>
      <c r="H1584">
        <f>IF(ISNUMBER(B1584),MONTH(B1584),"")</f>
        <v/>
      </c>
      <c r="I1584">
        <f>IFERROR(IF($B$1=0,"",IF(ISNUMBER(INDEX(貼り付け!$A$1:$BZ$3001,1583,$B$1)),"",SUBSTITUTE(SUBSTITUTE(SUBSTITUTE(SUBSTITUTE(TRIM(LEFT(INDEX(貼り付け!$A$1:$BZ$3001,1583,$B$1)&amp;"",FIND(" ",TRIM(INDEX(貼り付け!$A$1:$BZ$3001,1583,$B$1)&amp;"")&amp;" ")-1)),"/","-"),"年","-"),"月","-"),"日",""))),"")</f>
        <v/>
      </c>
      <c r="J1584">
        <f>IFERROR(MID(I1584,FIND("-",I1584)+1,99),"")</f>
        <v/>
      </c>
    </row>
    <row r="1585">
      <c r="B1585">
        <f>IFERROR(IF($B$1=0,"",IF(INDEX(貼り付け!$A$1:$BZ$3001,1584,$B$1)="","",IF(ISNUMBER(INDEX(貼り付け!$A$1:$BZ$3001,1584,$B$1)),INT(INDEX(貼り付け!$A$1:$BZ$3001,1584,$B$1)),DATE(VALUE(LEFT(I1585,FIND("-",I1585)-1)),VALUE(LEFT(J1585,FIND("-",J1585)-1)),VALUE(MID(J1585,FIND("-",J1585)+1,99)))))),"")</f>
        <v/>
      </c>
      <c r="C1585">
        <f>IF($C$1=0,0,IFERROR(VALUE(SUBSTITUTE(SUBSTITUTE(SUBSTITUTE(INDEX(貼り付け!$A$1:$BZ$3001,1584,$C$1)&amp;"",",",""),"¥",""),"￥","")),0))</f>
        <v/>
      </c>
      <c r="D1585">
        <f>IF($D$1=0,0,IFERROR(VALUE(SUBSTITUTE(SUBSTITUTE(SUBSTITUTE(INDEX(貼り付け!$A$1:$BZ$3001,1584,$D$1)&amp;"",",",""),"¥",""),"￥","")),0))</f>
        <v/>
      </c>
      <c r="E1585">
        <f>IF($E$1=0,0,IFERROR(VALUE(SUBSTITUTE(SUBSTITUTE(SUBSTITUTE(INDEX(貼り付け!$A$1:$BZ$3001,1584,$E$1)&amp;"",",",""),"¥",""),"￥","")),0))</f>
        <v/>
      </c>
      <c r="F1585">
        <f>IF($F$1=0,0,IFERROR(VALUE(SUBSTITUTE(SUBSTITUTE(SUBSTITUTE(INDEX(貼り付け!$A$1:$BZ$3001,1584,$F$1)&amp;"",",",""),"¥",""),"￥","")),0))</f>
        <v/>
      </c>
      <c r="G1585">
        <f>IF(ISNUMBER(B1585),YEAR(B1585),"")</f>
        <v/>
      </c>
      <c r="H1585">
        <f>IF(ISNUMBER(B1585),MONTH(B1585),"")</f>
        <v/>
      </c>
      <c r="I1585">
        <f>IFERROR(IF($B$1=0,"",IF(ISNUMBER(INDEX(貼り付け!$A$1:$BZ$3001,1584,$B$1)),"",SUBSTITUTE(SUBSTITUTE(SUBSTITUTE(SUBSTITUTE(TRIM(LEFT(INDEX(貼り付け!$A$1:$BZ$3001,1584,$B$1)&amp;"",FIND(" ",TRIM(INDEX(貼り付け!$A$1:$BZ$3001,1584,$B$1)&amp;"")&amp;" ")-1)),"/","-"),"年","-"),"月","-"),"日",""))),"")</f>
        <v/>
      </c>
      <c r="J1585">
        <f>IFERROR(MID(I1585,FIND("-",I1585)+1,99),"")</f>
        <v/>
      </c>
    </row>
    <row r="1586">
      <c r="B1586">
        <f>IFERROR(IF($B$1=0,"",IF(INDEX(貼り付け!$A$1:$BZ$3001,1585,$B$1)="","",IF(ISNUMBER(INDEX(貼り付け!$A$1:$BZ$3001,1585,$B$1)),INT(INDEX(貼り付け!$A$1:$BZ$3001,1585,$B$1)),DATE(VALUE(LEFT(I1586,FIND("-",I1586)-1)),VALUE(LEFT(J1586,FIND("-",J1586)-1)),VALUE(MID(J1586,FIND("-",J1586)+1,99)))))),"")</f>
        <v/>
      </c>
      <c r="C1586">
        <f>IF($C$1=0,0,IFERROR(VALUE(SUBSTITUTE(SUBSTITUTE(SUBSTITUTE(INDEX(貼り付け!$A$1:$BZ$3001,1585,$C$1)&amp;"",",",""),"¥",""),"￥","")),0))</f>
        <v/>
      </c>
      <c r="D1586">
        <f>IF($D$1=0,0,IFERROR(VALUE(SUBSTITUTE(SUBSTITUTE(SUBSTITUTE(INDEX(貼り付け!$A$1:$BZ$3001,1585,$D$1)&amp;"",",",""),"¥",""),"￥","")),0))</f>
        <v/>
      </c>
      <c r="E1586">
        <f>IF($E$1=0,0,IFERROR(VALUE(SUBSTITUTE(SUBSTITUTE(SUBSTITUTE(INDEX(貼り付け!$A$1:$BZ$3001,1585,$E$1)&amp;"",",",""),"¥",""),"￥","")),0))</f>
        <v/>
      </c>
      <c r="F1586">
        <f>IF($F$1=0,0,IFERROR(VALUE(SUBSTITUTE(SUBSTITUTE(SUBSTITUTE(INDEX(貼り付け!$A$1:$BZ$3001,1585,$F$1)&amp;"",",",""),"¥",""),"￥","")),0))</f>
        <v/>
      </c>
      <c r="G1586">
        <f>IF(ISNUMBER(B1586),YEAR(B1586),"")</f>
        <v/>
      </c>
      <c r="H1586">
        <f>IF(ISNUMBER(B1586),MONTH(B1586),"")</f>
        <v/>
      </c>
      <c r="I1586">
        <f>IFERROR(IF($B$1=0,"",IF(ISNUMBER(INDEX(貼り付け!$A$1:$BZ$3001,1585,$B$1)),"",SUBSTITUTE(SUBSTITUTE(SUBSTITUTE(SUBSTITUTE(TRIM(LEFT(INDEX(貼り付け!$A$1:$BZ$3001,1585,$B$1)&amp;"",FIND(" ",TRIM(INDEX(貼り付け!$A$1:$BZ$3001,1585,$B$1)&amp;"")&amp;" ")-1)),"/","-"),"年","-"),"月","-"),"日",""))),"")</f>
        <v/>
      </c>
      <c r="J1586">
        <f>IFERROR(MID(I1586,FIND("-",I1586)+1,99),"")</f>
        <v/>
      </c>
    </row>
    <row r="1587">
      <c r="B1587">
        <f>IFERROR(IF($B$1=0,"",IF(INDEX(貼り付け!$A$1:$BZ$3001,1586,$B$1)="","",IF(ISNUMBER(INDEX(貼り付け!$A$1:$BZ$3001,1586,$B$1)),INT(INDEX(貼り付け!$A$1:$BZ$3001,1586,$B$1)),DATE(VALUE(LEFT(I1587,FIND("-",I1587)-1)),VALUE(LEFT(J1587,FIND("-",J1587)-1)),VALUE(MID(J1587,FIND("-",J1587)+1,99)))))),"")</f>
        <v/>
      </c>
      <c r="C1587">
        <f>IF($C$1=0,0,IFERROR(VALUE(SUBSTITUTE(SUBSTITUTE(SUBSTITUTE(INDEX(貼り付け!$A$1:$BZ$3001,1586,$C$1)&amp;"",",",""),"¥",""),"￥","")),0))</f>
        <v/>
      </c>
      <c r="D1587">
        <f>IF($D$1=0,0,IFERROR(VALUE(SUBSTITUTE(SUBSTITUTE(SUBSTITUTE(INDEX(貼り付け!$A$1:$BZ$3001,1586,$D$1)&amp;"",",",""),"¥",""),"￥","")),0))</f>
        <v/>
      </c>
      <c r="E1587">
        <f>IF($E$1=0,0,IFERROR(VALUE(SUBSTITUTE(SUBSTITUTE(SUBSTITUTE(INDEX(貼り付け!$A$1:$BZ$3001,1586,$E$1)&amp;"",",",""),"¥",""),"￥","")),0))</f>
        <v/>
      </c>
      <c r="F1587">
        <f>IF($F$1=0,0,IFERROR(VALUE(SUBSTITUTE(SUBSTITUTE(SUBSTITUTE(INDEX(貼り付け!$A$1:$BZ$3001,1586,$F$1)&amp;"",",",""),"¥",""),"￥","")),0))</f>
        <v/>
      </c>
      <c r="G1587">
        <f>IF(ISNUMBER(B1587),YEAR(B1587),"")</f>
        <v/>
      </c>
      <c r="H1587">
        <f>IF(ISNUMBER(B1587),MONTH(B1587),"")</f>
        <v/>
      </c>
      <c r="I1587">
        <f>IFERROR(IF($B$1=0,"",IF(ISNUMBER(INDEX(貼り付け!$A$1:$BZ$3001,1586,$B$1)),"",SUBSTITUTE(SUBSTITUTE(SUBSTITUTE(SUBSTITUTE(TRIM(LEFT(INDEX(貼り付け!$A$1:$BZ$3001,1586,$B$1)&amp;"",FIND(" ",TRIM(INDEX(貼り付け!$A$1:$BZ$3001,1586,$B$1)&amp;"")&amp;" ")-1)),"/","-"),"年","-"),"月","-"),"日",""))),"")</f>
        <v/>
      </c>
      <c r="J1587">
        <f>IFERROR(MID(I1587,FIND("-",I1587)+1,99),"")</f>
        <v/>
      </c>
    </row>
    <row r="1588">
      <c r="B1588">
        <f>IFERROR(IF($B$1=0,"",IF(INDEX(貼り付け!$A$1:$BZ$3001,1587,$B$1)="","",IF(ISNUMBER(INDEX(貼り付け!$A$1:$BZ$3001,1587,$B$1)),INT(INDEX(貼り付け!$A$1:$BZ$3001,1587,$B$1)),DATE(VALUE(LEFT(I1588,FIND("-",I1588)-1)),VALUE(LEFT(J1588,FIND("-",J1588)-1)),VALUE(MID(J1588,FIND("-",J1588)+1,99)))))),"")</f>
        <v/>
      </c>
      <c r="C1588">
        <f>IF($C$1=0,0,IFERROR(VALUE(SUBSTITUTE(SUBSTITUTE(SUBSTITUTE(INDEX(貼り付け!$A$1:$BZ$3001,1587,$C$1)&amp;"",",",""),"¥",""),"￥","")),0))</f>
        <v/>
      </c>
      <c r="D1588">
        <f>IF($D$1=0,0,IFERROR(VALUE(SUBSTITUTE(SUBSTITUTE(SUBSTITUTE(INDEX(貼り付け!$A$1:$BZ$3001,1587,$D$1)&amp;"",",",""),"¥",""),"￥","")),0))</f>
        <v/>
      </c>
      <c r="E1588">
        <f>IF($E$1=0,0,IFERROR(VALUE(SUBSTITUTE(SUBSTITUTE(SUBSTITUTE(INDEX(貼り付け!$A$1:$BZ$3001,1587,$E$1)&amp;"",",",""),"¥",""),"￥","")),0))</f>
        <v/>
      </c>
      <c r="F1588">
        <f>IF($F$1=0,0,IFERROR(VALUE(SUBSTITUTE(SUBSTITUTE(SUBSTITUTE(INDEX(貼り付け!$A$1:$BZ$3001,1587,$F$1)&amp;"",",",""),"¥",""),"￥","")),0))</f>
        <v/>
      </c>
      <c r="G1588">
        <f>IF(ISNUMBER(B1588),YEAR(B1588),"")</f>
        <v/>
      </c>
      <c r="H1588">
        <f>IF(ISNUMBER(B1588),MONTH(B1588),"")</f>
        <v/>
      </c>
      <c r="I1588">
        <f>IFERROR(IF($B$1=0,"",IF(ISNUMBER(INDEX(貼り付け!$A$1:$BZ$3001,1587,$B$1)),"",SUBSTITUTE(SUBSTITUTE(SUBSTITUTE(SUBSTITUTE(TRIM(LEFT(INDEX(貼り付け!$A$1:$BZ$3001,1587,$B$1)&amp;"",FIND(" ",TRIM(INDEX(貼り付け!$A$1:$BZ$3001,1587,$B$1)&amp;"")&amp;" ")-1)),"/","-"),"年","-"),"月","-"),"日",""))),"")</f>
        <v/>
      </c>
      <c r="J1588">
        <f>IFERROR(MID(I1588,FIND("-",I1588)+1,99),"")</f>
        <v/>
      </c>
    </row>
    <row r="1589">
      <c r="B1589">
        <f>IFERROR(IF($B$1=0,"",IF(INDEX(貼り付け!$A$1:$BZ$3001,1588,$B$1)="","",IF(ISNUMBER(INDEX(貼り付け!$A$1:$BZ$3001,1588,$B$1)),INT(INDEX(貼り付け!$A$1:$BZ$3001,1588,$B$1)),DATE(VALUE(LEFT(I1589,FIND("-",I1589)-1)),VALUE(LEFT(J1589,FIND("-",J1589)-1)),VALUE(MID(J1589,FIND("-",J1589)+1,99)))))),"")</f>
        <v/>
      </c>
      <c r="C1589">
        <f>IF($C$1=0,0,IFERROR(VALUE(SUBSTITUTE(SUBSTITUTE(SUBSTITUTE(INDEX(貼り付け!$A$1:$BZ$3001,1588,$C$1)&amp;"",",",""),"¥",""),"￥","")),0))</f>
        <v/>
      </c>
      <c r="D1589">
        <f>IF($D$1=0,0,IFERROR(VALUE(SUBSTITUTE(SUBSTITUTE(SUBSTITUTE(INDEX(貼り付け!$A$1:$BZ$3001,1588,$D$1)&amp;"",",",""),"¥",""),"￥","")),0))</f>
        <v/>
      </c>
      <c r="E1589">
        <f>IF($E$1=0,0,IFERROR(VALUE(SUBSTITUTE(SUBSTITUTE(SUBSTITUTE(INDEX(貼り付け!$A$1:$BZ$3001,1588,$E$1)&amp;"",",",""),"¥",""),"￥","")),0))</f>
        <v/>
      </c>
      <c r="F1589">
        <f>IF($F$1=0,0,IFERROR(VALUE(SUBSTITUTE(SUBSTITUTE(SUBSTITUTE(INDEX(貼り付け!$A$1:$BZ$3001,1588,$F$1)&amp;"",",",""),"¥",""),"￥","")),0))</f>
        <v/>
      </c>
      <c r="G1589">
        <f>IF(ISNUMBER(B1589),YEAR(B1589),"")</f>
        <v/>
      </c>
      <c r="H1589">
        <f>IF(ISNUMBER(B1589),MONTH(B1589),"")</f>
        <v/>
      </c>
      <c r="I1589">
        <f>IFERROR(IF($B$1=0,"",IF(ISNUMBER(INDEX(貼り付け!$A$1:$BZ$3001,1588,$B$1)),"",SUBSTITUTE(SUBSTITUTE(SUBSTITUTE(SUBSTITUTE(TRIM(LEFT(INDEX(貼り付け!$A$1:$BZ$3001,1588,$B$1)&amp;"",FIND(" ",TRIM(INDEX(貼り付け!$A$1:$BZ$3001,1588,$B$1)&amp;"")&amp;" ")-1)),"/","-"),"年","-"),"月","-"),"日",""))),"")</f>
        <v/>
      </c>
      <c r="J1589">
        <f>IFERROR(MID(I1589,FIND("-",I1589)+1,99),"")</f>
        <v/>
      </c>
    </row>
    <row r="1590">
      <c r="B1590">
        <f>IFERROR(IF($B$1=0,"",IF(INDEX(貼り付け!$A$1:$BZ$3001,1589,$B$1)="","",IF(ISNUMBER(INDEX(貼り付け!$A$1:$BZ$3001,1589,$B$1)),INT(INDEX(貼り付け!$A$1:$BZ$3001,1589,$B$1)),DATE(VALUE(LEFT(I1590,FIND("-",I1590)-1)),VALUE(LEFT(J1590,FIND("-",J1590)-1)),VALUE(MID(J1590,FIND("-",J1590)+1,99)))))),"")</f>
        <v/>
      </c>
      <c r="C1590">
        <f>IF($C$1=0,0,IFERROR(VALUE(SUBSTITUTE(SUBSTITUTE(SUBSTITUTE(INDEX(貼り付け!$A$1:$BZ$3001,1589,$C$1)&amp;"",",",""),"¥",""),"￥","")),0))</f>
        <v/>
      </c>
      <c r="D1590">
        <f>IF($D$1=0,0,IFERROR(VALUE(SUBSTITUTE(SUBSTITUTE(SUBSTITUTE(INDEX(貼り付け!$A$1:$BZ$3001,1589,$D$1)&amp;"",",",""),"¥",""),"￥","")),0))</f>
        <v/>
      </c>
      <c r="E1590">
        <f>IF($E$1=0,0,IFERROR(VALUE(SUBSTITUTE(SUBSTITUTE(SUBSTITUTE(INDEX(貼り付け!$A$1:$BZ$3001,1589,$E$1)&amp;"",",",""),"¥",""),"￥","")),0))</f>
        <v/>
      </c>
      <c r="F1590">
        <f>IF($F$1=0,0,IFERROR(VALUE(SUBSTITUTE(SUBSTITUTE(SUBSTITUTE(INDEX(貼り付け!$A$1:$BZ$3001,1589,$F$1)&amp;"",",",""),"¥",""),"￥","")),0))</f>
        <v/>
      </c>
      <c r="G1590">
        <f>IF(ISNUMBER(B1590),YEAR(B1590),"")</f>
        <v/>
      </c>
      <c r="H1590">
        <f>IF(ISNUMBER(B1590),MONTH(B1590),"")</f>
        <v/>
      </c>
      <c r="I1590">
        <f>IFERROR(IF($B$1=0,"",IF(ISNUMBER(INDEX(貼り付け!$A$1:$BZ$3001,1589,$B$1)),"",SUBSTITUTE(SUBSTITUTE(SUBSTITUTE(SUBSTITUTE(TRIM(LEFT(INDEX(貼り付け!$A$1:$BZ$3001,1589,$B$1)&amp;"",FIND(" ",TRIM(INDEX(貼り付け!$A$1:$BZ$3001,1589,$B$1)&amp;"")&amp;" ")-1)),"/","-"),"年","-"),"月","-"),"日",""))),"")</f>
        <v/>
      </c>
      <c r="J1590">
        <f>IFERROR(MID(I1590,FIND("-",I1590)+1,99),"")</f>
        <v/>
      </c>
    </row>
    <row r="1591">
      <c r="B1591">
        <f>IFERROR(IF($B$1=0,"",IF(INDEX(貼り付け!$A$1:$BZ$3001,1590,$B$1)="","",IF(ISNUMBER(INDEX(貼り付け!$A$1:$BZ$3001,1590,$B$1)),INT(INDEX(貼り付け!$A$1:$BZ$3001,1590,$B$1)),DATE(VALUE(LEFT(I1591,FIND("-",I1591)-1)),VALUE(LEFT(J1591,FIND("-",J1591)-1)),VALUE(MID(J1591,FIND("-",J1591)+1,99)))))),"")</f>
        <v/>
      </c>
      <c r="C1591">
        <f>IF($C$1=0,0,IFERROR(VALUE(SUBSTITUTE(SUBSTITUTE(SUBSTITUTE(INDEX(貼り付け!$A$1:$BZ$3001,1590,$C$1)&amp;"",",",""),"¥",""),"￥","")),0))</f>
        <v/>
      </c>
      <c r="D1591">
        <f>IF($D$1=0,0,IFERROR(VALUE(SUBSTITUTE(SUBSTITUTE(SUBSTITUTE(INDEX(貼り付け!$A$1:$BZ$3001,1590,$D$1)&amp;"",",",""),"¥",""),"￥","")),0))</f>
        <v/>
      </c>
      <c r="E1591">
        <f>IF($E$1=0,0,IFERROR(VALUE(SUBSTITUTE(SUBSTITUTE(SUBSTITUTE(INDEX(貼り付け!$A$1:$BZ$3001,1590,$E$1)&amp;"",",",""),"¥",""),"￥","")),0))</f>
        <v/>
      </c>
      <c r="F1591">
        <f>IF($F$1=0,0,IFERROR(VALUE(SUBSTITUTE(SUBSTITUTE(SUBSTITUTE(INDEX(貼り付け!$A$1:$BZ$3001,1590,$F$1)&amp;"",",",""),"¥",""),"￥","")),0))</f>
        <v/>
      </c>
      <c r="G1591">
        <f>IF(ISNUMBER(B1591),YEAR(B1591),"")</f>
        <v/>
      </c>
      <c r="H1591">
        <f>IF(ISNUMBER(B1591),MONTH(B1591),"")</f>
        <v/>
      </c>
      <c r="I1591">
        <f>IFERROR(IF($B$1=0,"",IF(ISNUMBER(INDEX(貼り付け!$A$1:$BZ$3001,1590,$B$1)),"",SUBSTITUTE(SUBSTITUTE(SUBSTITUTE(SUBSTITUTE(TRIM(LEFT(INDEX(貼り付け!$A$1:$BZ$3001,1590,$B$1)&amp;"",FIND(" ",TRIM(INDEX(貼り付け!$A$1:$BZ$3001,1590,$B$1)&amp;"")&amp;" ")-1)),"/","-"),"年","-"),"月","-"),"日",""))),"")</f>
        <v/>
      </c>
      <c r="J1591">
        <f>IFERROR(MID(I1591,FIND("-",I1591)+1,99),"")</f>
        <v/>
      </c>
    </row>
    <row r="1592">
      <c r="B1592">
        <f>IFERROR(IF($B$1=0,"",IF(INDEX(貼り付け!$A$1:$BZ$3001,1591,$B$1)="","",IF(ISNUMBER(INDEX(貼り付け!$A$1:$BZ$3001,1591,$B$1)),INT(INDEX(貼り付け!$A$1:$BZ$3001,1591,$B$1)),DATE(VALUE(LEFT(I1592,FIND("-",I1592)-1)),VALUE(LEFT(J1592,FIND("-",J1592)-1)),VALUE(MID(J1592,FIND("-",J1592)+1,99)))))),"")</f>
        <v/>
      </c>
      <c r="C1592">
        <f>IF($C$1=0,0,IFERROR(VALUE(SUBSTITUTE(SUBSTITUTE(SUBSTITUTE(INDEX(貼り付け!$A$1:$BZ$3001,1591,$C$1)&amp;"",",",""),"¥",""),"￥","")),0))</f>
        <v/>
      </c>
      <c r="D1592">
        <f>IF($D$1=0,0,IFERROR(VALUE(SUBSTITUTE(SUBSTITUTE(SUBSTITUTE(INDEX(貼り付け!$A$1:$BZ$3001,1591,$D$1)&amp;"",",",""),"¥",""),"￥","")),0))</f>
        <v/>
      </c>
      <c r="E1592">
        <f>IF($E$1=0,0,IFERROR(VALUE(SUBSTITUTE(SUBSTITUTE(SUBSTITUTE(INDEX(貼り付け!$A$1:$BZ$3001,1591,$E$1)&amp;"",",",""),"¥",""),"￥","")),0))</f>
        <v/>
      </c>
      <c r="F1592">
        <f>IF($F$1=0,0,IFERROR(VALUE(SUBSTITUTE(SUBSTITUTE(SUBSTITUTE(INDEX(貼り付け!$A$1:$BZ$3001,1591,$F$1)&amp;"",",",""),"¥",""),"￥","")),0))</f>
        <v/>
      </c>
      <c r="G1592">
        <f>IF(ISNUMBER(B1592),YEAR(B1592),"")</f>
        <v/>
      </c>
      <c r="H1592">
        <f>IF(ISNUMBER(B1592),MONTH(B1592),"")</f>
        <v/>
      </c>
      <c r="I1592">
        <f>IFERROR(IF($B$1=0,"",IF(ISNUMBER(INDEX(貼り付け!$A$1:$BZ$3001,1591,$B$1)),"",SUBSTITUTE(SUBSTITUTE(SUBSTITUTE(SUBSTITUTE(TRIM(LEFT(INDEX(貼り付け!$A$1:$BZ$3001,1591,$B$1)&amp;"",FIND(" ",TRIM(INDEX(貼り付け!$A$1:$BZ$3001,1591,$B$1)&amp;"")&amp;" ")-1)),"/","-"),"年","-"),"月","-"),"日",""))),"")</f>
        <v/>
      </c>
      <c r="J1592">
        <f>IFERROR(MID(I1592,FIND("-",I1592)+1,99),"")</f>
        <v/>
      </c>
    </row>
    <row r="1593">
      <c r="B1593">
        <f>IFERROR(IF($B$1=0,"",IF(INDEX(貼り付け!$A$1:$BZ$3001,1592,$B$1)="","",IF(ISNUMBER(INDEX(貼り付け!$A$1:$BZ$3001,1592,$B$1)),INT(INDEX(貼り付け!$A$1:$BZ$3001,1592,$B$1)),DATE(VALUE(LEFT(I1593,FIND("-",I1593)-1)),VALUE(LEFT(J1593,FIND("-",J1593)-1)),VALUE(MID(J1593,FIND("-",J1593)+1,99)))))),"")</f>
        <v/>
      </c>
      <c r="C1593">
        <f>IF($C$1=0,0,IFERROR(VALUE(SUBSTITUTE(SUBSTITUTE(SUBSTITUTE(INDEX(貼り付け!$A$1:$BZ$3001,1592,$C$1)&amp;"",",",""),"¥",""),"￥","")),0))</f>
        <v/>
      </c>
      <c r="D1593">
        <f>IF($D$1=0,0,IFERROR(VALUE(SUBSTITUTE(SUBSTITUTE(SUBSTITUTE(INDEX(貼り付け!$A$1:$BZ$3001,1592,$D$1)&amp;"",",",""),"¥",""),"￥","")),0))</f>
        <v/>
      </c>
      <c r="E1593">
        <f>IF($E$1=0,0,IFERROR(VALUE(SUBSTITUTE(SUBSTITUTE(SUBSTITUTE(INDEX(貼り付け!$A$1:$BZ$3001,1592,$E$1)&amp;"",",",""),"¥",""),"￥","")),0))</f>
        <v/>
      </c>
      <c r="F1593">
        <f>IF($F$1=0,0,IFERROR(VALUE(SUBSTITUTE(SUBSTITUTE(SUBSTITUTE(INDEX(貼り付け!$A$1:$BZ$3001,1592,$F$1)&amp;"",",",""),"¥",""),"￥","")),0))</f>
        <v/>
      </c>
      <c r="G1593">
        <f>IF(ISNUMBER(B1593),YEAR(B1593),"")</f>
        <v/>
      </c>
      <c r="H1593">
        <f>IF(ISNUMBER(B1593),MONTH(B1593),"")</f>
        <v/>
      </c>
      <c r="I1593">
        <f>IFERROR(IF($B$1=0,"",IF(ISNUMBER(INDEX(貼り付け!$A$1:$BZ$3001,1592,$B$1)),"",SUBSTITUTE(SUBSTITUTE(SUBSTITUTE(SUBSTITUTE(TRIM(LEFT(INDEX(貼り付け!$A$1:$BZ$3001,1592,$B$1)&amp;"",FIND(" ",TRIM(INDEX(貼り付け!$A$1:$BZ$3001,1592,$B$1)&amp;"")&amp;" ")-1)),"/","-"),"年","-"),"月","-"),"日",""))),"")</f>
        <v/>
      </c>
      <c r="J1593">
        <f>IFERROR(MID(I1593,FIND("-",I1593)+1,99),"")</f>
        <v/>
      </c>
    </row>
    <row r="1594">
      <c r="B1594">
        <f>IFERROR(IF($B$1=0,"",IF(INDEX(貼り付け!$A$1:$BZ$3001,1593,$B$1)="","",IF(ISNUMBER(INDEX(貼り付け!$A$1:$BZ$3001,1593,$B$1)),INT(INDEX(貼り付け!$A$1:$BZ$3001,1593,$B$1)),DATE(VALUE(LEFT(I1594,FIND("-",I1594)-1)),VALUE(LEFT(J1594,FIND("-",J1594)-1)),VALUE(MID(J1594,FIND("-",J1594)+1,99)))))),"")</f>
        <v/>
      </c>
      <c r="C1594">
        <f>IF($C$1=0,0,IFERROR(VALUE(SUBSTITUTE(SUBSTITUTE(SUBSTITUTE(INDEX(貼り付け!$A$1:$BZ$3001,1593,$C$1)&amp;"",",",""),"¥",""),"￥","")),0))</f>
        <v/>
      </c>
      <c r="D1594">
        <f>IF($D$1=0,0,IFERROR(VALUE(SUBSTITUTE(SUBSTITUTE(SUBSTITUTE(INDEX(貼り付け!$A$1:$BZ$3001,1593,$D$1)&amp;"",",",""),"¥",""),"￥","")),0))</f>
        <v/>
      </c>
      <c r="E1594">
        <f>IF($E$1=0,0,IFERROR(VALUE(SUBSTITUTE(SUBSTITUTE(SUBSTITUTE(INDEX(貼り付け!$A$1:$BZ$3001,1593,$E$1)&amp;"",",",""),"¥",""),"￥","")),0))</f>
        <v/>
      </c>
      <c r="F1594">
        <f>IF($F$1=0,0,IFERROR(VALUE(SUBSTITUTE(SUBSTITUTE(SUBSTITUTE(INDEX(貼り付け!$A$1:$BZ$3001,1593,$F$1)&amp;"",",",""),"¥",""),"￥","")),0))</f>
        <v/>
      </c>
      <c r="G1594">
        <f>IF(ISNUMBER(B1594),YEAR(B1594),"")</f>
        <v/>
      </c>
      <c r="H1594">
        <f>IF(ISNUMBER(B1594),MONTH(B1594),"")</f>
        <v/>
      </c>
      <c r="I1594">
        <f>IFERROR(IF($B$1=0,"",IF(ISNUMBER(INDEX(貼り付け!$A$1:$BZ$3001,1593,$B$1)),"",SUBSTITUTE(SUBSTITUTE(SUBSTITUTE(SUBSTITUTE(TRIM(LEFT(INDEX(貼り付け!$A$1:$BZ$3001,1593,$B$1)&amp;"",FIND(" ",TRIM(INDEX(貼り付け!$A$1:$BZ$3001,1593,$B$1)&amp;"")&amp;" ")-1)),"/","-"),"年","-"),"月","-"),"日",""))),"")</f>
        <v/>
      </c>
      <c r="J1594">
        <f>IFERROR(MID(I1594,FIND("-",I1594)+1,99),"")</f>
        <v/>
      </c>
    </row>
    <row r="1595">
      <c r="B1595">
        <f>IFERROR(IF($B$1=0,"",IF(INDEX(貼り付け!$A$1:$BZ$3001,1594,$B$1)="","",IF(ISNUMBER(INDEX(貼り付け!$A$1:$BZ$3001,1594,$B$1)),INT(INDEX(貼り付け!$A$1:$BZ$3001,1594,$B$1)),DATE(VALUE(LEFT(I1595,FIND("-",I1595)-1)),VALUE(LEFT(J1595,FIND("-",J1595)-1)),VALUE(MID(J1595,FIND("-",J1595)+1,99)))))),"")</f>
        <v/>
      </c>
      <c r="C1595">
        <f>IF($C$1=0,0,IFERROR(VALUE(SUBSTITUTE(SUBSTITUTE(SUBSTITUTE(INDEX(貼り付け!$A$1:$BZ$3001,1594,$C$1)&amp;"",",",""),"¥",""),"￥","")),0))</f>
        <v/>
      </c>
      <c r="D1595">
        <f>IF($D$1=0,0,IFERROR(VALUE(SUBSTITUTE(SUBSTITUTE(SUBSTITUTE(INDEX(貼り付け!$A$1:$BZ$3001,1594,$D$1)&amp;"",",",""),"¥",""),"￥","")),0))</f>
        <v/>
      </c>
      <c r="E1595">
        <f>IF($E$1=0,0,IFERROR(VALUE(SUBSTITUTE(SUBSTITUTE(SUBSTITUTE(INDEX(貼り付け!$A$1:$BZ$3001,1594,$E$1)&amp;"",",",""),"¥",""),"￥","")),0))</f>
        <v/>
      </c>
      <c r="F1595">
        <f>IF($F$1=0,0,IFERROR(VALUE(SUBSTITUTE(SUBSTITUTE(SUBSTITUTE(INDEX(貼り付け!$A$1:$BZ$3001,1594,$F$1)&amp;"",",",""),"¥",""),"￥","")),0))</f>
        <v/>
      </c>
      <c r="G1595">
        <f>IF(ISNUMBER(B1595),YEAR(B1595),"")</f>
        <v/>
      </c>
      <c r="H1595">
        <f>IF(ISNUMBER(B1595),MONTH(B1595),"")</f>
        <v/>
      </c>
      <c r="I1595">
        <f>IFERROR(IF($B$1=0,"",IF(ISNUMBER(INDEX(貼り付け!$A$1:$BZ$3001,1594,$B$1)),"",SUBSTITUTE(SUBSTITUTE(SUBSTITUTE(SUBSTITUTE(TRIM(LEFT(INDEX(貼り付け!$A$1:$BZ$3001,1594,$B$1)&amp;"",FIND(" ",TRIM(INDEX(貼り付け!$A$1:$BZ$3001,1594,$B$1)&amp;"")&amp;" ")-1)),"/","-"),"年","-"),"月","-"),"日",""))),"")</f>
        <v/>
      </c>
      <c r="J1595">
        <f>IFERROR(MID(I1595,FIND("-",I1595)+1,99),"")</f>
        <v/>
      </c>
    </row>
    <row r="1596">
      <c r="B1596">
        <f>IFERROR(IF($B$1=0,"",IF(INDEX(貼り付け!$A$1:$BZ$3001,1595,$B$1)="","",IF(ISNUMBER(INDEX(貼り付け!$A$1:$BZ$3001,1595,$B$1)),INT(INDEX(貼り付け!$A$1:$BZ$3001,1595,$B$1)),DATE(VALUE(LEFT(I1596,FIND("-",I1596)-1)),VALUE(LEFT(J1596,FIND("-",J1596)-1)),VALUE(MID(J1596,FIND("-",J1596)+1,99)))))),"")</f>
        <v/>
      </c>
      <c r="C1596">
        <f>IF($C$1=0,0,IFERROR(VALUE(SUBSTITUTE(SUBSTITUTE(SUBSTITUTE(INDEX(貼り付け!$A$1:$BZ$3001,1595,$C$1)&amp;"",",",""),"¥",""),"￥","")),0))</f>
        <v/>
      </c>
      <c r="D1596">
        <f>IF($D$1=0,0,IFERROR(VALUE(SUBSTITUTE(SUBSTITUTE(SUBSTITUTE(INDEX(貼り付け!$A$1:$BZ$3001,1595,$D$1)&amp;"",",",""),"¥",""),"￥","")),0))</f>
        <v/>
      </c>
      <c r="E1596">
        <f>IF($E$1=0,0,IFERROR(VALUE(SUBSTITUTE(SUBSTITUTE(SUBSTITUTE(INDEX(貼り付け!$A$1:$BZ$3001,1595,$E$1)&amp;"",",",""),"¥",""),"￥","")),0))</f>
        <v/>
      </c>
      <c r="F1596">
        <f>IF($F$1=0,0,IFERROR(VALUE(SUBSTITUTE(SUBSTITUTE(SUBSTITUTE(INDEX(貼り付け!$A$1:$BZ$3001,1595,$F$1)&amp;"",",",""),"¥",""),"￥","")),0))</f>
        <v/>
      </c>
      <c r="G1596">
        <f>IF(ISNUMBER(B1596),YEAR(B1596),"")</f>
        <v/>
      </c>
      <c r="H1596">
        <f>IF(ISNUMBER(B1596),MONTH(B1596),"")</f>
        <v/>
      </c>
      <c r="I1596">
        <f>IFERROR(IF($B$1=0,"",IF(ISNUMBER(INDEX(貼り付け!$A$1:$BZ$3001,1595,$B$1)),"",SUBSTITUTE(SUBSTITUTE(SUBSTITUTE(SUBSTITUTE(TRIM(LEFT(INDEX(貼り付け!$A$1:$BZ$3001,1595,$B$1)&amp;"",FIND(" ",TRIM(INDEX(貼り付け!$A$1:$BZ$3001,1595,$B$1)&amp;"")&amp;" ")-1)),"/","-"),"年","-"),"月","-"),"日",""))),"")</f>
        <v/>
      </c>
      <c r="J1596">
        <f>IFERROR(MID(I1596,FIND("-",I1596)+1,99),"")</f>
        <v/>
      </c>
    </row>
    <row r="1597">
      <c r="B1597">
        <f>IFERROR(IF($B$1=0,"",IF(INDEX(貼り付け!$A$1:$BZ$3001,1596,$B$1)="","",IF(ISNUMBER(INDEX(貼り付け!$A$1:$BZ$3001,1596,$B$1)),INT(INDEX(貼り付け!$A$1:$BZ$3001,1596,$B$1)),DATE(VALUE(LEFT(I1597,FIND("-",I1597)-1)),VALUE(LEFT(J1597,FIND("-",J1597)-1)),VALUE(MID(J1597,FIND("-",J1597)+1,99)))))),"")</f>
        <v/>
      </c>
      <c r="C1597">
        <f>IF($C$1=0,0,IFERROR(VALUE(SUBSTITUTE(SUBSTITUTE(SUBSTITUTE(INDEX(貼り付け!$A$1:$BZ$3001,1596,$C$1)&amp;"",",",""),"¥",""),"￥","")),0))</f>
        <v/>
      </c>
      <c r="D1597">
        <f>IF($D$1=0,0,IFERROR(VALUE(SUBSTITUTE(SUBSTITUTE(SUBSTITUTE(INDEX(貼り付け!$A$1:$BZ$3001,1596,$D$1)&amp;"",",",""),"¥",""),"￥","")),0))</f>
        <v/>
      </c>
      <c r="E1597">
        <f>IF($E$1=0,0,IFERROR(VALUE(SUBSTITUTE(SUBSTITUTE(SUBSTITUTE(INDEX(貼り付け!$A$1:$BZ$3001,1596,$E$1)&amp;"",",",""),"¥",""),"￥","")),0))</f>
        <v/>
      </c>
      <c r="F1597">
        <f>IF($F$1=0,0,IFERROR(VALUE(SUBSTITUTE(SUBSTITUTE(SUBSTITUTE(INDEX(貼り付け!$A$1:$BZ$3001,1596,$F$1)&amp;"",",",""),"¥",""),"￥","")),0))</f>
        <v/>
      </c>
      <c r="G1597">
        <f>IF(ISNUMBER(B1597),YEAR(B1597),"")</f>
        <v/>
      </c>
      <c r="H1597">
        <f>IF(ISNUMBER(B1597),MONTH(B1597),"")</f>
        <v/>
      </c>
      <c r="I1597">
        <f>IFERROR(IF($B$1=0,"",IF(ISNUMBER(INDEX(貼り付け!$A$1:$BZ$3001,1596,$B$1)),"",SUBSTITUTE(SUBSTITUTE(SUBSTITUTE(SUBSTITUTE(TRIM(LEFT(INDEX(貼り付け!$A$1:$BZ$3001,1596,$B$1)&amp;"",FIND(" ",TRIM(INDEX(貼り付け!$A$1:$BZ$3001,1596,$B$1)&amp;"")&amp;" ")-1)),"/","-"),"年","-"),"月","-"),"日",""))),"")</f>
        <v/>
      </c>
      <c r="J1597">
        <f>IFERROR(MID(I1597,FIND("-",I1597)+1,99),"")</f>
        <v/>
      </c>
    </row>
    <row r="1598">
      <c r="B1598">
        <f>IFERROR(IF($B$1=0,"",IF(INDEX(貼り付け!$A$1:$BZ$3001,1597,$B$1)="","",IF(ISNUMBER(INDEX(貼り付け!$A$1:$BZ$3001,1597,$B$1)),INT(INDEX(貼り付け!$A$1:$BZ$3001,1597,$B$1)),DATE(VALUE(LEFT(I1598,FIND("-",I1598)-1)),VALUE(LEFT(J1598,FIND("-",J1598)-1)),VALUE(MID(J1598,FIND("-",J1598)+1,99)))))),"")</f>
        <v/>
      </c>
      <c r="C1598">
        <f>IF($C$1=0,0,IFERROR(VALUE(SUBSTITUTE(SUBSTITUTE(SUBSTITUTE(INDEX(貼り付け!$A$1:$BZ$3001,1597,$C$1)&amp;"",",",""),"¥",""),"￥","")),0))</f>
        <v/>
      </c>
      <c r="D1598">
        <f>IF($D$1=0,0,IFERROR(VALUE(SUBSTITUTE(SUBSTITUTE(SUBSTITUTE(INDEX(貼り付け!$A$1:$BZ$3001,1597,$D$1)&amp;"",",",""),"¥",""),"￥","")),0))</f>
        <v/>
      </c>
      <c r="E1598">
        <f>IF($E$1=0,0,IFERROR(VALUE(SUBSTITUTE(SUBSTITUTE(SUBSTITUTE(INDEX(貼り付け!$A$1:$BZ$3001,1597,$E$1)&amp;"",",",""),"¥",""),"￥","")),0))</f>
        <v/>
      </c>
      <c r="F1598">
        <f>IF($F$1=0,0,IFERROR(VALUE(SUBSTITUTE(SUBSTITUTE(SUBSTITUTE(INDEX(貼り付け!$A$1:$BZ$3001,1597,$F$1)&amp;"",",",""),"¥",""),"￥","")),0))</f>
        <v/>
      </c>
      <c r="G1598">
        <f>IF(ISNUMBER(B1598),YEAR(B1598),"")</f>
        <v/>
      </c>
      <c r="H1598">
        <f>IF(ISNUMBER(B1598),MONTH(B1598),"")</f>
        <v/>
      </c>
      <c r="I1598">
        <f>IFERROR(IF($B$1=0,"",IF(ISNUMBER(INDEX(貼り付け!$A$1:$BZ$3001,1597,$B$1)),"",SUBSTITUTE(SUBSTITUTE(SUBSTITUTE(SUBSTITUTE(TRIM(LEFT(INDEX(貼り付け!$A$1:$BZ$3001,1597,$B$1)&amp;"",FIND(" ",TRIM(INDEX(貼り付け!$A$1:$BZ$3001,1597,$B$1)&amp;"")&amp;" ")-1)),"/","-"),"年","-"),"月","-"),"日",""))),"")</f>
        <v/>
      </c>
      <c r="J1598">
        <f>IFERROR(MID(I1598,FIND("-",I1598)+1,99),"")</f>
        <v/>
      </c>
    </row>
    <row r="1599">
      <c r="B1599">
        <f>IFERROR(IF($B$1=0,"",IF(INDEX(貼り付け!$A$1:$BZ$3001,1598,$B$1)="","",IF(ISNUMBER(INDEX(貼り付け!$A$1:$BZ$3001,1598,$B$1)),INT(INDEX(貼り付け!$A$1:$BZ$3001,1598,$B$1)),DATE(VALUE(LEFT(I1599,FIND("-",I1599)-1)),VALUE(LEFT(J1599,FIND("-",J1599)-1)),VALUE(MID(J1599,FIND("-",J1599)+1,99)))))),"")</f>
        <v/>
      </c>
      <c r="C1599">
        <f>IF($C$1=0,0,IFERROR(VALUE(SUBSTITUTE(SUBSTITUTE(SUBSTITUTE(INDEX(貼り付け!$A$1:$BZ$3001,1598,$C$1)&amp;"",",",""),"¥",""),"￥","")),0))</f>
        <v/>
      </c>
      <c r="D1599">
        <f>IF($D$1=0,0,IFERROR(VALUE(SUBSTITUTE(SUBSTITUTE(SUBSTITUTE(INDEX(貼り付け!$A$1:$BZ$3001,1598,$D$1)&amp;"",",",""),"¥",""),"￥","")),0))</f>
        <v/>
      </c>
      <c r="E1599">
        <f>IF($E$1=0,0,IFERROR(VALUE(SUBSTITUTE(SUBSTITUTE(SUBSTITUTE(INDEX(貼り付け!$A$1:$BZ$3001,1598,$E$1)&amp;"",",",""),"¥",""),"￥","")),0))</f>
        <v/>
      </c>
      <c r="F1599">
        <f>IF($F$1=0,0,IFERROR(VALUE(SUBSTITUTE(SUBSTITUTE(SUBSTITUTE(INDEX(貼り付け!$A$1:$BZ$3001,1598,$F$1)&amp;"",",",""),"¥",""),"￥","")),0))</f>
        <v/>
      </c>
      <c r="G1599">
        <f>IF(ISNUMBER(B1599),YEAR(B1599),"")</f>
        <v/>
      </c>
      <c r="H1599">
        <f>IF(ISNUMBER(B1599),MONTH(B1599),"")</f>
        <v/>
      </c>
      <c r="I1599">
        <f>IFERROR(IF($B$1=0,"",IF(ISNUMBER(INDEX(貼り付け!$A$1:$BZ$3001,1598,$B$1)),"",SUBSTITUTE(SUBSTITUTE(SUBSTITUTE(SUBSTITUTE(TRIM(LEFT(INDEX(貼り付け!$A$1:$BZ$3001,1598,$B$1)&amp;"",FIND(" ",TRIM(INDEX(貼り付け!$A$1:$BZ$3001,1598,$B$1)&amp;"")&amp;" ")-1)),"/","-"),"年","-"),"月","-"),"日",""))),"")</f>
        <v/>
      </c>
      <c r="J1599">
        <f>IFERROR(MID(I1599,FIND("-",I1599)+1,99),"")</f>
        <v/>
      </c>
    </row>
    <row r="1600">
      <c r="B1600">
        <f>IFERROR(IF($B$1=0,"",IF(INDEX(貼り付け!$A$1:$BZ$3001,1599,$B$1)="","",IF(ISNUMBER(INDEX(貼り付け!$A$1:$BZ$3001,1599,$B$1)),INT(INDEX(貼り付け!$A$1:$BZ$3001,1599,$B$1)),DATE(VALUE(LEFT(I1600,FIND("-",I1600)-1)),VALUE(LEFT(J1600,FIND("-",J1600)-1)),VALUE(MID(J1600,FIND("-",J1600)+1,99)))))),"")</f>
        <v/>
      </c>
      <c r="C1600">
        <f>IF($C$1=0,0,IFERROR(VALUE(SUBSTITUTE(SUBSTITUTE(SUBSTITUTE(INDEX(貼り付け!$A$1:$BZ$3001,1599,$C$1)&amp;"",",",""),"¥",""),"￥","")),0))</f>
        <v/>
      </c>
      <c r="D1600">
        <f>IF($D$1=0,0,IFERROR(VALUE(SUBSTITUTE(SUBSTITUTE(SUBSTITUTE(INDEX(貼り付け!$A$1:$BZ$3001,1599,$D$1)&amp;"",",",""),"¥",""),"￥","")),0))</f>
        <v/>
      </c>
      <c r="E1600">
        <f>IF($E$1=0,0,IFERROR(VALUE(SUBSTITUTE(SUBSTITUTE(SUBSTITUTE(INDEX(貼り付け!$A$1:$BZ$3001,1599,$E$1)&amp;"",",",""),"¥",""),"￥","")),0))</f>
        <v/>
      </c>
      <c r="F1600">
        <f>IF($F$1=0,0,IFERROR(VALUE(SUBSTITUTE(SUBSTITUTE(SUBSTITUTE(INDEX(貼り付け!$A$1:$BZ$3001,1599,$F$1)&amp;"",",",""),"¥",""),"￥","")),0))</f>
        <v/>
      </c>
      <c r="G1600">
        <f>IF(ISNUMBER(B1600),YEAR(B1600),"")</f>
        <v/>
      </c>
      <c r="H1600">
        <f>IF(ISNUMBER(B1600),MONTH(B1600),"")</f>
        <v/>
      </c>
      <c r="I1600">
        <f>IFERROR(IF($B$1=0,"",IF(ISNUMBER(INDEX(貼り付け!$A$1:$BZ$3001,1599,$B$1)),"",SUBSTITUTE(SUBSTITUTE(SUBSTITUTE(SUBSTITUTE(TRIM(LEFT(INDEX(貼り付け!$A$1:$BZ$3001,1599,$B$1)&amp;"",FIND(" ",TRIM(INDEX(貼り付け!$A$1:$BZ$3001,1599,$B$1)&amp;"")&amp;" ")-1)),"/","-"),"年","-"),"月","-"),"日",""))),"")</f>
        <v/>
      </c>
      <c r="J1600">
        <f>IFERROR(MID(I1600,FIND("-",I1600)+1,99),"")</f>
        <v/>
      </c>
    </row>
    <row r="1601">
      <c r="B1601">
        <f>IFERROR(IF($B$1=0,"",IF(INDEX(貼り付け!$A$1:$BZ$3001,1600,$B$1)="","",IF(ISNUMBER(INDEX(貼り付け!$A$1:$BZ$3001,1600,$B$1)),INT(INDEX(貼り付け!$A$1:$BZ$3001,1600,$B$1)),DATE(VALUE(LEFT(I1601,FIND("-",I1601)-1)),VALUE(LEFT(J1601,FIND("-",J1601)-1)),VALUE(MID(J1601,FIND("-",J1601)+1,99)))))),"")</f>
        <v/>
      </c>
      <c r="C1601">
        <f>IF($C$1=0,0,IFERROR(VALUE(SUBSTITUTE(SUBSTITUTE(SUBSTITUTE(INDEX(貼り付け!$A$1:$BZ$3001,1600,$C$1)&amp;"",",",""),"¥",""),"￥","")),0))</f>
        <v/>
      </c>
      <c r="D1601">
        <f>IF($D$1=0,0,IFERROR(VALUE(SUBSTITUTE(SUBSTITUTE(SUBSTITUTE(INDEX(貼り付け!$A$1:$BZ$3001,1600,$D$1)&amp;"",",",""),"¥",""),"￥","")),0))</f>
        <v/>
      </c>
      <c r="E1601">
        <f>IF($E$1=0,0,IFERROR(VALUE(SUBSTITUTE(SUBSTITUTE(SUBSTITUTE(INDEX(貼り付け!$A$1:$BZ$3001,1600,$E$1)&amp;"",",",""),"¥",""),"￥","")),0))</f>
        <v/>
      </c>
      <c r="F1601">
        <f>IF($F$1=0,0,IFERROR(VALUE(SUBSTITUTE(SUBSTITUTE(SUBSTITUTE(INDEX(貼り付け!$A$1:$BZ$3001,1600,$F$1)&amp;"",",",""),"¥",""),"￥","")),0))</f>
        <v/>
      </c>
      <c r="G1601">
        <f>IF(ISNUMBER(B1601),YEAR(B1601),"")</f>
        <v/>
      </c>
      <c r="H1601">
        <f>IF(ISNUMBER(B1601),MONTH(B1601),"")</f>
        <v/>
      </c>
      <c r="I1601">
        <f>IFERROR(IF($B$1=0,"",IF(ISNUMBER(INDEX(貼り付け!$A$1:$BZ$3001,1600,$B$1)),"",SUBSTITUTE(SUBSTITUTE(SUBSTITUTE(SUBSTITUTE(TRIM(LEFT(INDEX(貼り付け!$A$1:$BZ$3001,1600,$B$1)&amp;"",FIND(" ",TRIM(INDEX(貼り付け!$A$1:$BZ$3001,1600,$B$1)&amp;"")&amp;" ")-1)),"/","-"),"年","-"),"月","-"),"日",""))),"")</f>
        <v/>
      </c>
      <c r="J1601">
        <f>IFERROR(MID(I1601,FIND("-",I1601)+1,99),"")</f>
        <v/>
      </c>
    </row>
    <row r="1602">
      <c r="B1602">
        <f>IFERROR(IF($B$1=0,"",IF(INDEX(貼り付け!$A$1:$BZ$3001,1601,$B$1)="","",IF(ISNUMBER(INDEX(貼り付け!$A$1:$BZ$3001,1601,$B$1)),INT(INDEX(貼り付け!$A$1:$BZ$3001,1601,$B$1)),DATE(VALUE(LEFT(I1602,FIND("-",I1602)-1)),VALUE(LEFT(J1602,FIND("-",J1602)-1)),VALUE(MID(J1602,FIND("-",J1602)+1,99)))))),"")</f>
        <v/>
      </c>
      <c r="C1602">
        <f>IF($C$1=0,0,IFERROR(VALUE(SUBSTITUTE(SUBSTITUTE(SUBSTITUTE(INDEX(貼り付け!$A$1:$BZ$3001,1601,$C$1)&amp;"",",",""),"¥",""),"￥","")),0))</f>
        <v/>
      </c>
      <c r="D1602">
        <f>IF($D$1=0,0,IFERROR(VALUE(SUBSTITUTE(SUBSTITUTE(SUBSTITUTE(INDEX(貼り付け!$A$1:$BZ$3001,1601,$D$1)&amp;"",",",""),"¥",""),"￥","")),0))</f>
        <v/>
      </c>
      <c r="E1602">
        <f>IF($E$1=0,0,IFERROR(VALUE(SUBSTITUTE(SUBSTITUTE(SUBSTITUTE(INDEX(貼り付け!$A$1:$BZ$3001,1601,$E$1)&amp;"",",",""),"¥",""),"￥","")),0))</f>
        <v/>
      </c>
      <c r="F1602">
        <f>IF($F$1=0,0,IFERROR(VALUE(SUBSTITUTE(SUBSTITUTE(SUBSTITUTE(INDEX(貼り付け!$A$1:$BZ$3001,1601,$F$1)&amp;"",",",""),"¥",""),"￥","")),0))</f>
        <v/>
      </c>
      <c r="G1602">
        <f>IF(ISNUMBER(B1602),YEAR(B1602),"")</f>
        <v/>
      </c>
      <c r="H1602">
        <f>IF(ISNUMBER(B1602),MONTH(B1602),"")</f>
        <v/>
      </c>
      <c r="I1602">
        <f>IFERROR(IF($B$1=0,"",IF(ISNUMBER(INDEX(貼り付け!$A$1:$BZ$3001,1601,$B$1)),"",SUBSTITUTE(SUBSTITUTE(SUBSTITUTE(SUBSTITUTE(TRIM(LEFT(INDEX(貼り付け!$A$1:$BZ$3001,1601,$B$1)&amp;"",FIND(" ",TRIM(INDEX(貼り付け!$A$1:$BZ$3001,1601,$B$1)&amp;"")&amp;" ")-1)),"/","-"),"年","-"),"月","-"),"日",""))),"")</f>
        <v/>
      </c>
      <c r="J1602">
        <f>IFERROR(MID(I1602,FIND("-",I1602)+1,99),"")</f>
        <v/>
      </c>
    </row>
    <row r="1603">
      <c r="B1603">
        <f>IFERROR(IF($B$1=0,"",IF(INDEX(貼り付け!$A$1:$BZ$3001,1602,$B$1)="","",IF(ISNUMBER(INDEX(貼り付け!$A$1:$BZ$3001,1602,$B$1)),INT(INDEX(貼り付け!$A$1:$BZ$3001,1602,$B$1)),DATE(VALUE(LEFT(I1603,FIND("-",I1603)-1)),VALUE(LEFT(J1603,FIND("-",J1603)-1)),VALUE(MID(J1603,FIND("-",J1603)+1,99)))))),"")</f>
        <v/>
      </c>
      <c r="C1603">
        <f>IF($C$1=0,0,IFERROR(VALUE(SUBSTITUTE(SUBSTITUTE(SUBSTITUTE(INDEX(貼り付け!$A$1:$BZ$3001,1602,$C$1)&amp;"",",",""),"¥",""),"￥","")),0))</f>
        <v/>
      </c>
      <c r="D1603">
        <f>IF($D$1=0,0,IFERROR(VALUE(SUBSTITUTE(SUBSTITUTE(SUBSTITUTE(INDEX(貼り付け!$A$1:$BZ$3001,1602,$D$1)&amp;"",",",""),"¥",""),"￥","")),0))</f>
        <v/>
      </c>
      <c r="E1603">
        <f>IF($E$1=0,0,IFERROR(VALUE(SUBSTITUTE(SUBSTITUTE(SUBSTITUTE(INDEX(貼り付け!$A$1:$BZ$3001,1602,$E$1)&amp;"",",",""),"¥",""),"￥","")),0))</f>
        <v/>
      </c>
      <c r="F1603">
        <f>IF($F$1=0,0,IFERROR(VALUE(SUBSTITUTE(SUBSTITUTE(SUBSTITUTE(INDEX(貼り付け!$A$1:$BZ$3001,1602,$F$1)&amp;"",",",""),"¥",""),"￥","")),0))</f>
        <v/>
      </c>
      <c r="G1603">
        <f>IF(ISNUMBER(B1603),YEAR(B1603),"")</f>
        <v/>
      </c>
      <c r="H1603">
        <f>IF(ISNUMBER(B1603),MONTH(B1603),"")</f>
        <v/>
      </c>
      <c r="I1603">
        <f>IFERROR(IF($B$1=0,"",IF(ISNUMBER(INDEX(貼り付け!$A$1:$BZ$3001,1602,$B$1)),"",SUBSTITUTE(SUBSTITUTE(SUBSTITUTE(SUBSTITUTE(TRIM(LEFT(INDEX(貼り付け!$A$1:$BZ$3001,1602,$B$1)&amp;"",FIND(" ",TRIM(INDEX(貼り付け!$A$1:$BZ$3001,1602,$B$1)&amp;"")&amp;" ")-1)),"/","-"),"年","-"),"月","-"),"日",""))),"")</f>
        <v/>
      </c>
      <c r="J1603">
        <f>IFERROR(MID(I1603,FIND("-",I1603)+1,99),"")</f>
        <v/>
      </c>
    </row>
    <row r="1604">
      <c r="B1604">
        <f>IFERROR(IF($B$1=0,"",IF(INDEX(貼り付け!$A$1:$BZ$3001,1603,$B$1)="","",IF(ISNUMBER(INDEX(貼り付け!$A$1:$BZ$3001,1603,$B$1)),INT(INDEX(貼り付け!$A$1:$BZ$3001,1603,$B$1)),DATE(VALUE(LEFT(I1604,FIND("-",I1604)-1)),VALUE(LEFT(J1604,FIND("-",J1604)-1)),VALUE(MID(J1604,FIND("-",J1604)+1,99)))))),"")</f>
        <v/>
      </c>
      <c r="C1604">
        <f>IF($C$1=0,0,IFERROR(VALUE(SUBSTITUTE(SUBSTITUTE(SUBSTITUTE(INDEX(貼り付け!$A$1:$BZ$3001,1603,$C$1)&amp;"",",",""),"¥",""),"￥","")),0))</f>
        <v/>
      </c>
      <c r="D1604">
        <f>IF($D$1=0,0,IFERROR(VALUE(SUBSTITUTE(SUBSTITUTE(SUBSTITUTE(INDEX(貼り付け!$A$1:$BZ$3001,1603,$D$1)&amp;"",",",""),"¥",""),"￥","")),0))</f>
        <v/>
      </c>
      <c r="E1604">
        <f>IF($E$1=0,0,IFERROR(VALUE(SUBSTITUTE(SUBSTITUTE(SUBSTITUTE(INDEX(貼り付け!$A$1:$BZ$3001,1603,$E$1)&amp;"",",",""),"¥",""),"￥","")),0))</f>
        <v/>
      </c>
      <c r="F1604">
        <f>IF($F$1=0,0,IFERROR(VALUE(SUBSTITUTE(SUBSTITUTE(SUBSTITUTE(INDEX(貼り付け!$A$1:$BZ$3001,1603,$F$1)&amp;"",",",""),"¥",""),"￥","")),0))</f>
        <v/>
      </c>
      <c r="G1604">
        <f>IF(ISNUMBER(B1604),YEAR(B1604),"")</f>
        <v/>
      </c>
      <c r="H1604">
        <f>IF(ISNUMBER(B1604),MONTH(B1604),"")</f>
        <v/>
      </c>
      <c r="I1604">
        <f>IFERROR(IF($B$1=0,"",IF(ISNUMBER(INDEX(貼り付け!$A$1:$BZ$3001,1603,$B$1)),"",SUBSTITUTE(SUBSTITUTE(SUBSTITUTE(SUBSTITUTE(TRIM(LEFT(INDEX(貼り付け!$A$1:$BZ$3001,1603,$B$1)&amp;"",FIND(" ",TRIM(INDEX(貼り付け!$A$1:$BZ$3001,1603,$B$1)&amp;"")&amp;" ")-1)),"/","-"),"年","-"),"月","-"),"日",""))),"")</f>
        <v/>
      </c>
      <c r="J1604">
        <f>IFERROR(MID(I1604,FIND("-",I1604)+1,99),"")</f>
        <v/>
      </c>
    </row>
    <row r="1605">
      <c r="B1605">
        <f>IFERROR(IF($B$1=0,"",IF(INDEX(貼り付け!$A$1:$BZ$3001,1604,$B$1)="","",IF(ISNUMBER(INDEX(貼り付け!$A$1:$BZ$3001,1604,$B$1)),INT(INDEX(貼り付け!$A$1:$BZ$3001,1604,$B$1)),DATE(VALUE(LEFT(I1605,FIND("-",I1605)-1)),VALUE(LEFT(J1605,FIND("-",J1605)-1)),VALUE(MID(J1605,FIND("-",J1605)+1,99)))))),"")</f>
        <v/>
      </c>
      <c r="C1605">
        <f>IF($C$1=0,0,IFERROR(VALUE(SUBSTITUTE(SUBSTITUTE(SUBSTITUTE(INDEX(貼り付け!$A$1:$BZ$3001,1604,$C$1)&amp;"",",",""),"¥",""),"￥","")),0))</f>
        <v/>
      </c>
      <c r="D1605">
        <f>IF($D$1=0,0,IFERROR(VALUE(SUBSTITUTE(SUBSTITUTE(SUBSTITUTE(INDEX(貼り付け!$A$1:$BZ$3001,1604,$D$1)&amp;"",",",""),"¥",""),"￥","")),0))</f>
        <v/>
      </c>
      <c r="E1605">
        <f>IF($E$1=0,0,IFERROR(VALUE(SUBSTITUTE(SUBSTITUTE(SUBSTITUTE(INDEX(貼り付け!$A$1:$BZ$3001,1604,$E$1)&amp;"",",",""),"¥",""),"￥","")),0))</f>
        <v/>
      </c>
      <c r="F1605">
        <f>IF($F$1=0,0,IFERROR(VALUE(SUBSTITUTE(SUBSTITUTE(SUBSTITUTE(INDEX(貼り付け!$A$1:$BZ$3001,1604,$F$1)&amp;"",",",""),"¥",""),"￥","")),0))</f>
        <v/>
      </c>
      <c r="G1605">
        <f>IF(ISNUMBER(B1605),YEAR(B1605),"")</f>
        <v/>
      </c>
      <c r="H1605">
        <f>IF(ISNUMBER(B1605),MONTH(B1605),"")</f>
        <v/>
      </c>
      <c r="I1605">
        <f>IFERROR(IF($B$1=0,"",IF(ISNUMBER(INDEX(貼り付け!$A$1:$BZ$3001,1604,$B$1)),"",SUBSTITUTE(SUBSTITUTE(SUBSTITUTE(SUBSTITUTE(TRIM(LEFT(INDEX(貼り付け!$A$1:$BZ$3001,1604,$B$1)&amp;"",FIND(" ",TRIM(INDEX(貼り付け!$A$1:$BZ$3001,1604,$B$1)&amp;"")&amp;" ")-1)),"/","-"),"年","-"),"月","-"),"日",""))),"")</f>
        <v/>
      </c>
      <c r="J1605">
        <f>IFERROR(MID(I1605,FIND("-",I1605)+1,99),"")</f>
        <v/>
      </c>
    </row>
    <row r="1606">
      <c r="B1606">
        <f>IFERROR(IF($B$1=0,"",IF(INDEX(貼り付け!$A$1:$BZ$3001,1605,$B$1)="","",IF(ISNUMBER(INDEX(貼り付け!$A$1:$BZ$3001,1605,$B$1)),INT(INDEX(貼り付け!$A$1:$BZ$3001,1605,$B$1)),DATE(VALUE(LEFT(I1606,FIND("-",I1606)-1)),VALUE(LEFT(J1606,FIND("-",J1606)-1)),VALUE(MID(J1606,FIND("-",J1606)+1,99)))))),"")</f>
        <v/>
      </c>
      <c r="C1606">
        <f>IF($C$1=0,0,IFERROR(VALUE(SUBSTITUTE(SUBSTITUTE(SUBSTITUTE(INDEX(貼り付け!$A$1:$BZ$3001,1605,$C$1)&amp;"",",",""),"¥",""),"￥","")),0))</f>
        <v/>
      </c>
      <c r="D1606">
        <f>IF($D$1=0,0,IFERROR(VALUE(SUBSTITUTE(SUBSTITUTE(SUBSTITUTE(INDEX(貼り付け!$A$1:$BZ$3001,1605,$D$1)&amp;"",",",""),"¥",""),"￥","")),0))</f>
        <v/>
      </c>
      <c r="E1606">
        <f>IF($E$1=0,0,IFERROR(VALUE(SUBSTITUTE(SUBSTITUTE(SUBSTITUTE(INDEX(貼り付け!$A$1:$BZ$3001,1605,$E$1)&amp;"",",",""),"¥",""),"￥","")),0))</f>
        <v/>
      </c>
      <c r="F1606">
        <f>IF($F$1=0,0,IFERROR(VALUE(SUBSTITUTE(SUBSTITUTE(SUBSTITUTE(INDEX(貼り付け!$A$1:$BZ$3001,1605,$F$1)&amp;"",",",""),"¥",""),"￥","")),0))</f>
        <v/>
      </c>
      <c r="G1606">
        <f>IF(ISNUMBER(B1606),YEAR(B1606),"")</f>
        <v/>
      </c>
      <c r="H1606">
        <f>IF(ISNUMBER(B1606),MONTH(B1606),"")</f>
        <v/>
      </c>
      <c r="I1606">
        <f>IFERROR(IF($B$1=0,"",IF(ISNUMBER(INDEX(貼り付け!$A$1:$BZ$3001,1605,$B$1)),"",SUBSTITUTE(SUBSTITUTE(SUBSTITUTE(SUBSTITUTE(TRIM(LEFT(INDEX(貼り付け!$A$1:$BZ$3001,1605,$B$1)&amp;"",FIND(" ",TRIM(INDEX(貼り付け!$A$1:$BZ$3001,1605,$B$1)&amp;"")&amp;" ")-1)),"/","-"),"年","-"),"月","-"),"日",""))),"")</f>
        <v/>
      </c>
      <c r="J1606">
        <f>IFERROR(MID(I1606,FIND("-",I1606)+1,99),"")</f>
        <v/>
      </c>
    </row>
    <row r="1607">
      <c r="B1607">
        <f>IFERROR(IF($B$1=0,"",IF(INDEX(貼り付け!$A$1:$BZ$3001,1606,$B$1)="","",IF(ISNUMBER(INDEX(貼り付け!$A$1:$BZ$3001,1606,$B$1)),INT(INDEX(貼り付け!$A$1:$BZ$3001,1606,$B$1)),DATE(VALUE(LEFT(I1607,FIND("-",I1607)-1)),VALUE(LEFT(J1607,FIND("-",J1607)-1)),VALUE(MID(J1607,FIND("-",J1607)+1,99)))))),"")</f>
        <v/>
      </c>
      <c r="C1607">
        <f>IF($C$1=0,0,IFERROR(VALUE(SUBSTITUTE(SUBSTITUTE(SUBSTITUTE(INDEX(貼り付け!$A$1:$BZ$3001,1606,$C$1)&amp;"",",",""),"¥",""),"￥","")),0))</f>
        <v/>
      </c>
      <c r="D1607">
        <f>IF($D$1=0,0,IFERROR(VALUE(SUBSTITUTE(SUBSTITUTE(SUBSTITUTE(INDEX(貼り付け!$A$1:$BZ$3001,1606,$D$1)&amp;"",",",""),"¥",""),"￥","")),0))</f>
        <v/>
      </c>
      <c r="E1607">
        <f>IF($E$1=0,0,IFERROR(VALUE(SUBSTITUTE(SUBSTITUTE(SUBSTITUTE(INDEX(貼り付け!$A$1:$BZ$3001,1606,$E$1)&amp;"",",",""),"¥",""),"￥","")),0))</f>
        <v/>
      </c>
      <c r="F1607">
        <f>IF($F$1=0,0,IFERROR(VALUE(SUBSTITUTE(SUBSTITUTE(SUBSTITUTE(INDEX(貼り付け!$A$1:$BZ$3001,1606,$F$1)&amp;"",",",""),"¥",""),"￥","")),0))</f>
        <v/>
      </c>
      <c r="G1607">
        <f>IF(ISNUMBER(B1607),YEAR(B1607),"")</f>
        <v/>
      </c>
      <c r="H1607">
        <f>IF(ISNUMBER(B1607),MONTH(B1607),"")</f>
        <v/>
      </c>
      <c r="I1607">
        <f>IFERROR(IF($B$1=0,"",IF(ISNUMBER(INDEX(貼り付け!$A$1:$BZ$3001,1606,$B$1)),"",SUBSTITUTE(SUBSTITUTE(SUBSTITUTE(SUBSTITUTE(TRIM(LEFT(INDEX(貼り付け!$A$1:$BZ$3001,1606,$B$1)&amp;"",FIND(" ",TRIM(INDEX(貼り付け!$A$1:$BZ$3001,1606,$B$1)&amp;"")&amp;" ")-1)),"/","-"),"年","-"),"月","-"),"日",""))),"")</f>
        <v/>
      </c>
      <c r="J1607">
        <f>IFERROR(MID(I1607,FIND("-",I1607)+1,99),"")</f>
        <v/>
      </c>
    </row>
    <row r="1608">
      <c r="B1608">
        <f>IFERROR(IF($B$1=0,"",IF(INDEX(貼り付け!$A$1:$BZ$3001,1607,$B$1)="","",IF(ISNUMBER(INDEX(貼り付け!$A$1:$BZ$3001,1607,$B$1)),INT(INDEX(貼り付け!$A$1:$BZ$3001,1607,$B$1)),DATE(VALUE(LEFT(I1608,FIND("-",I1608)-1)),VALUE(LEFT(J1608,FIND("-",J1608)-1)),VALUE(MID(J1608,FIND("-",J1608)+1,99)))))),"")</f>
        <v/>
      </c>
      <c r="C1608">
        <f>IF($C$1=0,0,IFERROR(VALUE(SUBSTITUTE(SUBSTITUTE(SUBSTITUTE(INDEX(貼り付け!$A$1:$BZ$3001,1607,$C$1)&amp;"",",",""),"¥",""),"￥","")),0))</f>
        <v/>
      </c>
      <c r="D1608">
        <f>IF($D$1=0,0,IFERROR(VALUE(SUBSTITUTE(SUBSTITUTE(SUBSTITUTE(INDEX(貼り付け!$A$1:$BZ$3001,1607,$D$1)&amp;"",",",""),"¥",""),"￥","")),0))</f>
        <v/>
      </c>
      <c r="E1608">
        <f>IF($E$1=0,0,IFERROR(VALUE(SUBSTITUTE(SUBSTITUTE(SUBSTITUTE(INDEX(貼り付け!$A$1:$BZ$3001,1607,$E$1)&amp;"",",",""),"¥",""),"￥","")),0))</f>
        <v/>
      </c>
      <c r="F1608">
        <f>IF($F$1=0,0,IFERROR(VALUE(SUBSTITUTE(SUBSTITUTE(SUBSTITUTE(INDEX(貼り付け!$A$1:$BZ$3001,1607,$F$1)&amp;"",",",""),"¥",""),"￥","")),0))</f>
        <v/>
      </c>
      <c r="G1608">
        <f>IF(ISNUMBER(B1608),YEAR(B1608),"")</f>
        <v/>
      </c>
      <c r="H1608">
        <f>IF(ISNUMBER(B1608),MONTH(B1608),"")</f>
        <v/>
      </c>
      <c r="I1608">
        <f>IFERROR(IF($B$1=0,"",IF(ISNUMBER(INDEX(貼り付け!$A$1:$BZ$3001,1607,$B$1)),"",SUBSTITUTE(SUBSTITUTE(SUBSTITUTE(SUBSTITUTE(TRIM(LEFT(INDEX(貼り付け!$A$1:$BZ$3001,1607,$B$1)&amp;"",FIND(" ",TRIM(INDEX(貼り付け!$A$1:$BZ$3001,1607,$B$1)&amp;"")&amp;" ")-1)),"/","-"),"年","-"),"月","-"),"日",""))),"")</f>
        <v/>
      </c>
      <c r="J1608">
        <f>IFERROR(MID(I1608,FIND("-",I1608)+1,99),"")</f>
        <v/>
      </c>
    </row>
    <row r="1609">
      <c r="B1609">
        <f>IFERROR(IF($B$1=0,"",IF(INDEX(貼り付け!$A$1:$BZ$3001,1608,$B$1)="","",IF(ISNUMBER(INDEX(貼り付け!$A$1:$BZ$3001,1608,$B$1)),INT(INDEX(貼り付け!$A$1:$BZ$3001,1608,$B$1)),DATE(VALUE(LEFT(I1609,FIND("-",I1609)-1)),VALUE(LEFT(J1609,FIND("-",J1609)-1)),VALUE(MID(J1609,FIND("-",J1609)+1,99)))))),"")</f>
        <v/>
      </c>
      <c r="C1609">
        <f>IF($C$1=0,0,IFERROR(VALUE(SUBSTITUTE(SUBSTITUTE(SUBSTITUTE(INDEX(貼り付け!$A$1:$BZ$3001,1608,$C$1)&amp;"",",",""),"¥",""),"￥","")),0))</f>
        <v/>
      </c>
      <c r="D1609">
        <f>IF($D$1=0,0,IFERROR(VALUE(SUBSTITUTE(SUBSTITUTE(SUBSTITUTE(INDEX(貼り付け!$A$1:$BZ$3001,1608,$D$1)&amp;"",",",""),"¥",""),"￥","")),0))</f>
        <v/>
      </c>
      <c r="E1609">
        <f>IF($E$1=0,0,IFERROR(VALUE(SUBSTITUTE(SUBSTITUTE(SUBSTITUTE(INDEX(貼り付け!$A$1:$BZ$3001,1608,$E$1)&amp;"",",",""),"¥",""),"￥","")),0))</f>
        <v/>
      </c>
      <c r="F1609">
        <f>IF($F$1=0,0,IFERROR(VALUE(SUBSTITUTE(SUBSTITUTE(SUBSTITUTE(INDEX(貼り付け!$A$1:$BZ$3001,1608,$F$1)&amp;"",",",""),"¥",""),"￥","")),0))</f>
        <v/>
      </c>
      <c r="G1609">
        <f>IF(ISNUMBER(B1609),YEAR(B1609),"")</f>
        <v/>
      </c>
      <c r="H1609">
        <f>IF(ISNUMBER(B1609),MONTH(B1609),"")</f>
        <v/>
      </c>
      <c r="I1609">
        <f>IFERROR(IF($B$1=0,"",IF(ISNUMBER(INDEX(貼り付け!$A$1:$BZ$3001,1608,$B$1)),"",SUBSTITUTE(SUBSTITUTE(SUBSTITUTE(SUBSTITUTE(TRIM(LEFT(INDEX(貼り付け!$A$1:$BZ$3001,1608,$B$1)&amp;"",FIND(" ",TRIM(INDEX(貼り付け!$A$1:$BZ$3001,1608,$B$1)&amp;"")&amp;" ")-1)),"/","-"),"年","-"),"月","-"),"日",""))),"")</f>
        <v/>
      </c>
      <c r="J1609">
        <f>IFERROR(MID(I1609,FIND("-",I1609)+1,99),"")</f>
        <v/>
      </c>
    </row>
    <row r="1610">
      <c r="B1610">
        <f>IFERROR(IF($B$1=0,"",IF(INDEX(貼り付け!$A$1:$BZ$3001,1609,$B$1)="","",IF(ISNUMBER(INDEX(貼り付け!$A$1:$BZ$3001,1609,$B$1)),INT(INDEX(貼り付け!$A$1:$BZ$3001,1609,$B$1)),DATE(VALUE(LEFT(I1610,FIND("-",I1610)-1)),VALUE(LEFT(J1610,FIND("-",J1610)-1)),VALUE(MID(J1610,FIND("-",J1610)+1,99)))))),"")</f>
        <v/>
      </c>
      <c r="C1610">
        <f>IF($C$1=0,0,IFERROR(VALUE(SUBSTITUTE(SUBSTITUTE(SUBSTITUTE(INDEX(貼り付け!$A$1:$BZ$3001,1609,$C$1)&amp;"",",",""),"¥",""),"￥","")),0))</f>
        <v/>
      </c>
      <c r="D1610">
        <f>IF($D$1=0,0,IFERROR(VALUE(SUBSTITUTE(SUBSTITUTE(SUBSTITUTE(INDEX(貼り付け!$A$1:$BZ$3001,1609,$D$1)&amp;"",",",""),"¥",""),"￥","")),0))</f>
        <v/>
      </c>
      <c r="E1610">
        <f>IF($E$1=0,0,IFERROR(VALUE(SUBSTITUTE(SUBSTITUTE(SUBSTITUTE(INDEX(貼り付け!$A$1:$BZ$3001,1609,$E$1)&amp;"",",",""),"¥",""),"￥","")),0))</f>
        <v/>
      </c>
      <c r="F1610">
        <f>IF($F$1=0,0,IFERROR(VALUE(SUBSTITUTE(SUBSTITUTE(SUBSTITUTE(INDEX(貼り付け!$A$1:$BZ$3001,1609,$F$1)&amp;"",",",""),"¥",""),"￥","")),0))</f>
        <v/>
      </c>
      <c r="G1610">
        <f>IF(ISNUMBER(B1610),YEAR(B1610),"")</f>
        <v/>
      </c>
      <c r="H1610">
        <f>IF(ISNUMBER(B1610),MONTH(B1610),"")</f>
        <v/>
      </c>
      <c r="I1610">
        <f>IFERROR(IF($B$1=0,"",IF(ISNUMBER(INDEX(貼り付け!$A$1:$BZ$3001,1609,$B$1)),"",SUBSTITUTE(SUBSTITUTE(SUBSTITUTE(SUBSTITUTE(TRIM(LEFT(INDEX(貼り付け!$A$1:$BZ$3001,1609,$B$1)&amp;"",FIND(" ",TRIM(INDEX(貼り付け!$A$1:$BZ$3001,1609,$B$1)&amp;"")&amp;" ")-1)),"/","-"),"年","-"),"月","-"),"日",""))),"")</f>
        <v/>
      </c>
      <c r="J1610">
        <f>IFERROR(MID(I1610,FIND("-",I1610)+1,99),"")</f>
        <v/>
      </c>
    </row>
    <row r="1611">
      <c r="B1611">
        <f>IFERROR(IF($B$1=0,"",IF(INDEX(貼り付け!$A$1:$BZ$3001,1610,$B$1)="","",IF(ISNUMBER(INDEX(貼り付け!$A$1:$BZ$3001,1610,$B$1)),INT(INDEX(貼り付け!$A$1:$BZ$3001,1610,$B$1)),DATE(VALUE(LEFT(I1611,FIND("-",I1611)-1)),VALUE(LEFT(J1611,FIND("-",J1611)-1)),VALUE(MID(J1611,FIND("-",J1611)+1,99)))))),"")</f>
        <v/>
      </c>
      <c r="C1611">
        <f>IF($C$1=0,0,IFERROR(VALUE(SUBSTITUTE(SUBSTITUTE(SUBSTITUTE(INDEX(貼り付け!$A$1:$BZ$3001,1610,$C$1)&amp;"",",",""),"¥",""),"￥","")),0))</f>
        <v/>
      </c>
      <c r="D1611">
        <f>IF($D$1=0,0,IFERROR(VALUE(SUBSTITUTE(SUBSTITUTE(SUBSTITUTE(INDEX(貼り付け!$A$1:$BZ$3001,1610,$D$1)&amp;"",",",""),"¥",""),"￥","")),0))</f>
        <v/>
      </c>
      <c r="E1611">
        <f>IF($E$1=0,0,IFERROR(VALUE(SUBSTITUTE(SUBSTITUTE(SUBSTITUTE(INDEX(貼り付け!$A$1:$BZ$3001,1610,$E$1)&amp;"",",",""),"¥",""),"￥","")),0))</f>
        <v/>
      </c>
      <c r="F1611">
        <f>IF($F$1=0,0,IFERROR(VALUE(SUBSTITUTE(SUBSTITUTE(SUBSTITUTE(INDEX(貼り付け!$A$1:$BZ$3001,1610,$F$1)&amp;"",",",""),"¥",""),"￥","")),0))</f>
        <v/>
      </c>
      <c r="G1611">
        <f>IF(ISNUMBER(B1611),YEAR(B1611),"")</f>
        <v/>
      </c>
      <c r="H1611">
        <f>IF(ISNUMBER(B1611),MONTH(B1611),"")</f>
        <v/>
      </c>
      <c r="I1611">
        <f>IFERROR(IF($B$1=0,"",IF(ISNUMBER(INDEX(貼り付け!$A$1:$BZ$3001,1610,$B$1)),"",SUBSTITUTE(SUBSTITUTE(SUBSTITUTE(SUBSTITUTE(TRIM(LEFT(INDEX(貼り付け!$A$1:$BZ$3001,1610,$B$1)&amp;"",FIND(" ",TRIM(INDEX(貼り付け!$A$1:$BZ$3001,1610,$B$1)&amp;"")&amp;" ")-1)),"/","-"),"年","-"),"月","-"),"日",""))),"")</f>
        <v/>
      </c>
      <c r="J1611">
        <f>IFERROR(MID(I1611,FIND("-",I1611)+1,99),"")</f>
        <v/>
      </c>
    </row>
    <row r="1612">
      <c r="B1612">
        <f>IFERROR(IF($B$1=0,"",IF(INDEX(貼り付け!$A$1:$BZ$3001,1611,$B$1)="","",IF(ISNUMBER(INDEX(貼り付け!$A$1:$BZ$3001,1611,$B$1)),INT(INDEX(貼り付け!$A$1:$BZ$3001,1611,$B$1)),DATE(VALUE(LEFT(I1612,FIND("-",I1612)-1)),VALUE(LEFT(J1612,FIND("-",J1612)-1)),VALUE(MID(J1612,FIND("-",J1612)+1,99)))))),"")</f>
        <v/>
      </c>
      <c r="C1612">
        <f>IF($C$1=0,0,IFERROR(VALUE(SUBSTITUTE(SUBSTITUTE(SUBSTITUTE(INDEX(貼り付け!$A$1:$BZ$3001,1611,$C$1)&amp;"",",",""),"¥",""),"￥","")),0))</f>
        <v/>
      </c>
      <c r="D1612">
        <f>IF($D$1=0,0,IFERROR(VALUE(SUBSTITUTE(SUBSTITUTE(SUBSTITUTE(INDEX(貼り付け!$A$1:$BZ$3001,1611,$D$1)&amp;"",",",""),"¥",""),"￥","")),0))</f>
        <v/>
      </c>
      <c r="E1612">
        <f>IF($E$1=0,0,IFERROR(VALUE(SUBSTITUTE(SUBSTITUTE(SUBSTITUTE(INDEX(貼り付け!$A$1:$BZ$3001,1611,$E$1)&amp;"",",",""),"¥",""),"￥","")),0))</f>
        <v/>
      </c>
      <c r="F1612">
        <f>IF($F$1=0,0,IFERROR(VALUE(SUBSTITUTE(SUBSTITUTE(SUBSTITUTE(INDEX(貼り付け!$A$1:$BZ$3001,1611,$F$1)&amp;"",",",""),"¥",""),"￥","")),0))</f>
        <v/>
      </c>
      <c r="G1612">
        <f>IF(ISNUMBER(B1612),YEAR(B1612),"")</f>
        <v/>
      </c>
      <c r="H1612">
        <f>IF(ISNUMBER(B1612),MONTH(B1612),"")</f>
        <v/>
      </c>
      <c r="I1612">
        <f>IFERROR(IF($B$1=0,"",IF(ISNUMBER(INDEX(貼り付け!$A$1:$BZ$3001,1611,$B$1)),"",SUBSTITUTE(SUBSTITUTE(SUBSTITUTE(SUBSTITUTE(TRIM(LEFT(INDEX(貼り付け!$A$1:$BZ$3001,1611,$B$1)&amp;"",FIND(" ",TRIM(INDEX(貼り付け!$A$1:$BZ$3001,1611,$B$1)&amp;"")&amp;" ")-1)),"/","-"),"年","-"),"月","-"),"日",""))),"")</f>
        <v/>
      </c>
      <c r="J1612">
        <f>IFERROR(MID(I1612,FIND("-",I1612)+1,99),"")</f>
        <v/>
      </c>
    </row>
    <row r="1613">
      <c r="B1613">
        <f>IFERROR(IF($B$1=0,"",IF(INDEX(貼り付け!$A$1:$BZ$3001,1612,$B$1)="","",IF(ISNUMBER(INDEX(貼り付け!$A$1:$BZ$3001,1612,$B$1)),INT(INDEX(貼り付け!$A$1:$BZ$3001,1612,$B$1)),DATE(VALUE(LEFT(I1613,FIND("-",I1613)-1)),VALUE(LEFT(J1613,FIND("-",J1613)-1)),VALUE(MID(J1613,FIND("-",J1613)+1,99)))))),"")</f>
        <v/>
      </c>
      <c r="C1613">
        <f>IF($C$1=0,0,IFERROR(VALUE(SUBSTITUTE(SUBSTITUTE(SUBSTITUTE(INDEX(貼り付け!$A$1:$BZ$3001,1612,$C$1)&amp;"",",",""),"¥",""),"￥","")),0))</f>
        <v/>
      </c>
      <c r="D1613">
        <f>IF($D$1=0,0,IFERROR(VALUE(SUBSTITUTE(SUBSTITUTE(SUBSTITUTE(INDEX(貼り付け!$A$1:$BZ$3001,1612,$D$1)&amp;"",",",""),"¥",""),"￥","")),0))</f>
        <v/>
      </c>
      <c r="E1613">
        <f>IF($E$1=0,0,IFERROR(VALUE(SUBSTITUTE(SUBSTITUTE(SUBSTITUTE(INDEX(貼り付け!$A$1:$BZ$3001,1612,$E$1)&amp;"",",",""),"¥",""),"￥","")),0))</f>
        <v/>
      </c>
      <c r="F1613">
        <f>IF($F$1=0,0,IFERROR(VALUE(SUBSTITUTE(SUBSTITUTE(SUBSTITUTE(INDEX(貼り付け!$A$1:$BZ$3001,1612,$F$1)&amp;"",",",""),"¥",""),"￥","")),0))</f>
        <v/>
      </c>
      <c r="G1613">
        <f>IF(ISNUMBER(B1613),YEAR(B1613),"")</f>
        <v/>
      </c>
      <c r="H1613">
        <f>IF(ISNUMBER(B1613),MONTH(B1613),"")</f>
        <v/>
      </c>
      <c r="I1613">
        <f>IFERROR(IF($B$1=0,"",IF(ISNUMBER(INDEX(貼り付け!$A$1:$BZ$3001,1612,$B$1)),"",SUBSTITUTE(SUBSTITUTE(SUBSTITUTE(SUBSTITUTE(TRIM(LEFT(INDEX(貼り付け!$A$1:$BZ$3001,1612,$B$1)&amp;"",FIND(" ",TRIM(INDEX(貼り付け!$A$1:$BZ$3001,1612,$B$1)&amp;"")&amp;" ")-1)),"/","-"),"年","-"),"月","-"),"日",""))),"")</f>
        <v/>
      </c>
      <c r="J1613">
        <f>IFERROR(MID(I1613,FIND("-",I1613)+1,99),"")</f>
        <v/>
      </c>
    </row>
    <row r="1614">
      <c r="B1614">
        <f>IFERROR(IF($B$1=0,"",IF(INDEX(貼り付け!$A$1:$BZ$3001,1613,$B$1)="","",IF(ISNUMBER(INDEX(貼り付け!$A$1:$BZ$3001,1613,$B$1)),INT(INDEX(貼り付け!$A$1:$BZ$3001,1613,$B$1)),DATE(VALUE(LEFT(I1614,FIND("-",I1614)-1)),VALUE(LEFT(J1614,FIND("-",J1614)-1)),VALUE(MID(J1614,FIND("-",J1614)+1,99)))))),"")</f>
        <v/>
      </c>
      <c r="C1614">
        <f>IF($C$1=0,0,IFERROR(VALUE(SUBSTITUTE(SUBSTITUTE(SUBSTITUTE(INDEX(貼り付け!$A$1:$BZ$3001,1613,$C$1)&amp;"",",",""),"¥",""),"￥","")),0))</f>
        <v/>
      </c>
      <c r="D1614">
        <f>IF($D$1=0,0,IFERROR(VALUE(SUBSTITUTE(SUBSTITUTE(SUBSTITUTE(INDEX(貼り付け!$A$1:$BZ$3001,1613,$D$1)&amp;"",",",""),"¥",""),"￥","")),0))</f>
        <v/>
      </c>
      <c r="E1614">
        <f>IF($E$1=0,0,IFERROR(VALUE(SUBSTITUTE(SUBSTITUTE(SUBSTITUTE(INDEX(貼り付け!$A$1:$BZ$3001,1613,$E$1)&amp;"",",",""),"¥",""),"￥","")),0))</f>
        <v/>
      </c>
      <c r="F1614">
        <f>IF($F$1=0,0,IFERROR(VALUE(SUBSTITUTE(SUBSTITUTE(SUBSTITUTE(INDEX(貼り付け!$A$1:$BZ$3001,1613,$F$1)&amp;"",",",""),"¥",""),"￥","")),0))</f>
        <v/>
      </c>
      <c r="G1614">
        <f>IF(ISNUMBER(B1614),YEAR(B1614),"")</f>
        <v/>
      </c>
      <c r="H1614">
        <f>IF(ISNUMBER(B1614),MONTH(B1614),"")</f>
        <v/>
      </c>
      <c r="I1614">
        <f>IFERROR(IF($B$1=0,"",IF(ISNUMBER(INDEX(貼り付け!$A$1:$BZ$3001,1613,$B$1)),"",SUBSTITUTE(SUBSTITUTE(SUBSTITUTE(SUBSTITUTE(TRIM(LEFT(INDEX(貼り付け!$A$1:$BZ$3001,1613,$B$1)&amp;"",FIND(" ",TRIM(INDEX(貼り付け!$A$1:$BZ$3001,1613,$B$1)&amp;"")&amp;" ")-1)),"/","-"),"年","-"),"月","-"),"日",""))),"")</f>
        <v/>
      </c>
      <c r="J1614">
        <f>IFERROR(MID(I1614,FIND("-",I1614)+1,99),"")</f>
        <v/>
      </c>
    </row>
    <row r="1615">
      <c r="B1615">
        <f>IFERROR(IF($B$1=0,"",IF(INDEX(貼り付け!$A$1:$BZ$3001,1614,$B$1)="","",IF(ISNUMBER(INDEX(貼り付け!$A$1:$BZ$3001,1614,$B$1)),INT(INDEX(貼り付け!$A$1:$BZ$3001,1614,$B$1)),DATE(VALUE(LEFT(I1615,FIND("-",I1615)-1)),VALUE(LEFT(J1615,FIND("-",J1615)-1)),VALUE(MID(J1615,FIND("-",J1615)+1,99)))))),"")</f>
        <v/>
      </c>
      <c r="C1615">
        <f>IF($C$1=0,0,IFERROR(VALUE(SUBSTITUTE(SUBSTITUTE(SUBSTITUTE(INDEX(貼り付け!$A$1:$BZ$3001,1614,$C$1)&amp;"",",",""),"¥",""),"￥","")),0))</f>
        <v/>
      </c>
      <c r="D1615">
        <f>IF($D$1=0,0,IFERROR(VALUE(SUBSTITUTE(SUBSTITUTE(SUBSTITUTE(INDEX(貼り付け!$A$1:$BZ$3001,1614,$D$1)&amp;"",",",""),"¥",""),"￥","")),0))</f>
        <v/>
      </c>
      <c r="E1615">
        <f>IF($E$1=0,0,IFERROR(VALUE(SUBSTITUTE(SUBSTITUTE(SUBSTITUTE(INDEX(貼り付け!$A$1:$BZ$3001,1614,$E$1)&amp;"",",",""),"¥",""),"￥","")),0))</f>
        <v/>
      </c>
      <c r="F1615">
        <f>IF($F$1=0,0,IFERROR(VALUE(SUBSTITUTE(SUBSTITUTE(SUBSTITUTE(INDEX(貼り付け!$A$1:$BZ$3001,1614,$F$1)&amp;"",",",""),"¥",""),"￥","")),0))</f>
        <v/>
      </c>
      <c r="G1615">
        <f>IF(ISNUMBER(B1615),YEAR(B1615),"")</f>
        <v/>
      </c>
      <c r="H1615">
        <f>IF(ISNUMBER(B1615),MONTH(B1615),"")</f>
        <v/>
      </c>
      <c r="I1615">
        <f>IFERROR(IF($B$1=0,"",IF(ISNUMBER(INDEX(貼り付け!$A$1:$BZ$3001,1614,$B$1)),"",SUBSTITUTE(SUBSTITUTE(SUBSTITUTE(SUBSTITUTE(TRIM(LEFT(INDEX(貼り付け!$A$1:$BZ$3001,1614,$B$1)&amp;"",FIND(" ",TRIM(INDEX(貼り付け!$A$1:$BZ$3001,1614,$B$1)&amp;"")&amp;" ")-1)),"/","-"),"年","-"),"月","-"),"日",""))),"")</f>
        <v/>
      </c>
      <c r="J1615">
        <f>IFERROR(MID(I1615,FIND("-",I1615)+1,99),"")</f>
        <v/>
      </c>
    </row>
    <row r="1616">
      <c r="B1616">
        <f>IFERROR(IF($B$1=0,"",IF(INDEX(貼り付け!$A$1:$BZ$3001,1615,$B$1)="","",IF(ISNUMBER(INDEX(貼り付け!$A$1:$BZ$3001,1615,$B$1)),INT(INDEX(貼り付け!$A$1:$BZ$3001,1615,$B$1)),DATE(VALUE(LEFT(I1616,FIND("-",I1616)-1)),VALUE(LEFT(J1616,FIND("-",J1616)-1)),VALUE(MID(J1616,FIND("-",J1616)+1,99)))))),"")</f>
        <v/>
      </c>
      <c r="C1616">
        <f>IF($C$1=0,0,IFERROR(VALUE(SUBSTITUTE(SUBSTITUTE(SUBSTITUTE(INDEX(貼り付け!$A$1:$BZ$3001,1615,$C$1)&amp;"",",",""),"¥",""),"￥","")),0))</f>
        <v/>
      </c>
      <c r="D1616">
        <f>IF($D$1=0,0,IFERROR(VALUE(SUBSTITUTE(SUBSTITUTE(SUBSTITUTE(INDEX(貼り付け!$A$1:$BZ$3001,1615,$D$1)&amp;"",",",""),"¥",""),"￥","")),0))</f>
        <v/>
      </c>
      <c r="E1616">
        <f>IF($E$1=0,0,IFERROR(VALUE(SUBSTITUTE(SUBSTITUTE(SUBSTITUTE(INDEX(貼り付け!$A$1:$BZ$3001,1615,$E$1)&amp;"",",",""),"¥",""),"￥","")),0))</f>
        <v/>
      </c>
      <c r="F1616">
        <f>IF($F$1=0,0,IFERROR(VALUE(SUBSTITUTE(SUBSTITUTE(SUBSTITUTE(INDEX(貼り付け!$A$1:$BZ$3001,1615,$F$1)&amp;"",",",""),"¥",""),"￥","")),0))</f>
        <v/>
      </c>
      <c r="G1616">
        <f>IF(ISNUMBER(B1616),YEAR(B1616),"")</f>
        <v/>
      </c>
      <c r="H1616">
        <f>IF(ISNUMBER(B1616),MONTH(B1616),"")</f>
        <v/>
      </c>
      <c r="I1616">
        <f>IFERROR(IF($B$1=0,"",IF(ISNUMBER(INDEX(貼り付け!$A$1:$BZ$3001,1615,$B$1)),"",SUBSTITUTE(SUBSTITUTE(SUBSTITUTE(SUBSTITUTE(TRIM(LEFT(INDEX(貼り付け!$A$1:$BZ$3001,1615,$B$1)&amp;"",FIND(" ",TRIM(INDEX(貼り付け!$A$1:$BZ$3001,1615,$B$1)&amp;"")&amp;" ")-1)),"/","-"),"年","-"),"月","-"),"日",""))),"")</f>
        <v/>
      </c>
      <c r="J1616">
        <f>IFERROR(MID(I1616,FIND("-",I1616)+1,99),"")</f>
        <v/>
      </c>
    </row>
    <row r="1617">
      <c r="B1617">
        <f>IFERROR(IF($B$1=0,"",IF(INDEX(貼り付け!$A$1:$BZ$3001,1616,$B$1)="","",IF(ISNUMBER(INDEX(貼り付け!$A$1:$BZ$3001,1616,$B$1)),INT(INDEX(貼り付け!$A$1:$BZ$3001,1616,$B$1)),DATE(VALUE(LEFT(I1617,FIND("-",I1617)-1)),VALUE(LEFT(J1617,FIND("-",J1617)-1)),VALUE(MID(J1617,FIND("-",J1617)+1,99)))))),"")</f>
        <v/>
      </c>
      <c r="C1617">
        <f>IF($C$1=0,0,IFERROR(VALUE(SUBSTITUTE(SUBSTITUTE(SUBSTITUTE(INDEX(貼り付け!$A$1:$BZ$3001,1616,$C$1)&amp;"",",",""),"¥",""),"￥","")),0))</f>
        <v/>
      </c>
      <c r="D1617">
        <f>IF($D$1=0,0,IFERROR(VALUE(SUBSTITUTE(SUBSTITUTE(SUBSTITUTE(INDEX(貼り付け!$A$1:$BZ$3001,1616,$D$1)&amp;"",",",""),"¥",""),"￥","")),0))</f>
        <v/>
      </c>
      <c r="E1617">
        <f>IF($E$1=0,0,IFERROR(VALUE(SUBSTITUTE(SUBSTITUTE(SUBSTITUTE(INDEX(貼り付け!$A$1:$BZ$3001,1616,$E$1)&amp;"",",",""),"¥",""),"￥","")),0))</f>
        <v/>
      </c>
      <c r="F1617">
        <f>IF($F$1=0,0,IFERROR(VALUE(SUBSTITUTE(SUBSTITUTE(SUBSTITUTE(INDEX(貼り付け!$A$1:$BZ$3001,1616,$F$1)&amp;"",",",""),"¥",""),"￥","")),0))</f>
        <v/>
      </c>
      <c r="G1617">
        <f>IF(ISNUMBER(B1617),YEAR(B1617),"")</f>
        <v/>
      </c>
      <c r="H1617">
        <f>IF(ISNUMBER(B1617),MONTH(B1617),"")</f>
        <v/>
      </c>
      <c r="I1617">
        <f>IFERROR(IF($B$1=0,"",IF(ISNUMBER(INDEX(貼り付け!$A$1:$BZ$3001,1616,$B$1)),"",SUBSTITUTE(SUBSTITUTE(SUBSTITUTE(SUBSTITUTE(TRIM(LEFT(INDEX(貼り付け!$A$1:$BZ$3001,1616,$B$1)&amp;"",FIND(" ",TRIM(INDEX(貼り付け!$A$1:$BZ$3001,1616,$B$1)&amp;"")&amp;" ")-1)),"/","-"),"年","-"),"月","-"),"日",""))),"")</f>
        <v/>
      </c>
      <c r="J1617">
        <f>IFERROR(MID(I1617,FIND("-",I1617)+1,99),"")</f>
        <v/>
      </c>
    </row>
    <row r="1618">
      <c r="B1618">
        <f>IFERROR(IF($B$1=0,"",IF(INDEX(貼り付け!$A$1:$BZ$3001,1617,$B$1)="","",IF(ISNUMBER(INDEX(貼り付け!$A$1:$BZ$3001,1617,$B$1)),INT(INDEX(貼り付け!$A$1:$BZ$3001,1617,$B$1)),DATE(VALUE(LEFT(I1618,FIND("-",I1618)-1)),VALUE(LEFT(J1618,FIND("-",J1618)-1)),VALUE(MID(J1618,FIND("-",J1618)+1,99)))))),"")</f>
        <v/>
      </c>
      <c r="C1618">
        <f>IF($C$1=0,0,IFERROR(VALUE(SUBSTITUTE(SUBSTITUTE(SUBSTITUTE(INDEX(貼り付け!$A$1:$BZ$3001,1617,$C$1)&amp;"",",",""),"¥",""),"￥","")),0))</f>
        <v/>
      </c>
      <c r="D1618">
        <f>IF($D$1=0,0,IFERROR(VALUE(SUBSTITUTE(SUBSTITUTE(SUBSTITUTE(INDEX(貼り付け!$A$1:$BZ$3001,1617,$D$1)&amp;"",",",""),"¥",""),"￥","")),0))</f>
        <v/>
      </c>
      <c r="E1618">
        <f>IF($E$1=0,0,IFERROR(VALUE(SUBSTITUTE(SUBSTITUTE(SUBSTITUTE(INDEX(貼り付け!$A$1:$BZ$3001,1617,$E$1)&amp;"",",",""),"¥",""),"￥","")),0))</f>
        <v/>
      </c>
      <c r="F1618">
        <f>IF($F$1=0,0,IFERROR(VALUE(SUBSTITUTE(SUBSTITUTE(SUBSTITUTE(INDEX(貼り付け!$A$1:$BZ$3001,1617,$F$1)&amp;"",",",""),"¥",""),"￥","")),0))</f>
        <v/>
      </c>
      <c r="G1618">
        <f>IF(ISNUMBER(B1618),YEAR(B1618),"")</f>
        <v/>
      </c>
      <c r="H1618">
        <f>IF(ISNUMBER(B1618),MONTH(B1618),"")</f>
        <v/>
      </c>
      <c r="I1618">
        <f>IFERROR(IF($B$1=0,"",IF(ISNUMBER(INDEX(貼り付け!$A$1:$BZ$3001,1617,$B$1)),"",SUBSTITUTE(SUBSTITUTE(SUBSTITUTE(SUBSTITUTE(TRIM(LEFT(INDEX(貼り付け!$A$1:$BZ$3001,1617,$B$1)&amp;"",FIND(" ",TRIM(INDEX(貼り付け!$A$1:$BZ$3001,1617,$B$1)&amp;"")&amp;" ")-1)),"/","-"),"年","-"),"月","-"),"日",""))),"")</f>
        <v/>
      </c>
      <c r="J1618">
        <f>IFERROR(MID(I1618,FIND("-",I1618)+1,99),"")</f>
        <v/>
      </c>
    </row>
    <row r="1619">
      <c r="B1619">
        <f>IFERROR(IF($B$1=0,"",IF(INDEX(貼り付け!$A$1:$BZ$3001,1618,$B$1)="","",IF(ISNUMBER(INDEX(貼り付け!$A$1:$BZ$3001,1618,$B$1)),INT(INDEX(貼り付け!$A$1:$BZ$3001,1618,$B$1)),DATE(VALUE(LEFT(I1619,FIND("-",I1619)-1)),VALUE(LEFT(J1619,FIND("-",J1619)-1)),VALUE(MID(J1619,FIND("-",J1619)+1,99)))))),"")</f>
        <v/>
      </c>
      <c r="C1619">
        <f>IF($C$1=0,0,IFERROR(VALUE(SUBSTITUTE(SUBSTITUTE(SUBSTITUTE(INDEX(貼り付け!$A$1:$BZ$3001,1618,$C$1)&amp;"",",",""),"¥",""),"￥","")),0))</f>
        <v/>
      </c>
      <c r="D1619">
        <f>IF($D$1=0,0,IFERROR(VALUE(SUBSTITUTE(SUBSTITUTE(SUBSTITUTE(INDEX(貼り付け!$A$1:$BZ$3001,1618,$D$1)&amp;"",",",""),"¥",""),"￥","")),0))</f>
        <v/>
      </c>
      <c r="E1619">
        <f>IF($E$1=0,0,IFERROR(VALUE(SUBSTITUTE(SUBSTITUTE(SUBSTITUTE(INDEX(貼り付け!$A$1:$BZ$3001,1618,$E$1)&amp;"",",",""),"¥",""),"￥","")),0))</f>
        <v/>
      </c>
      <c r="F1619">
        <f>IF($F$1=0,0,IFERROR(VALUE(SUBSTITUTE(SUBSTITUTE(SUBSTITUTE(INDEX(貼り付け!$A$1:$BZ$3001,1618,$F$1)&amp;"",",",""),"¥",""),"￥","")),0))</f>
        <v/>
      </c>
      <c r="G1619">
        <f>IF(ISNUMBER(B1619),YEAR(B1619),"")</f>
        <v/>
      </c>
      <c r="H1619">
        <f>IF(ISNUMBER(B1619),MONTH(B1619),"")</f>
        <v/>
      </c>
      <c r="I1619">
        <f>IFERROR(IF($B$1=0,"",IF(ISNUMBER(INDEX(貼り付け!$A$1:$BZ$3001,1618,$B$1)),"",SUBSTITUTE(SUBSTITUTE(SUBSTITUTE(SUBSTITUTE(TRIM(LEFT(INDEX(貼り付け!$A$1:$BZ$3001,1618,$B$1)&amp;"",FIND(" ",TRIM(INDEX(貼り付け!$A$1:$BZ$3001,1618,$B$1)&amp;"")&amp;" ")-1)),"/","-"),"年","-"),"月","-"),"日",""))),"")</f>
        <v/>
      </c>
      <c r="J1619">
        <f>IFERROR(MID(I1619,FIND("-",I1619)+1,99),"")</f>
        <v/>
      </c>
    </row>
    <row r="1620">
      <c r="B1620">
        <f>IFERROR(IF($B$1=0,"",IF(INDEX(貼り付け!$A$1:$BZ$3001,1619,$B$1)="","",IF(ISNUMBER(INDEX(貼り付け!$A$1:$BZ$3001,1619,$B$1)),INT(INDEX(貼り付け!$A$1:$BZ$3001,1619,$B$1)),DATE(VALUE(LEFT(I1620,FIND("-",I1620)-1)),VALUE(LEFT(J1620,FIND("-",J1620)-1)),VALUE(MID(J1620,FIND("-",J1620)+1,99)))))),"")</f>
        <v/>
      </c>
      <c r="C1620">
        <f>IF($C$1=0,0,IFERROR(VALUE(SUBSTITUTE(SUBSTITUTE(SUBSTITUTE(INDEX(貼り付け!$A$1:$BZ$3001,1619,$C$1)&amp;"",",",""),"¥",""),"￥","")),0))</f>
        <v/>
      </c>
      <c r="D1620">
        <f>IF($D$1=0,0,IFERROR(VALUE(SUBSTITUTE(SUBSTITUTE(SUBSTITUTE(INDEX(貼り付け!$A$1:$BZ$3001,1619,$D$1)&amp;"",",",""),"¥",""),"￥","")),0))</f>
        <v/>
      </c>
      <c r="E1620">
        <f>IF($E$1=0,0,IFERROR(VALUE(SUBSTITUTE(SUBSTITUTE(SUBSTITUTE(INDEX(貼り付け!$A$1:$BZ$3001,1619,$E$1)&amp;"",",",""),"¥",""),"￥","")),0))</f>
        <v/>
      </c>
      <c r="F1620">
        <f>IF($F$1=0,0,IFERROR(VALUE(SUBSTITUTE(SUBSTITUTE(SUBSTITUTE(INDEX(貼り付け!$A$1:$BZ$3001,1619,$F$1)&amp;"",",",""),"¥",""),"￥","")),0))</f>
        <v/>
      </c>
      <c r="G1620">
        <f>IF(ISNUMBER(B1620),YEAR(B1620),"")</f>
        <v/>
      </c>
      <c r="H1620">
        <f>IF(ISNUMBER(B1620),MONTH(B1620),"")</f>
        <v/>
      </c>
      <c r="I1620">
        <f>IFERROR(IF($B$1=0,"",IF(ISNUMBER(INDEX(貼り付け!$A$1:$BZ$3001,1619,$B$1)),"",SUBSTITUTE(SUBSTITUTE(SUBSTITUTE(SUBSTITUTE(TRIM(LEFT(INDEX(貼り付け!$A$1:$BZ$3001,1619,$B$1)&amp;"",FIND(" ",TRIM(INDEX(貼り付け!$A$1:$BZ$3001,1619,$B$1)&amp;"")&amp;" ")-1)),"/","-"),"年","-"),"月","-"),"日",""))),"")</f>
        <v/>
      </c>
      <c r="J1620">
        <f>IFERROR(MID(I1620,FIND("-",I1620)+1,99),"")</f>
        <v/>
      </c>
    </row>
    <row r="1621">
      <c r="B1621">
        <f>IFERROR(IF($B$1=0,"",IF(INDEX(貼り付け!$A$1:$BZ$3001,1620,$B$1)="","",IF(ISNUMBER(INDEX(貼り付け!$A$1:$BZ$3001,1620,$B$1)),INT(INDEX(貼り付け!$A$1:$BZ$3001,1620,$B$1)),DATE(VALUE(LEFT(I1621,FIND("-",I1621)-1)),VALUE(LEFT(J1621,FIND("-",J1621)-1)),VALUE(MID(J1621,FIND("-",J1621)+1,99)))))),"")</f>
        <v/>
      </c>
      <c r="C1621">
        <f>IF($C$1=0,0,IFERROR(VALUE(SUBSTITUTE(SUBSTITUTE(SUBSTITUTE(INDEX(貼り付け!$A$1:$BZ$3001,1620,$C$1)&amp;"",",",""),"¥",""),"￥","")),0))</f>
        <v/>
      </c>
      <c r="D1621">
        <f>IF($D$1=0,0,IFERROR(VALUE(SUBSTITUTE(SUBSTITUTE(SUBSTITUTE(INDEX(貼り付け!$A$1:$BZ$3001,1620,$D$1)&amp;"",",",""),"¥",""),"￥","")),0))</f>
        <v/>
      </c>
      <c r="E1621">
        <f>IF($E$1=0,0,IFERROR(VALUE(SUBSTITUTE(SUBSTITUTE(SUBSTITUTE(INDEX(貼り付け!$A$1:$BZ$3001,1620,$E$1)&amp;"",",",""),"¥",""),"￥","")),0))</f>
        <v/>
      </c>
      <c r="F1621">
        <f>IF($F$1=0,0,IFERROR(VALUE(SUBSTITUTE(SUBSTITUTE(SUBSTITUTE(INDEX(貼り付け!$A$1:$BZ$3001,1620,$F$1)&amp;"",",",""),"¥",""),"￥","")),0))</f>
        <v/>
      </c>
      <c r="G1621">
        <f>IF(ISNUMBER(B1621),YEAR(B1621),"")</f>
        <v/>
      </c>
      <c r="H1621">
        <f>IF(ISNUMBER(B1621),MONTH(B1621),"")</f>
        <v/>
      </c>
      <c r="I1621">
        <f>IFERROR(IF($B$1=0,"",IF(ISNUMBER(INDEX(貼り付け!$A$1:$BZ$3001,1620,$B$1)),"",SUBSTITUTE(SUBSTITUTE(SUBSTITUTE(SUBSTITUTE(TRIM(LEFT(INDEX(貼り付け!$A$1:$BZ$3001,1620,$B$1)&amp;"",FIND(" ",TRIM(INDEX(貼り付け!$A$1:$BZ$3001,1620,$B$1)&amp;"")&amp;" ")-1)),"/","-"),"年","-"),"月","-"),"日",""))),"")</f>
        <v/>
      </c>
      <c r="J1621">
        <f>IFERROR(MID(I1621,FIND("-",I1621)+1,99),"")</f>
        <v/>
      </c>
    </row>
    <row r="1622">
      <c r="B1622">
        <f>IFERROR(IF($B$1=0,"",IF(INDEX(貼り付け!$A$1:$BZ$3001,1621,$B$1)="","",IF(ISNUMBER(INDEX(貼り付け!$A$1:$BZ$3001,1621,$B$1)),INT(INDEX(貼り付け!$A$1:$BZ$3001,1621,$B$1)),DATE(VALUE(LEFT(I1622,FIND("-",I1622)-1)),VALUE(LEFT(J1622,FIND("-",J1622)-1)),VALUE(MID(J1622,FIND("-",J1622)+1,99)))))),"")</f>
        <v/>
      </c>
      <c r="C1622">
        <f>IF($C$1=0,0,IFERROR(VALUE(SUBSTITUTE(SUBSTITUTE(SUBSTITUTE(INDEX(貼り付け!$A$1:$BZ$3001,1621,$C$1)&amp;"",",",""),"¥",""),"￥","")),0))</f>
        <v/>
      </c>
      <c r="D1622">
        <f>IF($D$1=0,0,IFERROR(VALUE(SUBSTITUTE(SUBSTITUTE(SUBSTITUTE(INDEX(貼り付け!$A$1:$BZ$3001,1621,$D$1)&amp;"",",",""),"¥",""),"￥","")),0))</f>
        <v/>
      </c>
      <c r="E1622">
        <f>IF($E$1=0,0,IFERROR(VALUE(SUBSTITUTE(SUBSTITUTE(SUBSTITUTE(INDEX(貼り付け!$A$1:$BZ$3001,1621,$E$1)&amp;"",",",""),"¥",""),"￥","")),0))</f>
        <v/>
      </c>
      <c r="F1622">
        <f>IF($F$1=0,0,IFERROR(VALUE(SUBSTITUTE(SUBSTITUTE(SUBSTITUTE(INDEX(貼り付け!$A$1:$BZ$3001,1621,$F$1)&amp;"",",",""),"¥",""),"￥","")),0))</f>
        <v/>
      </c>
      <c r="G1622">
        <f>IF(ISNUMBER(B1622),YEAR(B1622),"")</f>
        <v/>
      </c>
      <c r="H1622">
        <f>IF(ISNUMBER(B1622),MONTH(B1622),"")</f>
        <v/>
      </c>
      <c r="I1622">
        <f>IFERROR(IF($B$1=0,"",IF(ISNUMBER(INDEX(貼り付け!$A$1:$BZ$3001,1621,$B$1)),"",SUBSTITUTE(SUBSTITUTE(SUBSTITUTE(SUBSTITUTE(TRIM(LEFT(INDEX(貼り付け!$A$1:$BZ$3001,1621,$B$1)&amp;"",FIND(" ",TRIM(INDEX(貼り付け!$A$1:$BZ$3001,1621,$B$1)&amp;"")&amp;" ")-1)),"/","-"),"年","-"),"月","-"),"日",""))),"")</f>
        <v/>
      </c>
      <c r="J1622">
        <f>IFERROR(MID(I1622,FIND("-",I1622)+1,99),"")</f>
        <v/>
      </c>
    </row>
    <row r="1623">
      <c r="B1623">
        <f>IFERROR(IF($B$1=0,"",IF(INDEX(貼り付け!$A$1:$BZ$3001,1622,$B$1)="","",IF(ISNUMBER(INDEX(貼り付け!$A$1:$BZ$3001,1622,$B$1)),INT(INDEX(貼り付け!$A$1:$BZ$3001,1622,$B$1)),DATE(VALUE(LEFT(I1623,FIND("-",I1623)-1)),VALUE(LEFT(J1623,FIND("-",J1623)-1)),VALUE(MID(J1623,FIND("-",J1623)+1,99)))))),"")</f>
        <v/>
      </c>
      <c r="C1623">
        <f>IF($C$1=0,0,IFERROR(VALUE(SUBSTITUTE(SUBSTITUTE(SUBSTITUTE(INDEX(貼り付け!$A$1:$BZ$3001,1622,$C$1)&amp;"",",",""),"¥",""),"￥","")),0))</f>
        <v/>
      </c>
      <c r="D1623">
        <f>IF($D$1=0,0,IFERROR(VALUE(SUBSTITUTE(SUBSTITUTE(SUBSTITUTE(INDEX(貼り付け!$A$1:$BZ$3001,1622,$D$1)&amp;"",",",""),"¥",""),"￥","")),0))</f>
        <v/>
      </c>
      <c r="E1623">
        <f>IF($E$1=0,0,IFERROR(VALUE(SUBSTITUTE(SUBSTITUTE(SUBSTITUTE(INDEX(貼り付け!$A$1:$BZ$3001,1622,$E$1)&amp;"",",",""),"¥",""),"￥","")),0))</f>
        <v/>
      </c>
      <c r="F1623">
        <f>IF($F$1=0,0,IFERROR(VALUE(SUBSTITUTE(SUBSTITUTE(SUBSTITUTE(INDEX(貼り付け!$A$1:$BZ$3001,1622,$F$1)&amp;"",",",""),"¥",""),"￥","")),0))</f>
        <v/>
      </c>
      <c r="G1623">
        <f>IF(ISNUMBER(B1623),YEAR(B1623),"")</f>
        <v/>
      </c>
      <c r="H1623">
        <f>IF(ISNUMBER(B1623),MONTH(B1623),"")</f>
        <v/>
      </c>
      <c r="I1623">
        <f>IFERROR(IF($B$1=0,"",IF(ISNUMBER(INDEX(貼り付け!$A$1:$BZ$3001,1622,$B$1)),"",SUBSTITUTE(SUBSTITUTE(SUBSTITUTE(SUBSTITUTE(TRIM(LEFT(INDEX(貼り付け!$A$1:$BZ$3001,1622,$B$1)&amp;"",FIND(" ",TRIM(INDEX(貼り付け!$A$1:$BZ$3001,1622,$B$1)&amp;"")&amp;" ")-1)),"/","-"),"年","-"),"月","-"),"日",""))),"")</f>
        <v/>
      </c>
      <c r="J1623">
        <f>IFERROR(MID(I1623,FIND("-",I1623)+1,99),"")</f>
        <v/>
      </c>
    </row>
    <row r="1624">
      <c r="B1624">
        <f>IFERROR(IF($B$1=0,"",IF(INDEX(貼り付け!$A$1:$BZ$3001,1623,$B$1)="","",IF(ISNUMBER(INDEX(貼り付け!$A$1:$BZ$3001,1623,$B$1)),INT(INDEX(貼り付け!$A$1:$BZ$3001,1623,$B$1)),DATE(VALUE(LEFT(I1624,FIND("-",I1624)-1)),VALUE(LEFT(J1624,FIND("-",J1624)-1)),VALUE(MID(J1624,FIND("-",J1624)+1,99)))))),"")</f>
        <v/>
      </c>
      <c r="C1624">
        <f>IF($C$1=0,0,IFERROR(VALUE(SUBSTITUTE(SUBSTITUTE(SUBSTITUTE(INDEX(貼り付け!$A$1:$BZ$3001,1623,$C$1)&amp;"",",",""),"¥",""),"￥","")),0))</f>
        <v/>
      </c>
      <c r="D1624">
        <f>IF($D$1=0,0,IFERROR(VALUE(SUBSTITUTE(SUBSTITUTE(SUBSTITUTE(INDEX(貼り付け!$A$1:$BZ$3001,1623,$D$1)&amp;"",",",""),"¥",""),"￥","")),0))</f>
        <v/>
      </c>
      <c r="E1624">
        <f>IF($E$1=0,0,IFERROR(VALUE(SUBSTITUTE(SUBSTITUTE(SUBSTITUTE(INDEX(貼り付け!$A$1:$BZ$3001,1623,$E$1)&amp;"",",",""),"¥",""),"￥","")),0))</f>
        <v/>
      </c>
      <c r="F1624">
        <f>IF($F$1=0,0,IFERROR(VALUE(SUBSTITUTE(SUBSTITUTE(SUBSTITUTE(INDEX(貼り付け!$A$1:$BZ$3001,1623,$F$1)&amp;"",",",""),"¥",""),"￥","")),0))</f>
        <v/>
      </c>
      <c r="G1624">
        <f>IF(ISNUMBER(B1624),YEAR(B1624),"")</f>
        <v/>
      </c>
      <c r="H1624">
        <f>IF(ISNUMBER(B1624),MONTH(B1624),"")</f>
        <v/>
      </c>
      <c r="I1624">
        <f>IFERROR(IF($B$1=0,"",IF(ISNUMBER(INDEX(貼り付け!$A$1:$BZ$3001,1623,$B$1)),"",SUBSTITUTE(SUBSTITUTE(SUBSTITUTE(SUBSTITUTE(TRIM(LEFT(INDEX(貼り付け!$A$1:$BZ$3001,1623,$B$1)&amp;"",FIND(" ",TRIM(INDEX(貼り付け!$A$1:$BZ$3001,1623,$B$1)&amp;"")&amp;" ")-1)),"/","-"),"年","-"),"月","-"),"日",""))),"")</f>
        <v/>
      </c>
      <c r="J1624">
        <f>IFERROR(MID(I1624,FIND("-",I1624)+1,99),"")</f>
        <v/>
      </c>
    </row>
    <row r="1625">
      <c r="B1625">
        <f>IFERROR(IF($B$1=0,"",IF(INDEX(貼り付け!$A$1:$BZ$3001,1624,$B$1)="","",IF(ISNUMBER(INDEX(貼り付け!$A$1:$BZ$3001,1624,$B$1)),INT(INDEX(貼り付け!$A$1:$BZ$3001,1624,$B$1)),DATE(VALUE(LEFT(I1625,FIND("-",I1625)-1)),VALUE(LEFT(J1625,FIND("-",J1625)-1)),VALUE(MID(J1625,FIND("-",J1625)+1,99)))))),"")</f>
        <v/>
      </c>
      <c r="C1625">
        <f>IF($C$1=0,0,IFERROR(VALUE(SUBSTITUTE(SUBSTITUTE(SUBSTITUTE(INDEX(貼り付け!$A$1:$BZ$3001,1624,$C$1)&amp;"",",",""),"¥",""),"￥","")),0))</f>
        <v/>
      </c>
      <c r="D1625">
        <f>IF($D$1=0,0,IFERROR(VALUE(SUBSTITUTE(SUBSTITUTE(SUBSTITUTE(INDEX(貼り付け!$A$1:$BZ$3001,1624,$D$1)&amp;"",",",""),"¥",""),"￥","")),0))</f>
        <v/>
      </c>
      <c r="E1625">
        <f>IF($E$1=0,0,IFERROR(VALUE(SUBSTITUTE(SUBSTITUTE(SUBSTITUTE(INDEX(貼り付け!$A$1:$BZ$3001,1624,$E$1)&amp;"",",",""),"¥",""),"￥","")),0))</f>
        <v/>
      </c>
      <c r="F1625">
        <f>IF($F$1=0,0,IFERROR(VALUE(SUBSTITUTE(SUBSTITUTE(SUBSTITUTE(INDEX(貼り付け!$A$1:$BZ$3001,1624,$F$1)&amp;"",",",""),"¥",""),"￥","")),0))</f>
        <v/>
      </c>
      <c r="G1625">
        <f>IF(ISNUMBER(B1625),YEAR(B1625),"")</f>
        <v/>
      </c>
      <c r="H1625">
        <f>IF(ISNUMBER(B1625),MONTH(B1625),"")</f>
        <v/>
      </c>
      <c r="I1625">
        <f>IFERROR(IF($B$1=0,"",IF(ISNUMBER(INDEX(貼り付け!$A$1:$BZ$3001,1624,$B$1)),"",SUBSTITUTE(SUBSTITUTE(SUBSTITUTE(SUBSTITUTE(TRIM(LEFT(INDEX(貼り付け!$A$1:$BZ$3001,1624,$B$1)&amp;"",FIND(" ",TRIM(INDEX(貼り付け!$A$1:$BZ$3001,1624,$B$1)&amp;"")&amp;" ")-1)),"/","-"),"年","-"),"月","-"),"日",""))),"")</f>
        <v/>
      </c>
      <c r="J1625">
        <f>IFERROR(MID(I1625,FIND("-",I1625)+1,99),"")</f>
        <v/>
      </c>
    </row>
    <row r="1626">
      <c r="B1626">
        <f>IFERROR(IF($B$1=0,"",IF(INDEX(貼り付け!$A$1:$BZ$3001,1625,$B$1)="","",IF(ISNUMBER(INDEX(貼り付け!$A$1:$BZ$3001,1625,$B$1)),INT(INDEX(貼り付け!$A$1:$BZ$3001,1625,$B$1)),DATE(VALUE(LEFT(I1626,FIND("-",I1626)-1)),VALUE(LEFT(J1626,FIND("-",J1626)-1)),VALUE(MID(J1626,FIND("-",J1626)+1,99)))))),"")</f>
        <v/>
      </c>
      <c r="C1626">
        <f>IF($C$1=0,0,IFERROR(VALUE(SUBSTITUTE(SUBSTITUTE(SUBSTITUTE(INDEX(貼り付け!$A$1:$BZ$3001,1625,$C$1)&amp;"",",",""),"¥",""),"￥","")),0))</f>
        <v/>
      </c>
      <c r="D1626">
        <f>IF($D$1=0,0,IFERROR(VALUE(SUBSTITUTE(SUBSTITUTE(SUBSTITUTE(INDEX(貼り付け!$A$1:$BZ$3001,1625,$D$1)&amp;"",",",""),"¥",""),"￥","")),0))</f>
        <v/>
      </c>
      <c r="E1626">
        <f>IF($E$1=0,0,IFERROR(VALUE(SUBSTITUTE(SUBSTITUTE(SUBSTITUTE(INDEX(貼り付け!$A$1:$BZ$3001,1625,$E$1)&amp;"",",",""),"¥",""),"￥","")),0))</f>
        <v/>
      </c>
      <c r="F1626">
        <f>IF($F$1=0,0,IFERROR(VALUE(SUBSTITUTE(SUBSTITUTE(SUBSTITUTE(INDEX(貼り付け!$A$1:$BZ$3001,1625,$F$1)&amp;"",",",""),"¥",""),"￥","")),0))</f>
        <v/>
      </c>
      <c r="G1626">
        <f>IF(ISNUMBER(B1626),YEAR(B1626),"")</f>
        <v/>
      </c>
      <c r="H1626">
        <f>IF(ISNUMBER(B1626),MONTH(B1626),"")</f>
        <v/>
      </c>
      <c r="I1626">
        <f>IFERROR(IF($B$1=0,"",IF(ISNUMBER(INDEX(貼り付け!$A$1:$BZ$3001,1625,$B$1)),"",SUBSTITUTE(SUBSTITUTE(SUBSTITUTE(SUBSTITUTE(TRIM(LEFT(INDEX(貼り付け!$A$1:$BZ$3001,1625,$B$1)&amp;"",FIND(" ",TRIM(INDEX(貼り付け!$A$1:$BZ$3001,1625,$B$1)&amp;"")&amp;" ")-1)),"/","-"),"年","-"),"月","-"),"日",""))),"")</f>
        <v/>
      </c>
      <c r="J1626">
        <f>IFERROR(MID(I1626,FIND("-",I1626)+1,99),"")</f>
        <v/>
      </c>
    </row>
    <row r="1627">
      <c r="B1627">
        <f>IFERROR(IF($B$1=0,"",IF(INDEX(貼り付け!$A$1:$BZ$3001,1626,$B$1)="","",IF(ISNUMBER(INDEX(貼り付け!$A$1:$BZ$3001,1626,$B$1)),INT(INDEX(貼り付け!$A$1:$BZ$3001,1626,$B$1)),DATE(VALUE(LEFT(I1627,FIND("-",I1627)-1)),VALUE(LEFT(J1627,FIND("-",J1627)-1)),VALUE(MID(J1627,FIND("-",J1627)+1,99)))))),"")</f>
        <v/>
      </c>
      <c r="C1627">
        <f>IF($C$1=0,0,IFERROR(VALUE(SUBSTITUTE(SUBSTITUTE(SUBSTITUTE(INDEX(貼り付け!$A$1:$BZ$3001,1626,$C$1)&amp;"",",",""),"¥",""),"￥","")),0))</f>
        <v/>
      </c>
      <c r="D1627">
        <f>IF($D$1=0,0,IFERROR(VALUE(SUBSTITUTE(SUBSTITUTE(SUBSTITUTE(INDEX(貼り付け!$A$1:$BZ$3001,1626,$D$1)&amp;"",",",""),"¥",""),"￥","")),0))</f>
        <v/>
      </c>
      <c r="E1627">
        <f>IF($E$1=0,0,IFERROR(VALUE(SUBSTITUTE(SUBSTITUTE(SUBSTITUTE(INDEX(貼り付け!$A$1:$BZ$3001,1626,$E$1)&amp;"",",",""),"¥",""),"￥","")),0))</f>
        <v/>
      </c>
      <c r="F1627">
        <f>IF($F$1=0,0,IFERROR(VALUE(SUBSTITUTE(SUBSTITUTE(SUBSTITUTE(INDEX(貼り付け!$A$1:$BZ$3001,1626,$F$1)&amp;"",",",""),"¥",""),"￥","")),0))</f>
        <v/>
      </c>
      <c r="G1627">
        <f>IF(ISNUMBER(B1627),YEAR(B1627),"")</f>
        <v/>
      </c>
      <c r="H1627">
        <f>IF(ISNUMBER(B1627),MONTH(B1627),"")</f>
        <v/>
      </c>
      <c r="I1627">
        <f>IFERROR(IF($B$1=0,"",IF(ISNUMBER(INDEX(貼り付け!$A$1:$BZ$3001,1626,$B$1)),"",SUBSTITUTE(SUBSTITUTE(SUBSTITUTE(SUBSTITUTE(TRIM(LEFT(INDEX(貼り付け!$A$1:$BZ$3001,1626,$B$1)&amp;"",FIND(" ",TRIM(INDEX(貼り付け!$A$1:$BZ$3001,1626,$B$1)&amp;"")&amp;" ")-1)),"/","-"),"年","-"),"月","-"),"日",""))),"")</f>
        <v/>
      </c>
      <c r="J1627">
        <f>IFERROR(MID(I1627,FIND("-",I1627)+1,99),"")</f>
        <v/>
      </c>
    </row>
    <row r="1628">
      <c r="B1628">
        <f>IFERROR(IF($B$1=0,"",IF(INDEX(貼り付け!$A$1:$BZ$3001,1627,$B$1)="","",IF(ISNUMBER(INDEX(貼り付け!$A$1:$BZ$3001,1627,$B$1)),INT(INDEX(貼り付け!$A$1:$BZ$3001,1627,$B$1)),DATE(VALUE(LEFT(I1628,FIND("-",I1628)-1)),VALUE(LEFT(J1628,FIND("-",J1628)-1)),VALUE(MID(J1628,FIND("-",J1628)+1,99)))))),"")</f>
        <v/>
      </c>
      <c r="C1628">
        <f>IF($C$1=0,0,IFERROR(VALUE(SUBSTITUTE(SUBSTITUTE(SUBSTITUTE(INDEX(貼り付け!$A$1:$BZ$3001,1627,$C$1)&amp;"",",",""),"¥",""),"￥","")),0))</f>
        <v/>
      </c>
      <c r="D1628">
        <f>IF($D$1=0,0,IFERROR(VALUE(SUBSTITUTE(SUBSTITUTE(SUBSTITUTE(INDEX(貼り付け!$A$1:$BZ$3001,1627,$D$1)&amp;"",",",""),"¥",""),"￥","")),0))</f>
        <v/>
      </c>
      <c r="E1628">
        <f>IF($E$1=0,0,IFERROR(VALUE(SUBSTITUTE(SUBSTITUTE(SUBSTITUTE(INDEX(貼り付け!$A$1:$BZ$3001,1627,$E$1)&amp;"",",",""),"¥",""),"￥","")),0))</f>
        <v/>
      </c>
      <c r="F1628">
        <f>IF($F$1=0,0,IFERROR(VALUE(SUBSTITUTE(SUBSTITUTE(SUBSTITUTE(INDEX(貼り付け!$A$1:$BZ$3001,1627,$F$1)&amp;"",",",""),"¥",""),"￥","")),0))</f>
        <v/>
      </c>
      <c r="G1628">
        <f>IF(ISNUMBER(B1628),YEAR(B1628),"")</f>
        <v/>
      </c>
      <c r="H1628">
        <f>IF(ISNUMBER(B1628),MONTH(B1628),"")</f>
        <v/>
      </c>
      <c r="I1628">
        <f>IFERROR(IF($B$1=0,"",IF(ISNUMBER(INDEX(貼り付け!$A$1:$BZ$3001,1627,$B$1)),"",SUBSTITUTE(SUBSTITUTE(SUBSTITUTE(SUBSTITUTE(TRIM(LEFT(INDEX(貼り付け!$A$1:$BZ$3001,1627,$B$1)&amp;"",FIND(" ",TRIM(INDEX(貼り付け!$A$1:$BZ$3001,1627,$B$1)&amp;"")&amp;" ")-1)),"/","-"),"年","-"),"月","-"),"日",""))),"")</f>
        <v/>
      </c>
      <c r="J1628">
        <f>IFERROR(MID(I1628,FIND("-",I1628)+1,99),"")</f>
        <v/>
      </c>
    </row>
    <row r="1629">
      <c r="B1629">
        <f>IFERROR(IF($B$1=0,"",IF(INDEX(貼り付け!$A$1:$BZ$3001,1628,$B$1)="","",IF(ISNUMBER(INDEX(貼り付け!$A$1:$BZ$3001,1628,$B$1)),INT(INDEX(貼り付け!$A$1:$BZ$3001,1628,$B$1)),DATE(VALUE(LEFT(I1629,FIND("-",I1629)-1)),VALUE(LEFT(J1629,FIND("-",J1629)-1)),VALUE(MID(J1629,FIND("-",J1629)+1,99)))))),"")</f>
        <v/>
      </c>
      <c r="C1629">
        <f>IF($C$1=0,0,IFERROR(VALUE(SUBSTITUTE(SUBSTITUTE(SUBSTITUTE(INDEX(貼り付け!$A$1:$BZ$3001,1628,$C$1)&amp;"",",",""),"¥",""),"￥","")),0))</f>
        <v/>
      </c>
      <c r="D1629">
        <f>IF($D$1=0,0,IFERROR(VALUE(SUBSTITUTE(SUBSTITUTE(SUBSTITUTE(INDEX(貼り付け!$A$1:$BZ$3001,1628,$D$1)&amp;"",",",""),"¥",""),"￥","")),0))</f>
        <v/>
      </c>
      <c r="E1629">
        <f>IF($E$1=0,0,IFERROR(VALUE(SUBSTITUTE(SUBSTITUTE(SUBSTITUTE(INDEX(貼り付け!$A$1:$BZ$3001,1628,$E$1)&amp;"",",",""),"¥",""),"￥","")),0))</f>
        <v/>
      </c>
      <c r="F1629">
        <f>IF($F$1=0,0,IFERROR(VALUE(SUBSTITUTE(SUBSTITUTE(SUBSTITUTE(INDEX(貼り付け!$A$1:$BZ$3001,1628,$F$1)&amp;"",",",""),"¥",""),"￥","")),0))</f>
        <v/>
      </c>
      <c r="G1629">
        <f>IF(ISNUMBER(B1629),YEAR(B1629),"")</f>
        <v/>
      </c>
      <c r="H1629">
        <f>IF(ISNUMBER(B1629),MONTH(B1629),"")</f>
        <v/>
      </c>
      <c r="I1629">
        <f>IFERROR(IF($B$1=0,"",IF(ISNUMBER(INDEX(貼り付け!$A$1:$BZ$3001,1628,$B$1)),"",SUBSTITUTE(SUBSTITUTE(SUBSTITUTE(SUBSTITUTE(TRIM(LEFT(INDEX(貼り付け!$A$1:$BZ$3001,1628,$B$1)&amp;"",FIND(" ",TRIM(INDEX(貼り付け!$A$1:$BZ$3001,1628,$B$1)&amp;"")&amp;" ")-1)),"/","-"),"年","-"),"月","-"),"日",""))),"")</f>
        <v/>
      </c>
      <c r="J1629">
        <f>IFERROR(MID(I1629,FIND("-",I1629)+1,99),"")</f>
        <v/>
      </c>
    </row>
    <row r="1630">
      <c r="B1630">
        <f>IFERROR(IF($B$1=0,"",IF(INDEX(貼り付け!$A$1:$BZ$3001,1629,$B$1)="","",IF(ISNUMBER(INDEX(貼り付け!$A$1:$BZ$3001,1629,$B$1)),INT(INDEX(貼り付け!$A$1:$BZ$3001,1629,$B$1)),DATE(VALUE(LEFT(I1630,FIND("-",I1630)-1)),VALUE(LEFT(J1630,FIND("-",J1630)-1)),VALUE(MID(J1630,FIND("-",J1630)+1,99)))))),"")</f>
        <v/>
      </c>
      <c r="C1630">
        <f>IF($C$1=0,0,IFERROR(VALUE(SUBSTITUTE(SUBSTITUTE(SUBSTITUTE(INDEX(貼り付け!$A$1:$BZ$3001,1629,$C$1)&amp;"",",",""),"¥",""),"￥","")),0))</f>
        <v/>
      </c>
      <c r="D1630">
        <f>IF($D$1=0,0,IFERROR(VALUE(SUBSTITUTE(SUBSTITUTE(SUBSTITUTE(INDEX(貼り付け!$A$1:$BZ$3001,1629,$D$1)&amp;"",",",""),"¥",""),"￥","")),0))</f>
        <v/>
      </c>
      <c r="E1630">
        <f>IF($E$1=0,0,IFERROR(VALUE(SUBSTITUTE(SUBSTITUTE(SUBSTITUTE(INDEX(貼り付け!$A$1:$BZ$3001,1629,$E$1)&amp;"",",",""),"¥",""),"￥","")),0))</f>
        <v/>
      </c>
      <c r="F1630">
        <f>IF($F$1=0,0,IFERROR(VALUE(SUBSTITUTE(SUBSTITUTE(SUBSTITUTE(INDEX(貼り付け!$A$1:$BZ$3001,1629,$F$1)&amp;"",",",""),"¥",""),"￥","")),0))</f>
        <v/>
      </c>
      <c r="G1630">
        <f>IF(ISNUMBER(B1630),YEAR(B1630),"")</f>
        <v/>
      </c>
      <c r="H1630">
        <f>IF(ISNUMBER(B1630),MONTH(B1630),"")</f>
        <v/>
      </c>
      <c r="I1630">
        <f>IFERROR(IF($B$1=0,"",IF(ISNUMBER(INDEX(貼り付け!$A$1:$BZ$3001,1629,$B$1)),"",SUBSTITUTE(SUBSTITUTE(SUBSTITUTE(SUBSTITUTE(TRIM(LEFT(INDEX(貼り付け!$A$1:$BZ$3001,1629,$B$1)&amp;"",FIND(" ",TRIM(INDEX(貼り付け!$A$1:$BZ$3001,1629,$B$1)&amp;"")&amp;" ")-1)),"/","-"),"年","-"),"月","-"),"日",""))),"")</f>
        <v/>
      </c>
      <c r="J1630">
        <f>IFERROR(MID(I1630,FIND("-",I1630)+1,99),"")</f>
        <v/>
      </c>
    </row>
    <row r="1631">
      <c r="B1631">
        <f>IFERROR(IF($B$1=0,"",IF(INDEX(貼り付け!$A$1:$BZ$3001,1630,$B$1)="","",IF(ISNUMBER(INDEX(貼り付け!$A$1:$BZ$3001,1630,$B$1)),INT(INDEX(貼り付け!$A$1:$BZ$3001,1630,$B$1)),DATE(VALUE(LEFT(I1631,FIND("-",I1631)-1)),VALUE(LEFT(J1631,FIND("-",J1631)-1)),VALUE(MID(J1631,FIND("-",J1631)+1,99)))))),"")</f>
        <v/>
      </c>
      <c r="C1631">
        <f>IF($C$1=0,0,IFERROR(VALUE(SUBSTITUTE(SUBSTITUTE(SUBSTITUTE(INDEX(貼り付け!$A$1:$BZ$3001,1630,$C$1)&amp;"",",",""),"¥",""),"￥","")),0))</f>
        <v/>
      </c>
      <c r="D1631">
        <f>IF($D$1=0,0,IFERROR(VALUE(SUBSTITUTE(SUBSTITUTE(SUBSTITUTE(INDEX(貼り付け!$A$1:$BZ$3001,1630,$D$1)&amp;"",",",""),"¥",""),"￥","")),0))</f>
        <v/>
      </c>
      <c r="E1631">
        <f>IF($E$1=0,0,IFERROR(VALUE(SUBSTITUTE(SUBSTITUTE(SUBSTITUTE(INDEX(貼り付け!$A$1:$BZ$3001,1630,$E$1)&amp;"",",",""),"¥",""),"￥","")),0))</f>
        <v/>
      </c>
      <c r="F1631">
        <f>IF($F$1=0,0,IFERROR(VALUE(SUBSTITUTE(SUBSTITUTE(SUBSTITUTE(INDEX(貼り付け!$A$1:$BZ$3001,1630,$F$1)&amp;"",",",""),"¥",""),"￥","")),0))</f>
        <v/>
      </c>
      <c r="G1631">
        <f>IF(ISNUMBER(B1631),YEAR(B1631),"")</f>
        <v/>
      </c>
      <c r="H1631">
        <f>IF(ISNUMBER(B1631),MONTH(B1631),"")</f>
        <v/>
      </c>
      <c r="I1631">
        <f>IFERROR(IF($B$1=0,"",IF(ISNUMBER(INDEX(貼り付け!$A$1:$BZ$3001,1630,$B$1)),"",SUBSTITUTE(SUBSTITUTE(SUBSTITUTE(SUBSTITUTE(TRIM(LEFT(INDEX(貼り付け!$A$1:$BZ$3001,1630,$B$1)&amp;"",FIND(" ",TRIM(INDEX(貼り付け!$A$1:$BZ$3001,1630,$B$1)&amp;"")&amp;" ")-1)),"/","-"),"年","-"),"月","-"),"日",""))),"")</f>
        <v/>
      </c>
      <c r="J1631">
        <f>IFERROR(MID(I1631,FIND("-",I1631)+1,99),"")</f>
        <v/>
      </c>
    </row>
    <row r="1632">
      <c r="B1632">
        <f>IFERROR(IF($B$1=0,"",IF(INDEX(貼り付け!$A$1:$BZ$3001,1631,$B$1)="","",IF(ISNUMBER(INDEX(貼り付け!$A$1:$BZ$3001,1631,$B$1)),INT(INDEX(貼り付け!$A$1:$BZ$3001,1631,$B$1)),DATE(VALUE(LEFT(I1632,FIND("-",I1632)-1)),VALUE(LEFT(J1632,FIND("-",J1632)-1)),VALUE(MID(J1632,FIND("-",J1632)+1,99)))))),"")</f>
        <v/>
      </c>
      <c r="C1632">
        <f>IF($C$1=0,0,IFERROR(VALUE(SUBSTITUTE(SUBSTITUTE(SUBSTITUTE(INDEX(貼り付け!$A$1:$BZ$3001,1631,$C$1)&amp;"",",",""),"¥",""),"￥","")),0))</f>
        <v/>
      </c>
      <c r="D1632">
        <f>IF($D$1=0,0,IFERROR(VALUE(SUBSTITUTE(SUBSTITUTE(SUBSTITUTE(INDEX(貼り付け!$A$1:$BZ$3001,1631,$D$1)&amp;"",",",""),"¥",""),"￥","")),0))</f>
        <v/>
      </c>
      <c r="E1632">
        <f>IF($E$1=0,0,IFERROR(VALUE(SUBSTITUTE(SUBSTITUTE(SUBSTITUTE(INDEX(貼り付け!$A$1:$BZ$3001,1631,$E$1)&amp;"",",",""),"¥",""),"￥","")),0))</f>
        <v/>
      </c>
      <c r="F1632">
        <f>IF($F$1=0,0,IFERROR(VALUE(SUBSTITUTE(SUBSTITUTE(SUBSTITUTE(INDEX(貼り付け!$A$1:$BZ$3001,1631,$F$1)&amp;"",",",""),"¥",""),"￥","")),0))</f>
        <v/>
      </c>
      <c r="G1632">
        <f>IF(ISNUMBER(B1632),YEAR(B1632),"")</f>
        <v/>
      </c>
      <c r="H1632">
        <f>IF(ISNUMBER(B1632),MONTH(B1632),"")</f>
        <v/>
      </c>
      <c r="I1632">
        <f>IFERROR(IF($B$1=0,"",IF(ISNUMBER(INDEX(貼り付け!$A$1:$BZ$3001,1631,$B$1)),"",SUBSTITUTE(SUBSTITUTE(SUBSTITUTE(SUBSTITUTE(TRIM(LEFT(INDEX(貼り付け!$A$1:$BZ$3001,1631,$B$1)&amp;"",FIND(" ",TRIM(INDEX(貼り付け!$A$1:$BZ$3001,1631,$B$1)&amp;"")&amp;" ")-1)),"/","-"),"年","-"),"月","-"),"日",""))),"")</f>
        <v/>
      </c>
      <c r="J1632">
        <f>IFERROR(MID(I1632,FIND("-",I1632)+1,99),"")</f>
        <v/>
      </c>
    </row>
    <row r="1633">
      <c r="B1633">
        <f>IFERROR(IF($B$1=0,"",IF(INDEX(貼り付け!$A$1:$BZ$3001,1632,$B$1)="","",IF(ISNUMBER(INDEX(貼り付け!$A$1:$BZ$3001,1632,$B$1)),INT(INDEX(貼り付け!$A$1:$BZ$3001,1632,$B$1)),DATE(VALUE(LEFT(I1633,FIND("-",I1633)-1)),VALUE(LEFT(J1633,FIND("-",J1633)-1)),VALUE(MID(J1633,FIND("-",J1633)+1,99)))))),"")</f>
        <v/>
      </c>
      <c r="C1633">
        <f>IF($C$1=0,0,IFERROR(VALUE(SUBSTITUTE(SUBSTITUTE(SUBSTITUTE(INDEX(貼り付け!$A$1:$BZ$3001,1632,$C$1)&amp;"",",",""),"¥",""),"￥","")),0))</f>
        <v/>
      </c>
      <c r="D1633">
        <f>IF($D$1=0,0,IFERROR(VALUE(SUBSTITUTE(SUBSTITUTE(SUBSTITUTE(INDEX(貼り付け!$A$1:$BZ$3001,1632,$D$1)&amp;"",",",""),"¥",""),"￥","")),0))</f>
        <v/>
      </c>
      <c r="E1633">
        <f>IF($E$1=0,0,IFERROR(VALUE(SUBSTITUTE(SUBSTITUTE(SUBSTITUTE(INDEX(貼り付け!$A$1:$BZ$3001,1632,$E$1)&amp;"",",",""),"¥",""),"￥","")),0))</f>
        <v/>
      </c>
      <c r="F1633">
        <f>IF($F$1=0,0,IFERROR(VALUE(SUBSTITUTE(SUBSTITUTE(SUBSTITUTE(INDEX(貼り付け!$A$1:$BZ$3001,1632,$F$1)&amp;"",",",""),"¥",""),"￥","")),0))</f>
        <v/>
      </c>
      <c r="G1633">
        <f>IF(ISNUMBER(B1633),YEAR(B1633),"")</f>
        <v/>
      </c>
      <c r="H1633">
        <f>IF(ISNUMBER(B1633),MONTH(B1633),"")</f>
        <v/>
      </c>
      <c r="I1633">
        <f>IFERROR(IF($B$1=0,"",IF(ISNUMBER(INDEX(貼り付け!$A$1:$BZ$3001,1632,$B$1)),"",SUBSTITUTE(SUBSTITUTE(SUBSTITUTE(SUBSTITUTE(TRIM(LEFT(INDEX(貼り付け!$A$1:$BZ$3001,1632,$B$1)&amp;"",FIND(" ",TRIM(INDEX(貼り付け!$A$1:$BZ$3001,1632,$B$1)&amp;"")&amp;" ")-1)),"/","-"),"年","-"),"月","-"),"日",""))),"")</f>
        <v/>
      </c>
      <c r="J1633">
        <f>IFERROR(MID(I1633,FIND("-",I1633)+1,99),"")</f>
        <v/>
      </c>
    </row>
    <row r="1634">
      <c r="B1634">
        <f>IFERROR(IF($B$1=0,"",IF(INDEX(貼り付け!$A$1:$BZ$3001,1633,$B$1)="","",IF(ISNUMBER(INDEX(貼り付け!$A$1:$BZ$3001,1633,$B$1)),INT(INDEX(貼り付け!$A$1:$BZ$3001,1633,$B$1)),DATE(VALUE(LEFT(I1634,FIND("-",I1634)-1)),VALUE(LEFT(J1634,FIND("-",J1634)-1)),VALUE(MID(J1634,FIND("-",J1634)+1,99)))))),"")</f>
        <v/>
      </c>
      <c r="C1634">
        <f>IF($C$1=0,0,IFERROR(VALUE(SUBSTITUTE(SUBSTITUTE(SUBSTITUTE(INDEX(貼り付け!$A$1:$BZ$3001,1633,$C$1)&amp;"",",",""),"¥",""),"￥","")),0))</f>
        <v/>
      </c>
      <c r="D1634">
        <f>IF($D$1=0,0,IFERROR(VALUE(SUBSTITUTE(SUBSTITUTE(SUBSTITUTE(INDEX(貼り付け!$A$1:$BZ$3001,1633,$D$1)&amp;"",",",""),"¥",""),"￥","")),0))</f>
        <v/>
      </c>
      <c r="E1634">
        <f>IF($E$1=0,0,IFERROR(VALUE(SUBSTITUTE(SUBSTITUTE(SUBSTITUTE(INDEX(貼り付け!$A$1:$BZ$3001,1633,$E$1)&amp;"",",",""),"¥",""),"￥","")),0))</f>
        <v/>
      </c>
      <c r="F1634">
        <f>IF($F$1=0,0,IFERROR(VALUE(SUBSTITUTE(SUBSTITUTE(SUBSTITUTE(INDEX(貼り付け!$A$1:$BZ$3001,1633,$F$1)&amp;"",",",""),"¥",""),"￥","")),0))</f>
        <v/>
      </c>
      <c r="G1634">
        <f>IF(ISNUMBER(B1634),YEAR(B1634),"")</f>
        <v/>
      </c>
      <c r="H1634">
        <f>IF(ISNUMBER(B1634),MONTH(B1634),"")</f>
        <v/>
      </c>
      <c r="I1634">
        <f>IFERROR(IF($B$1=0,"",IF(ISNUMBER(INDEX(貼り付け!$A$1:$BZ$3001,1633,$B$1)),"",SUBSTITUTE(SUBSTITUTE(SUBSTITUTE(SUBSTITUTE(TRIM(LEFT(INDEX(貼り付け!$A$1:$BZ$3001,1633,$B$1)&amp;"",FIND(" ",TRIM(INDEX(貼り付け!$A$1:$BZ$3001,1633,$B$1)&amp;"")&amp;" ")-1)),"/","-"),"年","-"),"月","-"),"日",""))),"")</f>
        <v/>
      </c>
      <c r="J1634">
        <f>IFERROR(MID(I1634,FIND("-",I1634)+1,99),"")</f>
        <v/>
      </c>
    </row>
    <row r="1635">
      <c r="B1635">
        <f>IFERROR(IF($B$1=0,"",IF(INDEX(貼り付け!$A$1:$BZ$3001,1634,$B$1)="","",IF(ISNUMBER(INDEX(貼り付け!$A$1:$BZ$3001,1634,$B$1)),INT(INDEX(貼り付け!$A$1:$BZ$3001,1634,$B$1)),DATE(VALUE(LEFT(I1635,FIND("-",I1635)-1)),VALUE(LEFT(J1635,FIND("-",J1635)-1)),VALUE(MID(J1635,FIND("-",J1635)+1,99)))))),"")</f>
        <v/>
      </c>
      <c r="C1635">
        <f>IF($C$1=0,0,IFERROR(VALUE(SUBSTITUTE(SUBSTITUTE(SUBSTITUTE(INDEX(貼り付け!$A$1:$BZ$3001,1634,$C$1)&amp;"",",",""),"¥",""),"￥","")),0))</f>
        <v/>
      </c>
      <c r="D1635">
        <f>IF($D$1=0,0,IFERROR(VALUE(SUBSTITUTE(SUBSTITUTE(SUBSTITUTE(INDEX(貼り付け!$A$1:$BZ$3001,1634,$D$1)&amp;"",",",""),"¥",""),"￥","")),0))</f>
        <v/>
      </c>
      <c r="E1635">
        <f>IF($E$1=0,0,IFERROR(VALUE(SUBSTITUTE(SUBSTITUTE(SUBSTITUTE(INDEX(貼り付け!$A$1:$BZ$3001,1634,$E$1)&amp;"",",",""),"¥",""),"￥","")),0))</f>
        <v/>
      </c>
      <c r="F1635">
        <f>IF($F$1=0,0,IFERROR(VALUE(SUBSTITUTE(SUBSTITUTE(SUBSTITUTE(INDEX(貼り付け!$A$1:$BZ$3001,1634,$F$1)&amp;"",",",""),"¥",""),"￥","")),0))</f>
        <v/>
      </c>
      <c r="G1635">
        <f>IF(ISNUMBER(B1635),YEAR(B1635),"")</f>
        <v/>
      </c>
      <c r="H1635">
        <f>IF(ISNUMBER(B1635),MONTH(B1635),"")</f>
        <v/>
      </c>
      <c r="I1635">
        <f>IFERROR(IF($B$1=0,"",IF(ISNUMBER(INDEX(貼り付け!$A$1:$BZ$3001,1634,$B$1)),"",SUBSTITUTE(SUBSTITUTE(SUBSTITUTE(SUBSTITUTE(TRIM(LEFT(INDEX(貼り付け!$A$1:$BZ$3001,1634,$B$1)&amp;"",FIND(" ",TRIM(INDEX(貼り付け!$A$1:$BZ$3001,1634,$B$1)&amp;"")&amp;" ")-1)),"/","-"),"年","-"),"月","-"),"日",""))),"")</f>
        <v/>
      </c>
      <c r="J1635">
        <f>IFERROR(MID(I1635,FIND("-",I1635)+1,99),"")</f>
        <v/>
      </c>
    </row>
    <row r="1636">
      <c r="B1636">
        <f>IFERROR(IF($B$1=0,"",IF(INDEX(貼り付け!$A$1:$BZ$3001,1635,$B$1)="","",IF(ISNUMBER(INDEX(貼り付け!$A$1:$BZ$3001,1635,$B$1)),INT(INDEX(貼り付け!$A$1:$BZ$3001,1635,$B$1)),DATE(VALUE(LEFT(I1636,FIND("-",I1636)-1)),VALUE(LEFT(J1636,FIND("-",J1636)-1)),VALUE(MID(J1636,FIND("-",J1636)+1,99)))))),"")</f>
        <v/>
      </c>
      <c r="C1636">
        <f>IF($C$1=0,0,IFERROR(VALUE(SUBSTITUTE(SUBSTITUTE(SUBSTITUTE(INDEX(貼り付け!$A$1:$BZ$3001,1635,$C$1)&amp;"",",",""),"¥",""),"￥","")),0))</f>
        <v/>
      </c>
      <c r="D1636">
        <f>IF($D$1=0,0,IFERROR(VALUE(SUBSTITUTE(SUBSTITUTE(SUBSTITUTE(INDEX(貼り付け!$A$1:$BZ$3001,1635,$D$1)&amp;"",",",""),"¥",""),"￥","")),0))</f>
        <v/>
      </c>
      <c r="E1636">
        <f>IF($E$1=0,0,IFERROR(VALUE(SUBSTITUTE(SUBSTITUTE(SUBSTITUTE(INDEX(貼り付け!$A$1:$BZ$3001,1635,$E$1)&amp;"",",",""),"¥",""),"￥","")),0))</f>
        <v/>
      </c>
      <c r="F1636">
        <f>IF($F$1=0,0,IFERROR(VALUE(SUBSTITUTE(SUBSTITUTE(SUBSTITUTE(INDEX(貼り付け!$A$1:$BZ$3001,1635,$F$1)&amp;"",",",""),"¥",""),"￥","")),0))</f>
        <v/>
      </c>
      <c r="G1636">
        <f>IF(ISNUMBER(B1636),YEAR(B1636),"")</f>
        <v/>
      </c>
      <c r="H1636">
        <f>IF(ISNUMBER(B1636),MONTH(B1636),"")</f>
        <v/>
      </c>
      <c r="I1636">
        <f>IFERROR(IF($B$1=0,"",IF(ISNUMBER(INDEX(貼り付け!$A$1:$BZ$3001,1635,$B$1)),"",SUBSTITUTE(SUBSTITUTE(SUBSTITUTE(SUBSTITUTE(TRIM(LEFT(INDEX(貼り付け!$A$1:$BZ$3001,1635,$B$1)&amp;"",FIND(" ",TRIM(INDEX(貼り付け!$A$1:$BZ$3001,1635,$B$1)&amp;"")&amp;" ")-1)),"/","-"),"年","-"),"月","-"),"日",""))),"")</f>
        <v/>
      </c>
      <c r="J1636">
        <f>IFERROR(MID(I1636,FIND("-",I1636)+1,99),"")</f>
        <v/>
      </c>
    </row>
    <row r="1637">
      <c r="B1637">
        <f>IFERROR(IF($B$1=0,"",IF(INDEX(貼り付け!$A$1:$BZ$3001,1636,$B$1)="","",IF(ISNUMBER(INDEX(貼り付け!$A$1:$BZ$3001,1636,$B$1)),INT(INDEX(貼り付け!$A$1:$BZ$3001,1636,$B$1)),DATE(VALUE(LEFT(I1637,FIND("-",I1637)-1)),VALUE(LEFT(J1637,FIND("-",J1637)-1)),VALUE(MID(J1637,FIND("-",J1637)+1,99)))))),"")</f>
        <v/>
      </c>
      <c r="C1637">
        <f>IF($C$1=0,0,IFERROR(VALUE(SUBSTITUTE(SUBSTITUTE(SUBSTITUTE(INDEX(貼り付け!$A$1:$BZ$3001,1636,$C$1)&amp;"",",",""),"¥",""),"￥","")),0))</f>
        <v/>
      </c>
      <c r="D1637">
        <f>IF($D$1=0,0,IFERROR(VALUE(SUBSTITUTE(SUBSTITUTE(SUBSTITUTE(INDEX(貼り付け!$A$1:$BZ$3001,1636,$D$1)&amp;"",",",""),"¥",""),"￥","")),0))</f>
        <v/>
      </c>
      <c r="E1637">
        <f>IF($E$1=0,0,IFERROR(VALUE(SUBSTITUTE(SUBSTITUTE(SUBSTITUTE(INDEX(貼り付け!$A$1:$BZ$3001,1636,$E$1)&amp;"",",",""),"¥",""),"￥","")),0))</f>
        <v/>
      </c>
      <c r="F1637">
        <f>IF($F$1=0,0,IFERROR(VALUE(SUBSTITUTE(SUBSTITUTE(SUBSTITUTE(INDEX(貼り付け!$A$1:$BZ$3001,1636,$F$1)&amp;"",",",""),"¥",""),"￥","")),0))</f>
        <v/>
      </c>
      <c r="G1637">
        <f>IF(ISNUMBER(B1637),YEAR(B1637),"")</f>
        <v/>
      </c>
      <c r="H1637">
        <f>IF(ISNUMBER(B1637),MONTH(B1637),"")</f>
        <v/>
      </c>
      <c r="I1637">
        <f>IFERROR(IF($B$1=0,"",IF(ISNUMBER(INDEX(貼り付け!$A$1:$BZ$3001,1636,$B$1)),"",SUBSTITUTE(SUBSTITUTE(SUBSTITUTE(SUBSTITUTE(TRIM(LEFT(INDEX(貼り付け!$A$1:$BZ$3001,1636,$B$1)&amp;"",FIND(" ",TRIM(INDEX(貼り付け!$A$1:$BZ$3001,1636,$B$1)&amp;"")&amp;" ")-1)),"/","-"),"年","-"),"月","-"),"日",""))),"")</f>
        <v/>
      </c>
      <c r="J1637">
        <f>IFERROR(MID(I1637,FIND("-",I1637)+1,99),"")</f>
        <v/>
      </c>
    </row>
    <row r="1638">
      <c r="B1638">
        <f>IFERROR(IF($B$1=0,"",IF(INDEX(貼り付け!$A$1:$BZ$3001,1637,$B$1)="","",IF(ISNUMBER(INDEX(貼り付け!$A$1:$BZ$3001,1637,$B$1)),INT(INDEX(貼り付け!$A$1:$BZ$3001,1637,$B$1)),DATE(VALUE(LEFT(I1638,FIND("-",I1638)-1)),VALUE(LEFT(J1638,FIND("-",J1638)-1)),VALUE(MID(J1638,FIND("-",J1638)+1,99)))))),"")</f>
        <v/>
      </c>
      <c r="C1638">
        <f>IF($C$1=0,0,IFERROR(VALUE(SUBSTITUTE(SUBSTITUTE(SUBSTITUTE(INDEX(貼り付け!$A$1:$BZ$3001,1637,$C$1)&amp;"",",",""),"¥",""),"￥","")),0))</f>
        <v/>
      </c>
      <c r="D1638">
        <f>IF($D$1=0,0,IFERROR(VALUE(SUBSTITUTE(SUBSTITUTE(SUBSTITUTE(INDEX(貼り付け!$A$1:$BZ$3001,1637,$D$1)&amp;"",",",""),"¥",""),"￥","")),0))</f>
        <v/>
      </c>
      <c r="E1638">
        <f>IF($E$1=0,0,IFERROR(VALUE(SUBSTITUTE(SUBSTITUTE(SUBSTITUTE(INDEX(貼り付け!$A$1:$BZ$3001,1637,$E$1)&amp;"",",",""),"¥",""),"￥","")),0))</f>
        <v/>
      </c>
      <c r="F1638">
        <f>IF($F$1=0,0,IFERROR(VALUE(SUBSTITUTE(SUBSTITUTE(SUBSTITUTE(INDEX(貼り付け!$A$1:$BZ$3001,1637,$F$1)&amp;"",",",""),"¥",""),"￥","")),0))</f>
        <v/>
      </c>
      <c r="G1638">
        <f>IF(ISNUMBER(B1638),YEAR(B1638),"")</f>
        <v/>
      </c>
      <c r="H1638">
        <f>IF(ISNUMBER(B1638),MONTH(B1638),"")</f>
        <v/>
      </c>
      <c r="I1638">
        <f>IFERROR(IF($B$1=0,"",IF(ISNUMBER(INDEX(貼り付け!$A$1:$BZ$3001,1637,$B$1)),"",SUBSTITUTE(SUBSTITUTE(SUBSTITUTE(SUBSTITUTE(TRIM(LEFT(INDEX(貼り付け!$A$1:$BZ$3001,1637,$B$1)&amp;"",FIND(" ",TRIM(INDEX(貼り付け!$A$1:$BZ$3001,1637,$B$1)&amp;"")&amp;" ")-1)),"/","-"),"年","-"),"月","-"),"日",""))),"")</f>
        <v/>
      </c>
      <c r="J1638">
        <f>IFERROR(MID(I1638,FIND("-",I1638)+1,99),"")</f>
        <v/>
      </c>
    </row>
    <row r="1639">
      <c r="B1639">
        <f>IFERROR(IF($B$1=0,"",IF(INDEX(貼り付け!$A$1:$BZ$3001,1638,$B$1)="","",IF(ISNUMBER(INDEX(貼り付け!$A$1:$BZ$3001,1638,$B$1)),INT(INDEX(貼り付け!$A$1:$BZ$3001,1638,$B$1)),DATE(VALUE(LEFT(I1639,FIND("-",I1639)-1)),VALUE(LEFT(J1639,FIND("-",J1639)-1)),VALUE(MID(J1639,FIND("-",J1639)+1,99)))))),"")</f>
        <v/>
      </c>
      <c r="C1639">
        <f>IF($C$1=0,0,IFERROR(VALUE(SUBSTITUTE(SUBSTITUTE(SUBSTITUTE(INDEX(貼り付け!$A$1:$BZ$3001,1638,$C$1)&amp;"",",",""),"¥",""),"￥","")),0))</f>
        <v/>
      </c>
      <c r="D1639">
        <f>IF($D$1=0,0,IFERROR(VALUE(SUBSTITUTE(SUBSTITUTE(SUBSTITUTE(INDEX(貼り付け!$A$1:$BZ$3001,1638,$D$1)&amp;"",",",""),"¥",""),"￥","")),0))</f>
        <v/>
      </c>
      <c r="E1639">
        <f>IF($E$1=0,0,IFERROR(VALUE(SUBSTITUTE(SUBSTITUTE(SUBSTITUTE(INDEX(貼り付け!$A$1:$BZ$3001,1638,$E$1)&amp;"",",",""),"¥",""),"￥","")),0))</f>
        <v/>
      </c>
      <c r="F1639">
        <f>IF($F$1=0,0,IFERROR(VALUE(SUBSTITUTE(SUBSTITUTE(SUBSTITUTE(INDEX(貼り付け!$A$1:$BZ$3001,1638,$F$1)&amp;"",",",""),"¥",""),"￥","")),0))</f>
        <v/>
      </c>
      <c r="G1639">
        <f>IF(ISNUMBER(B1639),YEAR(B1639),"")</f>
        <v/>
      </c>
      <c r="H1639">
        <f>IF(ISNUMBER(B1639),MONTH(B1639),"")</f>
        <v/>
      </c>
      <c r="I1639">
        <f>IFERROR(IF($B$1=0,"",IF(ISNUMBER(INDEX(貼り付け!$A$1:$BZ$3001,1638,$B$1)),"",SUBSTITUTE(SUBSTITUTE(SUBSTITUTE(SUBSTITUTE(TRIM(LEFT(INDEX(貼り付け!$A$1:$BZ$3001,1638,$B$1)&amp;"",FIND(" ",TRIM(INDEX(貼り付け!$A$1:$BZ$3001,1638,$B$1)&amp;"")&amp;" ")-1)),"/","-"),"年","-"),"月","-"),"日",""))),"")</f>
        <v/>
      </c>
      <c r="J1639">
        <f>IFERROR(MID(I1639,FIND("-",I1639)+1,99),"")</f>
        <v/>
      </c>
    </row>
    <row r="1640">
      <c r="B1640">
        <f>IFERROR(IF($B$1=0,"",IF(INDEX(貼り付け!$A$1:$BZ$3001,1639,$B$1)="","",IF(ISNUMBER(INDEX(貼り付け!$A$1:$BZ$3001,1639,$B$1)),INT(INDEX(貼り付け!$A$1:$BZ$3001,1639,$B$1)),DATE(VALUE(LEFT(I1640,FIND("-",I1640)-1)),VALUE(LEFT(J1640,FIND("-",J1640)-1)),VALUE(MID(J1640,FIND("-",J1640)+1,99)))))),"")</f>
        <v/>
      </c>
      <c r="C1640">
        <f>IF($C$1=0,0,IFERROR(VALUE(SUBSTITUTE(SUBSTITUTE(SUBSTITUTE(INDEX(貼り付け!$A$1:$BZ$3001,1639,$C$1)&amp;"",",",""),"¥",""),"￥","")),0))</f>
        <v/>
      </c>
      <c r="D1640">
        <f>IF($D$1=0,0,IFERROR(VALUE(SUBSTITUTE(SUBSTITUTE(SUBSTITUTE(INDEX(貼り付け!$A$1:$BZ$3001,1639,$D$1)&amp;"",",",""),"¥",""),"￥","")),0))</f>
        <v/>
      </c>
      <c r="E1640">
        <f>IF($E$1=0,0,IFERROR(VALUE(SUBSTITUTE(SUBSTITUTE(SUBSTITUTE(INDEX(貼り付け!$A$1:$BZ$3001,1639,$E$1)&amp;"",",",""),"¥",""),"￥","")),0))</f>
        <v/>
      </c>
      <c r="F1640">
        <f>IF($F$1=0,0,IFERROR(VALUE(SUBSTITUTE(SUBSTITUTE(SUBSTITUTE(INDEX(貼り付け!$A$1:$BZ$3001,1639,$F$1)&amp;"",",",""),"¥",""),"￥","")),0))</f>
        <v/>
      </c>
      <c r="G1640">
        <f>IF(ISNUMBER(B1640),YEAR(B1640),"")</f>
        <v/>
      </c>
      <c r="H1640">
        <f>IF(ISNUMBER(B1640),MONTH(B1640),"")</f>
        <v/>
      </c>
      <c r="I1640">
        <f>IFERROR(IF($B$1=0,"",IF(ISNUMBER(INDEX(貼り付け!$A$1:$BZ$3001,1639,$B$1)),"",SUBSTITUTE(SUBSTITUTE(SUBSTITUTE(SUBSTITUTE(TRIM(LEFT(INDEX(貼り付け!$A$1:$BZ$3001,1639,$B$1)&amp;"",FIND(" ",TRIM(INDEX(貼り付け!$A$1:$BZ$3001,1639,$B$1)&amp;"")&amp;" ")-1)),"/","-"),"年","-"),"月","-"),"日",""))),"")</f>
        <v/>
      </c>
      <c r="J1640">
        <f>IFERROR(MID(I1640,FIND("-",I1640)+1,99),"")</f>
        <v/>
      </c>
    </row>
    <row r="1641">
      <c r="B1641">
        <f>IFERROR(IF($B$1=0,"",IF(INDEX(貼り付け!$A$1:$BZ$3001,1640,$B$1)="","",IF(ISNUMBER(INDEX(貼り付け!$A$1:$BZ$3001,1640,$B$1)),INT(INDEX(貼り付け!$A$1:$BZ$3001,1640,$B$1)),DATE(VALUE(LEFT(I1641,FIND("-",I1641)-1)),VALUE(LEFT(J1641,FIND("-",J1641)-1)),VALUE(MID(J1641,FIND("-",J1641)+1,99)))))),"")</f>
        <v/>
      </c>
      <c r="C1641">
        <f>IF($C$1=0,0,IFERROR(VALUE(SUBSTITUTE(SUBSTITUTE(SUBSTITUTE(INDEX(貼り付け!$A$1:$BZ$3001,1640,$C$1)&amp;"",",",""),"¥",""),"￥","")),0))</f>
        <v/>
      </c>
      <c r="D1641">
        <f>IF($D$1=0,0,IFERROR(VALUE(SUBSTITUTE(SUBSTITUTE(SUBSTITUTE(INDEX(貼り付け!$A$1:$BZ$3001,1640,$D$1)&amp;"",",",""),"¥",""),"￥","")),0))</f>
        <v/>
      </c>
      <c r="E1641">
        <f>IF($E$1=0,0,IFERROR(VALUE(SUBSTITUTE(SUBSTITUTE(SUBSTITUTE(INDEX(貼り付け!$A$1:$BZ$3001,1640,$E$1)&amp;"",",",""),"¥",""),"￥","")),0))</f>
        <v/>
      </c>
      <c r="F1641">
        <f>IF($F$1=0,0,IFERROR(VALUE(SUBSTITUTE(SUBSTITUTE(SUBSTITUTE(INDEX(貼り付け!$A$1:$BZ$3001,1640,$F$1)&amp;"",",",""),"¥",""),"￥","")),0))</f>
        <v/>
      </c>
      <c r="G1641">
        <f>IF(ISNUMBER(B1641),YEAR(B1641),"")</f>
        <v/>
      </c>
      <c r="H1641">
        <f>IF(ISNUMBER(B1641),MONTH(B1641),"")</f>
        <v/>
      </c>
      <c r="I1641">
        <f>IFERROR(IF($B$1=0,"",IF(ISNUMBER(INDEX(貼り付け!$A$1:$BZ$3001,1640,$B$1)),"",SUBSTITUTE(SUBSTITUTE(SUBSTITUTE(SUBSTITUTE(TRIM(LEFT(INDEX(貼り付け!$A$1:$BZ$3001,1640,$B$1)&amp;"",FIND(" ",TRIM(INDEX(貼り付け!$A$1:$BZ$3001,1640,$B$1)&amp;"")&amp;" ")-1)),"/","-"),"年","-"),"月","-"),"日",""))),"")</f>
        <v/>
      </c>
      <c r="J1641">
        <f>IFERROR(MID(I1641,FIND("-",I1641)+1,99),"")</f>
        <v/>
      </c>
    </row>
    <row r="1642">
      <c r="B1642">
        <f>IFERROR(IF($B$1=0,"",IF(INDEX(貼り付け!$A$1:$BZ$3001,1641,$B$1)="","",IF(ISNUMBER(INDEX(貼り付け!$A$1:$BZ$3001,1641,$B$1)),INT(INDEX(貼り付け!$A$1:$BZ$3001,1641,$B$1)),DATE(VALUE(LEFT(I1642,FIND("-",I1642)-1)),VALUE(LEFT(J1642,FIND("-",J1642)-1)),VALUE(MID(J1642,FIND("-",J1642)+1,99)))))),"")</f>
        <v/>
      </c>
      <c r="C1642">
        <f>IF($C$1=0,0,IFERROR(VALUE(SUBSTITUTE(SUBSTITUTE(SUBSTITUTE(INDEX(貼り付け!$A$1:$BZ$3001,1641,$C$1)&amp;"",",",""),"¥",""),"￥","")),0))</f>
        <v/>
      </c>
      <c r="D1642">
        <f>IF($D$1=0,0,IFERROR(VALUE(SUBSTITUTE(SUBSTITUTE(SUBSTITUTE(INDEX(貼り付け!$A$1:$BZ$3001,1641,$D$1)&amp;"",",",""),"¥",""),"￥","")),0))</f>
        <v/>
      </c>
      <c r="E1642">
        <f>IF($E$1=0,0,IFERROR(VALUE(SUBSTITUTE(SUBSTITUTE(SUBSTITUTE(INDEX(貼り付け!$A$1:$BZ$3001,1641,$E$1)&amp;"",",",""),"¥",""),"￥","")),0))</f>
        <v/>
      </c>
      <c r="F1642">
        <f>IF($F$1=0,0,IFERROR(VALUE(SUBSTITUTE(SUBSTITUTE(SUBSTITUTE(INDEX(貼り付け!$A$1:$BZ$3001,1641,$F$1)&amp;"",",",""),"¥",""),"￥","")),0))</f>
        <v/>
      </c>
      <c r="G1642">
        <f>IF(ISNUMBER(B1642),YEAR(B1642),"")</f>
        <v/>
      </c>
      <c r="H1642">
        <f>IF(ISNUMBER(B1642),MONTH(B1642),"")</f>
        <v/>
      </c>
      <c r="I1642">
        <f>IFERROR(IF($B$1=0,"",IF(ISNUMBER(INDEX(貼り付け!$A$1:$BZ$3001,1641,$B$1)),"",SUBSTITUTE(SUBSTITUTE(SUBSTITUTE(SUBSTITUTE(TRIM(LEFT(INDEX(貼り付け!$A$1:$BZ$3001,1641,$B$1)&amp;"",FIND(" ",TRIM(INDEX(貼り付け!$A$1:$BZ$3001,1641,$B$1)&amp;"")&amp;" ")-1)),"/","-"),"年","-"),"月","-"),"日",""))),"")</f>
        <v/>
      </c>
      <c r="J1642">
        <f>IFERROR(MID(I1642,FIND("-",I1642)+1,99),"")</f>
        <v/>
      </c>
    </row>
    <row r="1643">
      <c r="B1643">
        <f>IFERROR(IF($B$1=0,"",IF(INDEX(貼り付け!$A$1:$BZ$3001,1642,$B$1)="","",IF(ISNUMBER(INDEX(貼り付け!$A$1:$BZ$3001,1642,$B$1)),INT(INDEX(貼り付け!$A$1:$BZ$3001,1642,$B$1)),DATE(VALUE(LEFT(I1643,FIND("-",I1643)-1)),VALUE(LEFT(J1643,FIND("-",J1643)-1)),VALUE(MID(J1643,FIND("-",J1643)+1,99)))))),"")</f>
        <v/>
      </c>
      <c r="C1643">
        <f>IF($C$1=0,0,IFERROR(VALUE(SUBSTITUTE(SUBSTITUTE(SUBSTITUTE(INDEX(貼り付け!$A$1:$BZ$3001,1642,$C$1)&amp;"",",",""),"¥",""),"￥","")),0))</f>
        <v/>
      </c>
      <c r="D1643">
        <f>IF($D$1=0,0,IFERROR(VALUE(SUBSTITUTE(SUBSTITUTE(SUBSTITUTE(INDEX(貼り付け!$A$1:$BZ$3001,1642,$D$1)&amp;"",",",""),"¥",""),"￥","")),0))</f>
        <v/>
      </c>
      <c r="E1643">
        <f>IF($E$1=0,0,IFERROR(VALUE(SUBSTITUTE(SUBSTITUTE(SUBSTITUTE(INDEX(貼り付け!$A$1:$BZ$3001,1642,$E$1)&amp;"",",",""),"¥",""),"￥","")),0))</f>
        <v/>
      </c>
      <c r="F1643">
        <f>IF($F$1=0,0,IFERROR(VALUE(SUBSTITUTE(SUBSTITUTE(SUBSTITUTE(INDEX(貼り付け!$A$1:$BZ$3001,1642,$F$1)&amp;"",",",""),"¥",""),"￥","")),0))</f>
        <v/>
      </c>
      <c r="G1643">
        <f>IF(ISNUMBER(B1643),YEAR(B1643),"")</f>
        <v/>
      </c>
      <c r="H1643">
        <f>IF(ISNUMBER(B1643),MONTH(B1643),"")</f>
        <v/>
      </c>
      <c r="I1643">
        <f>IFERROR(IF($B$1=0,"",IF(ISNUMBER(INDEX(貼り付け!$A$1:$BZ$3001,1642,$B$1)),"",SUBSTITUTE(SUBSTITUTE(SUBSTITUTE(SUBSTITUTE(TRIM(LEFT(INDEX(貼り付け!$A$1:$BZ$3001,1642,$B$1)&amp;"",FIND(" ",TRIM(INDEX(貼り付け!$A$1:$BZ$3001,1642,$B$1)&amp;"")&amp;" ")-1)),"/","-"),"年","-"),"月","-"),"日",""))),"")</f>
        <v/>
      </c>
      <c r="J1643">
        <f>IFERROR(MID(I1643,FIND("-",I1643)+1,99),"")</f>
        <v/>
      </c>
    </row>
    <row r="1644">
      <c r="B1644">
        <f>IFERROR(IF($B$1=0,"",IF(INDEX(貼り付け!$A$1:$BZ$3001,1643,$B$1)="","",IF(ISNUMBER(INDEX(貼り付け!$A$1:$BZ$3001,1643,$B$1)),INT(INDEX(貼り付け!$A$1:$BZ$3001,1643,$B$1)),DATE(VALUE(LEFT(I1644,FIND("-",I1644)-1)),VALUE(LEFT(J1644,FIND("-",J1644)-1)),VALUE(MID(J1644,FIND("-",J1644)+1,99)))))),"")</f>
        <v/>
      </c>
      <c r="C1644">
        <f>IF($C$1=0,0,IFERROR(VALUE(SUBSTITUTE(SUBSTITUTE(SUBSTITUTE(INDEX(貼り付け!$A$1:$BZ$3001,1643,$C$1)&amp;"",",",""),"¥",""),"￥","")),0))</f>
        <v/>
      </c>
      <c r="D1644">
        <f>IF($D$1=0,0,IFERROR(VALUE(SUBSTITUTE(SUBSTITUTE(SUBSTITUTE(INDEX(貼り付け!$A$1:$BZ$3001,1643,$D$1)&amp;"",",",""),"¥",""),"￥","")),0))</f>
        <v/>
      </c>
      <c r="E1644">
        <f>IF($E$1=0,0,IFERROR(VALUE(SUBSTITUTE(SUBSTITUTE(SUBSTITUTE(INDEX(貼り付け!$A$1:$BZ$3001,1643,$E$1)&amp;"",",",""),"¥",""),"￥","")),0))</f>
        <v/>
      </c>
      <c r="F1644">
        <f>IF($F$1=0,0,IFERROR(VALUE(SUBSTITUTE(SUBSTITUTE(SUBSTITUTE(INDEX(貼り付け!$A$1:$BZ$3001,1643,$F$1)&amp;"",",",""),"¥",""),"￥","")),0))</f>
        <v/>
      </c>
      <c r="G1644">
        <f>IF(ISNUMBER(B1644),YEAR(B1644),"")</f>
        <v/>
      </c>
      <c r="H1644">
        <f>IF(ISNUMBER(B1644),MONTH(B1644),"")</f>
        <v/>
      </c>
      <c r="I1644">
        <f>IFERROR(IF($B$1=0,"",IF(ISNUMBER(INDEX(貼り付け!$A$1:$BZ$3001,1643,$B$1)),"",SUBSTITUTE(SUBSTITUTE(SUBSTITUTE(SUBSTITUTE(TRIM(LEFT(INDEX(貼り付け!$A$1:$BZ$3001,1643,$B$1)&amp;"",FIND(" ",TRIM(INDEX(貼り付け!$A$1:$BZ$3001,1643,$B$1)&amp;"")&amp;" ")-1)),"/","-"),"年","-"),"月","-"),"日",""))),"")</f>
        <v/>
      </c>
      <c r="J1644">
        <f>IFERROR(MID(I1644,FIND("-",I1644)+1,99),"")</f>
        <v/>
      </c>
    </row>
    <row r="1645">
      <c r="B1645">
        <f>IFERROR(IF($B$1=0,"",IF(INDEX(貼り付け!$A$1:$BZ$3001,1644,$B$1)="","",IF(ISNUMBER(INDEX(貼り付け!$A$1:$BZ$3001,1644,$B$1)),INT(INDEX(貼り付け!$A$1:$BZ$3001,1644,$B$1)),DATE(VALUE(LEFT(I1645,FIND("-",I1645)-1)),VALUE(LEFT(J1645,FIND("-",J1645)-1)),VALUE(MID(J1645,FIND("-",J1645)+1,99)))))),"")</f>
        <v/>
      </c>
      <c r="C1645">
        <f>IF($C$1=0,0,IFERROR(VALUE(SUBSTITUTE(SUBSTITUTE(SUBSTITUTE(INDEX(貼り付け!$A$1:$BZ$3001,1644,$C$1)&amp;"",",",""),"¥",""),"￥","")),0))</f>
        <v/>
      </c>
      <c r="D1645">
        <f>IF($D$1=0,0,IFERROR(VALUE(SUBSTITUTE(SUBSTITUTE(SUBSTITUTE(INDEX(貼り付け!$A$1:$BZ$3001,1644,$D$1)&amp;"",",",""),"¥",""),"￥","")),0))</f>
        <v/>
      </c>
      <c r="E1645">
        <f>IF($E$1=0,0,IFERROR(VALUE(SUBSTITUTE(SUBSTITUTE(SUBSTITUTE(INDEX(貼り付け!$A$1:$BZ$3001,1644,$E$1)&amp;"",",",""),"¥",""),"￥","")),0))</f>
        <v/>
      </c>
      <c r="F1645">
        <f>IF($F$1=0,0,IFERROR(VALUE(SUBSTITUTE(SUBSTITUTE(SUBSTITUTE(INDEX(貼り付け!$A$1:$BZ$3001,1644,$F$1)&amp;"",",",""),"¥",""),"￥","")),0))</f>
        <v/>
      </c>
      <c r="G1645">
        <f>IF(ISNUMBER(B1645),YEAR(B1645),"")</f>
        <v/>
      </c>
      <c r="H1645">
        <f>IF(ISNUMBER(B1645),MONTH(B1645),"")</f>
        <v/>
      </c>
      <c r="I1645">
        <f>IFERROR(IF($B$1=0,"",IF(ISNUMBER(INDEX(貼り付け!$A$1:$BZ$3001,1644,$B$1)),"",SUBSTITUTE(SUBSTITUTE(SUBSTITUTE(SUBSTITUTE(TRIM(LEFT(INDEX(貼り付け!$A$1:$BZ$3001,1644,$B$1)&amp;"",FIND(" ",TRIM(INDEX(貼り付け!$A$1:$BZ$3001,1644,$B$1)&amp;"")&amp;" ")-1)),"/","-"),"年","-"),"月","-"),"日",""))),"")</f>
        <v/>
      </c>
      <c r="J1645">
        <f>IFERROR(MID(I1645,FIND("-",I1645)+1,99),"")</f>
        <v/>
      </c>
    </row>
    <row r="1646">
      <c r="B1646">
        <f>IFERROR(IF($B$1=0,"",IF(INDEX(貼り付け!$A$1:$BZ$3001,1645,$B$1)="","",IF(ISNUMBER(INDEX(貼り付け!$A$1:$BZ$3001,1645,$B$1)),INT(INDEX(貼り付け!$A$1:$BZ$3001,1645,$B$1)),DATE(VALUE(LEFT(I1646,FIND("-",I1646)-1)),VALUE(LEFT(J1646,FIND("-",J1646)-1)),VALUE(MID(J1646,FIND("-",J1646)+1,99)))))),"")</f>
        <v/>
      </c>
      <c r="C1646">
        <f>IF($C$1=0,0,IFERROR(VALUE(SUBSTITUTE(SUBSTITUTE(SUBSTITUTE(INDEX(貼り付け!$A$1:$BZ$3001,1645,$C$1)&amp;"",",",""),"¥",""),"￥","")),0))</f>
        <v/>
      </c>
      <c r="D1646">
        <f>IF($D$1=0,0,IFERROR(VALUE(SUBSTITUTE(SUBSTITUTE(SUBSTITUTE(INDEX(貼り付け!$A$1:$BZ$3001,1645,$D$1)&amp;"",",",""),"¥",""),"￥","")),0))</f>
        <v/>
      </c>
      <c r="E1646">
        <f>IF($E$1=0,0,IFERROR(VALUE(SUBSTITUTE(SUBSTITUTE(SUBSTITUTE(INDEX(貼り付け!$A$1:$BZ$3001,1645,$E$1)&amp;"",",",""),"¥",""),"￥","")),0))</f>
        <v/>
      </c>
      <c r="F1646">
        <f>IF($F$1=0,0,IFERROR(VALUE(SUBSTITUTE(SUBSTITUTE(SUBSTITUTE(INDEX(貼り付け!$A$1:$BZ$3001,1645,$F$1)&amp;"",",",""),"¥",""),"￥","")),0))</f>
        <v/>
      </c>
      <c r="G1646">
        <f>IF(ISNUMBER(B1646),YEAR(B1646),"")</f>
        <v/>
      </c>
      <c r="H1646">
        <f>IF(ISNUMBER(B1646),MONTH(B1646),"")</f>
        <v/>
      </c>
      <c r="I1646">
        <f>IFERROR(IF($B$1=0,"",IF(ISNUMBER(INDEX(貼り付け!$A$1:$BZ$3001,1645,$B$1)),"",SUBSTITUTE(SUBSTITUTE(SUBSTITUTE(SUBSTITUTE(TRIM(LEFT(INDEX(貼り付け!$A$1:$BZ$3001,1645,$B$1)&amp;"",FIND(" ",TRIM(INDEX(貼り付け!$A$1:$BZ$3001,1645,$B$1)&amp;"")&amp;" ")-1)),"/","-"),"年","-"),"月","-"),"日",""))),"")</f>
        <v/>
      </c>
      <c r="J1646">
        <f>IFERROR(MID(I1646,FIND("-",I1646)+1,99),"")</f>
        <v/>
      </c>
    </row>
    <row r="1647">
      <c r="B1647">
        <f>IFERROR(IF($B$1=0,"",IF(INDEX(貼り付け!$A$1:$BZ$3001,1646,$B$1)="","",IF(ISNUMBER(INDEX(貼り付け!$A$1:$BZ$3001,1646,$B$1)),INT(INDEX(貼り付け!$A$1:$BZ$3001,1646,$B$1)),DATE(VALUE(LEFT(I1647,FIND("-",I1647)-1)),VALUE(LEFT(J1647,FIND("-",J1647)-1)),VALUE(MID(J1647,FIND("-",J1647)+1,99)))))),"")</f>
        <v/>
      </c>
      <c r="C1647">
        <f>IF($C$1=0,0,IFERROR(VALUE(SUBSTITUTE(SUBSTITUTE(SUBSTITUTE(INDEX(貼り付け!$A$1:$BZ$3001,1646,$C$1)&amp;"",",",""),"¥",""),"￥","")),0))</f>
        <v/>
      </c>
      <c r="D1647">
        <f>IF($D$1=0,0,IFERROR(VALUE(SUBSTITUTE(SUBSTITUTE(SUBSTITUTE(INDEX(貼り付け!$A$1:$BZ$3001,1646,$D$1)&amp;"",",",""),"¥",""),"￥","")),0))</f>
        <v/>
      </c>
      <c r="E1647">
        <f>IF($E$1=0,0,IFERROR(VALUE(SUBSTITUTE(SUBSTITUTE(SUBSTITUTE(INDEX(貼り付け!$A$1:$BZ$3001,1646,$E$1)&amp;"",",",""),"¥",""),"￥","")),0))</f>
        <v/>
      </c>
      <c r="F1647">
        <f>IF($F$1=0,0,IFERROR(VALUE(SUBSTITUTE(SUBSTITUTE(SUBSTITUTE(INDEX(貼り付け!$A$1:$BZ$3001,1646,$F$1)&amp;"",",",""),"¥",""),"￥","")),0))</f>
        <v/>
      </c>
      <c r="G1647">
        <f>IF(ISNUMBER(B1647),YEAR(B1647),"")</f>
        <v/>
      </c>
      <c r="H1647">
        <f>IF(ISNUMBER(B1647),MONTH(B1647),"")</f>
        <v/>
      </c>
      <c r="I1647">
        <f>IFERROR(IF($B$1=0,"",IF(ISNUMBER(INDEX(貼り付け!$A$1:$BZ$3001,1646,$B$1)),"",SUBSTITUTE(SUBSTITUTE(SUBSTITUTE(SUBSTITUTE(TRIM(LEFT(INDEX(貼り付け!$A$1:$BZ$3001,1646,$B$1)&amp;"",FIND(" ",TRIM(INDEX(貼り付け!$A$1:$BZ$3001,1646,$B$1)&amp;"")&amp;" ")-1)),"/","-"),"年","-"),"月","-"),"日",""))),"")</f>
        <v/>
      </c>
      <c r="J1647">
        <f>IFERROR(MID(I1647,FIND("-",I1647)+1,99),"")</f>
        <v/>
      </c>
    </row>
    <row r="1648">
      <c r="B1648">
        <f>IFERROR(IF($B$1=0,"",IF(INDEX(貼り付け!$A$1:$BZ$3001,1647,$B$1)="","",IF(ISNUMBER(INDEX(貼り付け!$A$1:$BZ$3001,1647,$B$1)),INT(INDEX(貼り付け!$A$1:$BZ$3001,1647,$B$1)),DATE(VALUE(LEFT(I1648,FIND("-",I1648)-1)),VALUE(LEFT(J1648,FIND("-",J1648)-1)),VALUE(MID(J1648,FIND("-",J1648)+1,99)))))),"")</f>
        <v/>
      </c>
      <c r="C1648">
        <f>IF($C$1=0,0,IFERROR(VALUE(SUBSTITUTE(SUBSTITUTE(SUBSTITUTE(INDEX(貼り付け!$A$1:$BZ$3001,1647,$C$1)&amp;"",",",""),"¥",""),"￥","")),0))</f>
        <v/>
      </c>
      <c r="D1648">
        <f>IF($D$1=0,0,IFERROR(VALUE(SUBSTITUTE(SUBSTITUTE(SUBSTITUTE(INDEX(貼り付け!$A$1:$BZ$3001,1647,$D$1)&amp;"",",",""),"¥",""),"￥","")),0))</f>
        <v/>
      </c>
      <c r="E1648">
        <f>IF($E$1=0,0,IFERROR(VALUE(SUBSTITUTE(SUBSTITUTE(SUBSTITUTE(INDEX(貼り付け!$A$1:$BZ$3001,1647,$E$1)&amp;"",",",""),"¥",""),"￥","")),0))</f>
        <v/>
      </c>
      <c r="F1648">
        <f>IF($F$1=0,0,IFERROR(VALUE(SUBSTITUTE(SUBSTITUTE(SUBSTITUTE(INDEX(貼り付け!$A$1:$BZ$3001,1647,$F$1)&amp;"",",",""),"¥",""),"￥","")),0))</f>
        <v/>
      </c>
      <c r="G1648">
        <f>IF(ISNUMBER(B1648),YEAR(B1648),"")</f>
        <v/>
      </c>
      <c r="H1648">
        <f>IF(ISNUMBER(B1648),MONTH(B1648),"")</f>
        <v/>
      </c>
      <c r="I1648">
        <f>IFERROR(IF($B$1=0,"",IF(ISNUMBER(INDEX(貼り付け!$A$1:$BZ$3001,1647,$B$1)),"",SUBSTITUTE(SUBSTITUTE(SUBSTITUTE(SUBSTITUTE(TRIM(LEFT(INDEX(貼り付け!$A$1:$BZ$3001,1647,$B$1)&amp;"",FIND(" ",TRIM(INDEX(貼り付け!$A$1:$BZ$3001,1647,$B$1)&amp;"")&amp;" ")-1)),"/","-"),"年","-"),"月","-"),"日",""))),"")</f>
        <v/>
      </c>
      <c r="J1648">
        <f>IFERROR(MID(I1648,FIND("-",I1648)+1,99),"")</f>
        <v/>
      </c>
    </row>
    <row r="1649">
      <c r="B1649">
        <f>IFERROR(IF($B$1=0,"",IF(INDEX(貼り付け!$A$1:$BZ$3001,1648,$B$1)="","",IF(ISNUMBER(INDEX(貼り付け!$A$1:$BZ$3001,1648,$B$1)),INT(INDEX(貼り付け!$A$1:$BZ$3001,1648,$B$1)),DATE(VALUE(LEFT(I1649,FIND("-",I1649)-1)),VALUE(LEFT(J1649,FIND("-",J1649)-1)),VALUE(MID(J1649,FIND("-",J1649)+1,99)))))),"")</f>
        <v/>
      </c>
      <c r="C1649">
        <f>IF($C$1=0,0,IFERROR(VALUE(SUBSTITUTE(SUBSTITUTE(SUBSTITUTE(INDEX(貼り付け!$A$1:$BZ$3001,1648,$C$1)&amp;"",",",""),"¥",""),"￥","")),0))</f>
        <v/>
      </c>
      <c r="D1649">
        <f>IF($D$1=0,0,IFERROR(VALUE(SUBSTITUTE(SUBSTITUTE(SUBSTITUTE(INDEX(貼り付け!$A$1:$BZ$3001,1648,$D$1)&amp;"",",",""),"¥",""),"￥","")),0))</f>
        <v/>
      </c>
      <c r="E1649">
        <f>IF($E$1=0,0,IFERROR(VALUE(SUBSTITUTE(SUBSTITUTE(SUBSTITUTE(INDEX(貼り付け!$A$1:$BZ$3001,1648,$E$1)&amp;"",",",""),"¥",""),"￥","")),0))</f>
        <v/>
      </c>
      <c r="F1649">
        <f>IF($F$1=0,0,IFERROR(VALUE(SUBSTITUTE(SUBSTITUTE(SUBSTITUTE(INDEX(貼り付け!$A$1:$BZ$3001,1648,$F$1)&amp;"",",",""),"¥",""),"￥","")),0))</f>
        <v/>
      </c>
      <c r="G1649">
        <f>IF(ISNUMBER(B1649),YEAR(B1649),"")</f>
        <v/>
      </c>
      <c r="H1649">
        <f>IF(ISNUMBER(B1649),MONTH(B1649),"")</f>
        <v/>
      </c>
      <c r="I1649">
        <f>IFERROR(IF($B$1=0,"",IF(ISNUMBER(INDEX(貼り付け!$A$1:$BZ$3001,1648,$B$1)),"",SUBSTITUTE(SUBSTITUTE(SUBSTITUTE(SUBSTITUTE(TRIM(LEFT(INDEX(貼り付け!$A$1:$BZ$3001,1648,$B$1)&amp;"",FIND(" ",TRIM(INDEX(貼り付け!$A$1:$BZ$3001,1648,$B$1)&amp;"")&amp;" ")-1)),"/","-"),"年","-"),"月","-"),"日",""))),"")</f>
        <v/>
      </c>
      <c r="J1649">
        <f>IFERROR(MID(I1649,FIND("-",I1649)+1,99),"")</f>
        <v/>
      </c>
    </row>
    <row r="1650">
      <c r="B1650">
        <f>IFERROR(IF($B$1=0,"",IF(INDEX(貼り付け!$A$1:$BZ$3001,1649,$B$1)="","",IF(ISNUMBER(INDEX(貼り付け!$A$1:$BZ$3001,1649,$B$1)),INT(INDEX(貼り付け!$A$1:$BZ$3001,1649,$B$1)),DATE(VALUE(LEFT(I1650,FIND("-",I1650)-1)),VALUE(LEFT(J1650,FIND("-",J1650)-1)),VALUE(MID(J1650,FIND("-",J1650)+1,99)))))),"")</f>
        <v/>
      </c>
      <c r="C1650">
        <f>IF($C$1=0,0,IFERROR(VALUE(SUBSTITUTE(SUBSTITUTE(SUBSTITUTE(INDEX(貼り付け!$A$1:$BZ$3001,1649,$C$1)&amp;"",",",""),"¥",""),"￥","")),0))</f>
        <v/>
      </c>
      <c r="D1650">
        <f>IF($D$1=0,0,IFERROR(VALUE(SUBSTITUTE(SUBSTITUTE(SUBSTITUTE(INDEX(貼り付け!$A$1:$BZ$3001,1649,$D$1)&amp;"",",",""),"¥",""),"￥","")),0))</f>
        <v/>
      </c>
      <c r="E1650">
        <f>IF($E$1=0,0,IFERROR(VALUE(SUBSTITUTE(SUBSTITUTE(SUBSTITUTE(INDEX(貼り付け!$A$1:$BZ$3001,1649,$E$1)&amp;"",",",""),"¥",""),"￥","")),0))</f>
        <v/>
      </c>
      <c r="F1650">
        <f>IF($F$1=0,0,IFERROR(VALUE(SUBSTITUTE(SUBSTITUTE(SUBSTITUTE(INDEX(貼り付け!$A$1:$BZ$3001,1649,$F$1)&amp;"",",",""),"¥",""),"￥","")),0))</f>
        <v/>
      </c>
      <c r="G1650">
        <f>IF(ISNUMBER(B1650),YEAR(B1650),"")</f>
        <v/>
      </c>
      <c r="H1650">
        <f>IF(ISNUMBER(B1650),MONTH(B1650),"")</f>
        <v/>
      </c>
      <c r="I1650">
        <f>IFERROR(IF($B$1=0,"",IF(ISNUMBER(INDEX(貼り付け!$A$1:$BZ$3001,1649,$B$1)),"",SUBSTITUTE(SUBSTITUTE(SUBSTITUTE(SUBSTITUTE(TRIM(LEFT(INDEX(貼り付け!$A$1:$BZ$3001,1649,$B$1)&amp;"",FIND(" ",TRIM(INDEX(貼り付け!$A$1:$BZ$3001,1649,$B$1)&amp;"")&amp;" ")-1)),"/","-"),"年","-"),"月","-"),"日",""))),"")</f>
        <v/>
      </c>
      <c r="J1650">
        <f>IFERROR(MID(I1650,FIND("-",I1650)+1,99),"")</f>
        <v/>
      </c>
    </row>
    <row r="1651">
      <c r="B1651">
        <f>IFERROR(IF($B$1=0,"",IF(INDEX(貼り付け!$A$1:$BZ$3001,1650,$B$1)="","",IF(ISNUMBER(INDEX(貼り付け!$A$1:$BZ$3001,1650,$B$1)),INT(INDEX(貼り付け!$A$1:$BZ$3001,1650,$B$1)),DATE(VALUE(LEFT(I1651,FIND("-",I1651)-1)),VALUE(LEFT(J1651,FIND("-",J1651)-1)),VALUE(MID(J1651,FIND("-",J1651)+1,99)))))),"")</f>
        <v/>
      </c>
      <c r="C1651">
        <f>IF($C$1=0,0,IFERROR(VALUE(SUBSTITUTE(SUBSTITUTE(SUBSTITUTE(INDEX(貼り付け!$A$1:$BZ$3001,1650,$C$1)&amp;"",",",""),"¥",""),"￥","")),0))</f>
        <v/>
      </c>
      <c r="D1651">
        <f>IF($D$1=0,0,IFERROR(VALUE(SUBSTITUTE(SUBSTITUTE(SUBSTITUTE(INDEX(貼り付け!$A$1:$BZ$3001,1650,$D$1)&amp;"",",",""),"¥",""),"￥","")),0))</f>
        <v/>
      </c>
      <c r="E1651">
        <f>IF($E$1=0,0,IFERROR(VALUE(SUBSTITUTE(SUBSTITUTE(SUBSTITUTE(INDEX(貼り付け!$A$1:$BZ$3001,1650,$E$1)&amp;"",",",""),"¥",""),"￥","")),0))</f>
        <v/>
      </c>
      <c r="F1651">
        <f>IF($F$1=0,0,IFERROR(VALUE(SUBSTITUTE(SUBSTITUTE(SUBSTITUTE(INDEX(貼り付け!$A$1:$BZ$3001,1650,$F$1)&amp;"",",",""),"¥",""),"￥","")),0))</f>
        <v/>
      </c>
      <c r="G1651">
        <f>IF(ISNUMBER(B1651),YEAR(B1651),"")</f>
        <v/>
      </c>
      <c r="H1651">
        <f>IF(ISNUMBER(B1651),MONTH(B1651),"")</f>
        <v/>
      </c>
      <c r="I1651">
        <f>IFERROR(IF($B$1=0,"",IF(ISNUMBER(INDEX(貼り付け!$A$1:$BZ$3001,1650,$B$1)),"",SUBSTITUTE(SUBSTITUTE(SUBSTITUTE(SUBSTITUTE(TRIM(LEFT(INDEX(貼り付け!$A$1:$BZ$3001,1650,$B$1)&amp;"",FIND(" ",TRIM(INDEX(貼り付け!$A$1:$BZ$3001,1650,$B$1)&amp;"")&amp;" ")-1)),"/","-"),"年","-"),"月","-"),"日",""))),"")</f>
        <v/>
      </c>
      <c r="J1651">
        <f>IFERROR(MID(I1651,FIND("-",I1651)+1,99),"")</f>
        <v/>
      </c>
    </row>
    <row r="1652">
      <c r="B1652">
        <f>IFERROR(IF($B$1=0,"",IF(INDEX(貼り付け!$A$1:$BZ$3001,1651,$B$1)="","",IF(ISNUMBER(INDEX(貼り付け!$A$1:$BZ$3001,1651,$B$1)),INT(INDEX(貼り付け!$A$1:$BZ$3001,1651,$B$1)),DATE(VALUE(LEFT(I1652,FIND("-",I1652)-1)),VALUE(LEFT(J1652,FIND("-",J1652)-1)),VALUE(MID(J1652,FIND("-",J1652)+1,99)))))),"")</f>
        <v/>
      </c>
      <c r="C1652">
        <f>IF($C$1=0,0,IFERROR(VALUE(SUBSTITUTE(SUBSTITUTE(SUBSTITUTE(INDEX(貼り付け!$A$1:$BZ$3001,1651,$C$1)&amp;"",",",""),"¥",""),"￥","")),0))</f>
        <v/>
      </c>
      <c r="D1652">
        <f>IF($D$1=0,0,IFERROR(VALUE(SUBSTITUTE(SUBSTITUTE(SUBSTITUTE(INDEX(貼り付け!$A$1:$BZ$3001,1651,$D$1)&amp;"",",",""),"¥",""),"￥","")),0))</f>
        <v/>
      </c>
      <c r="E1652">
        <f>IF($E$1=0,0,IFERROR(VALUE(SUBSTITUTE(SUBSTITUTE(SUBSTITUTE(INDEX(貼り付け!$A$1:$BZ$3001,1651,$E$1)&amp;"",",",""),"¥",""),"￥","")),0))</f>
        <v/>
      </c>
      <c r="F1652">
        <f>IF($F$1=0,0,IFERROR(VALUE(SUBSTITUTE(SUBSTITUTE(SUBSTITUTE(INDEX(貼り付け!$A$1:$BZ$3001,1651,$F$1)&amp;"",",",""),"¥",""),"￥","")),0))</f>
        <v/>
      </c>
      <c r="G1652">
        <f>IF(ISNUMBER(B1652),YEAR(B1652),"")</f>
        <v/>
      </c>
      <c r="H1652">
        <f>IF(ISNUMBER(B1652),MONTH(B1652),"")</f>
        <v/>
      </c>
      <c r="I1652">
        <f>IFERROR(IF($B$1=0,"",IF(ISNUMBER(INDEX(貼り付け!$A$1:$BZ$3001,1651,$B$1)),"",SUBSTITUTE(SUBSTITUTE(SUBSTITUTE(SUBSTITUTE(TRIM(LEFT(INDEX(貼り付け!$A$1:$BZ$3001,1651,$B$1)&amp;"",FIND(" ",TRIM(INDEX(貼り付け!$A$1:$BZ$3001,1651,$B$1)&amp;"")&amp;" ")-1)),"/","-"),"年","-"),"月","-"),"日",""))),"")</f>
        <v/>
      </c>
      <c r="J1652">
        <f>IFERROR(MID(I1652,FIND("-",I1652)+1,99),"")</f>
        <v/>
      </c>
    </row>
    <row r="1653">
      <c r="B1653">
        <f>IFERROR(IF($B$1=0,"",IF(INDEX(貼り付け!$A$1:$BZ$3001,1652,$B$1)="","",IF(ISNUMBER(INDEX(貼り付け!$A$1:$BZ$3001,1652,$B$1)),INT(INDEX(貼り付け!$A$1:$BZ$3001,1652,$B$1)),DATE(VALUE(LEFT(I1653,FIND("-",I1653)-1)),VALUE(LEFT(J1653,FIND("-",J1653)-1)),VALUE(MID(J1653,FIND("-",J1653)+1,99)))))),"")</f>
        <v/>
      </c>
      <c r="C1653">
        <f>IF($C$1=0,0,IFERROR(VALUE(SUBSTITUTE(SUBSTITUTE(SUBSTITUTE(INDEX(貼り付け!$A$1:$BZ$3001,1652,$C$1)&amp;"",",",""),"¥",""),"￥","")),0))</f>
        <v/>
      </c>
      <c r="D1653">
        <f>IF($D$1=0,0,IFERROR(VALUE(SUBSTITUTE(SUBSTITUTE(SUBSTITUTE(INDEX(貼り付け!$A$1:$BZ$3001,1652,$D$1)&amp;"",",",""),"¥",""),"￥","")),0))</f>
        <v/>
      </c>
      <c r="E1653">
        <f>IF($E$1=0,0,IFERROR(VALUE(SUBSTITUTE(SUBSTITUTE(SUBSTITUTE(INDEX(貼り付け!$A$1:$BZ$3001,1652,$E$1)&amp;"",",",""),"¥",""),"￥","")),0))</f>
        <v/>
      </c>
      <c r="F1653">
        <f>IF($F$1=0,0,IFERROR(VALUE(SUBSTITUTE(SUBSTITUTE(SUBSTITUTE(INDEX(貼り付け!$A$1:$BZ$3001,1652,$F$1)&amp;"",",",""),"¥",""),"￥","")),0))</f>
        <v/>
      </c>
      <c r="G1653">
        <f>IF(ISNUMBER(B1653),YEAR(B1653),"")</f>
        <v/>
      </c>
      <c r="H1653">
        <f>IF(ISNUMBER(B1653),MONTH(B1653),"")</f>
        <v/>
      </c>
      <c r="I1653">
        <f>IFERROR(IF($B$1=0,"",IF(ISNUMBER(INDEX(貼り付け!$A$1:$BZ$3001,1652,$B$1)),"",SUBSTITUTE(SUBSTITUTE(SUBSTITUTE(SUBSTITUTE(TRIM(LEFT(INDEX(貼り付け!$A$1:$BZ$3001,1652,$B$1)&amp;"",FIND(" ",TRIM(INDEX(貼り付け!$A$1:$BZ$3001,1652,$B$1)&amp;"")&amp;" ")-1)),"/","-"),"年","-"),"月","-"),"日",""))),"")</f>
        <v/>
      </c>
      <c r="J1653">
        <f>IFERROR(MID(I1653,FIND("-",I1653)+1,99),"")</f>
        <v/>
      </c>
    </row>
    <row r="1654">
      <c r="B1654">
        <f>IFERROR(IF($B$1=0,"",IF(INDEX(貼り付け!$A$1:$BZ$3001,1653,$B$1)="","",IF(ISNUMBER(INDEX(貼り付け!$A$1:$BZ$3001,1653,$B$1)),INT(INDEX(貼り付け!$A$1:$BZ$3001,1653,$B$1)),DATE(VALUE(LEFT(I1654,FIND("-",I1654)-1)),VALUE(LEFT(J1654,FIND("-",J1654)-1)),VALUE(MID(J1654,FIND("-",J1654)+1,99)))))),"")</f>
        <v/>
      </c>
      <c r="C1654">
        <f>IF($C$1=0,0,IFERROR(VALUE(SUBSTITUTE(SUBSTITUTE(SUBSTITUTE(INDEX(貼り付け!$A$1:$BZ$3001,1653,$C$1)&amp;"",",",""),"¥",""),"￥","")),0))</f>
        <v/>
      </c>
      <c r="D1654">
        <f>IF($D$1=0,0,IFERROR(VALUE(SUBSTITUTE(SUBSTITUTE(SUBSTITUTE(INDEX(貼り付け!$A$1:$BZ$3001,1653,$D$1)&amp;"",",",""),"¥",""),"￥","")),0))</f>
        <v/>
      </c>
      <c r="E1654">
        <f>IF($E$1=0,0,IFERROR(VALUE(SUBSTITUTE(SUBSTITUTE(SUBSTITUTE(INDEX(貼り付け!$A$1:$BZ$3001,1653,$E$1)&amp;"",",",""),"¥",""),"￥","")),0))</f>
        <v/>
      </c>
      <c r="F1654">
        <f>IF($F$1=0,0,IFERROR(VALUE(SUBSTITUTE(SUBSTITUTE(SUBSTITUTE(INDEX(貼り付け!$A$1:$BZ$3001,1653,$F$1)&amp;"",",",""),"¥",""),"￥","")),0))</f>
        <v/>
      </c>
      <c r="G1654">
        <f>IF(ISNUMBER(B1654),YEAR(B1654),"")</f>
        <v/>
      </c>
      <c r="H1654">
        <f>IF(ISNUMBER(B1654),MONTH(B1654),"")</f>
        <v/>
      </c>
      <c r="I1654">
        <f>IFERROR(IF($B$1=0,"",IF(ISNUMBER(INDEX(貼り付け!$A$1:$BZ$3001,1653,$B$1)),"",SUBSTITUTE(SUBSTITUTE(SUBSTITUTE(SUBSTITUTE(TRIM(LEFT(INDEX(貼り付け!$A$1:$BZ$3001,1653,$B$1)&amp;"",FIND(" ",TRIM(INDEX(貼り付け!$A$1:$BZ$3001,1653,$B$1)&amp;"")&amp;" ")-1)),"/","-"),"年","-"),"月","-"),"日",""))),"")</f>
        <v/>
      </c>
      <c r="J1654">
        <f>IFERROR(MID(I1654,FIND("-",I1654)+1,99),"")</f>
        <v/>
      </c>
    </row>
    <row r="1655">
      <c r="B1655">
        <f>IFERROR(IF($B$1=0,"",IF(INDEX(貼り付け!$A$1:$BZ$3001,1654,$B$1)="","",IF(ISNUMBER(INDEX(貼り付け!$A$1:$BZ$3001,1654,$B$1)),INT(INDEX(貼り付け!$A$1:$BZ$3001,1654,$B$1)),DATE(VALUE(LEFT(I1655,FIND("-",I1655)-1)),VALUE(LEFT(J1655,FIND("-",J1655)-1)),VALUE(MID(J1655,FIND("-",J1655)+1,99)))))),"")</f>
        <v/>
      </c>
      <c r="C1655">
        <f>IF($C$1=0,0,IFERROR(VALUE(SUBSTITUTE(SUBSTITUTE(SUBSTITUTE(INDEX(貼り付け!$A$1:$BZ$3001,1654,$C$1)&amp;"",",",""),"¥",""),"￥","")),0))</f>
        <v/>
      </c>
      <c r="D1655">
        <f>IF($D$1=0,0,IFERROR(VALUE(SUBSTITUTE(SUBSTITUTE(SUBSTITUTE(INDEX(貼り付け!$A$1:$BZ$3001,1654,$D$1)&amp;"",",",""),"¥",""),"￥","")),0))</f>
        <v/>
      </c>
      <c r="E1655">
        <f>IF($E$1=0,0,IFERROR(VALUE(SUBSTITUTE(SUBSTITUTE(SUBSTITUTE(INDEX(貼り付け!$A$1:$BZ$3001,1654,$E$1)&amp;"",",",""),"¥",""),"￥","")),0))</f>
        <v/>
      </c>
      <c r="F1655">
        <f>IF($F$1=0,0,IFERROR(VALUE(SUBSTITUTE(SUBSTITUTE(SUBSTITUTE(INDEX(貼り付け!$A$1:$BZ$3001,1654,$F$1)&amp;"",",",""),"¥",""),"￥","")),0))</f>
        <v/>
      </c>
      <c r="G1655">
        <f>IF(ISNUMBER(B1655),YEAR(B1655),"")</f>
        <v/>
      </c>
      <c r="H1655">
        <f>IF(ISNUMBER(B1655),MONTH(B1655),"")</f>
        <v/>
      </c>
      <c r="I1655">
        <f>IFERROR(IF($B$1=0,"",IF(ISNUMBER(INDEX(貼り付け!$A$1:$BZ$3001,1654,$B$1)),"",SUBSTITUTE(SUBSTITUTE(SUBSTITUTE(SUBSTITUTE(TRIM(LEFT(INDEX(貼り付け!$A$1:$BZ$3001,1654,$B$1)&amp;"",FIND(" ",TRIM(INDEX(貼り付け!$A$1:$BZ$3001,1654,$B$1)&amp;"")&amp;" ")-1)),"/","-"),"年","-"),"月","-"),"日",""))),"")</f>
        <v/>
      </c>
      <c r="J1655">
        <f>IFERROR(MID(I1655,FIND("-",I1655)+1,99),"")</f>
        <v/>
      </c>
    </row>
    <row r="1656">
      <c r="B1656">
        <f>IFERROR(IF($B$1=0,"",IF(INDEX(貼り付け!$A$1:$BZ$3001,1655,$B$1)="","",IF(ISNUMBER(INDEX(貼り付け!$A$1:$BZ$3001,1655,$B$1)),INT(INDEX(貼り付け!$A$1:$BZ$3001,1655,$B$1)),DATE(VALUE(LEFT(I1656,FIND("-",I1656)-1)),VALUE(LEFT(J1656,FIND("-",J1656)-1)),VALUE(MID(J1656,FIND("-",J1656)+1,99)))))),"")</f>
        <v/>
      </c>
      <c r="C1656">
        <f>IF($C$1=0,0,IFERROR(VALUE(SUBSTITUTE(SUBSTITUTE(SUBSTITUTE(INDEX(貼り付け!$A$1:$BZ$3001,1655,$C$1)&amp;"",",",""),"¥",""),"￥","")),0))</f>
        <v/>
      </c>
      <c r="D1656">
        <f>IF($D$1=0,0,IFERROR(VALUE(SUBSTITUTE(SUBSTITUTE(SUBSTITUTE(INDEX(貼り付け!$A$1:$BZ$3001,1655,$D$1)&amp;"",",",""),"¥",""),"￥","")),0))</f>
        <v/>
      </c>
      <c r="E1656">
        <f>IF($E$1=0,0,IFERROR(VALUE(SUBSTITUTE(SUBSTITUTE(SUBSTITUTE(INDEX(貼り付け!$A$1:$BZ$3001,1655,$E$1)&amp;"",",",""),"¥",""),"￥","")),0))</f>
        <v/>
      </c>
      <c r="F1656">
        <f>IF($F$1=0,0,IFERROR(VALUE(SUBSTITUTE(SUBSTITUTE(SUBSTITUTE(INDEX(貼り付け!$A$1:$BZ$3001,1655,$F$1)&amp;"",",",""),"¥",""),"￥","")),0))</f>
        <v/>
      </c>
      <c r="G1656">
        <f>IF(ISNUMBER(B1656),YEAR(B1656),"")</f>
        <v/>
      </c>
      <c r="H1656">
        <f>IF(ISNUMBER(B1656),MONTH(B1656),"")</f>
        <v/>
      </c>
      <c r="I1656">
        <f>IFERROR(IF($B$1=0,"",IF(ISNUMBER(INDEX(貼り付け!$A$1:$BZ$3001,1655,$B$1)),"",SUBSTITUTE(SUBSTITUTE(SUBSTITUTE(SUBSTITUTE(TRIM(LEFT(INDEX(貼り付け!$A$1:$BZ$3001,1655,$B$1)&amp;"",FIND(" ",TRIM(INDEX(貼り付け!$A$1:$BZ$3001,1655,$B$1)&amp;"")&amp;" ")-1)),"/","-"),"年","-"),"月","-"),"日",""))),"")</f>
        <v/>
      </c>
      <c r="J1656">
        <f>IFERROR(MID(I1656,FIND("-",I1656)+1,99),"")</f>
        <v/>
      </c>
    </row>
    <row r="1657">
      <c r="B1657">
        <f>IFERROR(IF($B$1=0,"",IF(INDEX(貼り付け!$A$1:$BZ$3001,1656,$B$1)="","",IF(ISNUMBER(INDEX(貼り付け!$A$1:$BZ$3001,1656,$B$1)),INT(INDEX(貼り付け!$A$1:$BZ$3001,1656,$B$1)),DATE(VALUE(LEFT(I1657,FIND("-",I1657)-1)),VALUE(LEFT(J1657,FIND("-",J1657)-1)),VALUE(MID(J1657,FIND("-",J1657)+1,99)))))),"")</f>
        <v/>
      </c>
      <c r="C1657">
        <f>IF($C$1=0,0,IFERROR(VALUE(SUBSTITUTE(SUBSTITUTE(SUBSTITUTE(INDEX(貼り付け!$A$1:$BZ$3001,1656,$C$1)&amp;"",",",""),"¥",""),"￥","")),0))</f>
        <v/>
      </c>
      <c r="D1657">
        <f>IF($D$1=0,0,IFERROR(VALUE(SUBSTITUTE(SUBSTITUTE(SUBSTITUTE(INDEX(貼り付け!$A$1:$BZ$3001,1656,$D$1)&amp;"",",",""),"¥",""),"￥","")),0))</f>
        <v/>
      </c>
      <c r="E1657">
        <f>IF($E$1=0,0,IFERROR(VALUE(SUBSTITUTE(SUBSTITUTE(SUBSTITUTE(INDEX(貼り付け!$A$1:$BZ$3001,1656,$E$1)&amp;"",",",""),"¥",""),"￥","")),0))</f>
        <v/>
      </c>
      <c r="F1657">
        <f>IF($F$1=0,0,IFERROR(VALUE(SUBSTITUTE(SUBSTITUTE(SUBSTITUTE(INDEX(貼り付け!$A$1:$BZ$3001,1656,$F$1)&amp;"",",",""),"¥",""),"￥","")),0))</f>
        <v/>
      </c>
      <c r="G1657">
        <f>IF(ISNUMBER(B1657),YEAR(B1657),"")</f>
        <v/>
      </c>
      <c r="H1657">
        <f>IF(ISNUMBER(B1657),MONTH(B1657),"")</f>
        <v/>
      </c>
      <c r="I1657">
        <f>IFERROR(IF($B$1=0,"",IF(ISNUMBER(INDEX(貼り付け!$A$1:$BZ$3001,1656,$B$1)),"",SUBSTITUTE(SUBSTITUTE(SUBSTITUTE(SUBSTITUTE(TRIM(LEFT(INDEX(貼り付け!$A$1:$BZ$3001,1656,$B$1)&amp;"",FIND(" ",TRIM(INDEX(貼り付け!$A$1:$BZ$3001,1656,$B$1)&amp;"")&amp;" ")-1)),"/","-"),"年","-"),"月","-"),"日",""))),"")</f>
        <v/>
      </c>
      <c r="J1657">
        <f>IFERROR(MID(I1657,FIND("-",I1657)+1,99),"")</f>
        <v/>
      </c>
    </row>
    <row r="1658">
      <c r="B1658">
        <f>IFERROR(IF($B$1=0,"",IF(INDEX(貼り付け!$A$1:$BZ$3001,1657,$B$1)="","",IF(ISNUMBER(INDEX(貼り付け!$A$1:$BZ$3001,1657,$B$1)),INT(INDEX(貼り付け!$A$1:$BZ$3001,1657,$B$1)),DATE(VALUE(LEFT(I1658,FIND("-",I1658)-1)),VALUE(LEFT(J1658,FIND("-",J1658)-1)),VALUE(MID(J1658,FIND("-",J1658)+1,99)))))),"")</f>
        <v/>
      </c>
      <c r="C1658">
        <f>IF($C$1=0,0,IFERROR(VALUE(SUBSTITUTE(SUBSTITUTE(SUBSTITUTE(INDEX(貼り付け!$A$1:$BZ$3001,1657,$C$1)&amp;"",",",""),"¥",""),"￥","")),0))</f>
        <v/>
      </c>
      <c r="D1658">
        <f>IF($D$1=0,0,IFERROR(VALUE(SUBSTITUTE(SUBSTITUTE(SUBSTITUTE(INDEX(貼り付け!$A$1:$BZ$3001,1657,$D$1)&amp;"",",",""),"¥",""),"￥","")),0))</f>
        <v/>
      </c>
      <c r="E1658">
        <f>IF($E$1=0,0,IFERROR(VALUE(SUBSTITUTE(SUBSTITUTE(SUBSTITUTE(INDEX(貼り付け!$A$1:$BZ$3001,1657,$E$1)&amp;"",",",""),"¥",""),"￥","")),0))</f>
        <v/>
      </c>
      <c r="F1658">
        <f>IF($F$1=0,0,IFERROR(VALUE(SUBSTITUTE(SUBSTITUTE(SUBSTITUTE(INDEX(貼り付け!$A$1:$BZ$3001,1657,$F$1)&amp;"",",",""),"¥",""),"￥","")),0))</f>
        <v/>
      </c>
      <c r="G1658">
        <f>IF(ISNUMBER(B1658),YEAR(B1658),"")</f>
        <v/>
      </c>
      <c r="H1658">
        <f>IF(ISNUMBER(B1658),MONTH(B1658),"")</f>
        <v/>
      </c>
      <c r="I1658">
        <f>IFERROR(IF($B$1=0,"",IF(ISNUMBER(INDEX(貼り付け!$A$1:$BZ$3001,1657,$B$1)),"",SUBSTITUTE(SUBSTITUTE(SUBSTITUTE(SUBSTITUTE(TRIM(LEFT(INDEX(貼り付け!$A$1:$BZ$3001,1657,$B$1)&amp;"",FIND(" ",TRIM(INDEX(貼り付け!$A$1:$BZ$3001,1657,$B$1)&amp;"")&amp;" ")-1)),"/","-"),"年","-"),"月","-"),"日",""))),"")</f>
        <v/>
      </c>
      <c r="J1658">
        <f>IFERROR(MID(I1658,FIND("-",I1658)+1,99),"")</f>
        <v/>
      </c>
    </row>
    <row r="1659">
      <c r="B1659">
        <f>IFERROR(IF($B$1=0,"",IF(INDEX(貼り付け!$A$1:$BZ$3001,1658,$B$1)="","",IF(ISNUMBER(INDEX(貼り付け!$A$1:$BZ$3001,1658,$B$1)),INT(INDEX(貼り付け!$A$1:$BZ$3001,1658,$B$1)),DATE(VALUE(LEFT(I1659,FIND("-",I1659)-1)),VALUE(LEFT(J1659,FIND("-",J1659)-1)),VALUE(MID(J1659,FIND("-",J1659)+1,99)))))),"")</f>
        <v/>
      </c>
      <c r="C1659">
        <f>IF($C$1=0,0,IFERROR(VALUE(SUBSTITUTE(SUBSTITUTE(SUBSTITUTE(INDEX(貼り付け!$A$1:$BZ$3001,1658,$C$1)&amp;"",",",""),"¥",""),"￥","")),0))</f>
        <v/>
      </c>
      <c r="D1659">
        <f>IF($D$1=0,0,IFERROR(VALUE(SUBSTITUTE(SUBSTITUTE(SUBSTITUTE(INDEX(貼り付け!$A$1:$BZ$3001,1658,$D$1)&amp;"",",",""),"¥",""),"￥","")),0))</f>
        <v/>
      </c>
      <c r="E1659">
        <f>IF($E$1=0,0,IFERROR(VALUE(SUBSTITUTE(SUBSTITUTE(SUBSTITUTE(INDEX(貼り付け!$A$1:$BZ$3001,1658,$E$1)&amp;"",",",""),"¥",""),"￥","")),0))</f>
        <v/>
      </c>
      <c r="F1659">
        <f>IF($F$1=0,0,IFERROR(VALUE(SUBSTITUTE(SUBSTITUTE(SUBSTITUTE(INDEX(貼り付け!$A$1:$BZ$3001,1658,$F$1)&amp;"",",",""),"¥",""),"￥","")),0))</f>
        <v/>
      </c>
      <c r="G1659">
        <f>IF(ISNUMBER(B1659),YEAR(B1659),"")</f>
        <v/>
      </c>
      <c r="H1659">
        <f>IF(ISNUMBER(B1659),MONTH(B1659),"")</f>
        <v/>
      </c>
      <c r="I1659">
        <f>IFERROR(IF($B$1=0,"",IF(ISNUMBER(INDEX(貼り付け!$A$1:$BZ$3001,1658,$B$1)),"",SUBSTITUTE(SUBSTITUTE(SUBSTITUTE(SUBSTITUTE(TRIM(LEFT(INDEX(貼り付け!$A$1:$BZ$3001,1658,$B$1)&amp;"",FIND(" ",TRIM(INDEX(貼り付け!$A$1:$BZ$3001,1658,$B$1)&amp;"")&amp;" ")-1)),"/","-"),"年","-"),"月","-"),"日",""))),"")</f>
        <v/>
      </c>
      <c r="J1659">
        <f>IFERROR(MID(I1659,FIND("-",I1659)+1,99),"")</f>
        <v/>
      </c>
    </row>
    <row r="1660">
      <c r="B1660">
        <f>IFERROR(IF($B$1=0,"",IF(INDEX(貼り付け!$A$1:$BZ$3001,1659,$B$1)="","",IF(ISNUMBER(INDEX(貼り付け!$A$1:$BZ$3001,1659,$B$1)),INT(INDEX(貼り付け!$A$1:$BZ$3001,1659,$B$1)),DATE(VALUE(LEFT(I1660,FIND("-",I1660)-1)),VALUE(LEFT(J1660,FIND("-",J1660)-1)),VALUE(MID(J1660,FIND("-",J1660)+1,99)))))),"")</f>
        <v/>
      </c>
      <c r="C1660">
        <f>IF($C$1=0,0,IFERROR(VALUE(SUBSTITUTE(SUBSTITUTE(SUBSTITUTE(INDEX(貼り付け!$A$1:$BZ$3001,1659,$C$1)&amp;"",",",""),"¥",""),"￥","")),0))</f>
        <v/>
      </c>
      <c r="D1660">
        <f>IF($D$1=0,0,IFERROR(VALUE(SUBSTITUTE(SUBSTITUTE(SUBSTITUTE(INDEX(貼り付け!$A$1:$BZ$3001,1659,$D$1)&amp;"",",",""),"¥",""),"￥","")),0))</f>
        <v/>
      </c>
      <c r="E1660">
        <f>IF($E$1=0,0,IFERROR(VALUE(SUBSTITUTE(SUBSTITUTE(SUBSTITUTE(INDEX(貼り付け!$A$1:$BZ$3001,1659,$E$1)&amp;"",",",""),"¥",""),"￥","")),0))</f>
        <v/>
      </c>
      <c r="F1660">
        <f>IF($F$1=0,0,IFERROR(VALUE(SUBSTITUTE(SUBSTITUTE(SUBSTITUTE(INDEX(貼り付け!$A$1:$BZ$3001,1659,$F$1)&amp;"",",",""),"¥",""),"￥","")),0))</f>
        <v/>
      </c>
      <c r="G1660">
        <f>IF(ISNUMBER(B1660),YEAR(B1660),"")</f>
        <v/>
      </c>
      <c r="H1660">
        <f>IF(ISNUMBER(B1660),MONTH(B1660),"")</f>
        <v/>
      </c>
      <c r="I1660">
        <f>IFERROR(IF($B$1=0,"",IF(ISNUMBER(INDEX(貼り付け!$A$1:$BZ$3001,1659,$B$1)),"",SUBSTITUTE(SUBSTITUTE(SUBSTITUTE(SUBSTITUTE(TRIM(LEFT(INDEX(貼り付け!$A$1:$BZ$3001,1659,$B$1)&amp;"",FIND(" ",TRIM(INDEX(貼り付け!$A$1:$BZ$3001,1659,$B$1)&amp;"")&amp;" ")-1)),"/","-"),"年","-"),"月","-"),"日",""))),"")</f>
        <v/>
      </c>
      <c r="J1660">
        <f>IFERROR(MID(I1660,FIND("-",I1660)+1,99),"")</f>
        <v/>
      </c>
    </row>
    <row r="1661">
      <c r="B1661">
        <f>IFERROR(IF($B$1=0,"",IF(INDEX(貼り付け!$A$1:$BZ$3001,1660,$B$1)="","",IF(ISNUMBER(INDEX(貼り付け!$A$1:$BZ$3001,1660,$B$1)),INT(INDEX(貼り付け!$A$1:$BZ$3001,1660,$B$1)),DATE(VALUE(LEFT(I1661,FIND("-",I1661)-1)),VALUE(LEFT(J1661,FIND("-",J1661)-1)),VALUE(MID(J1661,FIND("-",J1661)+1,99)))))),"")</f>
        <v/>
      </c>
      <c r="C1661">
        <f>IF($C$1=0,0,IFERROR(VALUE(SUBSTITUTE(SUBSTITUTE(SUBSTITUTE(INDEX(貼り付け!$A$1:$BZ$3001,1660,$C$1)&amp;"",",",""),"¥",""),"￥","")),0))</f>
        <v/>
      </c>
      <c r="D1661">
        <f>IF($D$1=0,0,IFERROR(VALUE(SUBSTITUTE(SUBSTITUTE(SUBSTITUTE(INDEX(貼り付け!$A$1:$BZ$3001,1660,$D$1)&amp;"",",",""),"¥",""),"￥","")),0))</f>
        <v/>
      </c>
      <c r="E1661">
        <f>IF($E$1=0,0,IFERROR(VALUE(SUBSTITUTE(SUBSTITUTE(SUBSTITUTE(INDEX(貼り付け!$A$1:$BZ$3001,1660,$E$1)&amp;"",",",""),"¥",""),"￥","")),0))</f>
        <v/>
      </c>
      <c r="F1661">
        <f>IF($F$1=0,0,IFERROR(VALUE(SUBSTITUTE(SUBSTITUTE(SUBSTITUTE(INDEX(貼り付け!$A$1:$BZ$3001,1660,$F$1)&amp;"",",",""),"¥",""),"￥","")),0))</f>
        <v/>
      </c>
      <c r="G1661">
        <f>IF(ISNUMBER(B1661),YEAR(B1661),"")</f>
        <v/>
      </c>
      <c r="H1661">
        <f>IF(ISNUMBER(B1661),MONTH(B1661),"")</f>
        <v/>
      </c>
      <c r="I1661">
        <f>IFERROR(IF($B$1=0,"",IF(ISNUMBER(INDEX(貼り付け!$A$1:$BZ$3001,1660,$B$1)),"",SUBSTITUTE(SUBSTITUTE(SUBSTITUTE(SUBSTITUTE(TRIM(LEFT(INDEX(貼り付け!$A$1:$BZ$3001,1660,$B$1)&amp;"",FIND(" ",TRIM(INDEX(貼り付け!$A$1:$BZ$3001,1660,$B$1)&amp;"")&amp;" ")-1)),"/","-"),"年","-"),"月","-"),"日",""))),"")</f>
        <v/>
      </c>
      <c r="J1661">
        <f>IFERROR(MID(I1661,FIND("-",I1661)+1,99),"")</f>
        <v/>
      </c>
    </row>
    <row r="1662">
      <c r="B1662">
        <f>IFERROR(IF($B$1=0,"",IF(INDEX(貼り付け!$A$1:$BZ$3001,1661,$B$1)="","",IF(ISNUMBER(INDEX(貼り付け!$A$1:$BZ$3001,1661,$B$1)),INT(INDEX(貼り付け!$A$1:$BZ$3001,1661,$B$1)),DATE(VALUE(LEFT(I1662,FIND("-",I1662)-1)),VALUE(LEFT(J1662,FIND("-",J1662)-1)),VALUE(MID(J1662,FIND("-",J1662)+1,99)))))),"")</f>
        <v/>
      </c>
      <c r="C1662">
        <f>IF($C$1=0,0,IFERROR(VALUE(SUBSTITUTE(SUBSTITUTE(SUBSTITUTE(INDEX(貼り付け!$A$1:$BZ$3001,1661,$C$1)&amp;"",",",""),"¥",""),"￥","")),0))</f>
        <v/>
      </c>
      <c r="D1662">
        <f>IF($D$1=0,0,IFERROR(VALUE(SUBSTITUTE(SUBSTITUTE(SUBSTITUTE(INDEX(貼り付け!$A$1:$BZ$3001,1661,$D$1)&amp;"",",",""),"¥",""),"￥","")),0))</f>
        <v/>
      </c>
      <c r="E1662">
        <f>IF($E$1=0,0,IFERROR(VALUE(SUBSTITUTE(SUBSTITUTE(SUBSTITUTE(INDEX(貼り付け!$A$1:$BZ$3001,1661,$E$1)&amp;"",",",""),"¥",""),"￥","")),0))</f>
        <v/>
      </c>
      <c r="F1662">
        <f>IF($F$1=0,0,IFERROR(VALUE(SUBSTITUTE(SUBSTITUTE(SUBSTITUTE(INDEX(貼り付け!$A$1:$BZ$3001,1661,$F$1)&amp;"",",",""),"¥",""),"￥","")),0))</f>
        <v/>
      </c>
      <c r="G1662">
        <f>IF(ISNUMBER(B1662),YEAR(B1662),"")</f>
        <v/>
      </c>
      <c r="H1662">
        <f>IF(ISNUMBER(B1662),MONTH(B1662),"")</f>
        <v/>
      </c>
      <c r="I1662">
        <f>IFERROR(IF($B$1=0,"",IF(ISNUMBER(INDEX(貼り付け!$A$1:$BZ$3001,1661,$B$1)),"",SUBSTITUTE(SUBSTITUTE(SUBSTITUTE(SUBSTITUTE(TRIM(LEFT(INDEX(貼り付け!$A$1:$BZ$3001,1661,$B$1)&amp;"",FIND(" ",TRIM(INDEX(貼り付け!$A$1:$BZ$3001,1661,$B$1)&amp;"")&amp;" ")-1)),"/","-"),"年","-"),"月","-"),"日",""))),"")</f>
        <v/>
      </c>
      <c r="J1662">
        <f>IFERROR(MID(I1662,FIND("-",I1662)+1,99),"")</f>
        <v/>
      </c>
    </row>
    <row r="1663">
      <c r="B1663">
        <f>IFERROR(IF($B$1=0,"",IF(INDEX(貼り付け!$A$1:$BZ$3001,1662,$B$1)="","",IF(ISNUMBER(INDEX(貼り付け!$A$1:$BZ$3001,1662,$B$1)),INT(INDEX(貼り付け!$A$1:$BZ$3001,1662,$B$1)),DATE(VALUE(LEFT(I1663,FIND("-",I1663)-1)),VALUE(LEFT(J1663,FIND("-",J1663)-1)),VALUE(MID(J1663,FIND("-",J1663)+1,99)))))),"")</f>
        <v/>
      </c>
      <c r="C1663">
        <f>IF($C$1=0,0,IFERROR(VALUE(SUBSTITUTE(SUBSTITUTE(SUBSTITUTE(INDEX(貼り付け!$A$1:$BZ$3001,1662,$C$1)&amp;"",",",""),"¥",""),"￥","")),0))</f>
        <v/>
      </c>
      <c r="D1663">
        <f>IF($D$1=0,0,IFERROR(VALUE(SUBSTITUTE(SUBSTITUTE(SUBSTITUTE(INDEX(貼り付け!$A$1:$BZ$3001,1662,$D$1)&amp;"",",",""),"¥",""),"￥","")),0))</f>
        <v/>
      </c>
      <c r="E1663">
        <f>IF($E$1=0,0,IFERROR(VALUE(SUBSTITUTE(SUBSTITUTE(SUBSTITUTE(INDEX(貼り付け!$A$1:$BZ$3001,1662,$E$1)&amp;"",",",""),"¥",""),"￥","")),0))</f>
        <v/>
      </c>
      <c r="F1663">
        <f>IF($F$1=0,0,IFERROR(VALUE(SUBSTITUTE(SUBSTITUTE(SUBSTITUTE(INDEX(貼り付け!$A$1:$BZ$3001,1662,$F$1)&amp;"",",",""),"¥",""),"￥","")),0))</f>
        <v/>
      </c>
      <c r="G1663">
        <f>IF(ISNUMBER(B1663),YEAR(B1663),"")</f>
        <v/>
      </c>
      <c r="H1663">
        <f>IF(ISNUMBER(B1663),MONTH(B1663),"")</f>
        <v/>
      </c>
      <c r="I1663">
        <f>IFERROR(IF($B$1=0,"",IF(ISNUMBER(INDEX(貼り付け!$A$1:$BZ$3001,1662,$B$1)),"",SUBSTITUTE(SUBSTITUTE(SUBSTITUTE(SUBSTITUTE(TRIM(LEFT(INDEX(貼り付け!$A$1:$BZ$3001,1662,$B$1)&amp;"",FIND(" ",TRIM(INDEX(貼り付け!$A$1:$BZ$3001,1662,$B$1)&amp;"")&amp;" ")-1)),"/","-"),"年","-"),"月","-"),"日",""))),"")</f>
        <v/>
      </c>
      <c r="J1663">
        <f>IFERROR(MID(I1663,FIND("-",I1663)+1,99),"")</f>
        <v/>
      </c>
    </row>
    <row r="1664">
      <c r="B1664">
        <f>IFERROR(IF($B$1=0,"",IF(INDEX(貼り付け!$A$1:$BZ$3001,1663,$B$1)="","",IF(ISNUMBER(INDEX(貼り付け!$A$1:$BZ$3001,1663,$B$1)),INT(INDEX(貼り付け!$A$1:$BZ$3001,1663,$B$1)),DATE(VALUE(LEFT(I1664,FIND("-",I1664)-1)),VALUE(LEFT(J1664,FIND("-",J1664)-1)),VALUE(MID(J1664,FIND("-",J1664)+1,99)))))),"")</f>
        <v/>
      </c>
      <c r="C1664">
        <f>IF($C$1=0,0,IFERROR(VALUE(SUBSTITUTE(SUBSTITUTE(SUBSTITUTE(INDEX(貼り付け!$A$1:$BZ$3001,1663,$C$1)&amp;"",",",""),"¥",""),"￥","")),0))</f>
        <v/>
      </c>
      <c r="D1664">
        <f>IF($D$1=0,0,IFERROR(VALUE(SUBSTITUTE(SUBSTITUTE(SUBSTITUTE(INDEX(貼り付け!$A$1:$BZ$3001,1663,$D$1)&amp;"",",",""),"¥",""),"￥","")),0))</f>
        <v/>
      </c>
      <c r="E1664">
        <f>IF($E$1=0,0,IFERROR(VALUE(SUBSTITUTE(SUBSTITUTE(SUBSTITUTE(INDEX(貼り付け!$A$1:$BZ$3001,1663,$E$1)&amp;"",",",""),"¥",""),"￥","")),0))</f>
        <v/>
      </c>
      <c r="F1664">
        <f>IF($F$1=0,0,IFERROR(VALUE(SUBSTITUTE(SUBSTITUTE(SUBSTITUTE(INDEX(貼り付け!$A$1:$BZ$3001,1663,$F$1)&amp;"",",",""),"¥",""),"￥","")),0))</f>
        <v/>
      </c>
      <c r="G1664">
        <f>IF(ISNUMBER(B1664),YEAR(B1664),"")</f>
        <v/>
      </c>
      <c r="H1664">
        <f>IF(ISNUMBER(B1664),MONTH(B1664),"")</f>
        <v/>
      </c>
      <c r="I1664">
        <f>IFERROR(IF($B$1=0,"",IF(ISNUMBER(INDEX(貼り付け!$A$1:$BZ$3001,1663,$B$1)),"",SUBSTITUTE(SUBSTITUTE(SUBSTITUTE(SUBSTITUTE(TRIM(LEFT(INDEX(貼り付け!$A$1:$BZ$3001,1663,$B$1)&amp;"",FIND(" ",TRIM(INDEX(貼り付け!$A$1:$BZ$3001,1663,$B$1)&amp;"")&amp;" ")-1)),"/","-"),"年","-"),"月","-"),"日",""))),"")</f>
        <v/>
      </c>
      <c r="J1664">
        <f>IFERROR(MID(I1664,FIND("-",I1664)+1,99),"")</f>
        <v/>
      </c>
    </row>
    <row r="1665">
      <c r="B1665">
        <f>IFERROR(IF($B$1=0,"",IF(INDEX(貼り付け!$A$1:$BZ$3001,1664,$B$1)="","",IF(ISNUMBER(INDEX(貼り付け!$A$1:$BZ$3001,1664,$B$1)),INT(INDEX(貼り付け!$A$1:$BZ$3001,1664,$B$1)),DATE(VALUE(LEFT(I1665,FIND("-",I1665)-1)),VALUE(LEFT(J1665,FIND("-",J1665)-1)),VALUE(MID(J1665,FIND("-",J1665)+1,99)))))),"")</f>
        <v/>
      </c>
      <c r="C1665">
        <f>IF($C$1=0,0,IFERROR(VALUE(SUBSTITUTE(SUBSTITUTE(SUBSTITUTE(INDEX(貼り付け!$A$1:$BZ$3001,1664,$C$1)&amp;"",",",""),"¥",""),"￥","")),0))</f>
        <v/>
      </c>
      <c r="D1665">
        <f>IF($D$1=0,0,IFERROR(VALUE(SUBSTITUTE(SUBSTITUTE(SUBSTITUTE(INDEX(貼り付け!$A$1:$BZ$3001,1664,$D$1)&amp;"",",",""),"¥",""),"￥","")),0))</f>
        <v/>
      </c>
      <c r="E1665">
        <f>IF($E$1=0,0,IFERROR(VALUE(SUBSTITUTE(SUBSTITUTE(SUBSTITUTE(INDEX(貼り付け!$A$1:$BZ$3001,1664,$E$1)&amp;"",",",""),"¥",""),"￥","")),0))</f>
        <v/>
      </c>
      <c r="F1665">
        <f>IF($F$1=0,0,IFERROR(VALUE(SUBSTITUTE(SUBSTITUTE(SUBSTITUTE(INDEX(貼り付け!$A$1:$BZ$3001,1664,$F$1)&amp;"",",",""),"¥",""),"￥","")),0))</f>
        <v/>
      </c>
      <c r="G1665">
        <f>IF(ISNUMBER(B1665),YEAR(B1665),"")</f>
        <v/>
      </c>
      <c r="H1665">
        <f>IF(ISNUMBER(B1665),MONTH(B1665),"")</f>
        <v/>
      </c>
      <c r="I1665">
        <f>IFERROR(IF($B$1=0,"",IF(ISNUMBER(INDEX(貼り付け!$A$1:$BZ$3001,1664,$B$1)),"",SUBSTITUTE(SUBSTITUTE(SUBSTITUTE(SUBSTITUTE(TRIM(LEFT(INDEX(貼り付け!$A$1:$BZ$3001,1664,$B$1)&amp;"",FIND(" ",TRIM(INDEX(貼り付け!$A$1:$BZ$3001,1664,$B$1)&amp;"")&amp;" ")-1)),"/","-"),"年","-"),"月","-"),"日",""))),"")</f>
        <v/>
      </c>
      <c r="J1665">
        <f>IFERROR(MID(I1665,FIND("-",I1665)+1,99),"")</f>
        <v/>
      </c>
    </row>
    <row r="1666">
      <c r="B1666">
        <f>IFERROR(IF($B$1=0,"",IF(INDEX(貼り付け!$A$1:$BZ$3001,1665,$B$1)="","",IF(ISNUMBER(INDEX(貼り付け!$A$1:$BZ$3001,1665,$B$1)),INT(INDEX(貼り付け!$A$1:$BZ$3001,1665,$B$1)),DATE(VALUE(LEFT(I1666,FIND("-",I1666)-1)),VALUE(LEFT(J1666,FIND("-",J1666)-1)),VALUE(MID(J1666,FIND("-",J1666)+1,99)))))),"")</f>
        <v/>
      </c>
      <c r="C1666">
        <f>IF($C$1=0,0,IFERROR(VALUE(SUBSTITUTE(SUBSTITUTE(SUBSTITUTE(INDEX(貼り付け!$A$1:$BZ$3001,1665,$C$1)&amp;"",",",""),"¥",""),"￥","")),0))</f>
        <v/>
      </c>
      <c r="D1666">
        <f>IF($D$1=0,0,IFERROR(VALUE(SUBSTITUTE(SUBSTITUTE(SUBSTITUTE(INDEX(貼り付け!$A$1:$BZ$3001,1665,$D$1)&amp;"",",",""),"¥",""),"￥","")),0))</f>
        <v/>
      </c>
      <c r="E1666">
        <f>IF($E$1=0,0,IFERROR(VALUE(SUBSTITUTE(SUBSTITUTE(SUBSTITUTE(INDEX(貼り付け!$A$1:$BZ$3001,1665,$E$1)&amp;"",",",""),"¥",""),"￥","")),0))</f>
        <v/>
      </c>
      <c r="F1666">
        <f>IF($F$1=0,0,IFERROR(VALUE(SUBSTITUTE(SUBSTITUTE(SUBSTITUTE(INDEX(貼り付け!$A$1:$BZ$3001,1665,$F$1)&amp;"",",",""),"¥",""),"￥","")),0))</f>
        <v/>
      </c>
      <c r="G1666">
        <f>IF(ISNUMBER(B1666),YEAR(B1666),"")</f>
        <v/>
      </c>
      <c r="H1666">
        <f>IF(ISNUMBER(B1666),MONTH(B1666),"")</f>
        <v/>
      </c>
      <c r="I1666">
        <f>IFERROR(IF($B$1=0,"",IF(ISNUMBER(INDEX(貼り付け!$A$1:$BZ$3001,1665,$B$1)),"",SUBSTITUTE(SUBSTITUTE(SUBSTITUTE(SUBSTITUTE(TRIM(LEFT(INDEX(貼り付け!$A$1:$BZ$3001,1665,$B$1)&amp;"",FIND(" ",TRIM(INDEX(貼り付け!$A$1:$BZ$3001,1665,$B$1)&amp;"")&amp;" ")-1)),"/","-"),"年","-"),"月","-"),"日",""))),"")</f>
        <v/>
      </c>
      <c r="J1666">
        <f>IFERROR(MID(I1666,FIND("-",I1666)+1,99),"")</f>
        <v/>
      </c>
    </row>
    <row r="1667">
      <c r="B1667">
        <f>IFERROR(IF($B$1=0,"",IF(INDEX(貼り付け!$A$1:$BZ$3001,1666,$B$1)="","",IF(ISNUMBER(INDEX(貼り付け!$A$1:$BZ$3001,1666,$B$1)),INT(INDEX(貼り付け!$A$1:$BZ$3001,1666,$B$1)),DATE(VALUE(LEFT(I1667,FIND("-",I1667)-1)),VALUE(LEFT(J1667,FIND("-",J1667)-1)),VALUE(MID(J1667,FIND("-",J1667)+1,99)))))),"")</f>
        <v/>
      </c>
      <c r="C1667">
        <f>IF($C$1=0,0,IFERROR(VALUE(SUBSTITUTE(SUBSTITUTE(SUBSTITUTE(INDEX(貼り付け!$A$1:$BZ$3001,1666,$C$1)&amp;"",",",""),"¥",""),"￥","")),0))</f>
        <v/>
      </c>
      <c r="D1667">
        <f>IF($D$1=0,0,IFERROR(VALUE(SUBSTITUTE(SUBSTITUTE(SUBSTITUTE(INDEX(貼り付け!$A$1:$BZ$3001,1666,$D$1)&amp;"",",",""),"¥",""),"￥","")),0))</f>
        <v/>
      </c>
      <c r="E1667">
        <f>IF($E$1=0,0,IFERROR(VALUE(SUBSTITUTE(SUBSTITUTE(SUBSTITUTE(INDEX(貼り付け!$A$1:$BZ$3001,1666,$E$1)&amp;"",",",""),"¥",""),"￥","")),0))</f>
        <v/>
      </c>
      <c r="F1667">
        <f>IF($F$1=0,0,IFERROR(VALUE(SUBSTITUTE(SUBSTITUTE(SUBSTITUTE(INDEX(貼り付け!$A$1:$BZ$3001,1666,$F$1)&amp;"",",",""),"¥",""),"￥","")),0))</f>
        <v/>
      </c>
      <c r="G1667">
        <f>IF(ISNUMBER(B1667),YEAR(B1667),"")</f>
        <v/>
      </c>
      <c r="H1667">
        <f>IF(ISNUMBER(B1667),MONTH(B1667),"")</f>
        <v/>
      </c>
      <c r="I1667">
        <f>IFERROR(IF($B$1=0,"",IF(ISNUMBER(INDEX(貼り付け!$A$1:$BZ$3001,1666,$B$1)),"",SUBSTITUTE(SUBSTITUTE(SUBSTITUTE(SUBSTITUTE(TRIM(LEFT(INDEX(貼り付け!$A$1:$BZ$3001,1666,$B$1)&amp;"",FIND(" ",TRIM(INDEX(貼り付け!$A$1:$BZ$3001,1666,$B$1)&amp;"")&amp;" ")-1)),"/","-"),"年","-"),"月","-"),"日",""))),"")</f>
        <v/>
      </c>
      <c r="J1667">
        <f>IFERROR(MID(I1667,FIND("-",I1667)+1,99),"")</f>
        <v/>
      </c>
    </row>
    <row r="1668">
      <c r="B1668">
        <f>IFERROR(IF($B$1=0,"",IF(INDEX(貼り付け!$A$1:$BZ$3001,1667,$B$1)="","",IF(ISNUMBER(INDEX(貼り付け!$A$1:$BZ$3001,1667,$B$1)),INT(INDEX(貼り付け!$A$1:$BZ$3001,1667,$B$1)),DATE(VALUE(LEFT(I1668,FIND("-",I1668)-1)),VALUE(LEFT(J1668,FIND("-",J1668)-1)),VALUE(MID(J1668,FIND("-",J1668)+1,99)))))),"")</f>
        <v/>
      </c>
      <c r="C1668">
        <f>IF($C$1=0,0,IFERROR(VALUE(SUBSTITUTE(SUBSTITUTE(SUBSTITUTE(INDEX(貼り付け!$A$1:$BZ$3001,1667,$C$1)&amp;"",",",""),"¥",""),"￥","")),0))</f>
        <v/>
      </c>
      <c r="D1668">
        <f>IF($D$1=0,0,IFERROR(VALUE(SUBSTITUTE(SUBSTITUTE(SUBSTITUTE(INDEX(貼り付け!$A$1:$BZ$3001,1667,$D$1)&amp;"",",",""),"¥",""),"￥","")),0))</f>
        <v/>
      </c>
      <c r="E1668">
        <f>IF($E$1=0,0,IFERROR(VALUE(SUBSTITUTE(SUBSTITUTE(SUBSTITUTE(INDEX(貼り付け!$A$1:$BZ$3001,1667,$E$1)&amp;"",",",""),"¥",""),"￥","")),0))</f>
        <v/>
      </c>
      <c r="F1668">
        <f>IF($F$1=0,0,IFERROR(VALUE(SUBSTITUTE(SUBSTITUTE(SUBSTITUTE(INDEX(貼り付け!$A$1:$BZ$3001,1667,$F$1)&amp;"",",",""),"¥",""),"￥","")),0))</f>
        <v/>
      </c>
      <c r="G1668">
        <f>IF(ISNUMBER(B1668),YEAR(B1668),"")</f>
        <v/>
      </c>
      <c r="H1668">
        <f>IF(ISNUMBER(B1668),MONTH(B1668),"")</f>
        <v/>
      </c>
      <c r="I1668">
        <f>IFERROR(IF($B$1=0,"",IF(ISNUMBER(INDEX(貼り付け!$A$1:$BZ$3001,1667,$B$1)),"",SUBSTITUTE(SUBSTITUTE(SUBSTITUTE(SUBSTITUTE(TRIM(LEFT(INDEX(貼り付け!$A$1:$BZ$3001,1667,$B$1)&amp;"",FIND(" ",TRIM(INDEX(貼り付け!$A$1:$BZ$3001,1667,$B$1)&amp;"")&amp;" ")-1)),"/","-"),"年","-"),"月","-"),"日",""))),"")</f>
        <v/>
      </c>
      <c r="J1668">
        <f>IFERROR(MID(I1668,FIND("-",I1668)+1,99),"")</f>
        <v/>
      </c>
    </row>
    <row r="1669">
      <c r="B1669">
        <f>IFERROR(IF($B$1=0,"",IF(INDEX(貼り付け!$A$1:$BZ$3001,1668,$B$1)="","",IF(ISNUMBER(INDEX(貼り付け!$A$1:$BZ$3001,1668,$B$1)),INT(INDEX(貼り付け!$A$1:$BZ$3001,1668,$B$1)),DATE(VALUE(LEFT(I1669,FIND("-",I1669)-1)),VALUE(LEFT(J1669,FIND("-",J1669)-1)),VALUE(MID(J1669,FIND("-",J1669)+1,99)))))),"")</f>
        <v/>
      </c>
      <c r="C1669">
        <f>IF($C$1=0,0,IFERROR(VALUE(SUBSTITUTE(SUBSTITUTE(SUBSTITUTE(INDEX(貼り付け!$A$1:$BZ$3001,1668,$C$1)&amp;"",",",""),"¥",""),"￥","")),0))</f>
        <v/>
      </c>
      <c r="D1669">
        <f>IF($D$1=0,0,IFERROR(VALUE(SUBSTITUTE(SUBSTITUTE(SUBSTITUTE(INDEX(貼り付け!$A$1:$BZ$3001,1668,$D$1)&amp;"",",",""),"¥",""),"￥","")),0))</f>
        <v/>
      </c>
      <c r="E1669">
        <f>IF($E$1=0,0,IFERROR(VALUE(SUBSTITUTE(SUBSTITUTE(SUBSTITUTE(INDEX(貼り付け!$A$1:$BZ$3001,1668,$E$1)&amp;"",",",""),"¥",""),"￥","")),0))</f>
        <v/>
      </c>
      <c r="F1669">
        <f>IF($F$1=0,0,IFERROR(VALUE(SUBSTITUTE(SUBSTITUTE(SUBSTITUTE(INDEX(貼り付け!$A$1:$BZ$3001,1668,$F$1)&amp;"",",",""),"¥",""),"￥","")),0))</f>
        <v/>
      </c>
      <c r="G1669">
        <f>IF(ISNUMBER(B1669),YEAR(B1669),"")</f>
        <v/>
      </c>
      <c r="H1669">
        <f>IF(ISNUMBER(B1669),MONTH(B1669),"")</f>
        <v/>
      </c>
      <c r="I1669">
        <f>IFERROR(IF($B$1=0,"",IF(ISNUMBER(INDEX(貼り付け!$A$1:$BZ$3001,1668,$B$1)),"",SUBSTITUTE(SUBSTITUTE(SUBSTITUTE(SUBSTITUTE(TRIM(LEFT(INDEX(貼り付け!$A$1:$BZ$3001,1668,$B$1)&amp;"",FIND(" ",TRIM(INDEX(貼り付け!$A$1:$BZ$3001,1668,$B$1)&amp;"")&amp;" ")-1)),"/","-"),"年","-"),"月","-"),"日",""))),"")</f>
        <v/>
      </c>
      <c r="J1669">
        <f>IFERROR(MID(I1669,FIND("-",I1669)+1,99),"")</f>
        <v/>
      </c>
    </row>
    <row r="1670">
      <c r="B1670">
        <f>IFERROR(IF($B$1=0,"",IF(INDEX(貼り付け!$A$1:$BZ$3001,1669,$B$1)="","",IF(ISNUMBER(INDEX(貼り付け!$A$1:$BZ$3001,1669,$B$1)),INT(INDEX(貼り付け!$A$1:$BZ$3001,1669,$B$1)),DATE(VALUE(LEFT(I1670,FIND("-",I1670)-1)),VALUE(LEFT(J1670,FIND("-",J1670)-1)),VALUE(MID(J1670,FIND("-",J1670)+1,99)))))),"")</f>
        <v/>
      </c>
      <c r="C1670">
        <f>IF($C$1=0,0,IFERROR(VALUE(SUBSTITUTE(SUBSTITUTE(SUBSTITUTE(INDEX(貼り付け!$A$1:$BZ$3001,1669,$C$1)&amp;"",",",""),"¥",""),"￥","")),0))</f>
        <v/>
      </c>
      <c r="D1670">
        <f>IF($D$1=0,0,IFERROR(VALUE(SUBSTITUTE(SUBSTITUTE(SUBSTITUTE(INDEX(貼り付け!$A$1:$BZ$3001,1669,$D$1)&amp;"",",",""),"¥",""),"￥","")),0))</f>
        <v/>
      </c>
      <c r="E1670">
        <f>IF($E$1=0,0,IFERROR(VALUE(SUBSTITUTE(SUBSTITUTE(SUBSTITUTE(INDEX(貼り付け!$A$1:$BZ$3001,1669,$E$1)&amp;"",",",""),"¥",""),"￥","")),0))</f>
        <v/>
      </c>
      <c r="F1670">
        <f>IF($F$1=0,0,IFERROR(VALUE(SUBSTITUTE(SUBSTITUTE(SUBSTITUTE(INDEX(貼り付け!$A$1:$BZ$3001,1669,$F$1)&amp;"",",",""),"¥",""),"￥","")),0))</f>
        <v/>
      </c>
      <c r="G1670">
        <f>IF(ISNUMBER(B1670),YEAR(B1670),"")</f>
        <v/>
      </c>
      <c r="H1670">
        <f>IF(ISNUMBER(B1670),MONTH(B1670),"")</f>
        <v/>
      </c>
      <c r="I1670">
        <f>IFERROR(IF($B$1=0,"",IF(ISNUMBER(INDEX(貼り付け!$A$1:$BZ$3001,1669,$B$1)),"",SUBSTITUTE(SUBSTITUTE(SUBSTITUTE(SUBSTITUTE(TRIM(LEFT(INDEX(貼り付け!$A$1:$BZ$3001,1669,$B$1)&amp;"",FIND(" ",TRIM(INDEX(貼り付け!$A$1:$BZ$3001,1669,$B$1)&amp;"")&amp;" ")-1)),"/","-"),"年","-"),"月","-"),"日",""))),"")</f>
        <v/>
      </c>
      <c r="J1670">
        <f>IFERROR(MID(I1670,FIND("-",I1670)+1,99),"")</f>
        <v/>
      </c>
    </row>
    <row r="1671">
      <c r="B1671">
        <f>IFERROR(IF($B$1=0,"",IF(INDEX(貼り付け!$A$1:$BZ$3001,1670,$B$1)="","",IF(ISNUMBER(INDEX(貼り付け!$A$1:$BZ$3001,1670,$B$1)),INT(INDEX(貼り付け!$A$1:$BZ$3001,1670,$B$1)),DATE(VALUE(LEFT(I1671,FIND("-",I1671)-1)),VALUE(LEFT(J1671,FIND("-",J1671)-1)),VALUE(MID(J1671,FIND("-",J1671)+1,99)))))),"")</f>
        <v/>
      </c>
      <c r="C1671">
        <f>IF($C$1=0,0,IFERROR(VALUE(SUBSTITUTE(SUBSTITUTE(SUBSTITUTE(INDEX(貼り付け!$A$1:$BZ$3001,1670,$C$1)&amp;"",",",""),"¥",""),"￥","")),0))</f>
        <v/>
      </c>
      <c r="D1671">
        <f>IF($D$1=0,0,IFERROR(VALUE(SUBSTITUTE(SUBSTITUTE(SUBSTITUTE(INDEX(貼り付け!$A$1:$BZ$3001,1670,$D$1)&amp;"",",",""),"¥",""),"￥","")),0))</f>
        <v/>
      </c>
      <c r="E1671">
        <f>IF($E$1=0,0,IFERROR(VALUE(SUBSTITUTE(SUBSTITUTE(SUBSTITUTE(INDEX(貼り付け!$A$1:$BZ$3001,1670,$E$1)&amp;"",",",""),"¥",""),"￥","")),0))</f>
        <v/>
      </c>
      <c r="F1671">
        <f>IF($F$1=0,0,IFERROR(VALUE(SUBSTITUTE(SUBSTITUTE(SUBSTITUTE(INDEX(貼り付け!$A$1:$BZ$3001,1670,$F$1)&amp;"",",",""),"¥",""),"￥","")),0))</f>
        <v/>
      </c>
      <c r="G1671">
        <f>IF(ISNUMBER(B1671),YEAR(B1671),"")</f>
        <v/>
      </c>
      <c r="H1671">
        <f>IF(ISNUMBER(B1671),MONTH(B1671),"")</f>
        <v/>
      </c>
      <c r="I1671">
        <f>IFERROR(IF($B$1=0,"",IF(ISNUMBER(INDEX(貼り付け!$A$1:$BZ$3001,1670,$B$1)),"",SUBSTITUTE(SUBSTITUTE(SUBSTITUTE(SUBSTITUTE(TRIM(LEFT(INDEX(貼り付け!$A$1:$BZ$3001,1670,$B$1)&amp;"",FIND(" ",TRIM(INDEX(貼り付け!$A$1:$BZ$3001,1670,$B$1)&amp;"")&amp;" ")-1)),"/","-"),"年","-"),"月","-"),"日",""))),"")</f>
        <v/>
      </c>
      <c r="J1671">
        <f>IFERROR(MID(I1671,FIND("-",I1671)+1,99),"")</f>
        <v/>
      </c>
    </row>
    <row r="1672">
      <c r="B1672">
        <f>IFERROR(IF($B$1=0,"",IF(INDEX(貼り付け!$A$1:$BZ$3001,1671,$B$1)="","",IF(ISNUMBER(INDEX(貼り付け!$A$1:$BZ$3001,1671,$B$1)),INT(INDEX(貼り付け!$A$1:$BZ$3001,1671,$B$1)),DATE(VALUE(LEFT(I1672,FIND("-",I1672)-1)),VALUE(LEFT(J1672,FIND("-",J1672)-1)),VALUE(MID(J1672,FIND("-",J1672)+1,99)))))),"")</f>
        <v/>
      </c>
      <c r="C1672">
        <f>IF($C$1=0,0,IFERROR(VALUE(SUBSTITUTE(SUBSTITUTE(SUBSTITUTE(INDEX(貼り付け!$A$1:$BZ$3001,1671,$C$1)&amp;"",",",""),"¥",""),"￥","")),0))</f>
        <v/>
      </c>
      <c r="D1672">
        <f>IF($D$1=0,0,IFERROR(VALUE(SUBSTITUTE(SUBSTITUTE(SUBSTITUTE(INDEX(貼り付け!$A$1:$BZ$3001,1671,$D$1)&amp;"",",",""),"¥",""),"￥","")),0))</f>
        <v/>
      </c>
      <c r="E1672">
        <f>IF($E$1=0,0,IFERROR(VALUE(SUBSTITUTE(SUBSTITUTE(SUBSTITUTE(INDEX(貼り付け!$A$1:$BZ$3001,1671,$E$1)&amp;"",",",""),"¥",""),"￥","")),0))</f>
        <v/>
      </c>
      <c r="F1672">
        <f>IF($F$1=0,0,IFERROR(VALUE(SUBSTITUTE(SUBSTITUTE(SUBSTITUTE(INDEX(貼り付け!$A$1:$BZ$3001,1671,$F$1)&amp;"",",",""),"¥",""),"￥","")),0))</f>
        <v/>
      </c>
      <c r="G1672">
        <f>IF(ISNUMBER(B1672),YEAR(B1672),"")</f>
        <v/>
      </c>
      <c r="H1672">
        <f>IF(ISNUMBER(B1672),MONTH(B1672),"")</f>
        <v/>
      </c>
      <c r="I1672">
        <f>IFERROR(IF($B$1=0,"",IF(ISNUMBER(INDEX(貼り付け!$A$1:$BZ$3001,1671,$B$1)),"",SUBSTITUTE(SUBSTITUTE(SUBSTITUTE(SUBSTITUTE(TRIM(LEFT(INDEX(貼り付け!$A$1:$BZ$3001,1671,$B$1)&amp;"",FIND(" ",TRIM(INDEX(貼り付け!$A$1:$BZ$3001,1671,$B$1)&amp;"")&amp;" ")-1)),"/","-"),"年","-"),"月","-"),"日",""))),"")</f>
        <v/>
      </c>
      <c r="J1672">
        <f>IFERROR(MID(I1672,FIND("-",I1672)+1,99),"")</f>
        <v/>
      </c>
    </row>
    <row r="1673">
      <c r="B1673">
        <f>IFERROR(IF($B$1=0,"",IF(INDEX(貼り付け!$A$1:$BZ$3001,1672,$B$1)="","",IF(ISNUMBER(INDEX(貼り付け!$A$1:$BZ$3001,1672,$B$1)),INT(INDEX(貼り付け!$A$1:$BZ$3001,1672,$B$1)),DATE(VALUE(LEFT(I1673,FIND("-",I1673)-1)),VALUE(LEFT(J1673,FIND("-",J1673)-1)),VALUE(MID(J1673,FIND("-",J1673)+1,99)))))),"")</f>
        <v/>
      </c>
      <c r="C1673">
        <f>IF($C$1=0,0,IFERROR(VALUE(SUBSTITUTE(SUBSTITUTE(SUBSTITUTE(INDEX(貼り付け!$A$1:$BZ$3001,1672,$C$1)&amp;"",",",""),"¥",""),"￥","")),0))</f>
        <v/>
      </c>
      <c r="D1673">
        <f>IF($D$1=0,0,IFERROR(VALUE(SUBSTITUTE(SUBSTITUTE(SUBSTITUTE(INDEX(貼り付け!$A$1:$BZ$3001,1672,$D$1)&amp;"",",",""),"¥",""),"￥","")),0))</f>
        <v/>
      </c>
      <c r="E1673">
        <f>IF($E$1=0,0,IFERROR(VALUE(SUBSTITUTE(SUBSTITUTE(SUBSTITUTE(INDEX(貼り付け!$A$1:$BZ$3001,1672,$E$1)&amp;"",",",""),"¥",""),"￥","")),0))</f>
        <v/>
      </c>
      <c r="F1673">
        <f>IF($F$1=0,0,IFERROR(VALUE(SUBSTITUTE(SUBSTITUTE(SUBSTITUTE(INDEX(貼り付け!$A$1:$BZ$3001,1672,$F$1)&amp;"",",",""),"¥",""),"￥","")),0))</f>
        <v/>
      </c>
      <c r="G1673">
        <f>IF(ISNUMBER(B1673),YEAR(B1673),"")</f>
        <v/>
      </c>
      <c r="H1673">
        <f>IF(ISNUMBER(B1673),MONTH(B1673),"")</f>
        <v/>
      </c>
      <c r="I1673">
        <f>IFERROR(IF($B$1=0,"",IF(ISNUMBER(INDEX(貼り付け!$A$1:$BZ$3001,1672,$B$1)),"",SUBSTITUTE(SUBSTITUTE(SUBSTITUTE(SUBSTITUTE(TRIM(LEFT(INDEX(貼り付け!$A$1:$BZ$3001,1672,$B$1)&amp;"",FIND(" ",TRIM(INDEX(貼り付け!$A$1:$BZ$3001,1672,$B$1)&amp;"")&amp;" ")-1)),"/","-"),"年","-"),"月","-"),"日",""))),"")</f>
        <v/>
      </c>
      <c r="J1673">
        <f>IFERROR(MID(I1673,FIND("-",I1673)+1,99),"")</f>
        <v/>
      </c>
    </row>
    <row r="1674">
      <c r="B1674">
        <f>IFERROR(IF($B$1=0,"",IF(INDEX(貼り付け!$A$1:$BZ$3001,1673,$B$1)="","",IF(ISNUMBER(INDEX(貼り付け!$A$1:$BZ$3001,1673,$B$1)),INT(INDEX(貼り付け!$A$1:$BZ$3001,1673,$B$1)),DATE(VALUE(LEFT(I1674,FIND("-",I1674)-1)),VALUE(LEFT(J1674,FIND("-",J1674)-1)),VALUE(MID(J1674,FIND("-",J1674)+1,99)))))),"")</f>
        <v/>
      </c>
      <c r="C1674">
        <f>IF($C$1=0,0,IFERROR(VALUE(SUBSTITUTE(SUBSTITUTE(SUBSTITUTE(INDEX(貼り付け!$A$1:$BZ$3001,1673,$C$1)&amp;"",",",""),"¥",""),"￥","")),0))</f>
        <v/>
      </c>
      <c r="D1674">
        <f>IF($D$1=0,0,IFERROR(VALUE(SUBSTITUTE(SUBSTITUTE(SUBSTITUTE(INDEX(貼り付け!$A$1:$BZ$3001,1673,$D$1)&amp;"",",",""),"¥",""),"￥","")),0))</f>
        <v/>
      </c>
      <c r="E1674">
        <f>IF($E$1=0,0,IFERROR(VALUE(SUBSTITUTE(SUBSTITUTE(SUBSTITUTE(INDEX(貼り付け!$A$1:$BZ$3001,1673,$E$1)&amp;"",",",""),"¥",""),"￥","")),0))</f>
        <v/>
      </c>
      <c r="F1674">
        <f>IF($F$1=0,0,IFERROR(VALUE(SUBSTITUTE(SUBSTITUTE(SUBSTITUTE(INDEX(貼り付け!$A$1:$BZ$3001,1673,$F$1)&amp;"",",",""),"¥",""),"￥","")),0))</f>
        <v/>
      </c>
      <c r="G1674">
        <f>IF(ISNUMBER(B1674),YEAR(B1674),"")</f>
        <v/>
      </c>
      <c r="H1674">
        <f>IF(ISNUMBER(B1674),MONTH(B1674),"")</f>
        <v/>
      </c>
      <c r="I1674">
        <f>IFERROR(IF($B$1=0,"",IF(ISNUMBER(INDEX(貼り付け!$A$1:$BZ$3001,1673,$B$1)),"",SUBSTITUTE(SUBSTITUTE(SUBSTITUTE(SUBSTITUTE(TRIM(LEFT(INDEX(貼り付け!$A$1:$BZ$3001,1673,$B$1)&amp;"",FIND(" ",TRIM(INDEX(貼り付け!$A$1:$BZ$3001,1673,$B$1)&amp;"")&amp;" ")-1)),"/","-"),"年","-"),"月","-"),"日",""))),"")</f>
        <v/>
      </c>
      <c r="J1674">
        <f>IFERROR(MID(I1674,FIND("-",I1674)+1,99),"")</f>
        <v/>
      </c>
    </row>
    <row r="1675">
      <c r="B1675">
        <f>IFERROR(IF($B$1=0,"",IF(INDEX(貼り付け!$A$1:$BZ$3001,1674,$B$1)="","",IF(ISNUMBER(INDEX(貼り付け!$A$1:$BZ$3001,1674,$B$1)),INT(INDEX(貼り付け!$A$1:$BZ$3001,1674,$B$1)),DATE(VALUE(LEFT(I1675,FIND("-",I1675)-1)),VALUE(LEFT(J1675,FIND("-",J1675)-1)),VALUE(MID(J1675,FIND("-",J1675)+1,99)))))),"")</f>
        <v/>
      </c>
      <c r="C1675">
        <f>IF($C$1=0,0,IFERROR(VALUE(SUBSTITUTE(SUBSTITUTE(SUBSTITUTE(INDEX(貼り付け!$A$1:$BZ$3001,1674,$C$1)&amp;"",",",""),"¥",""),"￥","")),0))</f>
        <v/>
      </c>
      <c r="D1675">
        <f>IF($D$1=0,0,IFERROR(VALUE(SUBSTITUTE(SUBSTITUTE(SUBSTITUTE(INDEX(貼り付け!$A$1:$BZ$3001,1674,$D$1)&amp;"",",",""),"¥",""),"￥","")),0))</f>
        <v/>
      </c>
      <c r="E1675">
        <f>IF($E$1=0,0,IFERROR(VALUE(SUBSTITUTE(SUBSTITUTE(SUBSTITUTE(INDEX(貼り付け!$A$1:$BZ$3001,1674,$E$1)&amp;"",",",""),"¥",""),"￥","")),0))</f>
        <v/>
      </c>
      <c r="F1675">
        <f>IF($F$1=0,0,IFERROR(VALUE(SUBSTITUTE(SUBSTITUTE(SUBSTITUTE(INDEX(貼り付け!$A$1:$BZ$3001,1674,$F$1)&amp;"",",",""),"¥",""),"￥","")),0))</f>
        <v/>
      </c>
      <c r="G1675">
        <f>IF(ISNUMBER(B1675),YEAR(B1675),"")</f>
        <v/>
      </c>
      <c r="H1675">
        <f>IF(ISNUMBER(B1675),MONTH(B1675),"")</f>
        <v/>
      </c>
      <c r="I1675">
        <f>IFERROR(IF($B$1=0,"",IF(ISNUMBER(INDEX(貼り付け!$A$1:$BZ$3001,1674,$B$1)),"",SUBSTITUTE(SUBSTITUTE(SUBSTITUTE(SUBSTITUTE(TRIM(LEFT(INDEX(貼り付け!$A$1:$BZ$3001,1674,$B$1)&amp;"",FIND(" ",TRIM(INDEX(貼り付け!$A$1:$BZ$3001,1674,$B$1)&amp;"")&amp;" ")-1)),"/","-"),"年","-"),"月","-"),"日",""))),"")</f>
        <v/>
      </c>
      <c r="J1675">
        <f>IFERROR(MID(I1675,FIND("-",I1675)+1,99),"")</f>
        <v/>
      </c>
    </row>
    <row r="1676">
      <c r="B1676">
        <f>IFERROR(IF($B$1=0,"",IF(INDEX(貼り付け!$A$1:$BZ$3001,1675,$B$1)="","",IF(ISNUMBER(INDEX(貼り付け!$A$1:$BZ$3001,1675,$B$1)),INT(INDEX(貼り付け!$A$1:$BZ$3001,1675,$B$1)),DATE(VALUE(LEFT(I1676,FIND("-",I1676)-1)),VALUE(LEFT(J1676,FIND("-",J1676)-1)),VALUE(MID(J1676,FIND("-",J1676)+1,99)))))),"")</f>
        <v/>
      </c>
      <c r="C1676">
        <f>IF($C$1=0,0,IFERROR(VALUE(SUBSTITUTE(SUBSTITUTE(SUBSTITUTE(INDEX(貼り付け!$A$1:$BZ$3001,1675,$C$1)&amp;"",",",""),"¥",""),"￥","")),0))</f>
        <v/>
      </c>
      <c r="D1676">
        <f>IF($D$1=0,0,IFERROR(VALUE(SUBSTITUTE(SUBSTITUTE(SUBSTITUTE(INDEX(貼り付け!$A$1:$BZ$3001,1675,$D$1)&amp;"",",",""),"¥",""),"￥","")),0))</f>
        <v/>
      </c>
      <c r="E1676">
        <f>IF($E$1=0,0,IFERROR(VALUE(SUBSTITUTE(SUBSTITUTE(SUBSTITUTE(INDEX(貼り付け!$A$1:$BZ$3001,1675,$E$1)&amp;"",",",""),"¥",""),"￥","")),0))</f>
        <v/>
      </c>
      <c r="F1676">
        <f>IF($F$1=0,0,IFERROR(VALUE(SUBSTITUTE(SUBSTITUTE(SUBSTITUTE(INDEX(貼り付け!$A$1:$BZ$3001,1675,$F$1)&amp;"",",",""),"¥",""),"￥","")),0))</f>
        <v/>
      </c>
      <c r="G1676">
        <f>IF(ISNUMBER(B1676),YEAR(B1676),"")</f>
        <v/>
      </c>
      <c r="H1676">
        <f>IF(ISNUMBER(B1676),MONTH(B1676),"")</f>
        <v/>
      </c>
      <c r="I1676">
        <f>IFERROR(IF($B$1=0,"",IF(ISNUMBER(INDEX(貼り付け!$A$1:$BZ$3001,1675,$B$1)),"",SUBSTITUTE(SUBSTITUTE(SUBSTITUTE(SUBSTITUTE(TRIM(LEFT(INDEX(貼り付け!$A$1:$BZ$3001,1675,$B$1)&amp;"",FIND(" ",TRIM(INDEX(貼り付け!$A$1:$BZ$3001,1675,$B$1)&amp;"")&amp;" ")-1)),"/","-"),"年","-"),"月","-"),"日",""))),"")</f>
        <v/>
      </c>
      <c r="J1676">
        <f>IFERROR(MID(I1676,FIND("-",I1676)+1,99),"")</f>
        <v/>
      </c>
    </row>
    <row r="1677">
      <c r="B1677">
        <f>IFERROR(IF($B$1=0,"",IF(INDEX(貼り付け!$A$1:$BZ$3001,1676,$B$1)="","",IF(ISNUMBER(INDEX(貼り付け!$A$1:$BZ$3001,1676,$B$1)),INT(INDEX(貼り付け!$A$1:$BZ$3001,1676,$B$1)),DATE(VALUE(LEFT(I1677,FIND("-",I1677)-1)),VALUE(LEFT(J1677,FIND("-",J1677)-1)),VALUE(MID(J1677,FIND("-",J1677)+1,99)))))),"")</f>
        <v/>
      </c>
      <c r="C1677">
        <f>IF($C$1=0,0,IFERROR(VALUE(SUBSTITUTE(SUBSTITUTE(SUBSTITUTE(INDEX(貼り付け!$A$1:$BZ$3001,1676,$C$1)&amp;"",",",""),"¥",""),"￥","")),0))</f>
        <v/>
      </c>
      <c r="D1677">
        <f>IF($D$1=0,0,IFERROR(VALUE(SUBSTITUTE(SUBSTITUTE(SUBSTITUTE(INDEX(貼り付け!$A$1:$BZ$3001,1676,$D$1)&amp;"",",",""),"¥",""),"￥","")),0))</f>
        <v/>
      </c>
      <c r="E1677">
        <f>IF($E$1=0,0,IFERROR(VALUE(SUBSTITUTE(SUBSTITUTE(SUBSTITUTE(INDEX(貼り付け!$A$1:$BZ$3001,1676,$E$1)&amp;"",",",""),"¥",""),"￥","")),0))</f>
        <v/>
      </c>
      <c r="F1677">
        <f>IF($F$1=0,0,IFERROR(VALUE(SUBSTITUTE(SUBSTITUTE(SUBSTITUTE(INDEX(貼り付け!$A$1:$BZ$3001,1676,$F$1)&amp;"",",",""),"¥",""),"￥","")),0))</f>
        <v/>
      </c>
      <c r="G1677">
        <f>IF(ISNUMBER(B1677),YEAR(B1677),"")</f>
        <v/>
      </c>
      <c r="H1677">
        <f>IF(ISNUMBER(B1677),MONTH(B1677),"")</f>
        <v/>
      </c>
      <c r="I1677">
        <f>IFERROR(IF($B$1=0,"",IF(ISNUMBER(INDEX(貼り付け!$A$1:$BZ$3001,1676,$B$1)),"",SUBSTITUTE(SUBSTITUTE(SUBSTITUTE(SUBSTITUTE(TRIM(LEFT(INDEX(貼り付け!$A$1:$BZ$3001,1676,$B$1)&amp;"",FIND(" ",TRIM(INDEX(貼り付け!$A$1:$BZ$3001,1676,$B$1)&amp;"")&amp;" ")-1)),"/","-"),"年","-"),"月","-"),"日",""))),"")</f>
        <v/>
      </c>
      <c r="J1677">
        <f>IFERROR(MID(I1677,FIND("-",I1677)+1,99),"")</f>
        <v/>
      </c>
    </row>
    <row r="1678">
      <c r="B1678">
        <f>IFERROR(IF($B$1=0,"",IF(INDEX(貼り付け!$A$1:$BZ$3001,1677,$B$1)="","",IF(ISNUMBER(INDEX(貼り付け!$A$1:$BZ$3001,1677,$B$1)),INT(INDEX(貼り付け!$A$1:$BZ$3001,1677,$B$1)),DATE(VALUE(LEFT(I1678,FIND("-",I1678)-1)),VALUE(LEFT(J1678,FIND("-",J1678)-1)),VALUE(MID(J1678,FIND("-",J1678)+1,99)))))),"")</f>
        <v/>
      </c>
      <c r="C1678">
        <f>IF($C$1=0,0,IFERROR(VALUE(SUBSTITUTE(SUBSTITUTE(SUBSTITUTE(INDEX(貼り付け!$A$1:$BZ$3001,1677,$C$1)&amp;"",",",""),"¥",""),"￥","")),0))</f>
        <v/>
      </c>
      <c r="D1678">
        <f>IF($D$1=0,0,IFERROR(VALUE(SUBSTITUTE(SUBSTITUTE(SUBSTITUTE(INDEX(貼り付け!$A$1:$BZ$3001,1677,$D$1)&amp;"",",",""),"¥",""),"￥","")),0))</f>
        <v/>
      </c>
      <c r="E1678">
        <f>IF($E$1=0,0,IFERROR(VALUE(SUBSTITUTE(SUBSTITUTE(SUBSTITUTE(INDEX(貼り付け!$A$1:$BZ$3001,1677,$E$1)&amp;"",",",""),"¥",""),"￥","")),0))</f>
        <v/>
      </c>
      <c r="F1678">
        <f>IF($F$1=0,0,IFERROR(VALUE(SUBSTITUTE(SUBSTITUTE(SUBSTITUTE(INDEX(貼り付け!$A$1:$BZ$3001,1677,$F$1)&amp;"",",",""),"¥",""),"￥","")),0))</f>
        <v/>
      </c>
      <c r="G1678">
        <f>IF(ISNUMBER(B1678),YEAR(B1678),"")</f>
        <v/>
      </c>
      <c r="H1678">
        <f>IF(ISNUMBER(B1678),MONTH(B1678),"")</f>
        <v/>
      </c>
      <c r="I1678">
        <f>IFERROR(IF($B$1=0,"",IF(ISNUMBER(INDEX(貼り付け!$A$1:$BZ$3001,1677,$B$1)),"",SUBSTITUTE(SUBSTITUTE(SUBSTITUTE(SUBSTITUTE(TRIM(LEFT(INDEX(貼り付け!$A$1:$BZ$3001,1677,$B$1)&amp;"",FIND(" ",TRIM(INDEX(貼り付け!$A$1:$BZ$3001,1677,$B$1)&amp;"")&amp;" ")-1)),"/","-"),"年","-"),"月","-"),"日",""))),"")</f>
        <v/>
      </c>
      <c r="J1678">
        <f>IFERROR(MID(I1678,FIND("-",I1678)+1,99),"")</f>
        <v/>
      </c>
    </row>
    <row r="1679">
      <c r="B1679">
        <f>IFERROR(IF($B$1=0,"",IF(INDEX(貼り付け!$A$1:$BZ$3001,1678,$B$1)="","",IF(ISNUMBER(INDEX(貼り付け!$A$1:$BZ$3001,1678,$B$1)),INT(INDEX(貼り付け!$A$1:$BZ$3001,1678,$B$1)),DATE(VALUE(LEFT(I1679,FIND("-",I1679)-1)),VALUE(LEFT(J1679,FIND("-",J1679)-1)),VALUE(MID(J1679,FIND("-",J1679)+1,99)))))),"")</f>
        <v/>
      </c>
      <c r="C1679">
        <f>IF($C$1=0,0,IFERROR(VALUE(SUBSTITUTE(SUBSTITUTE(SUBSTITUTE(INDEX(貼り付け!$A$1:$BZ$3001,1678,$C$1)&amp;"",",",""),"¥",""),"￥","")),0))</f>
        <v/>
      </c>
      <c r="D1679">
        <f>IF($D$1=0,0,IFERROR(VALUE(SUBSTITUTE(SUBSTITUTE(SUBSTITUTE(INDEX(貼り付け!$A$1:$BZ$3001,1678,$D$1)&amp;"",",",""),"¥",""),"￥","")),0))</f>
        <v/>
      </c>
      <c r="E1679">
        <f>IF($E$1=0,0,IFERROR(VALUE(SUBSTITUTE(SUBSTITUTE(SUBSTITUTE(INDEX(貼り付け!$A$1:$BZ$3001,1678,$E$1)&amp;"",",",""),"¥",""),"￥","")),0))</f>
        <v/>
      </c>
      <c r="F1679">
        <f>IF($F$1=0,0,IFERROR(VALUE(SUBSTITUTE(SUBSTITUTE(SUBSTITUTE(INDEX(貼り付け!$A$1:$BZ$3001,1678,$F$1)&amp;"",",",""),"¥",""),"￥","")),0))</f>
        <v/>
      </c>
      <c r="G1679">
        <f>IF(ISNUMBER(B1679),YEAR(B1679),"")</f>
        <v/>
      </c>
      <c r="H1679">
        <f>IF(ISNUMBER(B1679),MONTH(B1679),"")</f>
        <v/>
      </c>
      <c r="I1679">
        <f>IFERROR(IF($B$1=0,"",IF(ISNUMBER(INDEX(貼り付け!$A$1:$BZ$3001,1678,$B$1)),"",SUBSTITUTE(SUBSTITUTE(SUBSTITUTE(SUBSTITUTE(TRIM(LEFT(INDEX(貼り付け!$A$1:$BZ$3001,1678,$B$1)&amp;"",FIND(" ",TRIM(INDEX(貼り付け!$A$1:$BZ$3001,1678,$B$1)&amp;"")&amp;" ")-1)),"/","-"),"年","-"),"月","-"),"日",""))),"")</f>
        <v/>
      </c>
      <c r="J1679">
        <f>IFERROR(MID(I1679,FIND("-",I1679)+1,99),"")</f>
        <v/>
      </c>
    </row>
    <row r="1680">
      <c r="B1680">
        <f>IFERROR(IF($B$1=0,"",IF(INDEX(貼り付け!$A$1:$BZ$3001,1679,$B$1)="","",IF(ISNUMBER(INDEX(貼り付け!$A$1:$BZ$3001,1679,$B$1)),INT(INDEX(貼り付け!$A$1:$BZ$3001,1679,$B$1)),DATE(VALUE(LEFT(I1680,FIND("-",I1680)-1)),VALUE(LEFT(J1680,FIND("-",J1680)-1)),VALUE(MID(J1680,FIND("-",J1680)+1,99)))))),"")</f>
        <v/>
      </c>
      <c r="C1680">
        <f>IF($C$1=0,0,IFERROR(VALUE(SUBSTITUTE(SUBSTITUTE(SUBSTITUTE(INDEX(貼り付け!$A$1:$BZ$3001,1679,$C$1)&amp;"",",",""),"¥",""),"￥","")),0))</f>
        <v/>
      </c>
      <c r="D1680">
        <f>IF($D$1=0,0,IFERROR(VALUE(SUBSTITUTE(SUBSTITUTE(SUBSTITUTE(INDEX(貼り付け!$A$1:$BZ$3001,1679,$D$1)&amp;"",",",""),"¥",""),"￥","")),0))</f>
        <v/>
      </c>
      <c r="E1680">
        <f>IF($E$1=0,0,IFERROR(VALUE(SUBSTITUTE(SUBSTITUTE(SUBSTITUTE(INDEX(貼り付け!$A$1:$BZ$3001,1679,$E$1)&amp;"",",",""),"¥",""),"￥","")),0))</f>
        <v/>
      </c>
      <c r="F1680">
        <f>IF($F$1=0,0,IFERROR(VALUE(SUBSTITUTE(SUBSTITUTE(SUBSTITUTE(INDEX(貼り付け!$A$1:$BZ$3001,1679,$F$1)&amp;"",",",""),"¥",""),"￥","")),0))</f>
        <v/>
      </c>
      <c r="G1680">
        <f>IF(ISNUMBER(B1680),YEAR(B1680),"")</f>
        <v/>
      </c>
      <c r="H1680">
        <f>IF(ISNUMBER(B1680),MONTH(B1680),"")</f>
        <v/>
      </c>
      <c r="I1680">
        <f>IFERROR(IF($B$1=0,"",IF(ISNUMBER(INDEX(貼り付け!$A$1:$BZ$3001,1679,$B$1)),"",SUBSTITUTE(SUBSTITUTE(SUBSTITUTE(SUBSTITUTE(TRIM(LEFT(INDEX(貼り付け!$A$1:$BZ$3001,1679,$B$1)&amp;"",FIND(" ",TRIM(INDEX(貼り付け!$A$1:$BZ$3001,1679,$B$1)&amp;"")&amp;" ")-1)),"/","-"),"年","-"),"月","-"),"日",""))),"")</f>
        <v/>
      </c>
      <c r="J1680">
        <f>IFERROR(MID(I1680,FIND("-",I1680)+1,99),"")</f>
        <v/>
      </c>
    </row>
    <row r="1681">
      <c r="B1681">
        <f>IFERROR(IF($B$1=0,"",IF(INDEX(貼り付け!$A$1:$BZ$3001,1680,$B$1)="","",IF(ISNUMBER(INDEX(貼り付け!$A$1:$BZ$3001,1680,$B$1)),INT(INDEX(貼り付け!$A$1:$BZ$3001,1680,$B$1)),DATE(VALUE(LEFT(I1681,FIND("-",I1681)-1)),VALUE(LEFT(J1681,FIND("-",J1681)-1)),VALUE(MID(J1681,FIND("-",J1681)+1,99)))))),"")</f>
        <v/>
      </c>
      <c r="C1681">
        <f>IF($C$1=0,0,IFERROR(VALUE(SUBSTITUTE(SUBSTITUTE(SUBSTITUTE(INDEX(貼り付け!$A$1:$BZ$3001,1680,$C$1)&amp;"",",",""),"¥",""),"￥","")),0))</f>
        <v/>
      </c>
      <c r="D1681">
        <f>IF($D$1=0,0,IFERROR(VALUE(SUBSTITUTE(SUBSTITUTE(SUBSTITUTE(INDEX(貼り付け!$A$1:$BZ$3001,1680,$D$1)&amp;"",",",""),"¥",""),"￥","")),0))</f>
        <v/>
      </c>
      <c r="E1681">
        <f>IF($E$1=0,0,IFERROR(VALUE(SUBSTITUTE(SUBSTITUTE(SUBSTITUTE(INDEX(貼り付け!$A$1:$BZ$3001,1680,$E$1)&amp;"",",",""),"¥",""),"￥","")),0))</f>
        <v/>
      </c>
      <c r="F1681">
        <f>IF($F$1=0,0,IFERROR(VALUE(SUBSTITUTE(SUBSTITUTE(SUBSTITUTE(INDEX(貼り付け!$A$1:$BZ$3001,1680,$F$1)&amp;"",",",""),"¥",""),"￥","")),0))</f>
        <v/>
      </c>
      <c r="G1681">
        <f>IF(ISNUMBER(B1681),YEAR(B1681),"")</f>
        <v/>
      </c>
      <c r="H1681">
        <f>IF(ISNUMBER(B1681),MONTH(B1681),"")</f>
        <v/>
      </c>
      <c r="I1681">
        <f>IFERROR(IF($B$1=0,"",IF(ISNUMBER(INDEX(貼り付け!$A$1:$BZ$3001,1680,$B$1)),"",SUBSTITUTE(SUBSTITUTE(SUBSTITUTE(SUBSTITUTE(TRIM(LEFT(INDEX(貼り付け!$A$1:$BZ$3001,1680,$B$1)&amp;"",FIND(" ",TRIM(INDEX(貼り付け!$A$1:$BZ$3001,1680,$B$1)&amp;"")&amp;" ")-1)),"/","-"),"年","-"),"月","-"),"日",""))),"")</f>
        <v/>
      </c>
      <c r="J1681">
        <f>IFERROR(MID(I1681,FIND("-",I1681)+1,99),"")</f>
        <v/>
      </c>
    </row>
    <row r="1682">
      <c r="B1682">
        <f>IFERROR(IF($B$1=0,"",IF(INDEX(貼り付け!$A$1:$BZ$3001,1681,$B$1)="","",IF(ISNUMBER(INDEX(貼り付け!$A$1:$BZ$3001,1681,$B$1)),INT(INDEX(貼り付け!$A$1:$BZ$3001,1681,$B$1)),DATE(VALUE(LEFT(I1682,FIND("-",I1682)-1)),VALUE(LEFT(J1682,FIND("-",J1682)-1)),VALUE(MID(J1682,FIND("-",J1682)+1,99)))))),"")</f>
        <v/>
      </c>
      <c r="C1682">
        <f>IF($C$1=0,0,IFERROR(VALUE(SUBSTITUTE(SUBSTITUTE(SUBSTITUTE(INDEX(貼り付け!$A$1:$BZ$3001,1681,$C$1)&amp;"",",",""),"¥",""),"￥","")),0))</f>
        <v/>
      </c>
      <c r="D1682">
        <f>IF($D$1=0,0,IFERROR(VALUE(SUBSTITUTE(SUBSTITUTE(SUBSTITUTE(INDEX(貼り付け!$A$1:$BZ$3001,1681,$D$1)&amp;"",",",""),"¥",""),"￥","")),0))</f>
        <v/>
      </c>
      <c r="E1682">
        <f>IF($E$1=0,0,IFERROR(VALUE(SUBSTITUTE(SUBSTITUTE(SUBSTITUTE(INDEX(貼り付け!$A$1:$BZ$3001,1681,$E$1)&amp;"",",",""),"¥",""),"￥","")),0))</f>
        <v/>
      </c>
      <c r="F1682">
        <f>IF($F$1=0,0,IFERROR(VALUE(SUBSTITUTE(SUBSTITUTE(SUBSTITUTE(INDEX(貼り付け!$A$1:$BZ$3001,1681,$F$1)&amp;"",",",""),"¥",""),"￥","")),0))</f>
        <v/>
      </c>
      <c r="G1682">
        <f>IF(ISNUMBER(B1682),YEAR(B1682),"")</f>
        <v/>
      </c>
      <c r="H1682">
        <f>IF(ISNUMBER(B1682),MONTH(B1682),"")</f>
        <v/>
      </c>
      <c r="I1682">
        <f>IFERROR(IF($B$1=0,"",IF(ISNUMBER(INDEX(貼り付け!$A$1:$BZ$3001,1681,$B$1)),"",SUBSTITUTE(SUBSTITUTE(SUBSTITUTE(SUBSTITUTE(TRIM(LEFT(INDEX(貼り付け!$A$1:$BZ$3001,1681,$B$1)&amp;"",FIND(" ",TRIM(INDEX(貼り付け!$A$1:$BZ$3001,1681,$B$1)&amp;"")&amp;" ")-1)),"/","-"),"年","-"),"月","-"),"日",""))),"")</f>
        <v/>
      </c>
      <c r="J1682">
        <f>IFERROR(MID(I1682,FIND("-",I1682)+1,99),"")</f>
        <v/>
      </c>
    </row>
    <row r="1683">
      <c r="B1683">
        <f>IFERROR(IF($B$1=0,"",IF(INDEX(貼り付け!$A$1:$BZ$3001,1682,$B$1)="","",IF(ISNUMBER(INDEX(貼り付け!$A$1:$BZ$3001,1682,$B$1)),INT(INDEX(貼り付け!$A$1:$BZ$3001,1682,$B$1)),DATE(VALUE(LEFT(I1683,FIND("-",I1683)-1)),VALUE(LEFT(J1683,FIND("-",J1683)-1)),VALUE(MID(J1683,FIND("-",J1683)+1,99)))))),"")</f>
        <v/>
      </c>
      <c r="C1683">
        <f>IF($C$1=0,0,IFERROR(VALUE(SUBSTITUTE(SUBSTITUTE(SUBSTITUTE(INDEX(貼り付け!$A$1:$BZ$3001,1682,$C$1)&amp;"",",",""),"¥",""),"￥","")),0))</f>
        <v/>
      </c>
      <c r="D1683">
        <f>IF($D$1=0,0,IFERROR(VALUE(SUBSTITUTE(SUBSTITUTE(SUBSTITUTE(INDEX(貼り付け!$A$1:$BZ$3001,1682,$D$1)&amp;"",",",""),"¥",""),"￥","")),0))</f>
        <v/>
      </c>
      <c r="E1683">
        <f>IF($E$1=0,0,IFERROR(VALUE(SUBSTITUTE(SUBSTITUTE(SUBSTITUTE(INDEX(貼り付け!$A$1:$BZ$3001,1682,$E$1)&amp;"",",",""),"¥",""),"￥","")),0))</f>
        <v/>
      </c>
      <c r="F1683">
        <f>IF($F$1=0,0,IFERROR(VALUE(SUBSTITUTE(SUBSTITUTE(SUBSTITUTE(INDEX(貼り付け!$A$1:$BZ$3001,1682,$F$1)&amp;"",",",""),"¥",""),"￥","")),0))</f>
        <v/>
      </c>
      <c r="G1683">
        <f>IF(ISNUMBER(B1683),YEAR(B1683),"")</f>
        <v/>
      </c>
      <c r="H1683">
        <f>IF(ISNUMBER(B1683),MONTH(B1683),"")</f>
        <v/>
      </c>
      <c r="I1683">
        <f>IFERROR(IF($B$1=0,"",IF(ISNUMBER(INDEX(貼り付け!$A$1:$BZ$3001,1682,$B$1)),"",SUBSTITUTE(SUBSTITUTE(SUBSTITUTE(SUBSTITUTE(TRIM(LEFT(INDEX(貼り付け!$A$1:$BZ$3001,1682,$B$1)&amp;"",FIND(" ",TRIM(INDEX(貼り付け!$A$1:$BZ$3001,1682,$B$1)&amp;"")&amp;" ")-1)),"/","-"),"年","-"),"月","-"),"日",""))),"")</f>
        <v/>
      </c>
      <c r="J1683">
        <f>IFERROR(MID(I1683,FIND("-",I1683)+1,99),"")</f>
        <v/>
      </c>
    </row>
    <row r="1684">
      <c r="B1684">
        <f>IFERROR(IF($B$1=0,"",IF(INDEX(貼り付け!$A$1:$BZ$3001,1683,$B$1)="","",IF(ISNUMBER(INDEX(貼り付け!$A$1:$BZ$3001,1683,$B$1)),INT(INDEX(貼り付け!$A$1:$BZ$3001,1683,$B$1)),DATE(VALUE(LEFT(I1684,FIND("-",I1684)-1)),VALUE(LEFT(J1684,FIND("-",J1684)-1)),VALUE(MID(J1684,FIND("-",J1684)+1,99)))))),"")</f>
        <v/>
      </c>
      <c r="C1684">
        <f>IF($C$1=0,0,IFERROR(VALUE(SUBSTITUTE(SUBSTITUTE(SUBSTITUTE(INDEX(貼り付け!$A$1:$BZ$3001,1683,$C$1)&amp;"",",",""),"¥",""),"￥","")),0))</f>
        <v/>
      </c>
      <c r="D1684">
        <f>IF($D$1=0,0,IFERROR(VALUE(SUBSTITUTE(SUBSTITUTE(SUBSTITUTE(INDEX(貼り付け!$A$1:$BZ$3001,1683,$D$1)&amp;"",",",""),"¥",""),"￥","")),0))</f>
        <v/>
      </c>
      <c r="E1684">
        <f>IF($E$1=0,0,IFERROR(VALUE(SUBSTITUTE(SUBSTITUTE(SUBSTITUTE(INDEX(貼り付け!$A$1:$BZ$3001,1683,$E$1)&amp;"",",",""),"¥",""),"￥","")),0))</f>
        <v/>
      </c>
      <c r="F1684">
        <f>IF($F$1=0,0,IFERROR(VALUE(SUBSTITUTE(SUBSTITUTE(SUBSTITUTE(INDEX(貼り付け!$A$1:$BZ$3001,1683,$F$1)&amp;"",",",""),"¥",""),"￥","")),0))</f>
        <v/>
      </c>
      <c r="G1684">
        <f>IF(ISNUMBER(B1684),YEAR(B1684),"")</f>
        <v/>
      </c>
      <c r="H1684">
        <f>IF(ISNUMBER(B1684),MONTH(B1684),"")</f>
        <v/>
      </c>
      <c r="I1684">
        <f>IFERROR(IF($B$1=0,"",IF(ISNUMBER(INDEX(貼り付け!$A$1:$BZ$3001,1683,$B$1)),"",SUBSTITUTE(SUBSTITUTE(SUBSTITUTE(SUBSTITUTE(TRIM(LEFT(INDEX(貼り付け!$A$1:$BZ$3001,1683,$B$1)&amp;"",FIND(" ",TRIM(INDEX(貼り付け!$A$1:$BZ$3001,1683,$B$1)&amp;"")&amp;" ")-1)),"/","-"),"年","-"),"月","-"),"日",""))),"")</f>
        <v/>
      </c>
      <c r="J1684">
        <f>IFERROR(MID(I1684,FIND("-",I1684)+1,99),"")</f>
        <v/>
      </c>
    </row>
    <row r="1685">
      <c r="B1685">
        <f>IFERROR(IF($B$1=0,"",IF(INDEX(貼り付け!$A$1:$BZ$3001,1684,$B$1)="","",IF(ISNUMBER(INDEX(貼り付け!$A$1:$BZ$3001,1684,$B$1)),INT(INDEX(貼り付け!$A$1:$BZ$3001,1684,$B$1)),DATE(VALUE(LEFT(I1685,FIND("-",I1685)-1)),VALUE(LEFT(J1685,FIND("-",J1685)-1)),VALUE(MID(J1685,FIND("-",J1685)+1,99)))))),"")</f>
        <v/>
      </c>
      <c r="C1685">
        <f>IF($C$1=0,0,IFERROR(VALUE(SUBSTITUTE(SUBSTITUTE(SUBSTITUTE(INDEX(貼り付け!$A$1:$BZ$3001,1684,$C$1)&amp;"",",",""),"¥",""),"￥","")),0))</f>
        <v/>
      </c>
      <c r="D1685">
        <f>IF($D$1=0,0,IFERROR(VALUE(SUBSTITUTE(SUBSTITUTE(SUBSTITUTE(INDEX(貼り付け!$A$1:$BZ$3001,1684,$D$1)&amp;"",",",""),"¥",""),"￥","")),0))</f>
        <v/>
      </c>
      <c r="E1685">
        <f>IF($E$1=0,0,IFERROR(VALUE(SUBSTITUTE(SUBSTITUTE(SUBSTITUTE(INDEX(貼り付け!$A$1:$BZ$3001,1684,$E$1)&amp;"",",",""),"¥",""),"￥","")),0))</f>
        <v/>
      </c>
      <c r="F1685">
        <f>IF($F$1=0,0,IFERROR(VALUE(SUBSTITUTE(SUBSTITUTE(SUBSTITUTE(INDEX(貼り付け!$A$1:$BZ$3001,1684,$F$1)&amp;"",",",""),"¥",""),"￥","")),0))</f>
        <v/>
      </c>
      <c r="G1685">
        <f>IF(ISNUMBER(B1685),YEAR(B1685),"")</f>
        <v/>
      </c>
      <c r="H1685">
        <f>IF(ISNUMBER(B1685),MONTH(B1685),"")</f>
        <v/>
      </c>
      <c r="I1685">
        <f>IFERROR(IF($B$1=0,"",IF(ISNUMBER(INDEX(貼り付け!$A$1:$BZ$3001,1684,$B$1)),"",SUBSTITUTE(SUBSTITUTE(SUBSTITUTE(SUBSTITUTE(TRIM(LEFT(INDEX(貼り付け!$A$1:$BZ$3001,1684,$B$1)&amp;"",FIND(" ",TRIM(INDEX(貼り付け!$A$1:$BZ$3001,1684,$B$1)&amp;"")&amp;" ")-1)),"/","-"),"年","-"),"月","-"),"日",""))),"")</f>
        <v/>
      </c>
      <c r="J1685">
        <f>IFERROR(MID(I1685,FIND("-",I1685)+1,99),"")</f>
        <v/>
      </c>
    </row>
    <row r="1686">
      <c r="B1686">
        <f>IFERROR(IF($B$1=0,"",IF(INDEX(貼り付け!$A$1:$BZ$3001,1685,$B$1)="","",IF(ISNUMBER(INDEX(貼り付け!$A$1:$BZ$3001,1685,$B$1)),INT(INDEX(貼り付け!$A$1:$BZ$3001,1685,$B$1)),DATE(VALUE(LEFT(I1686,FIND("-",I1686)-1)),VALUE(LEFT(J1686,FIND("-",J1686)-1)),VALUE(MID(J1686,FIND("-",J1686)+1,99)))))),"")</f>
        <v/>
      </c>
      <c r="C1686">
        <f>IF($C$1=0,0,IFERROR(VALUE(SUBSTITUTE(SUBSTITUTE(SUBSTITUTE(INDEX(貼り付け!$A$1:$BZ$3001,1685,$C$1)&amp;"",",",""),"¥",""),"￥","")),0))</f>
        <v/>
      </c>
      <c r="D1686">
        <f>IF($D$1=0,0,IFERROR(VALUE(SUBSTITUTE(SUBSTITUTE(SUBSTITUTE(INDEX(貼り付け!$A$1:$BZ$3001,1685,$D$1)&amp;"",",",""),"¥",""),"￥","")),0))</f>
        <v/>
      </c>
      <c r="E1686">
        <f>IF($E$1=0,0,IFERROR(VALUE(SUBSTITUTE(SUBSTITUTE(SUBSTITUTE(INDEX(貼り付け!$A$1:$BZ$3001,1685,$E$1)&amp;"",",",""),"¥",""),"￥","")),0))</f>
        <v/>
      </c>
      <c r="F1686">
        <f>IF($F$1=0,0,IFERROR(VALUE(SUBSTITUTE(SUBSTITUTE(SUBSTITUTE(INDEX(貼り付け!$A$1:$BZ$3001,1685,$F$1)&amp;"",",",""),"¥",""),"￥","")),0))</f>
        <v/>
      </c>
      <c r="G1686">
        <f>IF(ISNUMBER(B1686),YEAR(B1686),"")</f>
        <v/>
      </c>
      <c r="H1686">
        <f>IF(ISNUMBER(B1686),MONTH(B1686),"")</f>
        <v/>
      </c>
      <c r="I1686">
        <f>IFERROR(IF($B$1=0,"",IF(ISNUMBER(INDEX(貼り付け!$A$1:$BZ$3001,1685,$B$1)),"",SUBSTITUTE(SUBSTITUTE(SUBSTITUTE(SUBSTITUTE(TRIM(LEFT(INDEX(貼り付け!$A$1:$BZ$3001,1685,$B$1)&amp;"",FIND(" ",TRIM(INDEX(貼り付け!$A$1:$BZ$3001,1685,$B$1)&amp;"")&amp;" ")-1)),"/","-"),"年","-"),"月","-"),"日",""))),"")</f>
        <v/>
      </c>
      <c r="J1686">
        <f>IFERROR(MID(I1686,FIND("-",I1686)+1,99),"")</f>
        <v/>
      </c>
    </row>
    <row r="1687">
      <c r="B1687">
        <f>IFERROR(IF($B$1=0,"",IF(INDEX(貼り付け!$A$1:$BZ$3001,1686,$B$1)="","",IF(ISNUMBER(INDEX(貼り付け!$A$1:$BZ$3001,1686,$B$1)),INT(INDEX(貼り付け!$A$1:$BZ$3001,1686,$B$1)),DATE(VALUE(LEFT(I1687,FIND("-",I1687)-1)),VALUE(LEFT(J1687,FIND("-",J1687)-1)),VALUE(MID(J1687,FIND("-",J1687)+1,99)))))),"")</f>
        <v/>
      </c>
      <c r="C1687">
        <f>IF($C$1=0,0,IFERROR(VALUE(SUBSTITUTE(SUBSTITUTE(SUBSTITUTE(INDEX(貼り付け!$A$1:$BZ$3001,1686,$C$1)&amp;"",",",""),"¥",""),"￥","")),0))</f>
        <v/>
      </c>
      <c r="D1687">
        <f>IF($D$1=0,0,IFERROR(VALUE(SUBSTITUTE(SUBSTITUTE(SUBSTITUTE(INDEX(貼り付け!$A$1:$BZ$3001,1686,$D$1)&amp;"",",",""),"¥",""),"￥","")),0))</f>
        <v/>
      </c>
      <c r="E1687">
        <f>IF($E$1=0,0,IFERROR(VALUE(SUBSTITUTE(SUBSTITUTE(SUBSTITUTE(INDEX(貼り付け!$A$1:$BZ$3001,1686,$E$1)&amp;"",",",""),"¥",""),"￥","")),0))</f>
        <v/>
      </c>
      <c r="F1687">
        <f>IF($F$1=0,0,IFERROR(VALUE(SUBSTITUTE(SUBSTITUTE(SUBSTITUTE(INDEX(貼り付け!$A$1:$BZ$3001,1686,$F$1)&amp;"",",",""),"¥",""),"￥","")),0))</f>
        <v/>
      </c>
      <c r="G1687">
        <f>IF(ISNUMBER(B1687),YEAR(B1687),"")</f>
        <v/>
      </c>
      <c r="H1687">
        <f>IF(ISNUMBER(B1687),MONTH(B1687),"")</f>
        <v/>
      </c>
      <c r="I1687">
        <f>IFERROR(IF($B$1=0,"",IF(ISNUMBER(INDEX(貼り付け!$A$1:$BZ$3001,1686,$B$1)),"",SUBSTITUTE(SUBSTITUTE(SUBSTITUTE(SUBSTITUTE(TRIM(LEFT(INDEX(貼り付け!$A$1:$BZ$3001,1686,$B$1)&amp;"",FIND(" ",TRIM(INDEX(貼り付け!$A$1:$BZ$3001,1686,$B$1)&amp;"")&amp;" ")-1)),"/","-"),"年","-"),"月","-"),"日",""))),"")</f>
        <v/>
      </c>
      <c r="J1687">
        <f>IFERROR(MID(I1687,FIND("-",I1687)+1,99),"")</f>
        <v/>
      </c>
    </row>
    <row r="1688">
      <c r="B1688">
        <f>IFERROR(IF($B$1=0,"",IF(INDEX(貼り付け!$A$1:$BZ$3001,1687,$B$1)="","",IF(ISNUMBER(INDEX(貼り付け!$A$1:$BZ$3001,1687,$B$1)),INT(INDEX(貼り付け!$A$1:$BZ$3001,1687,$B$1)),DATE(VALUE(LEFT(I1688,FIND("-",I1688)-1)),VALUE(LEFT(J1688,FIND("-",J1688)-1)),VALUE(MID(J1688,FIND("-",J1688)+1,99)))))),"")</f>
        <v/>
      </c>
      <c r="C1688">
        <f>IF($C$1=0,0,IFERROR(VALUE(SUBSTITUTE(SUBSTITUTE(SUBSTITUTE(INDEX(貼り付け!$A$1:$BZ$3001,1687,$C$1)&amp;"",",",""),"¥",""),"￥","")),0))</f>
        <v/>
      </c>
      <c r="D1688">
        <f>IF($D$1=0,0,IFERROR(VALUE(SUBSTITUTE(SUBSTITUTE(SUBSTITUTE(INDEX(貼り付け!$A$1:$BZ$3001,1687,$D$1)&amp;"",",",""),"¥",""),"￥","")),0))</f>
        <v/>
      </c>
      <c r="E1688">
        <f>IF($E$1=0,0,IFERROR(VALUE(SUBSTITUTE(SUBSTITUTE(SUBSTITUTE(INDEX(貼り付け!$A$1:$BZ$3001,1687,$E$1)&amp;"",",",""),"¥",""),"￥","")),0))</f>
        <v/>
      </c>
      <c r="F1688">
        <f>IF($F$1=0,0,IFERROR(VALUE(SUBSTITUTE(SUBSTITUTE(SUBSTITUTE(INDEX(貼り付け!$A$1:$BZ$3001,1687,$F$1)&amp;"",",",""),"¥",""),"￥","")),0))</f>
        <v/>
      </c>
      <c r="G1688">
        <f>IF(ISNUMBER(B1688),YEAR(B1688),"")</f>
        <v/>
      </c>
      <c r="H1688">
        <f>IF(ISNUMBER(B1688),MONTH(B1688),"")</f>
        <v/>
      </c>
      <c r="I1688">
        <f>IFERROR(IF($B$1=0,"",IF(ISNUMBER(INDEX(貼り付け!$A$1:$BZ$3001,1687,$B$1)),"",SUBSTITUTE(SUBSTITUTE(SUBSTITUTE(SUBSTITUTE(TRIM(LEFT(INDEX(貼り付け!$A$1:$BZ$3001,1687,$B$1)&amp;"",FIND(" ",TRIM(INDEX(貼り付け!$A$1:$BZ$3001,1687,$B$1)&amp;"")&amp;" ")-1)),"/","-"),"年","-"),"月","-"),"日",""))),"")</f>
        <v/>
      </c>
      <c r="J1688">
        <f>IFERROR(MID(I1688,FIND("-",I1688)+1,99),"")</f>
        <v/>
      </c>
    </row>
    <row r="1689">
      <c r="B1689">
        <f>IFERROR(IF($B$1=0,"",IF(INDEX(貼り付け!$A$1:$BZ$3001,1688,$B$1)="","",IF(ISNUMBER(INDEX(貼り付け!$A$1:$BZ$3001,1688,$B$1)),INT(INDEX(貼り付け!$A$1:$BZ$3001,1688,$B$1)),DATE(VALUE(LEFT(I1689,FIND("-",I1689)-1)),VALUE(LEFT(J1689,FIND("-",J1689)-1)),VALUE(MID(J1689,FIND("-",J1689)+1,99)))))),"")</f>
        <v/>
      </c>
      <c r="C1689">
        <f>IF($C$1=0,0,IFERROR(VALUE(SUBSTITUTE(SUBSTITUTE(SUBSTITUTE(INDEX(貼り付け!$A$1:$BZ$3001,1688,$C$1)&amp;"",",",""),"¥",""),"￥","")),0))</f>
        <v/>
      </c>
      <c r="D1689">
        <f>IF($D$1=0,0,IFERROR(VALUE(SUBSTITUTE(SUBSTITUTE(SUBSTITUTE(INDEX(貼り付け!$A$1:$BZ$3001,1688,$D$1)&amp;"",",",""),"¥",""),"￥","")),0))</f>
        <v/>
      </c>
      <c r="E1689">
        <f>IF($E$1=0,0,IFERROR(VALUE(SUBSTITUTE(SUBSTITUTE(SUBSTITUTE(INDEX(貼り付け!$A$1:$BZ$3001,1688,$E$1)&amp;"",",",""),"¥",""),"￥","")),0))</f>
        <v/>
      </c>
      <c r="F1689">
        <f>IF($F$1=0,0,IFERROR(VALUE(SUBSTITUTE(SUBSTITUTE(SUBSTITUTE(INDEX(貼り付け!$A$1:$BZ$3001,1688,$F$1)&amp;"",",",""),"¥",""),"￥","")),0))</f>
        <v/>
      </c>
      <c r="G1689">
        <f>IF(ISNUMBER(B1689),YEAR(B1689),"")</f>
        <v/>
      </c>
      <c r="H1689">
        <f>IF(ISNUMBER(B1689),MONTH(B1689),"")</f>
        <v/>
      </c>
      <c r="I1689">
        <f>IFERROR(IF($B$1=0,"",IF(ISNUMBER(INDEX(貼り付け!$A$1:$BZ$3001,1688,$B$1)),"",SUBSTITUTE(SUBSTITUTE(SUBSTITUTE(SUBSTITUTE(TRIM(LEFT(INDEX(貼り付け!$A$1:$BZ$3001,1688,$B$1)&amp;"",FIND(" ",TRIM(INDEX(貼り付け!$A$1:$BZ$3001,1688,$B$1)&amp;"")&amp;" ")-1)),"/","-"),"年","-"),"月","-"),"日",""))),"")</f>
        <v/>
      </c>
      <c r="J1689">
        <f>IFERROR(MID(I1689,FIND("-",I1689)+1,99),"")</f>
        <v/>
      </c>
    </row>
    <row r="1690">
      <c r="B1690">
        <f>IFERROR(IF($B$1=0,"",IF(INDEX(貼り付け!$A$1:$BZ$3001,1689,$B$1)="","",IF(ISNUMBER(INDEX(貼り付け!$A$1:$BZ$3001,1689,$B$1)),INT(INDEX(貼り付け!$A$1:$BZ$3001,1689,$B$1)),DATE(VALUE(LEFT(I1690,FIND("-",I1690)-1)),VALUE(LEFT(J1690,FIND("-",J1690)-1)),VALUE(MID(J1690,FIND("-",J1690)+1,99)))))),"")</f>
        <v/>
      </c>
      <c r="C1690">
        <f>IF($C$1=0,0,IFERROR(VALUE(SUBSTITUTE(SUBSTITUTE(SUBSTITUTE(INDEX(貼り付け!$A$1:$BZ$3001,1689,$C$1)&amp;"",",",""),"¥",""),"￥","")),0))</f>
        <v/>
      </c>
      <c r="D1690">
        <f>IF($D$1=0,0,IFERROR(VALUE(SUBSTITUTE(SUBSTITUTE(SUBSTITUTE(INDEX(貼り付け!$A$1:$BZ$3001,1689,$D$1)&amp;"",",",""),"¥",""),"￥","")),0))</f>
        <v/>
      </c>
      <c r="E1690">
        <f>IF($E$1=0,0,IFERROR(VALUE(SUBSTITUTE(SUBSTITUTE(SUBSTITUTE(INDEX(貼り付け!$A$1:$BZ$3001,1689,$E$1)&amp;"",",",""),"¥",""),"￥","")),0))</f>
        <v/>
      </c>
      <c r="F1690">
        <f>IF($F$1=0,0,IFERROR(VALUE(SUBSTITUTE(SUBSTITUTE(SUBSTITUTE(INDEX(貼り付け!$A$1:$BZ$3001,1689,$F$1)&amp;"",",",""),"¥",""),"￥","")),0))</f>
        <v/>
      </c>
      <c r="G1690">
        <f>IF(ISNUMBER(B1690),YEAR(B1690),"")</f>
        <v/>
      </c>
      <c r="H1690">
        <f>IF(ISNUMBER(B1690),MONTH(B1690),"")</f>
        <v/>
      </c>
      <c r="I1690">
        <f>IFERROR(IF($B$1=0,"",IF(ISNUMBER(INDEX(貼り付け!$A$1:$BZ$3001,1689,$B$1)),"",SUBSTITUTE(SUBSTITUTE(SUBSTITUTE(SUBSTITUTE(TRIM(LEFT(INDEX(貼り付け!$A$1:$BZ$3001,1689,$B$1)&amp;"",FIND(" ",TRIM(INDEX(貼り付け!$A$1:$BZ$3001,1689,$B$1)&amp;"")&amp;" ")-1)),"/","-"),"年","-"),"月","-"),"日",""))),"")</f>
        <v/>
      </c>
      <c r="J1690">
        <f>IFERROR(MID(I1690,FIND("-",I1690)+1,99),"")</f>
        <v/>
      </c>
    </row>
    <row r="1691">
      <c r="B1691">
        <f>IFERROR(IF($B$1=0,"",IF(INDEX(貼り付け!$A$1:$BZ$3001,1690,$B$1)="","",IF(ISNUMBER(INDEX(貼り付け!$A$1:$BZ$3001,1690,$B$1)),INT(INDEX(貼り付け!$A$1:$BZ$3001,1690,$B$1)),DATE(VALUE(LEFT(I1691,FIND("-",I1691)-1)),VALUE(LEFT(J1691,FIND("-",J1691)-1)),VALUE(MID(J1691,FIND("-",J1691)+1,99)))))),"")</f>
        <v/>
      </c>
      <c r="C1691">
        <f>IF($C$1=0,0,IFERROR(VALUE(SUBSTITUTE(SUBSTITUTE(SUBSTITUTE(INDEX(貼り付け!$A$1:$BZ$3001,1690,$C$1)&amp;"",",",""),"¥",""),"￥","")),0))</f>
        <v/>
      </c>
      <c r="D1691">
        <f>IF($D$1=0,0,IFERROR(VALUE(SUBSTITUTE(SUBSTITUTE(SUBSTITUTE(INDEX(貼り付け!$A$1:$BZ$3001,1690,$D$1)&amp;"",",",""),"¥",""),"￥","")),0))</f>
        <v/>
      </c>
      <c r="E1691">
        <f>IF($E$1=0,0,IFERROR(VALUE(SUBSTITUTE(SUBSTITUTE(SUBSTITUTE(INDEX(貼り付け!$A$1:$BZ$3001,1690,$E$1)&amp;"",",",""),"¥",""),"￥","")),0))</f>
        <v/>
      </c>
      <c r="F1691">
        <f>IF($F$1=0,0,IFERROR(VALUE(SUBSTITUTE(SUBSTITUTE(SUBSTITUTE(INDEX(貼り付け!$A$1:$BZ$3001,1690,$F$1)&amp;"",",",""),"¥",""),"￥","")),0))</f>
        <v/>
      </c>
      <c r="G1691">
        <f>IF(ISNUMBER(B1691),YEAR(B1691),"")</f>
        <v/>
      </c>
      <c r="H1691">
        <f>IF(ISNUMBER(B1691),MONTH(B1691),"")</f>
        <v/>
      </c>
      <c r="I1691">
        <f>IFERROR(IF($B$1=0,"",IF(ISNUMBER(INDEX(貼り付け!$A$1:$BZ$3001,1690,$B$1)),"",SUBSTITUTE(SUBSTITUTE(SUBSTITUTE(SUBSTITUTE(TRIM(LEFT(INDEX(貼り付け!$A$1:$BZ$3001,1690,$B$1)&amp;"",FIND(" ",TRIM(INDEX(貼り付け!$A$1:$BZ$3001,1690,$B$1)&amp;"")&amp;" ")-1)),"/","-"),"年","-"),"月","-"),"日",""))),"")</f>
        <v/>
      </c>
      <c r="J1691">
        <f>IFERROR(MID(I1691,FIND("-",I1691)+1,99),"")</f>
        <v/>
      </c>
    </row>
    <row r="1692">
      <c r="B1692">
        <f>IFERROR(IF($B$1=0,"",IF(INDEX(貼り付け!$A$1:$BZ$3001,1691,$B$1)="","",IF(ISNUMBER(INDEX(貼り付け!$A$1:$BZ$3001,1691,$B$1)),INT(INDEX(貼り付け!$A$1:$BZ$3001,1691,$B$1)),DATE(VALUE(LEFT(I1692,FIND("-",I1692)-1)),VALUE(LEFT(J1692,FIND("-",J1692)-1)),VALUE(MID(J1692,FIND("-",J1692)+1,99)))))),"")</f>
        <v/>
      </c>
      <c r="C1692">
        <f>IF($C$1=0,0,IFERROR(VALUE(SUBSTITUTE(SUBSTITUTE(SUBSTITUTE(INDEX(貼り付け!$A$1:$BZ$3001,1691,$C$1)&amp;"",",",""),"¥",""),"￥","")),0))</f>
        <v/>
      </c>
      <c r="D1692">
        <f>IF($D$1=0,0,IFERROR(VALUE(SUBSTITUTE(SUBSTITUTE(SUBSTITUTE(INDEX(貼り付け!$A$1:$BZ$3001,1691,$D$1)&amp;"",",",""),"¥",""),"￥","")),0))</f>
        <v/>
      </c>
      <c r="E1692">
        <f>IF($E$1=0,0,IFERROR(VALUE(SUBSTITUTE(SUBSTITUTE(SUBSTITUTE(INDEX(貼り付け!$A$1:$BZ$3001,1691,$E$1)&amp;"",",",""),"¥",""),"￥","")),0))</f>
        <v/>
      </c>
      <c r="F1692">
        <f>IF($F$1=0,0,IFERROR(VALUE(SUBSTITUTE(SUBSTITUTE(SUBSTITUTE(INDEX(貼り付け!$A$1:$BZ$3001,1691,$F$1)&amp;"",",",""),"¥",""),"￥","")),0))</f>
        <v/>
      </c>
      <c r="G1692">
        <f>IF(ISNUMBER(B1692),YEAR(B1692),"")</f>
        <v/>
      </c>
      <c r="H1692">
        <f>IF(ISNUMBER(B1692),MONTH(B1692),"")</f>
        <v/>
      </c>
      <c r="I1692">
        <f>IFERROR(IF($B$1=0,"",IF(ISNUMBER(INDEX(貼り付け!$A$1:$BZ$3001,1691,$B$1)),"",SUBSTITUTE(SUBSTITUTE(SUBSTITUTE(SUBSTITUTE(TRIM(LEFT(INDEX(貼り付け!$A$1:$BZ$3001,1691,$B$1)&amp;"",FIND(" ",TRIM(INDEX(貼り付け!$A$1:$BZ$3001,1691,$B$1)&amp;"")&amp;" ")-1)),"/","-"),"年","-"),"月","-"),"日",""))),"")</f>
        <v/>
      </c>
      <c r="J1692">
        <f>IFERROR(MID(I1692,FIND("-",I1692)+1,99),"")</f>
        <v/>
      </c>
    </row>
    <row r="1693">
      <c r="B1693">
        <f>IFERROR(IF($B$1=0,"",IF(INDEX(貼り付け!$A$1:$BZ$3001,1692,$B$1)="","",IF(ISNUMBER(INDEX(貼り付け!$A$1:$BZ$3001,1692,$B$1)),INT(INDEX(貼り付け!$A$1:$BZ$3001,1692,$B$1)),DATE(VALUE(LEFT(I1693,FIND("-",I1693)-1)),VALUE(LEFT(J1693,FIND("-",J1693)-1)),VALUE(MID(J1693,FIND("-",J1693)+1,99)))))),"")</f>
        <v/>
      </c>
      <c r="C1693">
        <f>IF($C$1=0,0,IFERROR(VALUE(SUBSTITUTE(SUBSTITUTE(SUBSTITUTE(INDEX(貼り付け!$A$1:$BZ$3001,1692,$C$1)&amp;"",",",""),"¥",""),"￥","")),0))</f>
        <v/>
      </c>
      <c r="D1693">
        <f>IF($D$1=0,0,IFERROR(VALUE(SUBSTITUTE(SUBSTITUTE(SUBSTITUTE(INDEX(貼り付け!$A$1:$BZ$3001,1692,$D$1)&amp;"",",",""),"¥",""),"￥","")),0))</f>
        <v/>
      </c>
      <c r="E1693">
        <f>IF($E$1=0,0,IFERROR(VALUE(SUBSTITUTE(SUBSTITUTE(SUBSTITUTE(INDEX(貼り付け!$A$1:$BZ$3001,1692,$E$1)&amp;"",",",""),"¥",""),"￥","")),0))</f>
        <v/>
      </c>
      <c r="F1693">
        <f>IF($F$1=0,0,IFERROR(VALUE(SUBSTITUTE(SUBSTITUTE(SUBSTITUTE(INDEX(貼り付け!$A$1:$BZ$3001,1692,$F$1)&amp;"",",",""),"¥",""),"￥","")),0))</f>
        <v/>
      </c>
      <c r="G1693">
        <f>IF(ISNUMBER(B1693),YEAR(B1693),"")</f>
        <v/>
      </c>
      <c r="H1693">
        <f>IF(ISNUMBER(B1693),MONTH(B1693),"")</f>
        <v/>
      </c>
      <c r="I1693">
        <f>IFERROR(IF($B$1=0,"",IF(ISNUMBER(INDEX(貼り付け!$A$1:$BZ$3001,1692,$B$1)),"",SUBSTITUTE(SUBSTITUTE(SUBSTITUTE(SUBSTITUTE(TRIM(LEFT(INDEX(貼り付け!$A$1:$BZ$3001,1692,$B$1)&amp;"",FIND(" ",TRIM(INDEX(貼り付け!$A$1:$BZ$3001,1692,$B$1)&amp;"")&amp;" ")-1)),"/","-"),"年","-"),"月","-"),"日",""))),"")</f>
        <v/>
      </c>
      <c r="J1693">
        <f>IFERROR(MID(I1693,FIND("-",I1693)+1,99),"")</f>
        <v/>
      </c>
    </row>
    <row r="1694">
      <c r="B1694">
        <f>IFERROR(IF($B$1=0,"",IF(INDEX(貼り付け!$A$1:$BZ$3001,1693,$B$1)="","",IF(ISNUMBER(INDEX(貼り付け!$A$1:$BZ$3001,1693,$B$1)),INT(INDEX(貼り付け!$A$1:$BZ$3001,1693,$B$1)),DATE(VALUE(LEFT(I1694,FIND("-",I1694)-1)),VALUE(LEFT(J1694,FIND("-",J1694)-1)),VALUE(MID(J1694,FIND("-",J1694)+1,99)))))),"")</f>
        <v/>
      </c>
      <c r="C1694">
        <f>IF($C$1=0,0,IFERROR(VALUE(SUBSTITUTE(SUBSTITUTE(SUBSTITUTE(INDEX(貼り付け!$A$1:$BZ$3001,1693,$C$1)&amp;"",",",""),"¥",""),"￥","")),0))</f>
        <v/>
      </c>
      <c r="D1694">
        <f>IF($D$1=0,0,IFERROR(VALUE(SUBSTITUTE(SUBSTITUTE(SUBSTITUTE(INDEX(貼り付け!$A$1:$BZ$3001,1693,$D$1)&amp;"",",",""),"¥",""),"￥","")),0))</f>
        <v/>
      </c>
      <c r="E1694">
        <f>IF($E$1=0,0,IFERROR(VALUE(SUBSTITUTE(SUBSTITUTE(SUBSTITUTE(INDEX(貼り付け!$A$1:$BZ$3001,1693,$E$1)&amp;"",",",""),"¥",""),"￥","")),0))</f>
        <v/>
      </c>
      <c r="F1694">
        <f>IF($F$1=0,0,IFERROR(VALUE(SUBSTITUTE(SUBSTITUTE(SUBSTITUTE(INDEX(貼り付け!$A$1:$BZ$3001,1693,$F$1)&amp;"",",",""),"¥",""),"￥","")),0))</f>
        <v/>
      </c>
      <c r="G1694">
        <f>IF(ISNUMBER(B1694),YEAR(B1694),"")</f>
        <v/>
      </c>
      <c r="H1694">
        <f>IF(ISNUMBER(B1694),MONTH(B1694),"")</f>
        <v/>
      </c>
      <c r="I1694">
        <f>IFERROR(IF($B$1=0,"",IF(ISNUMBER(INDEX(貼り付け!$A$1:$BZ$3001,1693,$B$1)),"",SUBSTITUTE(SUBSTITUTE(SUBSTITUTE(SUBSTITUTE(TRIM(LEFT(INDEX(貼り付け!$A$1:$BZ$3001,1693,$B$1)&amp;"",FIND(" ",TRIM(INDEX(貼り付け!$A$1:$BZ$3001,1693,$B$1)&amp;"")&amp;" ")-1)),"/","-"),"年","-"),"月","-"),"日",""))),"")</f>
        <v/>
      </c>
      <c r="J1694">
        <f>IFERROR(MID(I1694,FIND("-",I1694)+1,99),"")</f>
        <v/>
      </c>
    </row>
    <row r="1695">
      <c r="B1695">
        <f>IFERROR(IF($B$1=0,"",IF(INDEX(貼り付け!$A$1:$BZ$3001,1694,$B$1)="","",IF(ISNUMBER(INDEX(貼り付け!$A$1:$BZ$3001,1694,$B$1)),INT(INDEX(貼り付け!$A$1:$BZ$3001,1694,$B$1)),DATE(VALUE(LEFT(I1695,FIND("-",I1695)-1)),VALUE(LEFT(J1695,FIND("-",J1695)-1)),VALUE(MID(J1695,FIND("-",J1695)+1,99)))))),"")</f>
        <v/>
      </c>
      <c r="C1695">
        <f>IF($C$1=0,0,IFERROR(VALUE(SUBSTITUTE(SUBSTITUTE(SUBSTITUTE(INDEX(貼り付け!$A$1:$BZ$3001,1694,$C$1)&amp;"",",",""),"¥",""),"￥","")),0))</f>
        <v/>
      </c>
      <c r="D1695">
        <f>IF($D$1=0,0,IFERROR(VALUE(SUBSTITUTE(SUBSTITUTE(SUBSTITUTE(INDEX(貼り付け!$A$1:$BZ$3001,1694,$D$1)&amp;"",",",""),"¥",""),"￥","")),0))</f>
        <v/>
      </c>
      <c r="E1695">
        <f>IF($E$1=0,0,IFERROR(VALUE(SUBSTITUTE(SUBSTITUTE(SUBSTITUTE(INDEX(貼り付け!$A$1:$BZ$3001,1694,$E$1)&amp;"",",",""),"¥",""),"￥","")),0))</f>
        <v/>
      </c>
      <c r="F1695">
        <f>IF($F$1=0,0,IFERROR(VALUE(SUBSTITUTE(SUBSTITUTE(SUBSTITUTE(INDEX(貼り付け!$A$1:$BZ$3001,1694,$F$1)&amp;"",",",""),"¥",""),"￥","")),0))</f>
        <v/>
      </c>
      <c r="G1695">
        <f>IF(ISNUMBER(B1695),YEAR(B1695),"")</f>
        <v/>
      </c>
      <c r="H1695">
        <f>IF(ISNUMBER(B1695),MONTH(B1695),"")</f>
        <v/>
      </c>
      <c r="I1695">
        <f>IFERROR(IF($B$1=0,"",IF(ISNUMBER(INDEX(貼り付け!$A$1:$BZ$3001,1694,$B$1)),"",SUBSTITUTE(SUBSTITUTE(SUBSTITUTE(SUBSTITUTE(TRIM(LEFT(INDEX(貼り付け!$A$1:$BZ$3001,1694,$B$1)&amp;"",FIND(" ",TRIM(INDEX(貼り付け!$A$1:$BZ$3001,1694,$B$1)&amp;"")&amp;" ")-1)),"/","-"),"年","-"),"月","-"),"日",""))),"")</f>
        <v/>
      </c>
      <c r="J1695">
        <f>IFERROR(MID(I1695,FIND("-",I1695)+1,99),"")</f>
        <v/>
      </c>
    </row>
    <row r="1696">
      <c r="B1696">
        <f>IFERROR(IF($B$1=0,"",IF(INDEX(貼り付け!$A$1:$BZ$3001,1695,$B$1)="","",IF(ISNUMBER(INDEX(貼り付け!$A$1:$BZ$3001,1695,$B$1)),INT(INDEX(貼り付け!$A$1:$BZ$3001,1695,$B$1)),DATE(VALUE(LEFT(I1696,FIND("-",I1696)-1)),VALUE(LEFT(J1696,FIND("-",J1696)-1)),VALUE(MID(J1696,FIND("-",J1696)+1,99)))))),"")</f>
        <v/>
      </c>
      <c r="C1696">
        <f>IF($C$1=0,0,IFERROR(VALUE(SUBSTITUTE(SUBSTITUTE(SUBSTITUTE(INDEX(貼り付け!$A$1:$BZ$3001,1695,$C$1)&amp;"",",",""),"¥",""),"￥","")),0))</f>
        <v/>
      </c>
      <c r="D1696">
        <f>IF($D$1=0,0,IFERROR(VALUE(SUBSTITUTE(SUBSTITUTE(SUBSTITUTE(INDEX(貼り付け!$A$1:$BZ$3001,1695,$D$1)&amp;"",",",""),"¥",""),"￥","")),0))</f>
        <v/>
      </c>
      <c r="E1696">
        <f>IF($E$1=0,0,IFERROR(VALUE(SUBSTITUTE(SUBSTITUTE(SUBSTITUTE(INDEX(貼り付け!$A$1:$BZ$3001,1695,$E$1)&amp;"",",",""),"¥",""),"￥","")),0))</f>
        <v/>
      </c>
      <c r="F1696">
        <f>IF($F$1=0,0,IFERROR(VALUE(SUBSTITUTE(SUBSTITUTE(SUBSTITUTE(INDEX(貼り付け!$A$1:$BZ$3001,1695,$F$1)&amp;"",",",""),"¥",""),"￥","")),0))</f>
        <v/>
      </c>
      <c r="G1696">
        <f>IF(ISNUMBER(B1696),YEAR(B1696),"")</f>
        <v/>
      </c>
      <c r="H1696">
        <f>IF(ISNUMBER(B1696),MONTH(B1696),"")</f>
        <v/>
      </c>
      <c r="I1696">
        <f>IFERROR(IF($B$1=0,"",IF(ISNUMBER(INDEX(貼り付け!$A$1:$BZ$3001,1695,$B$1)),"",SUBSTITUTE(SUBSTITUTE(SUBSTITUTE(SUBSTITUTE(TRIM(LEFT(INDEX(貼り付け!$A$1:$BZ$3001,1695,$B$1)&amp;"",FIND(" ",TRIM(INDEX(貼り付け!$A$1:$BZ$3001,1695,$B$1)&amp;"")&amp;" ")-1)),"/","-"),"年","-"),"月","-"),"日",""))),"")</f>
        <v/>
      </c>
      <c r="J1696">
        <f>IFERROR(MID(I1696,FIND("-",I1696)+1,99),"")</f>
        <v/>
      </c>
    </row>
    <row r="1697">
      <c r="B1697">
        <f>IFERROR(IF($B$1=0,"",IF(INDEX(貼り付け!$A$1:$BZ$3001,1696,$B$1)="","",IF(ISNUMBER(INDEX(貼り付け!$A$1:$BZ$3001,1696,$B$1)),INT(INDEX(貼り付け!$A$1:$BZ$3001,1696,$B$1)),DATE(VALUE(LEFT(I1697,FIND("-",I1697)-1)),VALUE(LEFT(J1697,FIND("-",J1697)-1)),VALUE(MID(J1697,FIND("-",J1697)+1,99)))))),"")</f>
        <v/>
      </c>
      <c r="C1697">
        <f>IF($C$1=0,0,IFERROR(VALUE(SUBSTITUTE(SUBSTITUTE(SUBSTITUTE(INDEX(貼り付け!$A$1:$BZ$3001,1696,$C$1)&amp;"",",",""),"¥",""),"￥","")),0))</f>
        <v/>
      </c>
      <c r="D1697">
        <f>IF($D$1=0,0,IFERROR(VALUE(SUBSTITUTE(SUBSTITUTE(SUBSTITUTE(INDEX(貼り付け!$A$1:$BZ$3001,1696,$D$1)&amp;"",",",""),"¥",""),"￥","")),0))</f>
        <v/>
      </c>
      <c r="E1697">
        <f>IF($E$1=0,0,IFERROR(VALUE(SUBSTITUTE(SUBSTITUTE(SUBSTITUTE(INDEX(貼り付け!$A$1:$BZ$3001,1696,$E$1)&amp;"",",",""),"¥",""),"￥","")),0))</f>
        <v/>
      </c>
      <c r="F1697">
        <f>IF($F$1=0,0,IFERROR(VALUE(SUBSTITUTE(SUBSTITUTE(SUBSTITUTE(INDEX(貼り付け!$A$1:$BZ$3001,1696,$F$1)&amp;"",",",""),"¥",""),"￥","")),0))</f>
        <v/>
      </c>
      <c r="G1697">
        <f>IF(ISNUMBER(B1697),YEAR(B1697),"")</f>
        <v/>
      </c>
      <c r="H1697">
        <f>IF(ISNUMBER(B1697),MONTH(B1697),"")</f>
        <v/>
      </c>
      <c r="I1697">
        <f>IFERROR(IF($B$1=0,"",IF(ISNUMBER(INDEX(貼り付け!$A$1:$BZ$3001,1696,$B$1)),"",SUBSTITUTE(SUBSTITUTE(SUBSTITUTE(SUBSTITUTE(TRIM(LEFT(INDEX(貼り付け!$A$1:$BZ$3001,1696,$B$1)&amp;"",FIND(" ",TRIM(INDEX(貼り付け!$A$1:$BZ$3001,1696,$B$1)&amp;"")&amp;" ")-1)),"/","-"),"年","-"),"月","-"),"日",""))),"")</f>
        <v/>
      </c>
      <c r="J1697">
        <f>IFERROR(MID(I1697,FIND("-",I1697)+1,99),"")</f>
        <v/>
      </c>
    </row>
    <row r="1698">
      <c r="B1698">
        <f>IFERROR(IF($B$1=0,"",IF(INDEX(貼り付け!$A$1:$BZ$3001,1697,$B$1)="","",IF(ISNUMBER(INDEX(貼り付け!$A$1:$BZ$3001,1697,$B$1)),INT(INDEX(貼り付け!$A$1:$BZ$3001,1697,$B$1)),DATE(VALUE(LEFT(I1698,FIND("-",I1698)-1)),VALUE(LEFT(J1698,FIND("-",J1698)-1)),VALUE(MID(J1698,FIND("-",J1698)+1,99)))))),"")</f>
        <v/>
      </c>
      <c r="C1698">
        <f>IF($C$1=0,0,IFERROR(VALUE(SUBSTITUTE(SUBSTITUTE(SUBSTITUTE(INDEX(貼り付け!$A$1:$BZ$3001,1697,$C$1)&amp;"",",",""),"¥",""),"￥","")),0))</f>
        <v/>
      </c>
      <c r="D1698">
        <f>IF($D$1=0,0,IFERROR(VALUE(SUBSTITUTE(SUBSTITUTE(SUBSTITUTE(INDEX(貼り付け!$A$1:$BZ$3001,1697,$D$1)&amp;"",",",""),"¥",""),"￥","")),0))</f>
        <v/>
      </c>
      <c r="E1698">
        <f>IF($E$1=0,0,IFERROR(VALUE(SUBSTITUTE(SUBSTITUTE(SUBSTITUTE(INDEX(貼り付け!$A$1:$BZ$3001,1697,$E$1)&amp;"",",",""),"¥",""),"￥","")),0))</f>
        <v/>
      </c>
      <c r="F1698">
        <f>IF($F$1=0,0,IFERROR(VALUE(SUBSTITUTE(SUBSTITUTE(SUBSTITUTE(INDEX(貼り付け!$A$1:$BZ$3001,1697,$F$1)&amp;"",",",""),"¥",""),"￥","")),0))</f>
        <v/>
      </c>
      <c r="G1698">
        <f>IF(ISNUMBER(B1698),YEAR(B1698),"")</f>
        <v/>
      </c>
      <c r="H1698">
        <f>IF(ISNUMBER(B1698),MONTH(B1698),"")</f>
        <v/>
      </c>
      <c r="I1698">
        <f>IFERROR(IF($B$1=0,"",IF(ISNUMBER(INDEX(貼り付け!$A$1:$BZ$3001,1697,$B$1)),"",SUBSTITUTE(SUBSTITUTE(SUBSTITUTE(SUBSTITUTE(TRIM(LEFT(INDEX(貼り付け!$A$1:$BZ$3001,1697,$B$1)&amp;"",FIND(" ",TRIM(INDEX(貼り付け!$A$1:$BZ$3001,1697,$B$1)&amp;"")&amp;" ")-1)),"/","-"),"年","-"),"月","-"),"日",""))),"")</f>
        <v/>
      </c>
      <c r="J1698">
        <f>IFERROR(MID(I1698,FIND("-",I1698)+1,99),"")</f>
        <v/>
      </c>
    </row>
    <row r="1699">
      <c r="B1699">
        <f>IFERROR(IF($B$1=0,"",IF(INDEX(貼り付け!$A$1:$BZ$3001,1698,$B$1)="","",IF(ISNUMBER(INDEX(貼り付け!$A$1:$BZ$3001,1698,$B$1)),INT(INDEX(貼り付け!$A$1:$BZ$3001,1698,$B$1)),DATE(VALUE(LEFT(I1699,FIND("-",I1699)-1)),VALUE(LEFT(J1699,FIND("-",J1699)-1)),VALUE(MID(J1699,FIND("-",J1699)+1,99)))))),"")</f>
        <v/>
      </c>
      <c r="C1699">
        <f>IF($C$1=0,0,IFERROR(VALUE(SUBSTITUTE(SUBSTITUTE(SUBSTITUTE(INDEX(貼り付け!$A$1:$BZ$3001,1698,$C$1)&amp;"",",",""),"¥",""),"￥","")),0))</f>
        <v/>
      </c>
      <c r="D1699">
        <f>IF($D$1=0,0,IFERROR(VALUE(SUBSTITUTE(SUBSTITUTE(SUBSTITUTE(INDEX(貼り付け!$A$1:$BZ$3001,1698,$D$1)&amp;"",",",""),"¥",""),"￥","")),0))</f>
        <v/>
      </c>
      <c r="E1699">
        <f>IF($E$1=0,0,IFERROR(VALUE(SUBSTITUTE(SUBSTITUTE(SUBSTITUTE(INDEX(貼り付け!$A$1:$BZ$3001,1698,$E$1)&amp;"",",",""),"¥",""),"￥","")),0))</f>
        <v/>
      </c>
      <c r="F1699">
        <f>IF($F$1=0,0,IFERROR(VALUE(SUBSTITUTE(SUBSTITUTE(SUBSTITUTE(INDEX(貼り付け!$A$1:$BZ$3001,1698,$F$1)&amp;"",",",""),"¥",""),"￥","")),0))</f>
        <v/>
      </c>
      <c r="G1699">
        <f>IF(ISNUMBER(B1699),YEAR(B1699),"")</f>
        <v/>
      </c>
      <c r="H1699">
        <f>IF(ISNUMBER(B1699),MONTH(B1699),"")</f>
        <v/>
      </c>
      <c r="I1699">
        <f>IFERROR(IF($B$1=0,"",IF(ISNUMBER(INDEX(貼り付け!$A$1:$BZ$3001,1698,$B$1)),"",SUBSTITUTE(SUBSTITUTE(SUBSTITUTE(SUBSTITUTE(TRIM(LEFT(INDEX(貼り付け!$A$1:$BZ$3001,1698,$B$1)&amp;"",FIND(" ",TRIM(INDEX(貼り付け!$A$1:$BZ$3001,1698,$B$1)&amp;"")&amp;" ")-1)),"/","-"),"年","-"),"月","-"),"日",""))),"")</f>
        <v/>
      </c>
      <c r="J1699">
        <f>IFERROR(MID(I1699,FIND("-",I1699)+1,99),"")</f>
        <v/>
      </c>
    </row>
    <row r="1700">
      <c r="B1700">
        <f>IFERROR(IF($B$1=0,"",IF(INDEX(貼り付け!$A$1:$BZ$3001,1699,$B$1)="","",IF(ISNUMBER(INDEX(貼り付け!$A$1:$BZ$3001,1699,$B$1)),INT(INDEX(貼り付け!$A$1:$BZ$3001,1699,$B$1)),DATE(VALUE(LEFT(I1700,FIND("-",I1700)-1)),VALUE(LEFT(J1700,FIND("-",J1700)-1)),VALUE(MID(J1700,FIND("-",J1700)+1,99)))))),"")</f>
        <v/>
      </c>
      <c r="C1700">
        <f>IF($C$1=0,0,IFERROR(VALUE(SUBSTITUTE(SUBSTITUTE(SUBSTITUTE(INDEX(貼り付け!$A$1:$BZ$3001,1699,$C$1)&amp;"",",",""),"¥",""),"￥","")),0))</f>
        <v/>
      </c>
      <c r="D1700">
        <f>IF($D$1=0,0,IFERROR(VALUE(SUBSTITUTE(SUBSTITUTE(SUBSTITUTE(INDEX(貼り付け!$A$1:$BZ$3001,1699,$D$1)&amp;"",",",""),"¥",""),"￥","")),0))</f>
        <v/>
      </c>
      <c r="E1700">
        <f>IF($E$1=0,0,IFERROR(VALUE(SUBSTITUTE(SUBSTITUTE(SUBSTITUTE(INDEX(貼り付け!$A$1:$BZ$3001,1699,$E$1)&amp;"",",",""),"¥",""),"￥","")),0))</f>
        <v/>
      </c>
      <c r="F1700">
        <f>IF($F$1=0,0,IFERROR(VALUE(SUBSTITUTE(SUBSTITUTE(SUBSTITUTE(INDEX(貼り付け!$A$1:$BZ$3001,1699,$F$1)&amp;"",",",""),"¥",""),"￥","")),0))</f>
        <v/>
      </c>
      <c r="G1700">
        <f>IF(ISNUMBER(B1700),YEAR(B1700),"")</f>
        <v/>
      </c>
      <c r="H1700">
        <f>IF(ISNUMBER(B1700),MONTH(B1700),"")</f>
        <v/>
      </c>
      <c r="I1700">
        <f>IFERROR(IF($B$1=0,"",IF(ISNUMBER(INDEX(貼り付け!$A$1:$BZ$3001,1699,$B$1)),"",SUBSTITUTE(SUBSTITUTE(SUBSTITUTE(SUBSTITUTE(TRIM(LEFT(INDEX(貼り付け!$A$1:$BZ$3001,1699,$B$1)&amp;"",FIND(" ",TRIM(INDEX(貼り付け!$A$1:$BZ$3001,1699,$B$1)&amp;"")&amp;" ")-1)),"/","-"),"年","-"),"月","-"),"日",""))),"")</f>
        <v/>
      </c>
      <c r="J1700">
        <f>IFERROR(MID(I1700,FIND("-",I1700)+1,99),"")</f>
        <v/>
      </c>
    </row>
    <row r="1701">
      <c r="B1701">
        <f>IFERROR(IF($B$1=0,"",IF(INDEX(貼り付け!$A$1:$BZ$3001,1700,$B$1)="","",IF(ISNUMBER(INDEX(貼り付け!$A$1:$BZ$3001,1700,$B$1)),INT(INDEX(貼り付け!$A$1:$BZ$3001,1700,$B$1)),DATE(VALUE(LEFT(I1701,FIND("-",I1701)-1)),VALUE(LEFT(J1701,FIND("-",J1701)-1)),VALUE(MID(J1701,FIND("-",J1701)+1,99)))))),"")</f>
        <v/>
      </c>
      <c r="C1701">
        <f>IF($C$1=0,0,IFERROR(VALUE(SUBSTITUTE(SUBSTITUTE(SUBSTITUTE(INDEX(貼り付け!$A$1:$BZ$3001,1700,$C$1)&amp;"",",",""),"¥",""),"￥","")),0))</f>
        <v/>
      </c>
      <c r="D1701">
        <f>IF($D$1=0,0,IFERROR(VALUE(SUBSTITUTE(SUBSTITUTE(SUBSTITUTE(INDEX(貼り付け!$A$1:$BZ$3001,1700,$D$1)&amp;"",",",""),"¥",""),"￥","")),0))</f>
        <v/>
      </c>
      <c r="E1701">
        <f>IF($E$1=0,0,IFERROR(VALUE(SUBSTITUTE(SUBSTITUTE(SUBSTITUTE(INDEX(貼り付け!$A$1:$BZ$3001,1700,$E$1)&amp;"",",",""),"¥",""),"￥","")),0))</f>
        <v/>
      </c>
      <c r="F1701">
        <f>IF($F$1=0,0,IFERROR(VALUE(SUBSTITUTE(SUBSTITUTE(SUBSTITUTE(INDEX(貼り付け!$A$1:$BZ$3001,1700,$F$1)&amp;"",",",""),"¥",""),"￥","")),0))</f>
        <v/>
      </c>
      <c r="G1701">
        <f>IF(ISNUMBER(B1701),YEAR(B1701),"")</f>
        <v/>
      </c>
      <c r="H1701">
        <f>IF(ISNUMBER(B1701),MONTH(B1701),"")</f>
        <v/>
      </c>
      <c r="I1701">
        <f>IFERROR(IF($B$1=0,"",IF(ISNUMBER(INDEX(貼り付け!$A$1:$BZ$3001,1700,$B$1)),"",SUBSTITUTE(SUBSTITUTE(SUBSTITUTE(SUBSTITUTE(TRIM(LEFT(INDEX(貼り付け!$A$1:$BZ$3001,1700,$B$1)&amp;"",FIND(" ",TRIM(INDEX(貼り付け!$A$1:$BZ$3001,1700,$B$1)&amp;"")&amp;" ")-1)),"/","-"),"年","-"),"月","-"),"日",""))),"")</f>
        <v/>
      </c>
      <c r="J1701">
        <f>IFERROR(MID(I1701,FIND("-",I1701)+1,99),"")</f>
        <v/>
      </c>
    </row>
    <row r="1702">
      <c r="B1702">
        <f>IFERROR(IF($B$1=0,"",IF(INDEX(貼り付け!$A$1:$BZ$3001,1701,$B$1)="","",IF(ISNUMBER(INDEX(貼り付け!$A$1:$BZ$3001,1701,$B$1)),INT(INDEX(貼り付け!$A$1:$BZ$3001,1701,$B$1)),DATE(VALUE(LEFT(I1702,FIND("-",I1702)-1)),VALUE(LEFT(J1702,FIND("-",J1702)-1)),VALUE(MID(J1702,FIND("-",J1702)+1,99)))))),"")</f>
        <v/>
      </c>
      <c r="C1702">
        <f>IF($C$1=0,0,IFERROR(VALUE(SUBSTITUTE(SUBSTITUTE(SUBSTITUTE(INDEX(貼り付け!$A$1:$BZ$3001,1701,$C$1)&amp;"",",",""),"¥",""),"￥","")),0))</f>
        <v/>
      </c>
      <c r="D1702">
        <f>IF($D$1=0,0,IFERROR(VALUE(SUBSTITUTE(SUBSTITUTE(SUBSTITUTE(INDEX(貼り付け!$A$1:$BZ$3001,1701,$D$1)&amp;"",",",""),"¥",""),"￥","")),0))</f>
        <v/>
      </c>
      <c r="E1702">
        <f>IF($E$1=0,0,IFERROR(VALUE(SUBSTITUTE(SUBSTITUTE(SUBSTITUTE(INDEX(貼り付け!$A$1:$BZ$3001,1701,$E$1)&amp;"",",",""),"¥",""),"￥","")),0))</f>
        <v/>
      </c>
      <c r="F1702">
        <f>IF($F$1=0,0,IFERROR(VALUE(SUBSTITUTE(SUBSTITUTE(SUBSTITUTE(INDEX(貼り付け!$A$1:$BZ$3001,1701,$F$1)&amp;"",",",""),"¥",""),"￥","")),0))</f>
        <v/>
      </c>
      <c r="G1702">
        <f>IF(ISNUMBER(B1702),YEAR(B1702),"")</f>
        <v/>
      </c>
      <c r="H1702">
        <f>IF(ISNUMBER(B1702),MONTH(B1702),"")</f>
        <v/>
      </c>
      <c r="I1702">
        <f>IFERROR(IF($B$1=0,"",IF(ISNUMBER(INDEX(貼り付け!$A$1:$BZ$3001,1701,$B$1)),"",SUBSTITUTE(SUBSTITUTE(SUBSTITUTE(SUBSTITUTE(TRIM(LEFT(INDEX(貼り付け!$A$1:$BZ$3001,1701,$B$1)&amp;"",FIND(" ",TRIM(INDEX(貼り付け!$A$1:$BZ$3001,1701,$B$1)&amp;"")&amp;" ")-1)),"/","-"),"年","-"),"月","-"),"日",""))),"")</f>
        <v/>
      </c>
      <c r="J1702">
        <f>IFERROR(MID(I1702,FIND("-",I1702)+1,99),"")</f>
        <v/>
      </c>
    </row>
    <row r="1703">
      <c r="B1703">
        <f>IFERROR(IF($B$1=0,"",IF(INDEX(貼り付け!$A$1:$BZ$3001,1702,$B$1)="","",IF(ISNUMBER(INDEX(貼り付け!$A$1:$BZ$3001,1702,$B$1)),INT(INDEX(貼り付け!$A$1:$BZ$3001,1702,$B$1)),DATE(VALUE(LEFT(I1703,FIND("-",I1703)-1)),VALUE(LEFT(J1703,FIND("-",J1703)-1)),VALUE(MID(J1703,FIND("-",J1703)+1,99)))))),"")</f>
        <v/>
      </c>
      <c r="C1703">
        <f>IF($C$1=0,0,IFERROR(VALUE(SUBSTITUTE(SUBSTITUTE(SUBSTITUTE(INDEX(貼り付け!$A$1:$BZ$3001,1702,$C$1)&amp;"",",",""),"¥",""),"￥","")),0))</f>
        <v/>
      </c>
      <c r="D1703">
        <f>IF($D$1=0,0,IFERROR(VALUE(SUBSTITUTE(SUBSTITUTE(SUBSTITUTE(INDEX(貼り付け!$A$1:$BZ$3001,1702,$D$1)&amp;"",",",""),"¥",""),"￥","")),0))</f>
        <v/>
      </c>
      <c r="E1703">
        <f>IF($E$1=0,0,IFERROR(VALUE(SUBSTITUTE(SUBSTITUTE(SUBSTITUTE(INDEX(貼り付け!$A$1:$BZ$3001,1702,$E$1)&amp;"",",",""),"¥",""),"￥","")),0))</f>
        <v/>
      </c>
      <c r="F1703">
        <f>IF($F$1=0,0,IFERROR(VALUE(SUBSTITUTE(SUBSTITUTE(SUBSTITUTE(INDEX(貼り付け!$A$1:$BZ$3001,1702,$F$1)&amp;"",",",""),"¥",""),"￥","")),0))</f>
        <v/>
      </c>
      <c r="G1703">
        <f>IF(ISNUMBER(B1703),YEAR(B1703),"")</f>
        <v/>
      </c>
      <c r="H1703">
        <f>IF(ISNUMBER(B1703),MONTH(B1703),"")</f>
        <v/>
      </c>
      <c r="I1703">
        <f>IFERROR(IF($B$1=0,"",IF(ISNUMBER(INDEX(貼り付け!$A$1:$BZ$3001,1702,$B$1)),"",SUBSTITUTE(SUBSTITUTE(SUBSTITUTE(SUBSTITUTE(TRIM(LEFT(INDEX(貼り付け!$A$1:$BZ$3001,1702,$B$1)&amp;"",FIND(" ",TRIM(INDEX(貼り付け!$A$1:$BZ$3001,1702,$B$1)&amp;"")&amp;" ")-1)),"/","-"),"年","-"),"月","-"),"日",""))),"")</f>
        <v/>
      </c>
      <c r="J1703">
        <f>IFERROR(MID(I1703,FIND("-",I1703)+1,99),"")</f>
        <v/>
      </c>
    </row>
    <row r="1704">
      <c r="B1704">
        <f>IFERROR(IF($B$1=0,"",IF(INDEX(貼り付け!$A$1:$BZ$3001,1703,$B$1)="","",IF(ISNUMBER(INDEX(貼り付け!$A$1:$BZ$3001,1703,$B$1)),INT(INDEX(貼り付け!$A$1:$BZ$3001,1703,$B$1)),DATE(VALUE(LEFT(I1704,FIND("-",I1704)-1)),VALUE(LEFT(J1704,FIND("-",J1704)-1)),VALUE(MID(J1704,FIND("-",J1704)+1,99)))))),"")</f>
        <v/>
      </c>
      <c r="C1704">
        <f>IF($C$1=0,0,IFERROR(VALUE(SUBSTITUTE(SUBSTITUTE(SUBSTITUTE(INDEX(貼り付け!$A$1:$BZ$3001,1703,$C$1)&amp;"",",",""),"¥",""),"￥","")),0))</f>
        <v/>
      </c>
      <c r="D1704">
        <f>IF($D$1=0,0,IFERROR(VALUE(SUBSTITUTE(SUBSTITUTE(SUBSTITUTE(INDEX(貼り付け!$A$1:$BZ$3001,1703,$D$1)&amp;"",",",""),"¥",""),"￥","")),0))</f>
        <v/>
      </c>
      <c r="E1704">
        <f>IF($E$1=0,0,IFERROR(VALUE(SUBSTITUTE(SUBSTITUTE(SUBSTITUTE(INDEX(貼り付け!$A$1:$BZ$3001,1703,$E$1)&amp;"",",",""),"¥",""),"￥","")),0))</f>
        <v/>
      </c>
      <c r="F1704">
        <f>IF($F$1=0,0,IFERROR(VALUE(SUBSTITUTE(SUBSTITUTE(SUBSTITUTE(INDEX(貼り付け!$A$1:$BZ$3001,1703,$F$1)&amp;"",",",""),"¥",""),"￥","")),0))</f>
        <v/>
      </c>
      <c r="G1704">
        <f>IF(ISNUMBER(B1704),YEAR(B1704),"")</f>
        <v/>
      </c>
      <c r="H1704">
        <f>IF(ISNUMBER(B1704),MONTH(B1704),"")</f>
        <v/>
      </c>
      <c r="I1704">
        <f>IFERROR(IF($B$1=0,"",IF(ISNUMBER(INDEX(貼り付け!$A$1:$BZ$3001,1703,$B$1)),"",SUBSTITUTE(SUBSTITUTE(SUBSTITUTE(SUBSTITUTE(TRIM(LEFT(INDEX(貼り付け!$A$1:$BZ$3001,1703,$B$1)&amp;"",FIND(" ",TRIM(INDEX(貼り付け!$A$1:$BZ$3001,1703,$B$1)&amp;"")&amp;" ")-1)),"/","-"),"年","-"),"月","-"),"日",""))),"")</f>
        <v/>
      </c>
      <c r="J1704">
        <f>IFERROR(MID(I1704,FIND("-",I1704)+1,99),"")</f>
        <v/>
      </c>
    </row>
    <row r="1705">
      <c r="B1705">
        <f>IFERROR(IF($B$1=0,"",IF(INDEX(貼り付け!$A$1:$BZ$3001,1704,$B$1)="","",IF(ISNUMBER(INDEX(貼り付け!$A$1:$BZ$3001,1704,$B$1)),INT(INDEX(貼り付け!$A$1:$BZ$3001,1704,$B$1)),DATE(VALUE(LEFT(I1705,FIND("-",I1705)-1)),VALUE(LEFT(J1705,FIND("-",J1705)-1)),VALUE(MID(J1705,FIND("-",J1705)+1,99)))))),"")</f>
        <v/>
      </c>
      <c r="C1705">
        <f>IF($C$1=0,0,IFERROR(VALUE(SUBSTITUTE(SUBSTITUTE(SUBSTITUTE(INDEX(貼り付け!$A$1:$BZ$3001,1704,$C$1)&amp;"",",",""),"¥",""),"￥","")),0))</f>
        <v/>
      </c>
      <c r="D1705">
        <f>IF($D$1=0,0,IFERROR(VALUE(SUBSTITUTE(SUBSTITUTE(SUBSTITUTE(INDEX(貼り付け!$A$1:$BZ$3001,1704,$D$1)&amp;"",",",""),"¥",""),"￥","")),0))</f>
        <v/>
      </c>
      <c r="E1705">
        <f>IF($E$1=0,0,IFERROR(VALUE(SUBSTITUTE(SUBSTITUTE(SUBSTITUTE(INDEX(貼り付け!$A$1:$BZ$3001,1704,$E$1)&amp;"",",",""),"¥",""),"￥","")),0))</f>
        <v/>
      </c>
      <c r="F1705">
        <f>IF($F$1=0,0,IFERROR(VALUE(SUBSTITUTE(SUBSTITUTE(SUBSTITUTE(INDEX(貼り付け!$A$1:$BZ$3001,1704,$F$1)&amp;"",",",""),"¥",""),"￥","")),0))</f>
        <v/>
      </c>
      <c r="G1705">
        <f>IF(ISNUMBER(B1705),YEAR(B1705),"")</f>
        <v/>
      </c>
      <c r="H1705">
        <f>IF(ISNUMBER(B1705),MONTH(B1705),"")</f>
        <v/>
      </c>
      <c r="I1705">
        <f>IFERROR(IF($B$1=0,"",IF(ISNUMBER(INDEX(貼り付け!$A$1:$BZ$3001,1704,$B$1)),"",SUBSTITUTE(SUBSTITUTE(SUBSTITUTE(SUBSTITUTE(TRIM(LEFT(INDEX(貼り付け!$A$1:$BZ$3001,1704,$B$1)&amp;"",FIND(" ",TRIM(INDEX(貼り付け!$A$1:$BZ$3001,1704,$B$1)&amp;"")&amp;" ")-1)),"/","-"),"年","-"),"月","-"),"日",""))),"")</f>
        <v/>
      </c>
      <c r="J1705">
        <f>IFERROR(MID(I1705,FIND("-",I1705)+1,99),"")</f>
        <v/>
      </c>
    </row>
    <row r="1706">
      <c r="B1706">
        <f>IFERROR(IF($B$1=0,"",IF(INDEX(貼り付け!$A$1:$BZ$3001,1705,$B$1)="","",IF(ISNUMBER(INDEX(貼り付け!$A$1:$BZ$3001,1705,$B$1)),INT(INDEX(貼り付け!$A$1:$BZ$3001,1705,$B$1)),DATE(VALUE(LEFT(I1706,FIND("-",I1706)-1)),VALUE(LEFT(J1706,FIND("-",J1706)-1)),VALUE(MID(J1706,FIND("-",J1706)+1,99)))))),"")</f>
        <v/>
      </c>
      <c r="C1706">
        <f>IF($C$1=0,0,IFERROR(VALUE(SUBSTITUTE(SUBSTITUTE(SUBSTITUTE(INDEX(貼り付け!$A$1:$BZ$3001,1705,$C$1)&amp;"",",",""),"¥",""),"￥","")),0))</f>
        <v/>
      </c>
      <c r="D1706">
        <f>IF($D$1=0,0,IFERROR(VALUE(SUBSTITUTE(SUBSTITUTE(SUBSTITUTE(INDEX(貼り付け!$A$1:$BZ$3001,1705,$D$1)&amp;"",",",""),"¥",""),"￥","")),0))</f>
        <v/>
      </c>
      <c r="E1706">
        <f>IF($E$1=0,0,IFERROR(VALUE(SUBSTITUTE(SUBSTITUTE(SUBSTITUTE(INDEX(貼り付け!$A$1:$BZ$3001,1705,$E$1)&amp;"",",",""),"¥",""),"￥","")),0))</f>
        <v/>
      </c>
      <c r="F1706">
        <f>IF($F$1=0,0,IFERROR(VALUE(SUBSTITUTE(SUBSTITUTE(SUBSTITUTE(INDEX(貼り付け!$A$1:$BZ$3001,1705,$F$1)&amp;"",",",""),"¥",""),"￥","")),0))</f>
        <v/>
      </c>
      <c r="G1706">
        <f>IF(ISNUMBER(B1706),YEAR(B1706),"")</f>
        <v/>
      </c>
      <c r="H1706">
        <f>IF(ISNUMBER(B1706),MONTH(B1706),"")</f>
        <v/>
      </c>
      <c r="I1706">
        <f>IFERROR(IF($B$1=0,"",IF(ISNUMBER(INDEX(貼り付け!$A$1:$BZ$3001,1705,$B$1)),"",SUBSTITUTE(SUBSTITUTE(SUBSTITUTE(SUBSTITUTE(TRIM(LEFT(INDEX(貼り付け!$A$1:$BZ$3001,1705,$B$1)&amp;"",FIND(" ",TRIM(INDEX(貼り付け!$A$1:$BZ$3001,1705,$B$1)&amp;"")&amp;" ")-1)),"/","-"),"年","-"),"月","-"),"日",""))),"")</f>
        <v/>
      </c>
      <c r="J1706">
        <f>IFERROR(MID(I1706,FIND("-",I1706)+1,99),"")</f>
        <v/>
      </c>
    </row>
    <row r="1707">
      <c r="B1707">
        <f>IFERROR(IF($B$1=0,"",IF(INDEX(貼り付け!$A$1:$BZ$3001,1706,$B$1)="","",IF(ISNUMBER(INDEX(貼り付け!$A$1:$BZ$3001,1706,$B$1)),INT(INDEX(貼り付け!$A$1:$BZ$3001,1706,$B$1)),DATE(VALUE(LEFT(I1707,FIND("-",I1707)-1)),VALUE(LEFT(J1707,FIND("-",J1707)-1)),VALUE(MID(J1707,FIND("-",J1707)+1,99)))))),"")</f>
        <v/>
      </c>
      <c r="C1707">
        <f>IF($C$1=0,0,IFERROR(VALUE(SUBSTITUTE(SUBSTITUTE(SUBSTITUTE(INDEX(貼り付け!$A$1:$BZ$3001,1706,$C$1)&amp;"",",",""),"¥",""),"￥","")),0))</f>
        <v/>
      </c>
      <c r="D1707">
        <f>IF($D$1=0,0,IFERROR(VALUE(SUBSTITUTE(SUBSTITUTE(SUBSTITUTE(INDEX(貼り付け!$A$1:$BZ$3001,1706,$D$1)&amp;"",",",""),"¥",""),"￥","")),0))</f>
        <v/>
      </c>
      <c r="E1707">
        <f>IF($E$1=0,0,IFERROR(VALUE(SUBSTITUTE(SUBSTITUTE(SUBSTITUTE(INDEX(貼り付け!$A$1:$BZ$3001,1706,$E$1)&amp;"",",",""),"¥",""),"￥","")),0))</f>
        <v/>
      </c>
      <c r="F1707">
        <f>IF($F$1=0,0,IFERROR(VALUE(SUBSTITUTE(SUBSTITUTE(SUBSTITUTE(INDEX(貼り付け!$A$1:$BZ$3001,1706,$F$1)&amp;"",",",""),"¥",""),"￥","")),0))</f>
        <v/>
      </c>
      <c r="G1707">
        <f>IF(ISNUMBER(B1707),YEAR(B1707),"")</f>
        <v/>
      </c>
      <c r="H1707">
        <f>IF(ISNUMBER(B1707),MONTH(B1707),"")</f>
        <v/>
      </c>
      <c r="I1707">
        <f>IFERROR(IF($B$1=0,"",IF(ISNUMBER(INDEX(貼り付け!$A$1:$BZ$3001,1706,$B$1)),"",SUBSTITUTE(SUBSTITUTE(SUBSTITUTE(SUBSTITUTE(TRIM(LEFT(INDEX(貼り付け!$A$1:$BZ$3001,1706,$B$1)&amp;"",FIND(" ",TRIM(INDEX(貼り付け!$A$1:$BZ$3001,1706,$B$1)&amp;"")&amp;" ")-1)),"/","-"),"年","-"),"月","-"),"日",""))),"")</f>
        <v/>
      </c>
      <c r="J1707">
        <f>IFERROR(MID(I1707,FIND("-",I1707)+1,99),"")</f>
        <v/>
      </c>
    </row>
    <row r="1708">
      <c r="B1708">
        <f>IFERROR(IF($B$1=0,"",IF(INDEX(貼り付け!$A$1:$BZ$3001,1707,$B$1)="","",IF(ISNUMBER(INDEX(貼り付け!$A$1:$BZ$3001,1707,$B$1)),INT(INDEX(貼り付け!$A$1:$BZ$3001,1707,$B$1)),DATE(VALUE(LEFT(I1708,FIND("-",I1708)-1)),VALUE(LEFT(J1708,FIND("-",J1708)-1)),VALUE(MID(J1708,FIND("-",J1708)+1,99)))))),"")</f>
        <v/>
      </c>
      <c r="C1708">
        <f>IF($C$1=0,0,IFERROR(VALUE(SUBSTITUTE(SUBSTITUTE(SUBSTITUTE(INDEX(貼り付け!$A$1:$BZ$3001,1707,$C$1)&amp;"",",",""),"¥",""),"￥","")),0))</f>
        <v/>
      </c>
      <c r="D1708">
        <f>IF($D$1=0,0,IFERROR(VALUE(SUBSTITUTE(SUBSTITUTE(SUBSTITUTE(INDEX(貼り付け!$A$1:$BZ$3001,1707,$D$1)&amp;"",",",""),"¥",""),"￥","")),0))</f>
        <v/>
      </c>
      <c r="E1708">
        <f>IF($E$1=0,0,IFERROR(VALUE(SUBSTITUTE(SUBSTITUTE(SUBSTITUTE(INDEX(貼り付け!$A$1:$BZ$3001,1707,$E$1)&amp;"",",",""),"¥",""),"￥","")),0))</f>
        <v/>
      </c>
      <c r="F1708">
        <f>IF($F$1=0,0,IFERROR(VALUE(SUBSTITUTE(SUBSTITUTE(SUBSTITUTE(INDEX(貼り付け!$A$1:$BZ$3001,1707,$F$1)&amp;"",",",""),"¥",""),"￥","")),0))</f>
        <v/>
      </c>
      <c r="G1708">
        <f>IF(ISNUMBER(B1708),YEAR(B1708),"")</f>
        <v/>
      </c>
      <c r="H1708">
        <f>IF(ISNUMBER(B1708),MONTH(B1708),"")</f>
        <v/>
      </c>
      <c r="I1708">
        <f>IFERROR(IF($B$1=0,"",IF(ISNUMBER(INDEX(貼り付け!$A$1:$BZ$3001,1707,$B$1)),"",SUBSTITUTE(SUBSTITUTE(SUBSTITUTE(SUBSTITUTE(TRIM(LEFT(INDEX(貼り付け!$A$1:$BZ$3001,1707,$B$1)&amp;"",FIND(" ",TRIM(INDEX(貼り付け!$A$1:$BZ$3001,1707,$B$1)&amp;"")&amp;" ")-1)),"/","-"),"年","-"),"月","-"),"日",""))),"")</f>
        <v/>
      </c>
      <c r="J1708">
        <f>IFERROR(MID(I1708,FIND("-",I1708)+1,99),"")</f>
        <v/>
      </c>
    </row>
    <row r="1709">
      <c r="B1709">
        <f>IFERROR(IF($B$1=0,"",IF(INDEX(貼り付け!$A$1:$BZ$3001,1708,$B$1)="","",IF(ISNUMBER(INDEX(貼り付け!$A$1:$BZ$3001,1708,$B$1)),INT(INDEX(貼り付け!$A$1:$BZ$3001,1708,$B$1)),DATE(VALUE(LEFT(I1709,FIND("-",I1709)-1)),VALUE(LEFT(J1709,FIND("-",J1709)-1)),VALUE(MID(J1709,FIND("-",J1709)+1,99)))))),"")</f>
        <v/>
      </c>
      <c r="C1709">
        <f>IF($C$1=0,0,IFERROR(VALUE(SUBSTITUTE(SUBSTITUTE(SUBSTITUTE(INDEX(貼り付け!$A$1:$BZ$3001,1708,$C$1)&amp;"",",",""),"¥",""),"￥","")),0))</f>
        <v/>
      </c>
      <c r="D1709">
        <f>IF($D$1=0,0,IFERROR(VALUE(SUBSTITUTE(SUBSTITUTE(SUBSTITUTE(INDEX(貼り付け!$A$1:$BZ$3001,1708,$D$1)&amp;"",",",""),"¥",""),"￥","")),0))</f>
        <v/>
      </c>
      <c r="E1709">
        <f>IF($E$1=0,0,IFERROR(VALUE(SUBSTITUTE(SUBSTITUTE(SUBSTITUTE(INDEX(貼り付け!$A$1:$BZ$3001,1708,$E$1)&amp;"",",",""),"¥",""),"￥","")),0))</f>
        <v/>
      </c>
      <c r="F1709">
        <f>IF($F$1=0,0,IFERROR(VALUE(SUBSTITUTE(SUBSTITUTE(SUBSTITUTE(INDEX(貼り付け!$A$1:$BZ$3001,1708,$F$1)&amp;"",",",""),"¥",""),"￥","")),0))</f>
        <v/>
      </c>
      <c r="G1709">
        <f>IF(ISNUMBER(B1709),YEAR(B1709),"")</f>
        <v/>
      </c>
      <c r="H1709">
        <f>IF(ISNUMBER(B1709),MONTH(B1709),"")</f>
        <v/>
      </c>
      <c r="I1709">
        <f>IFERROR(IF($B$1=0,"",IF(ISNUMBER(INDEX(貼り付け!$A$1:$BZ$3001,1708,$B$1)),"",SUBSTITUTE(SUBSTITUTE(SUBSTITUTE(SUBSTITUTE(TRIM(LEFT(INDEX(貼り付け!$A$1:$BZ$3001,1708,$B$1)&amp;"",FIND(" ",TRIM(INDEX(貼り付け!$A$1:$BZ$3001,1708,$B$1)&amp;"")&amp;" ")-1)),"/","-"),"年","-"),"月","-"),"日",""))),"")</f>
        <v/>
      </c>
      <c r="J1709">
        <f>IFERROR(MID(I1709,FIND("-",I1709)+1,99),"")</f>
        <v/>
      </c>
    </row>
    <row r="1710">
      <c r="B1710">
        <f>IFERROR(IF($B$1=0,"",IF(INDEX(貼り付け!$A$1:$BZ$3001,1709,$B$1)="","",IF(ISNUMBER(INDEX(貼り付け!$A$1:$BZ$3001,1709,$B$1)),INT(INDEX(貼り付け!$A$1:$BZ$3001,1709,$B$1)),DATE(VALUE(LEFT(I1710,FIND("-",I1710)-1)),VALUE(LEFT(J1710,FIND("-",J1710)-1)),VALUE(MID(J1710,FIND("-",J1710)+1,99)))))),"")</f>
        <v/>
      </c>
      <c r="C1710">
        <f>IF($C$1=0,0,IFERROR(VALUE(SUBSTITUTE(SUBSTITUTE(SUBSTITUTE(INDEX(貼り付け!$A$1:$BZ$3001,1709,$C$1)&amp;"",",",""),"¥",""),"￥","")),0))</f>
        <v/>
      </c>
      <c r="D1710">
        <f>IF($D$1=0,0,IFERROR(VALUE(SUBSTITUTE(SUBSTITUTE(SUBSTITUTE(INDEX(貼り付け!$A$1:$BZ$3001,1709,$D$1)&amp;"",",",""),"¥",""),"￥","")),0))</f>
        <v/>
      </c>
      <c r="E1710">
        <f>IF($E$1=0,0,IFERROR(VALUE(SUBSTITUTE(SUBSTITUTE(SUBSTITUTE(INDEX(貼り付け!$A$1:$BZ$3001,1709,$E$1)&amp;"",",",""),"¥",""),"￥","")),0))</f>
        <v/>
      </c>
      <c r="F1710">
        <f>IF($F$1=0,0,IFERROR(VALUE(SUBSTITUTE(SUBSTITUTE(SUBSTITUTE(INDEX(貼り付け!$A$1:$BZ$3001,1709,$F$1)&amp;"",",",""),"¥",""),"￥","")),0))</f>
        <v/>
      </c>
      <c r="G1710">
        <f>IF(ISNUMBER(B1710),YEAR(B1710),"")</f>
        <v/>
      </c>
      <c r="H1710">
        <f>IF(ISNUMBER(B1710),MONTH(B1710),"")</f>
        <v/>
      </c>
      <c r="I1710">
        <f>IFERROR(IF($B$1=0,"",IF(ISNUMBER(INDEX(貼り付け!$A$1:$BZ$3001,1709,$B$1)),"",SUBSTITUTE(SUBSTITUTE(SUBSTITUTE(SUBSTITUTE(TRIM(LEFT(INDEX(貼り付け!$A$1:$BZ$3001,1709,$B$1)&amp;"",FIND(" ",TRIM(INDEX(貼り付け!$A$1:$BZ$3001,1709,$B$1)&amp;"")&amp;" ")-1)),"/","-"),"年","-"),"月","-"),"日",""))),"")</f>
        <v/>
      </c>
      <c r="J1710">
        <f>IFERROR(MID(I1710,FIND("-",I1710)+1,99),"")</f>
        <v/>
      </c>
    </row>
    <row r="1711">
      <c r="B1711">
        <f>IFERROR(IF($B$1=0,"",IF(INDEX(貼り付け!$A$1:$BZ$3001,1710,$B$1)="","",IF(ISNUMBER(INDEX(貼り付け!$A$1:$BZ$3001,1710,$B$1)),INT(INDEX(貼り付け!$A$1:$BZ$3001,1710,$B$1)),DATE(VALUE(LEFT(I1711,FIND("-",I1711)-1)),VALUE(LEFT(J1711,FIND("-",J1711)-1)),VALUE(MID(J1711,FIND("-",J1711)+1,99)))))),"")</f>
        <v/>
      </c>
      <c r="C1711">
        <f>IF($C$1=0,0,IFERROR(VALUE(SUBSTITUTE(SUBSTITUTE(SUBSTITUTE(INDEX(貼り付け!$A$1:$BZ$3001,1710,$C$1)&amp;"",",",""),"¥",""),"￥","")),0))</f>
        <v/>
      </c>
      <c r="D1711">
        <f>IF($D$1=0,0,IFERROR(VALUE(SUBSTITUTE(SUBSTITUTE(SUBSTITUTE(INDEX(貼り付け!$A$1:$BZ$3001,1710,$D$1)&amp;"",",",""),"¥",""),"￥","")),0))</f>
        <v/>
      </c>
      <c r="E1711">
        <f>IF($E$1=0,0,IFERROR(VALUE(SUBSTITUTE(SUBSTITUTE(SUBSTITUTE(INDEX(貼り付け!$A$1:$BZ$3001,1710,$E$1)&amp;"",",",""),"¥",""),"￥","")),0))</f>
        <v/>
      </c>
      <c r="F1711">
        <f>IF($F$1=0,0,IFERROR(VALUE(SUBSTITUTE(SUBSTITUTE(SUBSTITUTE(INDEX(貼り付け!$A$1:$BZ$3001,1710,$F$1)&amp;"",",",""),"¥",""),"￥","")),0))</f>
        <v/>
      </c>
      <c r="G1711">
        <f>IF(ISNUMBER(B1711),YEAR(B1711),"")</f>
        <v/>
      </c>
      <c r="H1711">
        <f>IF(ISNUMBER(B1711),MONTH(B1711),"")</f>
        <v/>
      </c>
      <c r="I1711">
        <f>IFERROR(IF($B$1=0,"",IF(ISNUMBER(INDEX(貼り付け!$A$1:$BZ$3001,1710,$B$1)),"",SUBSTITUTE(SUBSTITUTE(SUBSTITUTE(SUBSTITUTE(TRIM(LEFT(INDEX(貼り付け!$A$1:$BZ$3001,1710,$B$1)&amp;"",FIND(" ",TRIM(INDEX(貼り付け!$A$1:$BZ$3001,1710,$B$1)&amp;"")&amp;" ")-1)),"/","-"),"年","-"),"月","-"),"日",""))),"")</f>
        <v/>
      </c>
      <c r="J1711">
        <f>IFERROR(MID(I1711,FIND("-",I1711)+1,99),"")</f>
        <v/>
      </c>
    </row>
    <row r="1712">
      <c r="B1712">
        <f>IFERROR(IF($B$1=0,"",IF(INDEX(貼り付け!$A$1:$BZ$3001,1711,$B$1)="","",IF(ISNUMBER(INDEX(貼り付け!$A$1:$BZ$3001,1711,$B$1)),INT(INDEX(貼り付け!$A$1:$BZ$3001,1711,$B$1)),DATE(VALUE(LEFT(I1712,FIND("-",I1712)-1)),VALUE(LEFT(J1712,FIND("-",J1712)-1)),VALUE(MID(J1712,FIND("-",J1712)+1,99)))))),"")</f>
        <v/>
      </c>
      <c r="C1712">
        <f>IF($C$1=0,0,IFERROR(VALUE(SUBSTITUTE(SUBSTITUTE(SUBSTITUTE(INDEX(貼り付け!$A$1:$BZ$3001,1711,$C$1)&amp;"",",",""),"¥",""),"￥","")),0))</f>
        <v/>
      </c>
      <c r="D1712">
        <f>IF($D$1=0,0,IFERROR(VALUE(SUBSTITUTE(SUBSTITUTE(SUBSTITUTE(INDEX(貼り付け!$A$1:$BZ$3001,1711,$D$1)&amp;"",",",""),"¥",""),"￥","")),0))</f>
        <v/>
      </c>
      <c r="E1712">
        <f>IF($E$1=0,0,IFERROR(VALUE(SUBSTITUTE(SUBSTITUTE(SUBSTITUTE(INDEX(貼り付け!$A$1:$BZ$3001,1711,$E$1)&amp;"",",",""),"¥",""),"￥","")),0))</f>
        <v/>
      </c>
      <c r="F1712">
        <f>IF($F$1=0,0,IFERROR(VALUE(SUBSTITUTE(SUBSTITUTE(SUBSTITUTE(INDEX(貼り付け!$A$1:$BZ$3001,1711,$F$1)&amp;"",",",""),"¥",""),"￥","")),0))</f>
        <v/>
      </c>
      <c r="G1712">
        <f>IF(ISNUMBER(B1712),YEAR(B1712),"")</f>
        <v/>
      </c>
      <c r="H1712">
        <f>IF(ISNUMBER(B1712),MONTH(B1712),"")</f>
        <v/>
      </c>
      <c r="I1712">
        <f>IFERROR(IF($B$1=0,"",IF(ISNUMBER(INDEX(貼り付け!$A$1:$BZ$3001,1711,$B$1)),"",SUBSTITUTE(SUBSTITUTE(SUBSTITUTE(SUBSTITUTE(TRIM(LEFT(INDEX(貼り付け!$A$1:$BZ$3001,1711,$B$1)&amp;"",FIND(" ",TRIM(INDEX(貼り付け!$A$1:$BZ$3001,1711,$B$1)&amp;"")&amp;" ")-1)),"/","-"),"年","-"),"月","-"),"日",""))),"")</f>
        <v/>
      </c>
      <c r="J1712">
        <f>IFERROR(MID(I1712,FIND("-",I1712)+1,99),"")</f>
        <v/>
      </c>
    </row>
    <row r="1713">
      <c r="B1713">
        <f>IFERROR(IF($B$1=0,"",IF(INDEX(貼り付け!$A$1:$BZ$3001,1712,$B$1)="","",IF(ISNUMBER(INDEX(貼り付け!$A$1:$BZ$3001,1712,$B$1)),INT(INDEX(貼り付け!$A$1:$BZ$3001,1712,$B$1)),DATE(VALUE(LEFT(I1713,FIND("-",I1713)-1)),VALUE(LEFT(J1713,FIND("-",J1713)-1)),VALUE(MID(J1713,FIND("-",J1713)+1,99)))))),"")</f>
        <v/>
      </c>
      <c r="C1713">
        <f>IF($C$1=0,0,IFERROR(VALUE(SUBSTITUTE(SUBSTITUTE(SUBSTITUTE(INDEX(貼り付け!$A$1:$BZ$3001,1712,$C$1)&amp;"",",",""),"¥",""),"￥","")),0))</f>
        <v/>
      </c>
      <c r="D1713">
        <f>IF($D$1=0,0,IFERROR(VALUE(SUBSTITUTE(SUBSTITUTE(SUBSTITUTE(INDEX(貼り付け!$A$1:$BZ$3001,1712,$D$1)&amp;"",",",""),"¥",""),"￥","")),0))</f>
        <v/>
      </c>
      <c r="E1713">
        <f>IF($E$1=0,0,IFERROR(VALUE(SUBSTITUTE(SUBSTITUTE(SUBSTITUTE(INDEX(貼り付け!$A$1:$BZ$3001,1712,$E$1)&amp;"",",",""),"¥",""),"￥","")),0))</f>
        <v/>
      </c>
      <c r="F1713">
        <f>IF($F$1=0,0,IFERROR(VALUE(SUBSTITUTE(SUBSTITUTE(SUBSTITUTE(INDEX(貼り付け!$A$1:$BZ$3001,1712,$F$1)&amp;"",",",""),"¥",""),"￥","")),0))</f>
        <v/>
      </c>
      <c r="G1713">
        <f>IF(ISNUMBER(B1713),YEAR(B1713),"")</f>
        <v/>
      </c>
      <c r="H1713">
        <f>IF(ISNUMBER(B1713),MONTH(B1713),"")</f>
        <v/>
      </c>
      <c r="I1713">
        <f>IFERROR(IF($B$1=0,"",IF(ISNUMBER(INDEX(貼り付け!$A$1:$BZ$3001,1712,$B$1)),"",SUBSTITUTE(SUBSTITUTE(SUBSTITUTE(SUBSTITUTE(TRIM(LEFT(INDEX(貼り付け!$A$1:$BZ$3001,1712,$B$1)&amp;"",FIND(" ",TRIM(INDEX(貼り付け!$A$1:$BZ$3001,1712,$B$1)&amp;"")&amp;" ")-1)),"/","-"),"年","-"),"月","-"),"日",""))),"")</f>
        <v/>
      </c>
      <c r="J1713">
        <f>IFERROR(MID(I1713,FIND("-",I1713)+1,99),"")</f>
        <v/>
      </c>
    </row>
    <row r="1714">
      <c r="B1714">
        <f>IFERROR(IF($B$1=0,"",IF(INDEX(貼り付け!$A$1:$BZ$3001,1713,$B$1)="","",IF(ISNUMBER(INDEX(貼り付け!$A$1:$BZ$3001,1713,$B$1)),INT(INDEX(貼り付け!$A$1:$BZ$3001,1713,$B$1)),DATE(VALUE(LEFT(I1714,FIND("-",I1714)-1)),VALUE(LEFT(J1714,FIND("-",J1714)-1)),VALUE(MID(J1714,FIND("-",J1714)+1,99)))))),"")</f>
        <v/>
      </c>
      <c r="C1714">
        <f>IF($C$1=0,0,IFERROR(VALUE(SUBSTITUTE(SUBSTITUTE(SUBSTITUTE(INDEX(貼り付け!$A$1:$BZ$3001,1713,$C$1)&amp;"",",",""),"¥",""),"￥","")),0))</f>
        <v/>
      </c>
      <c r="D1714">
        <f>IF($D$1=0,0,IFERROR(VALUE(SUBSTITUTE(SUBSTITUTE(SUBSTITUTE(INDEX(貼り付け!$A$1:$BZ$3001,1713,$D$1)&amp;"",",",""),"¥",""),"￥","")),0))</f>
        <v/>
      </c>
      <c r="E1714">
        <f>IF($E$1=0,0,IFERROR(VALUE(SUBSTITUTE(SUBSTITUTE(SUBSTITUTE(INDEX(貼り付け!$A$1:$BZ$3001,1713,$E$1)&amp;"",",",""),"¥",""),"￥","")),0))</f>
        <v/>
      </c>
      <c r="F1714">
        <f>IF($F$1=0,0,IFERROR(VALUE(SUBSTITUTE(SUBSTITUTE(SUBSTITUTE(INDEX(貼り付け!$A$1:$BZ$3001,1713,$F$1)&amp;"",",",""),"¥",""),"￥","")),0))</f>
        <v/>
      </c>
      <c r="G1714">
        <f>IF(ISNUMBER(B1714),YEAR(B1714),"")</f>
        <v/>
      </c>
      <c r="H1714">
        <f>IF(ISNUMBER(B1714),MONTH(B1714),"")</f>
        <v/>
      </c>
      <c r="I1714">
        <f>IFERROR(IF($B$1=0,"",IF(ISNUMBER(INDEX(貼り付け!$A$1:$BZ$3001,1713,$B$1)),"",SUBSTITUTE(SUBSTITUTE(SUBSTITUTE(SUBSTITUTE(TRIM(LEFT(INDEX(貼り付け!$A$1:$BZ$3001,1713,$B$1)&amp;"",FIND(" ",TRIM(INDEX(貼り付け!$A$1:$BZ$3001,1713,$B$1)&amp;"")&amp;" ")-1)),"/","-"),"年","-"),"月","-"),"日",""))),"")</f>
        <v/>
      </c>
      <c r="J1714">
        <f>IFERROR(MID(I1714,FIND("-",I1714)+1,99),"")</f>
        <v/>
      </c>
    </row>
    <row r="1715">
      <c r="B1715">
        <f>IFERROR(IF($B$1=0,"",IF(INDEX(貼り付け!$A$1:$BZ$3001,1714,$B$1)="","",IF(ISNUMBER(INDEX(貼り付け!$A$1:$BZ$3001,1714,$B$1)),INT(INDEX(貼り付け!$A$1:$BZ$3001,1714,$B$1)),DATE(VALUE(LEFT(I1715,FIND("-",I1715)-1)),VALUE(LEFT(J1715,FIND("-",J1715)-1)),VALUE(MID(J1715,FIND("-",J1715)+1,99)))))),"")</f>
        <v/>
      </c>
      <c r="C1715">
        <f>IF($C$1=0,0,IFERROR(VALUE(SUBSTITUTE(SUBSTITUTE(SUBSTITUTE(INDEX(貼り付け!$A$1:$BZ$3001,1714,$C$1)&amp;"",",",""),"¥",""),"￥","")),0))</f>
        <v/>
      </c>
      <c r="D1715">
        <f>IF($D$1=0,0,IFERROR(VALUE(SUBSTITUTE(SUBSTITUTE(SUBSTITUTE(INDEX(貼り付け!$A$1:$BZ$3001,1714,$D$1)&amp;"",",",""),"¥",""),"￥","")),0))</f>
        <v/>
      </c>
      <c r="E1715">
        <f>IF($E$1=0,0,IFERROR(VALUE(SUBSTITUTE(SUBSTITUTE(SUBSTITUTE(INDEX(貼り付け!$A$1:$BZ$3001,1714,$E$1)&amp;"",",",""),"¥",""),"￥","")),0))</f>
        <v/>
      </c>
      <c r="F1715">
        <f>IF($F$1=0,0,IFERROR(VALUE(SUBSTITUTE(SUBSTITUTE(SUBSTITUTE(INDEX(貼り付け!$A$1:$BZ$3001,1714,$F$1)&amp;"",",",""),"¥",""),"￥","")),0))</f>
        <v/>
      </c>
      <c r="G1715">
        <f>IF(ISNUMBER(B1715),YEAR(B1715),"")</f>
        <v/>
      </c>
      <c r="H1715">
        <f>IF(ISNUMBER(B1715),MONTH(B1715),"")</f>
        <v/>
      </c>
      <c r="I1715">
        <f>IFERROR(IF($B$1=0,"",IF(ISNUMBER(INDEX(貼り付け!$A$1:$BZ$3001,1714,$B$1)),"",SUBSTITUTE(SUBSTITUTE(SUBSTITUTE(SUBSTITUTE(TRIM(LEFT(INDEX(貼り付け!$A$1:$BZ$3001,1714,$B$1)&amp;"",FIND(" ",TRIM(INDEX(貼り付け!$A$1:$BZ$3001,1714,$B$1)&amp;"")&amp;" ")-1)),"/","-"),"年","-"),"月","-"),"日",""))),"")</f>
        <v/>
      </c>
      <c r="J1715">
        <f>IFERROR(MID(I1715,FIND("-",I1715)+1,99),"")</f>
        <v/>
      </c>
    </row>
    <row r="1716">
      <c r="B1716">
        <f>IFERROR(IF($B$1=0,"",IF(INDEX(貼り付け!$A$1:$BZ$3001,1715,$B$1)="","",IF(ISNUMBER(INDEX(貼り付け!$A$1:$BZ$3001,1715,$B$1)),INT(INDEX(貼り付け!$A$1:$BZ$3001,1715,$B$1)),DATE(VALUE(LEFT(I1716,FIND("-",I1716)-1)),VALUE(LEFT(J1716,FIND("-",J1716)-1)),VALUE(MID(J1716,FIND("-",J1716)+1,99)))))),"")</f>
        <v/>
      </c>
      <c r="C1716">
        <f>IF($C$1=0,0,IFERROR(VALUE(SUBSTITUTE(SUBSTITUTE(SUBSTITUTE(INDEX(貼り付け!$A$1:$BZ$3001,1715,$C$1)&amp;"",",",""),"¥",""),"￥","")),0))</f>
        <v/>
      </c>
      <c r="D1716">
        <f>IF($D$1=0,0,IFERROR(VALUE(SUBSTITUTE(SUBSTITUTE(SUBSTITUTE(INDEX(貼り付け!$A$1:$BZ$3001,1715,$D$1)&amp;"",",",""),"¥",""),"￥","")),0))</f>
        <v/>
      </c>
      <c r="E1716">
        <f>IF($E$1=0,0,IFERROR(VALUE(SUBSTITUTE(SUBSTITUTE(SUBSTITUTE(INDEX(貼り付け!$A$1:$BZ$3001,1715,$E$1)&amp;"",",",""),"¥",""),"￥","")),0))</f>
        <v/>
      </c>
      <c r="F1716">
        <f>IF($F$1=0,0,IFERROR(VALUE(SUBSTITUTE(SUBSTITUTE(SUBSTITUTE(INDEX(貼り付け!$A$1:$BZ$3001,1715,$F$1)&amp;"",",",""),"¥",""),"￥","")),0))</f>
        <v/>
      </c>
      <c r="G1716">
        <f>IF(ISNUMBER(B1716),YEAR(B1716),"")</f>
        <v/>
      </c>
      <c r="H1716">
        <f>IF(ISNUMBER(B1716),MONTH(B1716),"")</f>
        <v/>
      </c>
      <c r="I1716">
        <f>IFERROR(IF($B$1=0,"",IF(ISNUMBER(INDEX(貼り付け!$A$1:$BZ$3001,1715,$B$1)),"",SUBSTITUTE(SUBSTITUTE(SUBSTITUTE(SUBSTITUTE(TRIM(LEFT(INDEX(貼り付け!$A$1:$BZ$3001,1715,$B$1)&amp;"",FIND(" ",TRIM(INDEX(貼り付け!$A$1:$BZ$3001,1715,$B$1)&amp;"")&amp;" ")-1)),"/","-"),"年","-"),"月","-"),"日",""))),"")</f>
        <v/>
      </c>
      <c r="J1716">
        <f>IFERROR(MID(I1716,FIND("-",I1716)+1,99),"")</f>
        <v/>
      </c>
    </row>
    <row r="1717">
      <c r="B1717">
        <f>IFERROR(IF($B$1=0,"",IF(INDEX(貼り付け!$A$1:$BZ$3001,1716,$B$1)="","",IF(ISNUMBER(INDEX(貼り付け!$A$1:$BZ$3001,1716,$B$1)),INT(INDEX(貼り付け!$A$1:$BZ$3001,1716,$B$1)),DATE(VALUE(LEFT(I1717,FIND("-",I1717)-1)),VALUE(LEFT(J1717,FIND("-",J1717)-1)),VALUE(MID(J1717,FIND("-",J1717)+1,99)))))),"")</f>
        <v/>
      </c>
      <c r="C1717">
        <f>IF($C$1=0,0,IFERROR(VALUE(SUBSTITUTE(SUBSTITUTE(SUBSTITUTE(INDEX(貼り付け!$A$1:$BZ$3001,1716,$C$1)&amp;"",",",""),"¥",""),"￥","")),0))</f>
        <v/>
      </c>
      <c r="D1717">
        <f>IF($D$1=0,0,IFERROR(VALUE(SUBSTITUTE(SUBSTITUTE(SUBSTITUTE(INDEX(貼り付け!$A$1:$BZ$3001,1716,$D$1)&amp;"",",",""),"¥",""),"￥","")),0))</f>
        <v/>
      </c>
      <c r="E1717">
        <f>IF($E$1=0,0,IFERROR(VALUE(SUBSTITUTE(SUBSTITUTE(SUBSTITUTE(INDEX(貼り付け!$A$1:$BZ$3001,1716,$E$1)&amp;"",",",""),"¥",""),"￥","")),0))</f>
        <v/>
      </c>
      <c r="F1717">
        <f>IF($F$1=0,0,IFERROR(VALUE(SUBSTITUTE(SUBSTITUTE(SUBSTITUTE(INDEX(貼り付け!$A$1:$BZ$3001,1716,$F$1)&amp;"",",",""),"¥",""),"￥","")),0))</f>
        <v/>
      </c>
      <c r="G1717">
        <f>IF(ISNUMBER(B1717),YEAR(B1717),"")</f>
        <v/>
      </c>
      <c r="H1717">
        <f>IF(ISNUMBER(B1717),MONTH(B1717),"")</f>
        <v/>
      </c>
      <c r="I1717">
        <f>IFERROR(IF($B$1=0,"",IF(ISNUMBER(INDEX(貼り付け!$A$1:$BZ$3001,1716,$B$1)),"",SUBSTITUTE(SUBSTITUTE(SUBSTITUTE(SUBSTITUTE(TRIM(LEFT(INDEX(貼り付け!$A$1:$BZ$3001,1716,$B$1)&amp;"",FIND(" ",TRIM(INDEX(貼り付け!$A$1:$BZ$3001,1716,$B$1)&amp;"")&amp;" ")-1)),"/","-"),"年","-"),"月","-"),"日",""))),"")</f>
        <v/>
      </c>
      <c r="J1717">
        <f>IFERROR(MID(I1717,FIND("-",I1717)+1,99),"")</f>
        <v/>
      </c>
    </row>
    <row r="1718">
      <c r="B1718">
        <f>IFERROR(IF($B$1=0,"",IF(INDEX(貼り付け!$A$1:$BZ$3001,1717,$B$1)="","",IF(ISNUMBER(INDEX(貼り付け!$A$1:$BZ$3001,1717,$B$1)),INT(INDEX(貼り付け!$A$1:$BZ$3001,1717,$B$1)),DATE(VALUE(LEFT(I1718,FIND("-",I1718)-1)),VALUE(LEFT(J1718,FIND("-",J1718)-1)),VALUE(MID(J1718,FIND("-",J1718)+1,99)))))),"")</f>
        <v/>
      </c>
      <c r="C1718">
        <f>IF($C$1=0,0,IFERROR(VALUE(SUBSTITUTE(SUBSTITUTE(SUBSTITUTE(INDEX(貼り付け!$A$1:$BZ$3001,1717,$C$1)&amp;"",",",""),"¥",""),"￥","")),0))</f>
        <v/>
      </c>
      <c r="D1718">
        <f>IF($D$1=0,0,IFERROR(VALUE(SUBSTITUTE(SUBSTITUTE(SUBSTITUTE(INDEX(貼り付け!$A$1:$BZ$3001,1717,$D$1)&amp;"",",",""),"¥",""),"￥","")),0))</f>
        <v/>
      </c>
      <c r="E1718">
        <f>IF($E$1=0,0,IFERROR(VALUE(SUBSTITUTE(SUBSTITUTE(SUBSTITUTE(INDEX(貼り付け!$A$1:$BZ$3001,1717,$E$1)&amp;"",",",""),"¥",""),"￥","")),0))</f>
        <v/>
      </c>
      <c r="F1718">
        <f>IF($F$1=0,0,IFERROR(VALUE(SUBSTITUTE(SUBSTITUTE(SUBSTITUTE(INDEX(貼り付け!$A$1:$BZ$3001,1717,$F$1)&amp;"",",",""),"¥",""),"￥","")),0))</f>
        <v/>
      </c>
      <c r="G1718">
        <f>IF(ISNUMBER(B1718),YEAR(B1718),"")</f>
        <v/>
      </c>
      <c r="H1718">
        <f>IF(ISNUMBER(B1718),MONTH(B1718),"")</f>
        <v/>
      </c>
      <c r="I1718">
        <f>IFERROR(IF($B$1=0,"",IF(ISNUMBER(INDEX(貼り付け!$A$1:$BZ$3001,1717,$B$1)),"",SUBSTITUTE(SUBSTITUTE(SUBSTITUTE(SUBSTITUTE(TRIM(LEFT(INDEX(貼り付け!$A$1:$BZ$3001,1717,$B$1)&amp;"",FIND(" ",TRIM(INDEX(貼り付け!$A$1:$BZ$3001,1717,$B$1)&amp;"")&amp;" ")-1)),"/","-"),"年","-"),"月","-"),"日",""))),"")</f>
        <v/>
      </c>
      <c r="J1718">
        <f>IFERROR(MID(I1718,FIND("-",I1718)+1,99),"")</f>
        <v/>
      </c>
    </row>
    <row r="1719">
      <c r="B1719">
        <f>IFERROR(IF($B$1=0,"",IF(INDEX(貼り付け!$A$1:$BZ$3001,1718,$B$1)="","",IF(ISNUMBER(INDEX(貼り付け!$A$1:$BZ$3001,1718,$B$1)),INT(INDEX(貼り付け!$A$1:$BZ$3001,1718,$B$1)),DATE(VALUE(LEFT(I1719,FIND("-",I1719)-1)),VALUE(LEFT(J1719,FIND("-",J1719)-1)),VALUE(MID(J1719,FIND("-",J1719)+1,99)))))),"")</f>
        <v/>
      </c>
      <c r="C1719">
        <f>IF($C$1=0,0,IFERROR(VALUE(SUBSTITUTE(SUBSTITUTE(SUBSTITUTE(INDEX(貼り付け!$A$1:$BZ$3001,1718,$C$1)&amp;"",",",""),"¥",""),"￥","")),0))</f>
        <v/>
      </c>
      <c r="D1719">
        <f>IF($D$1=0,0,IFERROR(VALUE(SUBSTITUTE(SUBSTITUTE(SUBSTITUTE(INDEX(貼り付け!$A$1:$BZ$3001,1718,$D$1)&amp;"",",",""),"¥",""),"￥","")),0))</f>
        <v/>
      </c>
      <c r="E1719">
        <f>IF($E$1=0,0,IFERROR(VALUE(SUBSTITUTE(SUBSTITUTE(SUBSTITUTE(INDEX(貼り付け!$A$1:$BZ$3001,1718,$E$1)&amp;"",",",""),"¥",""),"￥","")),0))</f>
        <v/>
      </c>
      <c r="F1719">
        <f>IF($F$1=0,0,IFERROR(VALUE(SUBSTITUTE(SUBSTITUTE(SUBSTITUTE(INDEX(貼り付け!$A$1:$BZ$3001,1718,$F$1)&amp;"",",",""),"¥",""),"￥","")),0))</f>
        <v/>
      </c>
      <c r="G1719">
        <f>IF(ISNUMBER(B1719),YEAR(B1719),"")</f>
        <v/>
      </c>
      <c r="H1719">
        <f>IF(ISNUMBER(B1719),MONTH(B1719),"")</f>
        <v/>
      </c>
      <c r="I1719">
        <f>IFERROR(IF($B$1=0,"",IF(ISNUMBER(INDEX(貼り付け!$A$1:$BZ$3001,1718,$B$1)),"",SUBSTITUTE(SUBSTITUTE(SUBSTITUTE(SUBSTITUTE(TRIM(LEFT(INDEX(貼り付け!$A$1:$BZ$3001,1718,$B$1)&amp;"",FIND(" ",TRIM(INDEX(貼り付け!$A$1:$BZ$3001,1718,$B$1)&amp;"")&amp;" ")-1)),"/","-"),"年","-"),"月","-"),"日",""))),"")</f>
        <v/>
      </c>
      <c r="J1719">
        <f>IFERROR(MID(I1719,FIND("-",I1719)+1,99),"")</f>
        <v/>
      </c>
    </row>
    <row r="1720">
      <c r="B1720">
        <f>IFERROR(IF($B$1=0,"",IF(INDEX(貼り付け!$A$1:$BZ$3001,1719,$B$1)="","",IF(ISNUMBER(INDEX(貼り付け!$A$1:$BZ$3001,1719,$B$1)),INT(INDEX(貼り付け!$A$1:$BZ$3001,1719,$B$1)),DATE(VALUE(LEFT(I1720,FIND("-",I1720)-1)),VALUE(LEFT(J1720,FIND("-",J1720)-1)),VALUE(MID(J1720,FIND("-",J1720)+1,99)))))),"")</f>
        <v/>
      </c>
      <c r="C1720">
        <f>IF($C$1=0,0,IFERROR(VALUE(SUBSTITUTE(SUBSTITUTE(SUBSTITUTE(INDEX(貼り付け!$A$1:$BZ$3001,1719,$C$1)&amp;"",",",""),"¥",""),"￥","")),0))</f>
        <v/>
      </c>
      <c r="D1720">
        <f>IF($D$1=0,0,IFERROR(VALUE(SUBSTITUTE(SUBSTITUTE(SUBSTITUTE(INDEX(貼り付け!$A$1:$BZ$3001,1719,$D$1)&amp;"",",",""),"¥",""),"￥","")),0))</f>
        <v/>
      </c>
      <c r="E1720">
        <f>IF($E$1=0,0,IFERROR(VALUE(SUBSTITUTE(SUBSTITUTE(SUBSTITUTE(INDEX(貼り付け!$A$1:$BZ$3001,1719,$E$1)&amp;"",",",""),"¥",""),"￥","")),0))</f>
        <v/>
      </c>
      <c r="F1720">
        <f>IF($F$1=0,0,IFERROR(VALUE(SUBSTITUTE(SUBSTITUTE(SUBSTITUTE(INDEX(貼り付け!$A$1:$BZ$3001,1719,$F$1)&amp;"",",",""),"¥",""),"￥","")),0))</f>
        <v/>
      </c>
      <c r="G1720">
        <f>IF(ISNUMBER(B1720),YEAR(B1720),"")</f>
        <v/>
      </c>
      <c r="H1720">
        <f>IF(ISNUMBER(B1720),MONTH(B1720),"")</f>
        <v/>
      </c>
      <c r="I1720">
        <f>IFERROR(IF($B$1=0,"",IF(ISNUMBER(INDEX(貼り付け!$A$1:$BZ$3001,1719,$B$1)),"",SUBSTITUTE(SUBSTITUTE(SUBSTITUTE(SUBSTITUTE(TRIM(LEFT(INDEX(貼り付け!$A$1:$BZ$3001,1719,$B$1)&amp;"",FIND(" ",TRIM(INDEX(貼り付け!$A$1:$BZ$3001,1719,$B$1)&amp;"")&amp;" ")-1)),"/","-"),"年","-"),"月","-"),"日",""))),"")</f>
        <v/>
      </c>
      <c r="J1720">
        <f>IFERROR(MID(I1720,FIND("-",I1720)+1,99),"")</f>
        <v/>
      </c>
    </row>
    <row r="1721">
      <c r="B1721">
        <f>IFERROR(IF($B$1=0,"",IF(INDEX(貼り付け!$A$1:$BZ$3001,1720,$B$1)="","",IF(ISNUMBER(INDEX(貼り付け!$A$1:$BZ$3001,1720,$B$1)),INT(INDEX(貼り付け!$A$1:$BZ$3001,1720,$B$1)),DATE(VALUE(LEFT(I1721,FIND("-",I1721)-1)),VALUE(LEFT(J1721,FIND("-",J1721)-1)),VALUE(MID(J1721,FIND("-",J1721)+1,99)))))),"")</f>
        <v/>
      </c>
      <c r="C1721">
        <f>IF($C$1=0,0,IFERROR(VALUE(SUBSTITUTE(SUBSTITUTE(SUBSTITUTE(INDEX(貼り付け!$A$1:$BZ$3001,1720,$C$1)&amp;"",",",""),"¥",""),"￥","")),0))</f>
        <v/>
      </c>
      <c r="D1721">
        <f>IF($D$1=0,0,IFERROR(VALUE(SUBSTITUTE(SUBSTITUTE(SUBSTITUTE(INDEX(貼り付け!$A$1:$BZ$3001,1720,$D$1)&amp;"",",",""),"¥",""),"￥","")),0))</f>
        <v/>
      </c>
      <c r="E1721">
        <f>IF($E$1=0,0,IFERROR(VALUE(SUBSTITUTE(SUBSTITUTE(SUBSTITUTE(INDEX(貼り付け!$A$1:$BZ$3001,1720,$E$1)&amp;"",",",""),"¥",""),"￥","")),0))</f>
        <v/>
      </c>
      <c r="F1721">
        <f>IF($F$1=0,0,IFERROR(VALUE(SUBSTITUTE(SUBSTITUTE(SUBSTITUTE(INDEX(貼り付け!$A$1:$BZ$3001,1720,$F$1)&amp;"",",",""),"¥",""),"￥","")),0))</f>
        <v/>
      </c>
      <c r="G1721">
        <f>IF(ISNUMBER(B1721),YEAR(B1721),"")</f>
        <v/>
      </c>
      <c r="H1721">
        <f>IF(ISNUMBER(B1721),MONTH(B1721),"")</f>
        <v/>
      </c>
      <c r="I1721">
        <f>IFERROR(IF($B$1=0,"",IF(ISNUMBER(INDEX(貼り付け!$A$1:$BZ$3001,1720,$B$1)),"",SUBSTITUTE(SUBSTITUTE(SUBSTITUTE(SUBSTITUTE(TRIM(LEFT(INDEX(貼り付け!$A$1:$BZ$3001,1720,$B$1)&amp;"",FIND(" ",TRIM(INDEX(貼り付け!$A$1:$BZ$3001,1720,$B$1)&amp;"")&amp;" ")-1)),"/","-"),"年","-"),"月","-"),"日",""))),"")</f>
        <v/>
      </c>
      <c r="J1721">
        <f>IFERROR(MID(I1721,FIND("-",I1721)+1,99),"")</f>
        <v/>
      </c>
    </row>
    <row r="1722">
      <c r="B1722">
        <f>IFERROR(IF($B$1=0,"",IF(INDEX(貼り付け!$A$1:$BZ$3001,1721,$B$1)="","",IF(ISNUMBER(INDEX(貼り付け!$A$1:$BZ$3001,1721,$B$1)),INT(INDEX(貼り付け!$A$1:$BZ$3001,1721,$B$1)),DATE(VALUE(LEFT(I1722,FIND("-",I1722)-1)),VALUE(LEFT(J1722,FIND("-",J1722)-1)),VALUE(MID(J1722,FIND("-",J1722)+1,99)))))),"")</f>
        <v/>
      </c>
      <c r="C1722">
        <f>IF($C$1=0,0,IFERROR(VALUE(SUBSTITUTE(SUBSTITUTE(SUBSTITUTE(INDEX(貼り付け!$A$1:$BZ$3001,1721,$C$1)&amp;"",",",""),"¥",""),"￥","")),0))</f>
        <v/>
      </c>
      <c r="D1722">
        <f>IF($D$1=0,0,IFERROR(VALUE(SUBSTITUTE(SUBSTITUTE(SUBSTITUTE(INDEX(貼り付け!$A$1:$BZ$3001,1721,$D$1)&amp;"",",",""),"¥",""),"￥","")),0))</f>
        <v/>
      </c>
      <c r="E1722">
        <f>IF($E$1=0,0,IFERROR(VALUE(SUBSTITUTE(SUBSTITUTE(SUBSTITUTE(INDEX(貼り付け!$A$1:$BZ$3001,1721,$E$1)&amp;"",",",""),"¥",""),"￥","")),0))</f>
        <v/>
      </c>
      <c r="F1722">
        <f>IF($F$1=0,0,IFERROR(VALUE(SUBSTITUTE(SUBSTITUTE(SUBSTITUTE(INDEX(貼り付け!$A$1:$BZ$3001,1721,$F$1)&amp;"",",",""),"¥",""),"￥","")),0))</f>
        <v/>
      </c>
      <c r="G1722">
        <f>IF(ISNUMBER(B1722),YEAR(B1722),"")</f>
        <v/>
      </c>
      <c r="H1722">
        <f>IF(ISNUMBER(B1722),MONTH(B1722),"")</f>
        <v/>
      </c>
      <c r="I1722">
        <f>IFERROR(IF($B$1=0,"",IF(ISNUMBER(INDEX(貼り付け!$A$1:$BZ$3001,1721,$B$1)),"",SUBSTITUTE(SUBSTITUTE(SUBSTITUTE(SUBSTITUTE(TRIM(LEFT(INDEX(貼り付け!$A$1:$BZ$3001,1721,$B$1)&amp;"",FIND(" ",TRIM(INDEX(貼り付け!$A$1:$BZ$3001,1721,$B$1)&amp;"")&amp;" ")-1)),"/","-"),"年","-"),"月","-"),"日",""))),"")</f>
        <v/>
      </c>
      <c r="J1722">
        <f>IFERROR(MID(I1722,FIND("-",I1722)+1,99),"")</f>
        <v/>
      </c>
    </row>
    <row r="1723">
      <c r="B1723">
        <f>IFERROR(IF($B$1=0,"",IF(INDEX(貼り付け!$A$1:$BZ$3001,1722,$B$1)="","",IF(ISNUMBER(INDEX(貼り付け!$A$1:$BZ$3001,1722,$B$1)),INT(INDEX(貼り付け!$A$1:$BZ$3001,1722,$B$1)),DATE(VALUE(LEFT(I1723,FIND("-",I1723)-1)),VALUE(LEFT(J1723,FIND("-",J1723)-1)),VALUE(MID(J1723,FIND("-",J1723)+1,99)))))),"")</f>
        <v/>
      </c>
      <c r="C1723">
        <f>IF($C$1=0,0,IFERROR(VALUE(SUBSTITUTE(SUBSTITUTE(SUBSTITUTE(INDEX(貼り付け!$A$1:$BZ$3001,1722,$C$1)&amp;"",",",""),"¥",""),"￥","")),0))</f>
        <v/>
      </c>
      <c r="D1723">
        <f>IF($D$1=0,0,IFERROR(VALUE(SUBSTITUTE(SUBSTITUTE(SUBSTITUTE(INDEX(貼り付け!$A$1:$BZ$3001,1722,$D$1)&amp;"",",",""),"¥",""),"￥","")),0))</f>
        <v/>
      </c>
      <c r="E1723">
        <f>IF($E$1=0,0,IFERROR(VALUE(SUBSTITUTE(SUBSTITUTE(SUBSTITUTE(INDEX(貼り付け!$A$1:$BZ$3001,1722,$E$1)&amp;"",",",""),"¥",""),"￥","")),0))</f>
        <v/>
      </c>
      <c r="F1723">
        <f>IF($F$1=0,0,IFERROR(VALUE(SUBSTITUTE(SUBSTITUTE(SUBSTITUTE(INDEX(貼り付け!$A$1:$BZ$3001,1722,$F$1)&amp;"",",",""),"¥",""),"￥","")),0))</f>
        <v/>
      </c>
      <c r="G1723">
        <f>IF(ISNUMBER(B1723),YEAR(B1723),"")</f>
        <v/>
      </c>
      <c r="H1723">
        <f>IF(ISNUMBER(B1723),MONTH(B1723),"")</f>
        <v/>
      </c>
      <c r="I1723">
        <f>IFERROR(IF($B$1=0,"",IF(ISNUMBER(INDEX(貼り付け!$A$1:$BZ$3001,1722,$B$1)),"",SUBSTITUTE(SUBSTITUTE(SUBSTITUTE(SUBSTITUTE(TRIM(LEFT(INDEX(貼り付け!$A$1:$BZ$3001,1722,$B$1)&amp;"",FIND(" ",TRIM(INDEX(貼り付け!$A$1:$BZ$3001,1722,$B$1)&amp;"")&amp;" ")-1)),"/","-"),"年","-"),"月","-"),"日",""))),"")</f>
        <v/>
      </c>
      <c r="J1723">
        <f>IFERROR(MID(I1723,FIND("-",I1723)+1,99),"")</f>
        <v/>
      </c>
    </row>
    <row r="1724">
      <c r="B1724">
        <f>IFERROR(IF($B$1=0,"",IF(INDEX(貼り付け!$A$1:$BZ$3001,1723,$B$1)="","",IF(ISNUMBER(INDEX(貼り付け!$A$1:$BZ$3001,1723,$B$1)),INT(INDEX(貼り付け!$A$1:$BZ$3001,1723,$B$1)),DATE(VALUE(LEFT(I1724,FIND("-",I1724)-1)),VALUE(LEFT(J1724,FIND("-",J1724)-1)),VALUE(MID(J1724,FIND("-",J1724)+1,99)))))),"")</f>
        <v/>
      </c>
      <c r="C1724">
        <f>IF($C$1=0,0,IFERROR(VALUE(SUBSTITUTE(SUBSTITUTE(SUBSTITUTE(INDEX(貼り付け!$A$1:$BZ$3001,1723,$C$1)&amp;"",",",""),"¥",""),"￥","")),0))</f>
        <v/>
      </c>
      <c r="D1724">
        <f>IF($D$1=0,0,IFERROR(VALUE(SUBSTITUTE(SUBSTITUTE(SUBSTITUTE(INDEX(貼り付け!$A$1:$BZ$3001,1723,$D$1)&amp;"",",",""),"¥",""),"￥","")),0))</f>
        <v/>
      </c>
      <c r="E1724">
        <f>IF($E$1=0,0,IFERROR(VALUE(SUBSTITUTE(SUBSTITUTE(SUBSTITUTE(INDEX(貼り付け!$A$1:$BZ$3001,1723,$E$1)&amp;"",",",""),"¥",""),"￥","")),0))</f>
        <v/>
      </c>
      <c r="F1724">
        <f>IF($F$1=0,0,IFERROR(VALUE(SUBSTITUTE(SUBSTITUTE(SUBSTITUTE(INDEX(貼り付け!$A$1:$BZ$3001,1723,$F$1)&amp;"",",",""),"¥",""),"￥","")),0))</f>
        <v/>
      </c>
      <c r="G1724">
        <f>IF(ISNUMBER(B1724),YEAR(B1724),"")</f>
        <v/>
      </c>
      <c r="H1724">
        <f>IF(ISNUMBER(B1724),MONTH(B1724),"")</f>
        <v/>
      </c>
      <c r="I1724">
        <f>IFERROR(IF($B$1=0,"",IF(ISNUMBER(INDEX(貼り付け!$A$1:$BZ$3001,1723,$B$1)),"",SUBSTITUTE(SUBSTITUTE(SUBSTITUTE(SUBSTITUTE(TRIM(LEFT(INDEX(貼り付け!$A$1:$BZ$3001,1723,$B$1)&amp;"",FIND(" ",TRIM(INDEX(貼り付け!$A$1:$BZ$3001,1723,$B$1)&amp;"")&amp;" ")-1)),"/","-"),"年","-"),"月","-"),"日",""))),"")</f>
        <v/>
      </c>
      <c r="J1724">
        <f>IFERROR(MID(I1724,FIND("-",I1724)+1,99),"")</f>
        <v/>
      </c>
    </row>
    <row r="1725">
      <c r="B1725">
        <f>IFERROR(IF($B$1=0,"",IF(INDEX(貼り付け!$A$1:$BZ$3001,1724,$B$1)="","",IF(ISNUMBER(INDEX(貼り付け!$A$1:$BZ$3001,1724,$B$1)),INT(INDEX(貼り付け!$A$1:$BZ$3001,1724,$B$1)),DATE(VALUE(LEFT(I1725,FIND("-",I1725)-1)),VALUE(LEFT(J1725,FIND("-",J1725)-1)),VALUE(MID(J1725,FIND("-",J1725)+1,99)))))),"")</f>
        <v/>
      </c>
      <c r="C1725">
        <f>IF($C$1=0,0,IFERROR(VALUE(SUBSTITUTE(SUBSTITUTE(SUBSTITUTE(INDEX(貼り付け!$A$1:$BZ$3001,1724,$C$1)&amp;"",",",""),"¥",""),"￥","")),0))</f>
        <v/>
      </c>
      <c r="D1725">
        <f>IF($D$1=0,0,IFERROR(VALUE(SUBSTITUTE(SUBSTITUTE(SUBSTITUTE(INDEX(貼り付け!$A$1:$BZ$3001,1724,$D$1)&amp;"",",",""),"¥",""),"￥","")),0))</f>
        <v/>
      </c>
      <c r="E1725">
        <f>IF($E$1=0,0,IFERROR(VALUE(SUBSTITUTE(SUBSTITUTE(SUBSTITUTE(INDEX(貼り付け!$A$1:$BZ$3001,1724,$E$1)&amp;"",",",""),"¥",""),"￥","")),0))</f>
        <v/>
      </c>
      <c r="F1725">
        <f>IF($F$1=0,0,IFERROR(VALUE(SUBSTITUTE(SUBSTITUTE(SUBSTITUTE(INDEX(貼り付け!$A$1:$BZ$3001,1724,$F$1)&amp;"",",",""),"¥",""),"￥","")),0))</f>
        <v/>
      </c>
      <c r="G1725">
        <f>IF(ISNUMBER(B1725),YEAR(B1725),"")</f>
        <v/>
      </c>
      <c r="H1725">
        <f>IF(ISNUMBER(B1725),MONTH(B1725),"")</f>
        <v/>
      </c>
      <c r="I1725">
        <f>IFERROR(IF($B$1=0,"",IF(ISNUMBER(INDEX(貼り付け!$A$1:$BZ$3001,1724,$B$1)),"",SUBSTITUTE(SUBSTITUTE(SUBSTITUTE(SUBSTITUTE(TRIM(LEFT(INDEX(貼り付け!$A$1:$BZ$3001,1724,$B$1)&amp;"",FIND(" ",TRIM(INDEX(貼り付け!$A$1:$BZ$3001,1724,$B$1)&amp;"")&amp;" ")-1)),"/","-"),"年","-"),"月","-"),"日",""))),"")</f>
        <v/>
      </c>
      <c r="J1725">
        <f>IFERROR(MID(I1725,FIND("-",I1725)+1,99),"")</f>
        <v/>
      </c>
    </row>
    <row r="1726">
      <c r="B1726">
        <f>IFERROR(IF($B$1=0,"",IF(INDEX(貼り付け!$A$1:$BZ$3001,1725,$B$1)="","",IF(ISNUMBER(INDEX(貼り付け!$A$1:$BZ$3001,1725,$B$1)),INT(INDEX(貼り付け!$A$1:$BZ$3001,1725,$B$1)),DATE(VALUE(LEFT(I1726,FIND("-",I1726)-1)),VALUE(LEFT(J1726,FIND("-",J1726)-1)),VALUE(MID(J1726,FIND("-",J1726)+1,99)))))),"")</f>
        <v/>
      </c>
      <c r="C1726">
        <f>IF($C$1=0,0,IFERROR(VALUE(SUBSTITUTE(SUBSTITUTE(SUBSTITUTE(INDEX(貼り付け!$A$1:$BZ$3001,1725,$C$1)&amp;"",",",""),"¥",""),"￥","")),0))</f>
        <v/>
      </c>
      <c r="D1726">
        <f>IF($D$1=0,0,IFERROR(VALUE(SUBSTITUTE(SUBSTITUTE(SUBSTITUTE(INDEX(貼り付け!$A$1:$BZ$3001,1725,$D$1)&amp;"",",",""),"¥",""),"￥","")),0))</f>
        <v/>
      </c>
      <c r="E1726">
        <f>IF($E$1=0,0,IFERROR(VALUE(SUBSTITUTE(SUBSTITUTE(SUBSTITUTE(INDEX(貼り付け!$A$1:$BZ$3001,1725,$E$1)&amp;"",",",""),"¥",""),"￥","")),0))</f>
        <v/>
      </c>
      <c r="F1726">
        <f>IF($F$1=0,0,IFERROR(VALUE(SUBSTITUTE(SUBSTITUTE(SUBSTITUTE(INDEX(貼り付け!$A$1:$BZ$3001,1725,$F$1)&amp;"",",",""),"¥",""),"￥","")),0))</f>
        <v/>
      </c>
      <c r="G1726">
        <f>IF(ISNUMBER(B1726),YEAR(B1726),"")</f>
        <v/>
      </c>
      <c r="H1726">
        <f>IF(ISNUMBER(B1726),MONTH(B1726),"")</f>
        <v/>
      </c>
      <c r="I1726">
        <f>IFERROR(IF($B$1=0,"",IF(ISNUMBER(INDEX(貼り付け!$A$1:$BZ$3001,1725,$B$1)),"",SUBSTITUTE(SUBSTITUTE(SUBSTITUTE(SUBSTITUTE(TRIM(LEFT(INDEX(貼り付け!$A$1:$BZ$3001,1725,$B$1)&amp;"",FIND(" ",TRIM(INDEX(貼り付け!$A$1:$BZ$3001,1725,$B$1)&amp;"")&amp;" ")-1)),"/","-"),"年","-"),"月","-"),"日",""))),"")</f>
        <v/>
      </c>
      <c r="J1726">
        <f>IFERROR(MID(I1726,FIND("-",I1726)+1,99),"")</f>
        <v/>
      </c>
    </row>
    <row r="1727">
      <c r="B1727">
        <f>IFERROR(IF($B$1=0,"",IF(INDEX(貼り付け!$A$1:$BZ$3001,1726,$B$1)="","",IF(ISNUMBER(INDEX(貼り付け!$A$1:$BZ$3001,1726,$B$1)),INT(INDEX(貼り付け!$A$1:$BZ$3001,1726,$B$1)),DATE(VALUE(LEFT(I1727,FIND("-",I1727)-1)),VALUE(LEFT(J1727,FIND("-",J1727)-1)),VALUE(MID(J1727,FIND("-",J1727)+1,99)))))),"")</f>
        <v/>
      </c>
      <c r="C1727">
        <f>IF($C$1=0,0,IFERROR(VALUE(SUBSTITUTE(SUBSTITUTE(SUBSTITUTE(INDEX(貼り付け!$A$1:$BZ$3001,1726,$C$1)&amp;"",",",""),"¥",""),"￥","")),0))</f>
        <v/>
      </c>
      <c r="D1727">
        <f>IF($D$1=0,0,IFERROR(VALUE(SUBSTITUTE(SUBSTITUTE(SUBSTITUTE(INDEX(貼り付け!$A$1:$BZ$3001,1726,$D$1)&amp;"",",",""),"¥",""),"￥","")),0))</f>
        <v/>
      </c>
      <c r="E1727">
        <f>IF($E$1=0,0,IFERROR(VALUE(SUBSTITUTE(SUBSTITUTE(SUBSTITUTE(INDEX(貼り付け!$A$1:$BZ$3001,1726,$E$1)&amp;"",",",""),"¥",""),"￥","")),0))</f>
        <v/>
      </c>
      <c r="F1727">
        <f>IF($F$1=0,0,IFERROR(VALUE(SUBSTITUTE(SUBSTITUTE(SUBSTITUTE(INDEX(貼り付け!$A$1:$BZ$3001,1726,$F$1)&amp;"",",",""),"¥",""),"￥","")),0))</f>
        <v/>
      </c>
      <c r="G1727">
        <f>IF(ISNUMBER(B1727),YEAR(B1727),"")</f>
        <v/>
      </c>
      <c r="H1727">
        <f>IF(ISNUMBER(B1727),MONTH(B1727),"")</f>
        <v/>
      </c>
      <c r="I1727">
        <f>IFERROR(IF($B$1=0,"",IF(ISNUMBER(INDEX(貼り付け!$A$1:$BZ$3001,1726,$B$1)),"",SUBSTITUTE(SUBSTITUTE(SUBSTITUTE(SUBSTITUTE(TRIM(LEFT(INDEX(貼り付け!$A$1:$BZ$3001,1726,$B$1)&amp;"",FIND(" ",TRIM(INDEX(貼り付け!$A$1:$BZ$3001,1726,$B$1)&amp;"")&amp;" ")-1)),"/","-"),"年","-"),"月","-"),"日",""))),"")</f>
        <v/>
      </c>
      <c r="J1727">
        <f>IFERROR(MID(I1727,FIND("-",I1727)+1,99),"")</f>
        <v/>
      </c>
    </row>
    <row r="1728">
      <c r="B1728">
        <f>IFERROR(IF($B$1=0,"",IF(INDEX(貼り付け!$A$1:$BZ$3001,1727,$B$1)="","",IF(ISNUMBER(INDEX(貼り付け!$A$1:$BZ$3001,1727,$B$1)),INT(INDEX(貼り付け!$A$1:$BZ$3001,1727,$B$1)),DATE(VALUE(LEFT(I1728,FIND("-",I1728)-1)),VALUE(LEFT(J1728,FIND("-",J1728)-1)),VALUE(MID(J1728,FIND("-",J1728)+1,99)))))),"")</f>
        <v/>
      </c>
      <c r="C1728">
        <f>IF($C$1=0,0,IFERROR(VALUE(SUBSTITUTE(SUBSTITUTE(SUBSTITUTE(INDEX(貼り付け!$A$1:$BZ$3001,1727,$C$1)&amp;"",",",""),"¥",""),"￥","")),0))</f>
        <v/>
      </c>
      <c r="D1728">
        <f>IF($D$1=0,0,IFERROR(VALUE(SUBSTITUTE(SUBSTITUTE(SUBSTITUTE(INDEX(貼り付け!$A$1:$BZ$3001,1727,$D$1)&amp;"",",",""),"¥",""),"￥","")),0))</f>
        <v/>
      </c>
      <c r="E1728">
        <f>IF($E$1=0,0,IFERROR(VALUE(SUBSTITUTE(SUBSTITUTE(SUBSTITUTE(INDEX(貼り付け!$A$1:$BZ$3001,1727,$E$1)&amp;"",",",""),"¥",""),"￥","")),0))</f>
        <v/>
      </c>
      <c r="F1728">
        <f>IF($F$1=0,0,IFERROR(VALUE(SUBSTITUTE(SUBSTITUTE(SUBSTITUTE(INDEX(貼り付け!$A$1:$BZ$3001,1727,$F$1)&amp;"",",",""),"¥",""),"￥","")),0))</f>
        <v/>
      </c>
      <c r="G1728">
        <f>IF(ISNUMBER(B1728),YEAR(B1728),"")</f>
        <v/>
      </c>
      <c r="H1728">
        <f>IF(ISNUMBER(B1728),MONTH(B1728),"")</f>
        <v/>
      </c>
      <c r="I1728">
        <f>IFERROR(IF($B$1=0,"",IF(ISNUMBER(INDEX(貼り付け!$A$1:$BZ$3001,1727,$B$1)),"",SUBSTITUTE(SUBSTITUTE(SUBSTITUTE(SUBSTITUTE(TRIM(LEFT(INDEX(貼り付け!$A$1:$BZ$3001,1727,$B$1)&amp;"",FIND(" ",TRIM(INDEX(貼り付け!$A$1:$BZ$3001,1727,$B$1)&amp;"")&amp;" ")-1)),"/","-"),"年","-"),"月","-"),"日",""))),"")</f>
        <v/>
      </c>
      <c r="J1728">
        <f>IFERROR(MID(I1728,FIND("-",I1728)+1,99),"")</f>
        <v/>
      </c>
    </row>
    <row r="1729">
      <c r="B1729">
        <f>IFERROR(IF($B$1=0,"",IF(INDEX(貼り付け!$A$1:$BZ$3001,1728,$B$1)="","",IF(ISNUMBER(INDEX(貼り付け!$A$1:$BZ$3001,1728,$B$1)),INT(INDEX(貼り付け!$A$1:$BZ$3001,1728,$B$1)),DATE(VALUE(LEFT(I1729,FIND("-",I1729)-1)),VALUE(LEFT(J1729,FIND("-",J1729)-1)),VALUE(MID(J1729,FIND("-",J1729)+1,99)))))),"")</f>
        <v/>
      </c>
      <c r="C1729">
        <f>IF($C$1=0,0,IFERROR(VALUE(SUBSTITUTE(SUBSTITUTE(SUBSTITUTE(INDEX(貼り付け!$A$1:$BZ$3001,1728,$C$1)&amp;"",",",""),"¥",""),"￥","")),0))</f>
        <v/>
      </c>
      <c r="D1729">
        <f>IF($D$1=0,0,IFERROR(VALUE(SUBSTITUTE(SUBSTITUTE(SUBSTITUTE(INDEX(貼り付け!$A$1:$BZ$3001,1728,$D$1)&amp;"",",",""),"¥",""),"￥","")),0))</f>
        <v/>
      </c>
      <c r="E1729">
        <f>IF($E$1=0,0,IFERROR(VALUE(SUBSTITUTE(SUBSTITUTE(SUBSTITUTE(INDEX(貼り付け!$A$1:$BZ$3001,1728,$E$1)&amp;"",",",""),"¥",""),"￥","")),0))</f>
        <v/>
      </c>
      <c r="F1729">
        <f>IF($F$1=0,0,IFERROR(VALUE(SUBSTITUTE(SUBSTITUTE(SUBSTITUTE(INDEX(貼り付け!$A$1:$BZ$3001,1728,$F$1)&amp;"",",",""),"¥",""),"￥","")),0))</f>
        <v/>
      </c>
      <c r="G1729">
        <f>IF(ISNUMBER(B1729),YEAR(B1729),"")</f>
        <v/>
      </c>
      <c r="H1729">
        <f>IF(ISNUMBER(B1729),MONTH(B1729),"")</f>
        <v/>
      </c>
      <c r="I1729">
        <f>IFERROR(IF($B$1=0,"",IF(ISNUMBER(INDEX(貼り付け!$A$1:$BZ$3001,1728,$B$1)),"",SUBSTITUTE(SUBSTITUTE(SUBSTITUTE(SUBSTITUTE(TRIM(LEFT(INDEX(貼り付け!$A$1:$BZ$3001,1728,$B$1)&amp;"",FIND(" ",TRIM(INDEX(貼り付け!$A$1:$BZ$3001,1728,$B$1)&amp;"")&amp;" ")-1)),"/","-"),"年","-"),"月","-"),"日",""))),"")</f>
        <v/>
      </c>
      <c r="J1729">
        <f>IFERROR(MID(I1729,FIND("-",I1729)+1,99),"")</f>
        <v/>
      </c>
    </row>
    <row r="1730">
      <c r="B1730">
        <f>IFERROR(IF($B$1=0,"",IF(INDEX(貼り付け!$A$1:$BZ$3001,1729,$B$1)="","",IF(ISNUMBER(INDEX(貼り付け!$A$1:$BZ$3001,1729,$B$1)),INT(INDEX(貼り付け!$A$1:$BZ$3001,1729,$B$1)),DATE(VALUE(LEFT(I1730,FIND("-",I1730)-1)),VALUE(LEFT(J1730,FIND("-",J1730)-1)),VALUE(MID(J1730,FIND("-",J1730)+1,99)))))),"")</f>
        <v/>
      </c>
      <c r="C1730">
        <f>IF($C$1=0,0,IFERROR(VALUE(SUBSTITUTE(SUBSTITUTE(SUBSTITUTE(INDEX(貼り付け!$A$1:$BZ$3001,1729,$C$1)&amp;"",",",""),"¥",""),"￥","")),0))</f>
        <v/>
      </c>
      <c r="D1730">
        <f>IF($D$1=0,0,IFERROR(VALUE(SUBSTITUTE(SUBSTITUTE(SUBSTITUTE(INDEX(貼り付け!$A$1:$BZ$3001,1729,$D$1)&amp;"",",",""),"¥",""),"￥","")),0))</f>
        <v/>
      </c>
      <c r="E1730">
        <f>IF($E$1=0,0,IFERROR(VALUE(SUBSTITUTE(SUBSTITUTE(SUBSTITUTE(INDEX(貼り付け!$A$1:$BZ$3001,1729,$E$1)&amp;"",",",""),"¥",""),"￥","")),0))</f>
        <v/>
      </c>
      <c r="F1730">
        <f>IF($F$1=0,0,IFERROR(VALUE(SUBSTITUTE(SUBSTITUTE(SUBSTITUTE(INDEX(貼り付け!$A$1:$BZ$3001,1729,$F$1)&amp;"",",",""),"¥",""),"￥","")),0))</f>
        <v/>
      </c>
      <c r="G1730">
        <f>IF(ISNUMBER(B1730),YEAR(B1730),"")</f>
        <v/>
      </c>
      <c r="H1730">
        <f>IF(ISNUMBER(B1730),MONTH(B1730),"")</f>
        <v/>
      </c>
      <c r="I1730">
        <f>IFERROR(IF($B$1=0,"",IF(ISNUMBER(INDEX(貼り付け!$A$1:$BZ$3001,1729,$B$1)),"",SUBSTITUTE(SUBSTITUTE(SUBSTITUTE(SUBSTITUTE(TRIM(LEFT(INDEX(貼り付け!$A$1:$BZ$3001,1729,$B$1)&amp;"",FIND(" ",TRIM(INDEX(貼り付け!$A$1:$BZ$3001,1729,$B$1)&amp;"")&amp;" ")-1)),"/","-"),"年","-"),"月","-"),"日",""))),"")</f>
        <v/>
      </c>
      <c r="J1730">
        <f>IFERROR(MID(I1730,FIND("-",I1730)+1,99),"")</f>
        <v/>
      </c>
    </row>
    <row r="1731">
      <c r="B1731">
        <f>IFERROR(IF($B$1=0,"",IF(INDEX(貼り付け!$A$1:$BZ$3001,1730,$B$1)="","",IF(ISNUMBER(INDEX(貼り付け!$A$1:$BZ$3001,1730,$B$1)),INT(INDEX(貼り付け!$A$1:$BZ$3001,1730,$B$1)),DATE(VALUE(LEFT(I1731,FIND("-",I1731)-1)),VALUE(LEFT(J1731,FIND("-",J1731)-1)),VALUE(MID(J1731,FIND("-",J1731)+1,99)))))),"")</f>
        <v/>
      </c>
      <c r="C1731">
        <f>IF($C$1=0,0,IFERROR(VALUE(SUBSTITUTE(SUBSTITUTE(SUBSTITUTE(INDEX(貼り付け!$A$1:$BZ$3001,1730,$C$1)&amp;"",",",""),"¥",""),"￥","")),0))</f>
        <v/>
      </c>
      <c r="D1731">
        <f>IF($D$1=0,0,IFERROR(VALUE(SUBSTITUTE(SUBSTITUTE(SUBSTITUTE(INDEX(貼り付け!$A$1:$BZ$3001,1730,$D$1)&amp;"",",",""),"¥",""),"￥","")),0))</f>
        <v/>
      </c>
      <c r="E1731">
        <f>IF($E$1=0,0,IFERROR(VALUE(SUBSTITUTE(SUBSTITUTE(SUBSTITUTE(INDEX(貼り付け!$A$1:$BZ$3001,1730,$E$1)&amp;"",",",""),"¥",""),"￥","")),0))</f>
        <v/>
      </c>
      <c r="F1731">
        <f>IF($F$1=0,0,IFERROR(VALUE(SUBSTITUTE(SUBSTITUTE(SUBSTITUTE(INDEX(貼り付け!$A$1:$BZ$3001,1730,$F$1)&amp;"",",",""),"¥",""),"￥","")),0))</f>
        <v/>
      </c>
      <c r="G1731">
        <f>IF(ISNUMBER(B1731),YEAR(B1731),"")</f>
        <v/>
      </c>
      <c r="H1731">
        <f>IF(ISNUMBER(B1731),MONTH(B1731),"")</f>
        <v/>
      </c>
      <c r="I1731">
        <f>IFERROR(IF($B$1=0,"",IF(ISNUMBER(INDEX(貼り付け!$A$1:$BZ$3001,1730,$B$1)),"",SUBSTITUTE(SUBSTITUTE(SUBSTITUTE(SUBSTITUTE(TRIM(LEFT(INDEX(貼り付け!$A$1:$BZ$3001,1730,$B$1)&amp;"",FIND(" ",TRIM(INDEX(貼り付け!$A$1:$BZ$3001,1730,$B$1)&amp;"")&amp;" ")-1)),"/","-"),"年","-"),"月","-"),"日",""))),"")</f>
        <v/>
      </c>
      <c r="J1731">
        <f>IFERROR(MID(I1731,FIND("-",I1731)+1,99),"")</f>
        <v/>
      </c>
    </row>
    <row r="1732">
      <c r="B1732">
        <f>IFERROR(IF($B$1=0,"",IF(INDEX(貼り付け!$A$1:$BZ$3001,1731,$B$1)="","",IF(ISNUMBER(INDEX(貼り付け!$A$1:$BZ$3001,1731,$B$1)),INT(INDEX(貼り付け!$A$1:$BZ$3001,1731,$B$1)),DATE(VALUE(LEFT(I1732,FIND("-",I1732)-1)),VALUE(LEFT(J1732,FIND("-",J1732)-1)),VALUE(MID(J1732,FIND("-",J1732)+1,99)))))),"")</f>
        <v/>
      </c>
      <c r="C1732">
        <f>IF($C$1=0,0,IFERROR(VALUE(SUBSTITUTE(SUBSTITUTE(SUBSTITUTE(INDEX(貼り付け!$A$1:$BZ$3001,1731,$C$1)&amp;"",",",""),"¥",""),"￥","")),0))</f>
        <v/>
      </c>
      <c r="D1732">
        <f>IF($D$1=0,0,IFERROR(VALUE(SUBSTITUTE(SUBSTITUTE(SUBSTITUTE(INDEX(貼り付け!$A$1:$BZ$3001,1731,$D$1)&amp;"",",",""),"¥",""),"￥","")),0))</f>
        <v/>
      </c>
      <c r="E1732">
        <f>IF($E$1=0,0,IFERROR(VALUE(SUBSTITUTE(SUBSTITUTE(SUBSTITUTE(INDEX(貼り付け!$A$1:$BZ$3001,1731,$E$1)&amp;"",",",""),"¥",""),"￥","")),0))</f>
        <v/>
      </c>
      <c r="F1732">
        <f>IF($F$1=0,0,IFERROR(VALUE(SUBSTITUTE(SUBSTITUTE(SUBSTITUTE(INDEX(貼り付け!$A$1:$BZ$3001,1731,$F$1)&amp;"",",",""),"¥",""),"￥","")),0))</f>
        <v/>
      </c>
      <c r="G1732">
        <f>IF(ISNUMBER(B1732),YEAR(B1732),"")</f>
        <v/>
      </c>
      <c r="H1732">
        <f>IF(ISNUMBER(B1732),MONTH(B1732),"")</f>
        <v/>
      </c>
      <c r="I1732">
        <f>IFERROR(IF($B$1=0,"",IF(ISNUMBER(INDEX(貼り付け!$A$1:$BZ$3001,1731,$B$1)),"",SUBSTITUTE(SUBSTITUTE(SUBSTITUTE(SUBSTITUTE(TRIM(LEFT(INDEX(貼り付け!$A$1:$BZ$3001,1731,$B$1)&amp;"",FIND(" ",TRIM(INDEX(貼り付け!$A$1:$BZ$3001,1731,$B$1)&amp;"")&amp;" ")-1)),"/","-"),"年","-"),"月","-"),"日",""))),"")</f>
        <v/>
      </c>
      <c r="J1732">
        <f>IFERROR(MID(I1732,FIND("-",I1732)+1,99),"")</f>
        <v/>
      </c>
    </row>
    <row r="1733">
      <c r="B1733">
        <f>IFERROR(IF($B$1=0,"",IF(INDEX(貼り付け!$A$1:$BZ$3001,1732,$B$1)="","",IF(ISNUMBER(INDEX(貼り付け!$A$1:$BZ$3001,1732,$B$1)),INT(INDEX(貼り付け!$A$1:$BZ$3001,1732,$B$1)),DATE(VALUE(LEFT(I1733,FIND("-",I1733)-1)),VALUE(LEFT(J1733,FIND("-",J1733)-1)),VALUE(MID(J1733,FIND("-",J1733)+1,99)))))),"")</f>
        <v/>
      </c>
      <c r="C1733">
        <f>IF($C$1=0,0,IFERROR(VALUE(SUBSTITUTE(SUBSTITUTE(SUBSTITUTE(INDEX(貼り付け!$A$1:$BZ$3001,1732,$C$1)&amp;"",",",""),"¥",""),"￥","")),0))</f>
        <v/>
      </c>
      <c r="D1733">
        <f>IF($D$1=0,0,IFERROR(VALUE(SUBSTITUTE(SUBSTITUTE(SUBSTITUTE(INDEX(貼り付け!$A$1:$BZ$3001,1732,$D$1)&amp;"",",",""),"¥",""),"￥","")),0))</f>
        <v/>
      </c>
      <c r="E1733">
        <f>IF($E$1=0,0,IFERROR(VALUE(SUBSTITUTE(SUBSTITUTE(SUBSTITUTE(INDEX(貼り付け!$A$1:$BZ$3001,1732,$E$1)&amp;"",",",""),"¥",""),"￥","")),0))</f>
        <v/>
      </c>
      <c r="F1733">
        <f>IF($F$1=0,0,IFERROR(VALUE(SUBSTITUTE(SUBSTITUTE(SUBSTITUTE(INDEX(貼り付け!$A$1:$BZ$3001,1732,$F$1)&amp;"",",",""),"¥",""),"￥","")),0))</f>
        <v/>
      </c>
      <c r="G1733">
        <f>IF(ISNUMBER(B1733),YEAR(B1733),"")</f>
        <v/>
      </c>
      <c r="H1733">
        <f>IF(ISNUMBER(B1733),MONTH(B1733),"")</f>
        <v/>
      </c>
      <c r="I1733">
        <f>IFERROR(IF($B$1=0,"",IF(ISNUMBER(INDEX(貼り付け!$A$1:$BZ$3001,1732,$B$1)),"",SUBSTITUTE(SUBSTITUTE(SUBSTITUTE(SUBSTITUTE(TRIM(LEFT(INDEX(貼り付け!$A$1:$BZ$3001,1732,$B$1)&amp;"",FIND(" ",TRIM(INDEX(貼り付け!$A$1:$BZ$3001,1732,$B$1)&amp;"")&amp;" ")-1)),"/","-"),"年","-"),"月","-"),"日",""))),"")</f>
        <v/>
      </c>
      <c r="J1733">
        <f>IFERROR(MID(I1733,FIND("-",I1733)+1,99),"")</f>
        <v/>
      </c>
    </row>
    <row r="1734">
      <c r="B1734">
        <f>IFERROR(IF($B$1=0,"",IF(INDEX(貼り付け!$A$1:$BZ$3001,1733,$B$1)="","",IF(ISNUMBER(INDEX(貼り付け!$A$1:$BZ$3001,1733,$B$1)),INT(INDEX(貼り付け!$A$1:$BZ$3001,1733,$B$1)),DATE(VALUE(LEFT(I1734,FIND("-",I1734)-1)),VALUE(LEFT(J1734,FIND("-",J1734)-1)),VALUE(MID(J1734,FIND("-",J1734)+1,99)))))),"")</f>
        <v/>
      </c>
      <c r="C1734">
        <f>IF($C$1=0,0,IFERROR(VALUE(SUBSTITUTE(SUBSTITUTE(SUBSTITUTE(INDEX(貼り付け!$A$1:$BZ$3001,1733,$C$1)&amp;"",",",""),"¥",""),"￥","")),0))</f>
        <v/>
      </c>
      <c r="D1734">
        <f>IF($D$1=0,0,IFERROR(VALUE(SUBSTITUTE(SUBSTITUTE(SUBSTITUTE(INDEX(貼り付け!$A$1:$BZ$3001,1733,$D$1)&amp;"",",",""),"¥",""),"￥","")),0))</f>
        <v/>
      </c>
      <c r="E1734">
        <f>IF($E$1=0,0,IFERROR(VALUE(SUBSTITUTE(SUBSTITUTE(SUBSTITUTE(INDEX(貼り付け!$A$1:$BZ$3001,1733,$E$1)&amp;"",",",""),"¥",""),"￥","")),0))</f>
        <v/>
      </c>
      <c r="F1734">
        <f>IF($F$1=0,0,IFERROR(VALUE(SUBSTITUTE(SUBSTITUTE(SUBSTITUTE(INDEX(貼り付け!$A$1:$BZ$3001,1733,$F$1)&amp;"",",",""),"¥",""),"￥","")),0))</f>
        <v/>
      </c>
      <c r="G1734">
        <f>IF(ISNUMBER(B1734),YEAR(B1734),"")</f>
        <v/>
      </c>
      <c r="H1734">
        <f>IF(ISNUMBER(B1734),MONTH(B1734),"")</f>
        <v/>
      </c>
      <c r="I1734">
        <f>IFERROR(IF($B$1=0,"",IF(ISNUMBER(INDEX(貼り付け!$A$1:$BZ$3001,1733,$B$1)),"",SUBSTITUTE(SUBSTITUTE(SUBSTITUTE(SUBSTITUTE(TRIM(LEFT(INDEX(貼り付け!$A$1:$BZ$3001,1733,$B$1)&amp;"",FIND(" ",TRIM(INDEX(貼り付け!$A$1:$BZ$3001,1733,$B$1)&amp;"")&amp;" ")-1)),"/","-"),"年","-"),"月","-"),"日",""))),"")</f>
        <v/>
      </c>
      <c r="J1734">
        <f>IFERROR(MID(I1734,FIND("-",I1734)+1,99),"")</f>
        <v/>
      </c>
    </row>
    <row r="1735">
      <c r="B1735">
        <f>IFERROR(IF($B$1=0,"",IF(INDEX(貼り付け!$A$1:$BZ$3001,1734,$B$1)="","",IF(ISNUMBER(INDEX(貼り付け!$A$1:$BZ$3001,1734,$B$1)),INT(INDEX(貼り付け!$A$1:$BZ$3001,1734,$B$1)),DATE(VALUE(LEFT(I1735,FIND("-",I1735)-1)),VALUE(LEFT(J1735,FIND("-",J1735)-1)),VALUE(MID(J1735,FIND("-",J1735)+1,99)))))),"")</f>
        <v/>
      </c>
      <c r="C1735">
        <f>IF($C$1=0,0,IFERROR(VALUE(SUBSTITUTE(SUBSTITUTE(SUBSTITUTE(INDEX(貼り付け!$A$1:$BZ$3001,1734,$C$1)&amp;"",",",""),"¥",""),"￥","")),0))</f>
        <v/>
      </c>
      <c r="D1735">
        <f>IF($D$1=0,0,IFERROR(VALUE(SUBSTITUTE(SUBSTITUTE(SUBSTITUTE(INDEX(貼り付け!$A$1:$BZ$3001,1734,$D$1)&amp;"",",",""),"¥",""),"￥","")),0))</f>
        <v/>
      </c>
      <c r="E1735">
        <f>IF($E$1=0,0,IFERROR(VALUE(SUBSTITUTE(SUBSTITUTE(SUBSTITUTE(INDEX(貼り付け!$A$1:$BZ$3001,1734,$E$1)&amp;"",",",""),"¥",""),"￥","")),0))</f>
        <v/>
      </c>
      <c r="F1735">
        <f>IF($F$1=0,0,IFERROR(VALUE(SUBSTITUTE(SUBSTITUTE(SUBSTITUTE(INDEX(貼り付け!$A$1:$BZ$3001,1734,$F$1)&amp;"",",",""),"¥",""),"￥","")),0))</f>
        <v/>
      </c>
      <c r="G1735">
        <f>IF(ISNUMBER(B1735),YEAR(B1735),"")</f>
        <v/>
      </c>
      <c r="H1735">
        <f>IF(ISNUMBER(B1735),MONTH(B1735),"")</f>
        <v/>
      </c>
      <c r="I1735">
        <f>IFERROR(IF($B$1=0,"",IF(ISNUMBER(INDEX(貼り付け!$A$1:$BZ$3001,1734,$B$1)),"",SUBSTITUTE(SUBSTITUTE(SUBSTITUTE(SUBSTITUTE(TRIM(LEFT(INDEX(貼り付け!$A$1:$BZ$3001,1734,$B$1)&amp;"",FIND(" ",TRIM(INDEX(貼り付け!$A$1:$BZ$3001,1734,$B$1)&amp;"")&amp;" ")-1)),"/","-"),"年","-"),"月","-"),"日",""))),"")</f>
        <v/>
      </c>
      <c r="J1735">
        <f>IFERROR(MID(I1735,FIND("-",I1735)+1,99),"")</f>
        <v/>
      </c>
    </row>
    <row r="1736">
      <c r="B1736">
        <f>IFERROR(IF($B$1=0,"",IF(INDEX(貼り付け!$A$1:$BZ$3001,1735,$B$1)="","",IF(ISNUMBER(INDEX(貼り付け!$A$1:$BZ$3001,1735,$B$1)),INT(INDEX(貼り付け!$A$1:$BZ$3001,1735,$B$1)),DATE(VALUE(LEFT(I1736,FIND("-",I1736)-1)),VALUE(LEFT(J1736,FIND("-",J1736)-1)),VALUE(MID(J1736,FIND("-",J1736)+1,99)))))),"")</f>
        <v/>
      </c>
      <c r="C1736">
        <f>IF($C$1=0,0,IFERROR(VALUE(SUBSTITUTE(SUBSTITUTE(SUBSTITUTE(INDEX(貼り付け!$A$1:$BZ$3001,1735,$C$1)&amp;"",",",""),"¥",""),"￥","")),0))</f>
        <v/>
      </c>
      <c r="D1736">
        <f>IF($D$1=0,0,IFERROR(VALUE(SUBSTITUTE(SUBSTITUTE(SUBSTITUTE(INDEX(貼り付け!$A$1:$BZ$3001,1735,$D$1)&amp;"",",",""),"¥",""),"￥","")),0))</f>
        <v/>
      </c>
      <c r="E1736">
        <f>IF($E$1=0,0,IFERROR(VALUE(SUBSTITUTE(SUBSTITUTE(SUBSTITUTE(INDEX(貼り付け!$A$1:$BZ$3001,1735,$E$1)&amp;"",",",""),"¥",""),"￥","")),0))</f>
        <v/>
      </c>
      <c r="F1736">
        <f>IF($F$1=0,0,IFERROR(VALUE(SUBSTITUTE(SUBSTITUTE(SUBSTITUTE(INDEX(貼り付け!$A$1:$BZ$3001,1735,$F$1)&amp;"",",",""),"¥",""),"￥","")),0))</f>
        <v/>
      </c>
      <c r="G1736">
        <f>IF(ISNUMBER(B1736),YEAR(B1736),"")</f>
        <v/>
      </c>
      <c r="H1736">
        <f>IF(ISNUMBER(B1736),MONTH(B1736),"")</f>
        <v/>
      </c>
      <c r="I1736">
        <f>IFERROR(IF($B$1=0,"",IF(ISNUMBER(INDEX(貼り付け!$A$1:$BZ$3001,1735,$B$1)),"",SUBSTITUTE(SUBSTITUTE(SUBSTITUTE(SUBSTITUTE(TRIM(LEFT(INDEX(貼り付け!$A$1:$BZ$3001,1735,$B$1)&amp;"",FIND(" ",TRIM(INDEX(貼り付け!$A$1:$BZ$3001,1735,$B$1)&amp;"")&amp;" ")-1)),"/","-"),"年","-"),"月","-"),"日",""))),"")</f>
        <v/>
      </c>
      <c r="J1736">
        <f>IFERROR(MID(I1736,FIND("-",I1736)+1,99),"")</f>
        <v/>
      </c>
    </row>
    <row r="1737">
      <c r="B1737">
        <f>IFERROR(IF($B$1=0,"",IF(INDEX(貼り付け!$A$1:$BZ$3001,1736,$B$1)="","",IF(ISNUMBER(INDEX(貼り付け!$A$1:$BZ$3001,1736,$B$1)),INT(INDEX(貼り付け!$A$1:$BZ$3001,1736,$B$1)),DATE(VALUE(LEFT(I1737,FIND("-",I1737)-1)),VALUE(LEFT(J1737,FIND("-",J1737)-1)),VALUE(MID(J1737,FIND("-",J1737)+1,99)))))),"")</f>
        <v/>
      </c>
      <c r="C1737">
        <f>IF($C$1=0,0,IFERROR(VALUE(SUBSTITUTE(SUBSTITUTE(SUBSTITUTE(INDEX(貼り付け!$A$1:$BZ$3001,1736,$C$1)&amp;"",",",""),"¥",""),"￥","")),0))</f>
        <v/>
      </c>
      <c r="D1737">
        <f>IF($D$1=0,0,IFERROR(VALUE(SUBSTITUTE(SUBSTITUTE(SUBSTITUTE(INDEX(貼り付け!$A$1:$BZ$3001,1736,$D$1)&amp;"",",",""),"¥",""),"￥","")),0))</f>
        <v/>
      </c>
      <c r="E1737">
        <f>IF($E$1=0,0,IFERROR(VALUE(SUBSTITUTE(SUBSTITUTE(SUBSTITUTE(INDEX(貼り付け!$A$1:$BZ$3001,1736,$E$1)&amp;"",",",""),"¥",""),"￥","")),0))</f>
        <v/>
      </c>
      <c r="F1737">
        <f>IF($F$1=0,0,IFERROR(VALUE(SUBSTITUTE(SUBSTITUTE(SUBSTITUTE(INDEX(貼り付け!$A$1:$BZ$3001,1736,$F$1)&amp;"",",",""),"¥",""),"￥","")),0))</f>
        <v/>
      </c>
      <c r="G1737">
        <f>IF(ISNUMBER(B1737),YEAR(B1737),"")</f>
        <v/>
      </c>
      <c r="H1737">
        <f>IF(ISNUMBER(B1737),MONTH(B1737),"")</f>
        <v/>
      </c>
      <c r="I1737">
        <f>IFERROR(IF($B$1=0,"",IF(ISNUMBER(INDEX(貼り付け!$A$1:$BZ$3001,1736,$B$1)),"",SUBSTITUTE(SUBSTITUTE(SUBSTITUTE(SUBSTITUTE(TRIM(LEFT(INDEX(貼り付け!$A$1:$BZ$3001,1736,$B$1)&amp;"",FIND(" ",TRIM(INDEX(貼り付け!$A$1:$BZ$3001,1736,$B$1)&amp;"")&amp;" ")-1)),"/","-"),"年","-"),"月","-"),"日",""))),"")</f>
        <v/>
      </c>
      <c r="J1737">
        <f>IFERROR(MID(I1737,FIND("-",I1737)+1,99),"")</f>
        <v/>
      </c>
    </row>
    <row r="1738">
      <c r="B1738">
        <f>IFERROR(IF($B$1=0,"",IF(INDEX(貼り付け!$A$1:$BZ$3001,1737,$B$1)="","",IF(ISNUMBER(INDEX(貼り付け!$A$1:$BZ$3001,1737,$B$1)),INT(INDEX(貼り付け!$A$1:$BZ$3001,1737,$B$1)),DATE(VALUE(LEFT(I1738,FIND("-",I1738)-1)),VALUE(LEFT(J1738,FIND("-",J1738)-1)),VALUE(MID(J1738,FIND("-",J1738)+1,99)))))),"")</f>
        <v/>
      </c>
      <c r="C1738">
        <f>IF($C$1=0,0,IFERROR(VALUE(SUBSTITUTE(SUBSTITUTE(SUBSTITUTE(INDEX(貼り付け!$A$1:$BZ$3001,1737,$C$1)&amp;"",",",""),"¥",""),"￥","")),0))</f>
        <v/>
      </c>
      <c r="D1738">
        <f>IF($D$1=0,0,IFERROR(VALUE(SUBSTITUTE(SUBSTITUTE(SUBSTITUTE(INDEX(貼り付け!$A$1:$BZ$3001,1737,$D$1)&amp;"",",",""),"¥",""),"￥","")),0))</f>
        <v/>
      </c>
      <c r="E1738">
        <f>IF($E$1=0,0,IFERROR(VALUE(SUBSTITUTE(SUBSTITUTE(SUBSTITUTE(INDEX(貼り付け!$A$1:$BZ$3001,1737,$E$1)&amp;"",",",""),"¥",""),"￥","")),0))</f>
        <v/>
      </c>
      <c r="F1738">
        <f>IF($F$1=0,0,IFERROR(VALUE(SUBSTITUTE(SUBSTITUTE(SUBSTITUTE(INDEX(貼り付け!$A$1:$BZ$3001,1737,$F$1)&amp;"",",",""),"¥",""),"￥","")),0))</f>
        <v/>
      </c>
      <c r="G1738">
        <f>IF(ISNUMBER(B1738),YEAR(B1738),"")</f>
        <v/>
      </c>
      <c r="H1738">
        <f>IF(ISNUMBER(B1738),MONTH(B1738),"")</f>
        <v/>
      </c>
      <c r="I1738">
        <f>IFERROR(IF($B$1=0,"",IF(ISNUMBER(INDEX(貼り付け!$A$1:$BZ$3001,1737,$B$1)),"",SUBSTITUTE(SUBSTITUTE(SUBSTITUTE(SUBSTITUTE(TRIM(LEFT(INDEX(貼り付け!$A$1:$BZ$3001,1737,$B$1)&amp;"",FIND(" ",TRIM(INDEX(貼り付け!$A$1:$BZ$3001,1737,$B$1)&amp;"")&amp;" ")-1)),"/","-"),"年","-"),"月","-"),"日",""))),"")</f>
        <v/>
      </c>
      <c r="J1738">
        <f>IFERROR(MID(I1738,FIND("-",I1738)+1,99),"")</f>
        <v/>
      </c>
    </row>
    <row r="1739">
      <c r="B1739">
        <f>IFERROR(IF($B$1=0,"",IF(INDEX(貼り付け!$A$1:$BZ$3001,1738,$B$1)="","",IF(ISNUMBER(INDEX(貼り付け!$A$1:$BZ$3001,1738,$B$1)),INT(INDEX(貼り付け!$A$1:$BZ$3001,1738,$B$1)),DATE(VALUE(LEFT(I1739,FIND("-",I1739)-1)),VALUE(LEFT(J1739,FIND("-",J1739)-1)),VALUE(MID(J1739,FIND("-",J1739)+1,99)))))),"")</f>
        <v/>
      </c>
      <c r="C1739">
        <f>IF($C$1=0,0,IFERROR(VALUE(SUBSTITUTE(SUBSTITUTE(SUBSTITUTE(INDEX(貼り付け!$A$1:$BZ$3001,1738,$C$1)&amp;"",",",""),"¥",""),"￥","")),0))</f>
        <v/>
      </c>
      <c r="D1739">
        <f>IF($D$1=0,0,IFERROR(VALUE(SUBSTITUTE(SUBSTITUTE(SUBSTITUTE(INDEX(貼り付け!$A$1:$BZ$3001,1738,$D$1)&amp;"",",",""),"¥",""),"￥","")),0))</f>
        <v/>
      </c>
      <c r="E1739">
        <f>IF($E$1=0,0,IFERROR(VALUE(SUBSTITUTE(SUBSTITUTE(SUBSTITUTE(INDEX(貼り付け!$A$1:$BZ$3001,1738,$E$1)&amp;"",",",""),"¥",""),"￥","")),0))</f>
        <v/>
      </c>
      <c r="F1739">
        <f>IF($F$1=0,0,IFERROR(VALUE(SUBSTITUTE(SUBSTITUTE(SUBSTITUTE(INDEX(貼り付け!$A$1:$BZ$3001,1738,$F$1)&amp;"",",",""),"¥",""),"￥","")),0))</f>
        <v/>
      </c>
      <c r="G1739">
        <f>IF(ISNUMBER(B1739),YEAR(B1739),"")</f>
        <v/>
      </c>
      <c r="H1739">
        <f>IF(ISNUMBER(B1739),MONTH(B1739),"")</f>
        <v/>
      </c>
      <c r="I1739">
        <f>IFERROR(IF($B$1=0,"",IF(ISNUMBER(INDEX(貼り付け!$A$1:$BZ$3001,1738,$B$1)),"",SUBSTITUTE(SUBSTITUTE(SUBSTITUTE(SUBSTITUTE(TRIM(LEFT(INDEX(貼り付け!$A$1:$BZ$3001,1738,$B$1)&amp;"",FIND(" ",TRIM(INDEX(貼り付け!$A$1:$BZ$3001,1738,$B$1)&amp;"")&amp;" ")-1)),"/","-"),"年","-"),"月","-"),"日",""))),"")</f>
        <v/>
      </c>
      <c r="J1739">
        <f>IFERROR(MID(I1739,FIND("-",I1739)+1,99),"")</f>
        <v/>
      </c>
    </row>
    <row r="1740">
      <c r="B1740">
        <f>IFERROR(IF($B$1=0,"",IF(INDEX(貼り付け!$A$1:$BZ$3001,1739,$B$1)="","",IF(ISNUMBER(INDEX(貼り付け!$A$1:$BZ$3001,1739,$B$1)),INT(INDEX(貼り付け!$A$1:$BZ$3001,1739,$B$1)),DATE(VALUE(LEFT(I1740,FIND("-",I1740)-1)),VALUE(LEFT(J1740,FIND("-",J1740)-1)),VALUE(MID(J1740,FIND("-",J1740)+1,99)))))),"")</f>
        <v/>
      </c>
      <c r="C1740">
        <f>IF($C$1=0,0,IFERROR(VALUE(SUBSTITUTE(SUBSTITUTE(SUBSTITUTE(INDEX(貼り付け!$A$1:$BZ$3001,1739,$C$1)&amp;"",",",""),"¥",""),"￥","")),0))</f>
        <v/>
      </c>
      <c r="D1740">
        <f>IF($D$1=0,0,IFERROR(VALUE(SUBSTITUTE(SUBSTITUTE(SUBSTITUTE(INDEX(貼り付け!$A$1:$BZ$3001,1739,$D$1)&amp;"",",",""),"¥",""),"￥","")),0))</f>
        <v/>
      </c>
      <c r="E1740">
        <f>IF($E$1=0,0,IFERROR(VALUE(SUBSTITUTE(SUBSTITUTE(SUBSTITUTE(INDEX(貼り付け!$A$1:$BZ$3001,1739,$E$1)&amp;"",",",""),"¥",""),"￥","")),0))</f>
        <v/>
      </c>
      <c r="F1740">
        <f>IF($F$1=0,0,IFERROR(VALUE(SUBSTITUTE(SUBSTITUTE(SUBSTITUTE(INDEX(貼り付け!$A$1:$BZ$3001,1739,$F$1)&amp;"",",",""),"¥",""),"￥","")),0))</f>
        <v/>
      </c>
      <c r="G1740">
        <f>IF(ISNUMBER(B1740),YEAR(B1740),"")</f>
        <v/>
      </c>
      <c r="H1740">
        <f>IF(ISNUMBER(B1740),MONTH(B1740),"")</f>
        <v/>
      </c>
      <c r="I1740">
        <f>IFERROR(IF($B$1=0,"",IF(ISNUMBER(INDEX(貼り付け!$A$1:$BZ$3001,1739,$B$1)),"",SUBSTITUTE(SUBSTITUTE(SUBSTITUTE(SUBSTITUTE(TRIM(LEFT(INDEX(貼り付け!$A$1:$BZ$3001,1739,$B$1)&amp;"",FIND(" ",TRIM(INDEX(貼り付け!$A$1:$BZ$3001,1739,$B$1)&amp;"")&amp;" ")-1)),"/","-"),"年","-"),"月","-"),"日",""))),"")</f>
        <v/>
      </c>
      <c r="J1740">
        <f>IFERROR(MID(I1740,FIND("-",I1740)+1,99),"")</f>
        <v/>
      </c>
    </row>
    <row r="1741">
      <c r="B1741">
        <f>IFERROR(IF($B$1=0,"",IF(INDEX(貼り付け!$A$1:$BZ$3001,1740,$B$1)="","",IF(ISNUMBER(INDEX(貼り付け!$A$1:$BZ$3001,1740,$B$1)),INT(INDEX(貼り付け!$A$1:$BZ$3001,1740,$B$1)),DATE(VALUE(LEFT(I1741,FIND("-",I1741)-1)),VALUE(LEFT(J1741,FIND("-",J1741)-1)),VALUE(MID(J1741,FIND("-",J1741)+1,99)))))),"")</f>
        <v/>
      </c>
      <c r="C1741">
        <f>IF($C$1=0,0,IFERROR(VALUE(SUBSTITUTE(SUBSTITUTE(SUBSTITUTE(INDEX(貼り付け!$A$1:$BZ$3001,1740,$C$1)&amp;"",",",""),"¥",""),"￥","")),0))</f>
        <v/>
      </c>
      <c r="D1741">
        <f>IF($D$1=0,0,IFERROR(VALUE(SUBSTITUTE(SUBSTITUTE(SUBSTITUTE(INDEX(貼り付け!$A$1:$BZ$3001,1740,$D$1)&amp;"",",",""),"¥",""),"￥","")),0))</f>
        <v/>
      </c>
      <c r="E1741">
        <f>IF($E$1=0,0,IFERROR(VALUE(SUBSTITUTE(SUBSTITUTE(SUBSTITUTE(INDEX(貼り付け!$A$1:$BZ$3001,1740,$E$1)&amp;"",",",""),"¥",""),"￥","")),0))</f>
        <v/>
      </c>
      <c r="F1741">
        <f>IF($F$1=0,0,IFERROR(VALUE(SUBSTITUTE(SUBSTITUTE(SUBSTITUTE(INDEX(貼り付け!$A$1:$BZ$3001,1740,$F$1)&amp;"",",",""),"¥",""),"￥","")),0))</f>
        <v/>
      </c>
      <c r="G1741">
        <f>IF(ISNUMBER(B1741),YEAR(B1741),"")</f>
        <v/>
      </c>
      <c r="H1741">
        <f>IF(ISNUMBER(B1741),MONTH(B1741),"")</f>
        <v/>
      </c>
      <c r="I1741">
        <f>IFERROR(IF($B$1=0,"",IF(ISNUMBER(INDEX(貼り付け!$A$1:$BZ$3001,1740,$B$1)),"",SUBSTITUTE(SUBSTITUTE(SUBSTITUTE(SUBSTITUTE(TRIM(LEFT(INDEX(貼り付け!$A$1:$BZ$3001,1740,$B$1)&amp;"",FIND(" ",TRIM(INDEX(貼り付け!$A$1:$BZ$3001,1740,$B$1)&amp;"")&amp;" ")-1)),"/","-"),"年","-"),"月","-"),"日",""))),"")</f>
        <v/>
      </c>
      <c r="J1741">
        <f>IFERROR(MID(I1741,FIND("-",I1741)+1,99),"")</f>
        <v/>
      </c>
    </row>
    <row r="1742">
      <c r="B1742">
        <f>IFERROR(IF($B$1=0,"",IF(INDEX(貼り付け!$A$1:$BZ$3001,1741,$B$1)="","",IF(ISNUMBER(INDEX(貼り付け!$A$1:$BZ$3001,1741,$B$1)),INT(INDEX(貼り付け!$A$1:$BZ$3001,1741,$B$1)),DATE(VALUE(LEFT(I1742,FIND("-",I1742)-1)),VALUE(LEFT(J1742,FIND("-",J1742)-1)),VALUE(MID(J1742,FIND("-",J1742)+1,99)))))),"")</f>
        <v/>
      </c>
      <c r="C1742">
        <f>IF($C$1=0,0,IFERROR(VALUE(SUBSTITUTE(SUBSTITUTE(SUBSTITUTE(INDEX(貼り付け!$A$1:$BZ$3001,1741,$C$1)&amp;"",",",""),"¥",""),"￥","")),0))</f>
        <v/>
      </c>
      <c r="D1742">
        <f>IF($D$1=0,0,IFERROR(VALUE(SUBSTITUTE(SUBSTITUTE(SUBSTITUTE(INDEX(貼り付け!$A$1:$BZ$3001,1741,$D$1)&amp;"",",",""),"¥",""),"￥","")),0))</f>
        <v/>
      </c>
      <c r="E1742">
        <f>IF($E$1=0,0,IFERROR(VALUE(SUBSTITUTE(SUBSTITUTE(SUBSTITUTE(INDEX(貼り付け!$A$1:$BZ$3001,1741,$E$1)&amp;"",",",""),"¥",""),"￥","")),0))</f>
        <v/>
      </c>
      <c r="F1742">
        <f>IF($F$1=0,0,IFERROR(VALUE(SUBSTITUTE(SUBSTITUTE(SUBSTITUTE(INDEX(貼り付け!$A$1:$BZ$3001,1741,$F$1)&amp;"",",",""),"¥",""),"￥","")),0))</f>
        <v/>
      </c>
      <c r="G1742">
        <f>IF(ISNUMBER(B1742),YEAR(B1742),"")</f>
        <v/>
      </c>
      <c r="H1742">
        <f>IF(ISNUMBER(B1742),MONTH(B1742),"")</f>
        <v/>
      </c>
      <c r="I1742">
        <f>IFERROR(IF($B$1=0,"",IF(ISNUMBER(INDEX(貼り付け!$A$1:$BZ$3001,1741,$B$1)),"",SUBSTITUTE(SUBSTITUTE(SUBSTITUTE(SUBSTITUTE(TRIM(LEFT(INDEX(貼り付け!$A$1:$BZ$3001,1741,$B$1)&amp;"",FIND(" ",TRIM(INDEX(貼り付け!$A$1:$BZ$3001,1741,$B$1)&amp;"")&amp;" ")-1)),"/","-"),"年","-"),"月","-"),"日",""))),"")</f>
        <v/>
      </c>
      <c r="J1742">
        <f>IFERROR(MID(I1742,FIND("-",I1742)+1,99),"")</f>
        <v/>
      </c>
    </row>
    <row r="1743">
      <c r="B1743">
        <f>IFERROR(IF($B$1=0,"",IF(INDEX(貼り付け!$A$1:$BZ$3001,1742,$B$1)="","",IF(ISNUMBER(INDEX(貼り付け!$A$1:$BZ$3001,1742,$B$1)),INT(INDEX(貼り付け!$A$1:$BZ$3001,1742,$B$1)),DATE(VALUE(LEFT(I1743,FIND("-",I1743)-1)),VALUE(LEFT(J1743,FIND("-",J1743)-1)),VALUE(MID(J1743,FIND("-",J1743)+1,99)))))),"")</f>
        <v/>
      </c>
      <c r="C1743">
        <f>IF($C$1=0,0,IFERROR(VALUE(SUBSTITUTE(SUBSTITUTE(SUBSTITUTE(INDEX(貼り付け!$A$1:$BZ$3001,1742,$C$1)&amp;"",",",""),"¥",""),"￥","")),0))</f>
        <v/>
      </c>
      <c r="D1743">
        <f>IF($D$1=0,0,IFERROR(VALUE(SUBSTITUTE(SUBSTITUTE(SUBSTITUTE(INDEX(貼り付け!$A$1:$BZ$3001,1742,$D$1)&amp;"",",",""),"¥",""),"￥","")),0))</f>
        <v/>
      </c>
      <c r="E1743">
        <f>IF($E$1=0,0,IFERROR(VALUE(SUBSTITUTE(SUBSTITUTE(SUBSTITUTE(INDEX(貼り付け!$A$1:$BZ$3001,1742,$E$1)&amp;"",",",""),"¥",""),"￥","")),0))</f>
        <v/>
      </c>
      <c r="F1743">
        <f>IF($F$1=0,0,IFERROR(VALUE(SUBSTITUTE(SUBSTITUTE(SUBSTITUTE(INDEX(貼り付け!$A$1:$BZ$3001,1742,$F$1)&amp;"",",",""),"¥",""),"￥","")),0))</f>
        <v/>
      </c>
      <c r="G1743">
        <f>IF(ISNUMBER(B1743),YEAR(B1743),"")</f>
        <v/>
      </c>
      <c r="H1743">
        <f>IF(ISNUMBER(B1743),MONTH(B1743),"")</f>
        <v/>
      </c>
      <c r="I1743">
        <f>IFERROR(IF($B$1=0,"",IF(ISNUMBER(INDEX(貼り付け!$A$1:$BZ$3001,1742,$B$1)),"",SUBSTITUTE(SUBSTITUTE(SUBSTITUTE(SUBSTITUTE(TRIM(LEFT(INDEX(貼り付け!$A$1:$BZ$3001,1742,$B$1)&amp;"",FIND(" ",TRIM(INDEX(貼り付け!$A$1:$BZ$3001,1742,$B$1)&amp;"")&amp;" ")-1)),"/","-"),"年","-"),"月","-"),"日",""))),"")</f>
        <v/>
      </c>
      <c r="J1743">
        <f>IFERROR(MID(I1743,FIND("-",I1743)+1,99),"")</f>
        <v/>
      </c>
    </row>
    <row r="1744">
      <c r="B1744">
        <f>IFERROR(IF($B$1=0,"",IF(INDEX(貼り付け!$A$1:$BZ$3001,1743,$B$1)="","",IF(ISNUMBER(INDEX(貼り付け!$A$1:$BZ$3001,1743,$B$1)),INT(INDEX(貼り付け!$A$1:$BZ$3001,1743,$B$1)),DATE(VALUE(LEFT(I1744,FIND("-",I1744)-1)),VALUE(LEFT(J1744,FIND("-",J1744)-1)),VALUE(MID(J1744,FIND("-",J1744)+1,99)))))),"")</f>
        <v/>
      </c>
      <c r="C1744">
        <f>IF($C$1=0,0,IFERROR(VALUE(SUBSTITUTE(SUBSTITUTE(SUBSTITUTE(INDEX(貼り付け!$A$1:$BZ$3001,1743,$C$1)&amp;"",",",""),"¥",""),"￥","")),0))</f>
        <v/>
      </c>
      <c r="D1744">
        <f>IF($D$1=0,0,IFERROR(VALUE(SUBSTITUTE(SUBSTITUTE(SUBSTITUTE(INDEX(貼り付け!$A$1:$BZ$3001,1743,$D$1)&amp;"",",",""),"¥",""),"￥","")),0))</f>
        <v/>
      </c>
      <c r="E1744">
        <f>IF($E$1=0,0,IFERROR(VALUE(SUBSTITUTE(SUBSTITUTE(SUBSTITUTE(INDEX(貼り付け!$A$1:$BZ$3001,1743,$E$1)&amp;"",",",""),"¥",""),"￥","")),0))</f>
        <v/>
      </c>
      <c r="F1744">
        <f>IF($F$1=0,0,IFERROR(VALUE(SUBSTITUTE(SUBSTITUTE(SUBSTITUTE(INDEX(貼り付け!$A$1:$BZ$3001,1743,$F$1)&amp;"",",",""),"¥",""),"￥","")),0))</f>
        <v/>
      </c>
      <c r="G1744">
        <f>IF(ISNUMBER(B1744),YEAR(B1744),"")</f>
        <v/>
      </c>
      <c r="H1744">
        <f>IF(ISNUMBER(B1744),MONTH(B1744),"")</f>
        <v/>
      </c>
      <c r="I1744">
        <f>IFERROR(IF($B$1=0,"",IF(ISNUMBER(INDEX(貼り付け!$A$1:$BZ$3001,1743,$B$1)),"",SUBSTITUTE(SUBSTITUTE(SUBSTITUTE(SUBSTITUTE(TRIM(LEFT(INDEX(貼り付け!$A$1:$BZ$3001,1743,$B$1)&amp;"",FIND(" ",TRIM(INDEX(貼り付け!$A$1:$BZ$3001,1743,$B$1)&amp;"")&amp;" ")-1)),"/","-"),"年","-"),"月","-"),"日",""))),"")</f>
        <v/>
      </c>
      <c r="J1744">
        <f>IFERROR(MID(I1744,FIND("-",I1744)+1,99),"")</f>
        <v/>
      </c>
    </row>
    <row r="1745">
      <c r="B1745">
        <f>IFERROR(IF($B$1=0,"",IF(INDEX(貼り付け!$A$1:$BZ$3001,1744,$B$1)="","",IF(ISNUMBER(INDEX(貼り付け!$A$1:$BZ$3001,1744,$B$1)),INT(INDEX(貼り付け!$A$1:$BZ$3001,1744,$B$1)),DATE(VALUE(LEFT(I1745,FIND("-",I1745)-1)),VALUE(LEFT(J1745,FIND("-",J1745)-1)),VALUE(MID(J1745,FIND("-",J1745)+1,99)))))),"")</f>
        <v/>
      </c>
      <c r="C1745">
        <f>IF($C$1=0,0,IFERROR(VALUE(SUBSTITUTE(SUBSTITUTE(SUBSTITUTE(INDEX(貼り付け!$A$1:$BZ$3001,1744,$C$1)&amp;"",",",""),"¥",""),"￥","")),0))</f>
        <v/>
      </c>
      <c r="D1745">
        <f>IF($D$1=0,0,IFERROR(VALUE(SUBSTITUTE(SUBSTITUTE(SUBSTITUTE(INDEX(貼り付け!$A$1:$BZ$3001,1744,$D$1)&amp;"",",",""),"¥",""),"￥","")),0))</f>
        <v/>
      </c>
      <c r="E1745">
        <f>IF($E$1=0,0,IFERROR(VALUE(SUBSTITUTE(SUBSTITUTE(SUBSTITUTE(INDEX(貼り付け!$A$1:$BZ$3001,1744,$E$1)&amp;"",",",""),"¥",""),"￥","")),0))</f>
        <v/>
      </c>
      <c r="F1745">
        <f>IF($F$1=0,0,IFERROR(VALUE(SUBSTITUTE(SUBSTITUTE(SUBSTITUTE(INDEX(貼り付け!$A$1:$BZ$3001,1744,$F$1)&amp;"",",",""),"¥",""),"￥","")),0))</f>
        <v/>
      </c>
      <c r="G1745">
        <f>IF(ISNUMBER(B1745),YEAR(B1745),"")</f>
        <v/>
      </c>
      <c r="H1745">
        <f>IF(ISNUMBER(B1745),MONTH(B1745),"")</f>
        <v/>
      </c>
      <c r="I1745">
        <f>IFERROR(IF($B$1=0,"",IF(ISNUMBER(INDEX(貼り付け!$A$1:$BZ$3001,1744,$B$1)),"",SUBSTITUTE(SUBSTITUTE(SUBSTITUTE(SUBSTITUTE(TRIM(LEFT(INDEX(貼り付け!$A$1:$BZ$3001,1744,$B$1)&amp;"",FIND(" ",TRIM(INDEX(貼り付け!$A$1:$BZ$3001,1744,$B$1)&amp;"")&amp;" ")-1)),"/","-"),"年","-"),"月","-"),"日",""))),"")</f>
        <v/>
      </c>
      <c r="J1745">
        <f>IFERROR(MID(I1745,FIND("-",I1745)+1,99),"")</f>
        <v/>
      </c>
    </row>
    <row r="1746">
      <c r="B1746">
        <f>IFERROR(IF($B$1=0,"",IF(INDEX(貼り付け!$A$1:$BZ$3001,1745,$B$1)="","",IF(ISNUMBER(INDEX(貼り付け!$A$1:$BZ$3001,1745,$B$1)),INT(INDEX(貼り付け!$A$1:$BZ$3001,1745,$B$1)),DATE(VALUE(LEFT(I1746,FIND("-",I1746)-1)),VALUE(LEFT(J1746,FIND("-",J1746)-1)),VALUE(MID(J1746,FIND("-",J1746)+1,99)))))),"")</f>
        <v/>
      </c>
      <c r="C1746">
        <f>IF($C$1=0,0,IFERROR(VALUE(SUBSTITUTE(SUBSTITUTE(SUBSTITUTE(INDEX(貼り付け!$A$1:$BZ$3001,1745,$C$1)&amp;"",",",""),"¥",""),"￥","")),0))</f>
        <v/>
      </c>
      <c r="D1746">
        <f>IF($D$1=0,0,IFERROR(VALUE(SUBSTITUTE(SUBSTITUTE(SUBSTITUTE(INDEX(貼り付け!$A$1:$BZ$3001,1745,$D$1)&amp;"",",",""),"¥",""),"￥","")),0))</f>
        <v/>
      </c>
      <c r="E1746">
        <f>IF($E$1=0,0,IFERROR(VALUE(SUBSTITUTE(SUBSTITUTE(SUBSTITUTE(INDEX(貼り付け!$A$1:$BZ$3001,1745,$E$1)&amp;"",",",""),"¥",""),"￥","")),0))</f>
        <v/>
      </c>
      <c r="F1746">
        <f>IF($F$1=0,0,IFERROR(VALUE(SUBSTITUTE(SUBSTITUTE(SUBSTITUTE(INDEX(貼り付け!$A$1:$BZ$3001,1745,$F$1)&amp;"",",",""),"¥",""),"￥","")),0))</f>
        <v/>
      </c>
      <c r="G1746">
        <f>IF(ISNUMBER(B1746),YEAR(B1746),"")</f>
        <v/>
      </c>
      <c r="H1746">
        <f>IF(ISNUMBER(B1746),MONTH(B1746),"")</f>
        <v/>
      </c>
      <c r="I1746">
        <f>IFERROR(IF($B$1=0,"",IF(ISNUMBER(INDEX(貼り付け!$A$1:$BZ$3001,1745,$B$1)),"",SUBSTITUTE(SUBSTITUTE(SUBSTITUTE(SUBSTITUTE(TRIM(LEFT(INDEX(貼り付け!$A$1:$BZ$3001,1745,$B$1)&amp;"",FIND(" ",TRIM(INDEX(貼り付け!$A$1:$BZ$3001,1745,$B$1)&amp;"")&amp;" ")-1)),"/","-"),"年","-"),"月","-"),"日",""))),"")</f>
        <v/>
      </c>
      <c r="J1746">
        <f>IFERROR(MID(I1746,FIND("-",I1746)+1,99),"")</f>
        <v/>
      </c>
    </row>
    <row r="1747">
      <c r="B1747">
        <f>IFERROR(IF($B$1=0,"",IF(INDEX(貼り付け!$A$1:$BZ$3001,1746,$B$1)="","",IF(ISNUMBER(INDEX(貼り付け!$A$1:$BZ$3001,1746,$B$1)),INT(INDEX(貼り付け!$A$1:$BZ$3001,1746,$B$1)),DATE(VALUE(LEFT(I1747,FIND("-",I1747)-1)),VALUE(LEFT(J1747,FIND("-",J1747)-1)),VALUE(MID(J1747,FIND("-",J1747)+1,99)))))),"")</f>
        <v/>
      </c>
      <c r="C1747">
        <f>IF($C$1=0,0,IFERROR(VALUE(SUBSTITUTE(SUBSTITUTE(SUBSTITUTE(INDEX(貼り付け!$A$1:$BZ$3001,1746,$C$1)&amp;"",",",""),"¥",""),"￥","")),0))</f>
        <v/>
      </c>
      <c r="D1747">
        <f>IF($D$1=0,0,IFERROR(VALUE(SUBSTITUTE(SUBSTITUTE(SUBSTITUTE(INDEX(貼り付け!$A$1:$BZ$3001,1746,$D$1)&amp;"",",",""),"¥",""),"￥","")),0))</f>
        <v/>
      </c>
      <c r="E1747">
        <f>IF($E$1=0,0,IFERROR(VALUE(SUBSTITUTE(SUBSTITUTE(SUBSTITUTE(INDEX(貼り付け!$A$1:$BZ$3001,1746,$E$1)&amp;"",",",""),"¥",""),"￥","")),0))</f>
        <v/>
      </c>
      <c r="F1747">
        <f>IF($F$1=0,0,IFERROR(VALUE(SUBSTITUTE(SUBSTITUTE(SUBSTITUTE(INDEX(貼り付け!$A$1:$BZ$3001,1746,$F$1)&amp;"",",",""),"¥",""),"￥","")),0))</f>
        <v/>
      </c>
      <c r="G1747">
        <f>IF(ISNUMBER(B1747),YEAR(B1747),"")</f>
        <v/>
      </c>
      <c r="H1747">
        <f>IF(ISNUMBER(B1747),MONTH(B1747),"")</f>
        <v/>
      </c>
      <c r="I1747">
        <f>IFERROR(IF($B$1=0,"",IF(ISNUMBER(INDEX(貼り付け!$A$1:$BZ$3001,1746,$B$1)),"",SUBSTITUTE(SUBSTITUTE(SUBSTITUTE(SUBSTITUTE(TRIM(LEFT(INDEX(貼り付け!$A$1:$BZ$3001,1746,$B$1)&amp;"",FIND(" ",TRIM(INDEX(貼り付け!$A$1:$BZ$3001,1746,$B$1)&amp;"")&amp;" ")-1)),"/","-"),"年","-"),"月","-"),"日",""))),"")</f>
        <v/>
      </c>
      <c r="J1747">
        <f>IFERROR(MID(I1747,FIND("-",I1747)+1,99),"")</f>
        <v/>
      </c>
    </row>
    <row r="1748">
      <c r="B1748">
        <f>IFERROR(IF($B$1=0,"",IF(INDEX(貼り付け!$A$1:$BZ$3001,1747,$B$1)="","",IF(ISNUMBER(INDEX(貼り付け!$A$1:$BZ$3001,1747,$B$1)),INT(INDEX(貼り付け!$A$1:$BZ$3001,1747,$B$1)),DATE(VALUE(LEFT(I1748,FIND("-",I1748)-1)),VALUE(LEFT(J1748,FIND("-",J1748)-1)),VALUE(MID(J1748,FIND("-",J1748)+1,99)))))),"")</f>
        <v/>
      </c>
      <c r="C1748">
        <f>IF($C$1=0,0,IFERROR(VALUE(SUBSTITUTE(SUBSTITUTE(SUBSTITUTE(INDEX(貼り付け!$A$1:$BZ$3001,1747,$C$1)&amp;"",",",""),"¥",""),"￥","")),0))</f>
        <v/>
      </c>
      <c r="D1748">
        <f>IF($D$1=0,0,IFERROR(VALUE(SUBSTITUTE(SUBSTITUTE(SUBSTITUTE(INDEX(貼り付け!$A$1:$BZ$3001,1747,$D$1)&amp;"",",",""),"¥",""),"￥","")),0))</f>
        <v/>
      </c>
      <c r="E1748">
        <f>IF($E$1=0,0,IFERROR(VALUE(SUBSTITUTE(SUBSTITUTE(SUBSTITUTE(INDEX(貼り付け!$A$1:$BZ$3001,1747,$E$1)&amp;"",",",""),"¥",""),"￥","")),0))</f>
        <v/>
      </c>
      <c r="F1748">
        <f>IF($F$1=0,0,IFERROR(VALUE(SUBSTITUTE(SUBSTITUTE(SUBSTITUTE(INDEX(貼り付け!$A$1:$BZ$3001,1747,$F$1)&amp;"",",",""),"¥",""),"￥","")),0))</f>
        <v/>
      </c>
      <c r="G1748">
        <f>IF(ISNUMBER(B1748),YEAR(B1748),"")</f>
        <v/>
      </c>
      <c r="H1748">
        <f>IF(ISNUMBER(B1748),MONTH(B1748),"")</f>
        <v/>
      </c>
      <c r="I1748">
        <f>IFERROR(IF($B$1=0,"",IF(ISNUMBER(INDEX(貼り付け!$A$1:$BZ$3001,1747,$B$1)),"",SUBSTITUTE(SUBSTITUTE(SUBSTITUTE(SUBSTITUTE(TRIM(LEFT(INDEX(貼り付け!$A$1:$BZ$3001,1747,$B$1)&amp;"",FIND(" ",TRIM(INDEX(貼り付け!$A$1:$BZ$3001,1747,$B$1)&amp;"")&amp;" ")-1)),"/","-"),"年","-"),"月","-"),"日",""))),"")</f>
        <v/>
      </c>
      <c r="J1748">
        <f>IFERROR(MID(I1748,FIND("-",I1748)+1,99),"")</f>
        <v/>
      </c>
    </row>
    <row r="1749">
      <c r="B1749">
        <f>IFERROR(IF($B$1=0,"",IF(INDEX(貼り付け!$A$1:$BZ$3001,1748,$B$1)="","",IF(ISNUMBER(INDEX(貼り付け!$A$1:$BZ$3001,1748,$B$1)),INT(INDEX(貼り付け!$A$1:$BZ$3001,1748,$B$1)),DATE(VALUE(LEFT(I1749,FIND("-",I1749)-1)),VALUE(LEFT(J1749,FIND("-",J1749)-1)),VALUE(MID(J1749,FIND("-",J1749)+1,99)))))),"")</f>
        <v/>
      </c>
      <c r="C1749">
        <f>IF($C$1=0,0,IFERROR(VALUE(SUBSTITUTE(SUBSTITUTE(SUBSTITUTE(INDEX(貼り付け!$A$1:$BZ$3001,1748,$C$1)&amp;"",",",""),"¥",""),"￥","")),0))</f>
        <v/>
      </c>
      <c r="D1749">
        <f>IF($D$1=0,0,IFERROR(VALUE(SUBSTITUTE(SUBSTITUTE(SUBSTITUTE(INDEX(貼り付け!$A$1:$BZ$3001,1748,$D$1)&amp;"",",",""),"¥",""),"￥","")),0))</f>
        <v/>
      </c>
      <c r="E1749">
        <f>IF($E$1=0,0,IFERROR(VALUE(SUBSTITUTE(SUBSTITUTE(SUBSTITUTE(INDEX(貼り付け!$A$1:$BZ$3001,1748,$E$1)&amp;"",",",""),"¥",""),"￥","")),0))</f>
        <v/>
      </c>
      <c r="F1749">
        <f>IF($F$1=0,0,IFERROR(VALUE(SUBSTITUTE(SUBSTITUTE(SUBSTITUTE(INDEX(貼り付け!$A$1:$BZ$3001,1748,$F$1)&amp;"",",",""),"¥",""),"￥","")),0))</f>
        <v/>
      </c>
      <c r="G1749">
        <f>IF(ISNUMBER(B1749),YEAR(B1749),"")</f>
        <v/>
      </c>
      <c r="H1749">
        <f>IF(ISNUMBER(B1749),MONTH(B1749),"")</f>
        <v/>
      </c>
      <c r="I1749">
        <f>IFERROR(IF($B$1=0,"",IF(ISNUMBER(INDEX(貼り付け!$A$1:$BZ$3001,1748,$B$1)),"",SUBSTITUTE(SUBSTITUTE(SUBSTITUTE(SUBSTITUTE(TRIM(LEFT(INDEX(貼り付け!$A$1:$BZ$3001,1748,$B$1)&amp;"",FIND(" ",TRIM(INDEX(貼り付け!$A$1:$BZ$3001,1748,$B$1)&amp;"")&amp;" ")-1)),"/","-"),"年","-"),"月","-"),"日",""))),"")</f>
        <v/>
      </c>
      <c r="J1749">
        <f>IFERROR(MID(I1749,FIND("-",I1749)+1,99),"")</f>
        <v/>
      </c>
    </row>
    <row r="1750">
      <c r="B1750">
        <f>IFERROR(IF($B$1=0,"",IF(INDEX(貼り付け!$A$1:$BZ$3001,1749,$B$1)="","",IF(ISNUMBER(INDEX(貼り付け!$A$1:$BZ$3001,1749,$B$1)),INT(INDEX(貼り付け!$A$1:$BZ$3001,1749,$B$1)),DATE(VALUE(LEFT(I1750,FIND("-",I1750)-1)),VALUE(LEFT(J1750,FIND("-",J1750)-1)),VALUE(MID(J1750,FIND("-",J1750)+1,99)))))),"")</f>
        <v/>
      </c>
      <c r="C1750">
        <f>IF($C$1=0,0,IFERROR(VALUE(SUBSTITUTE(SUBSTITUTE(SUBSTITUTE(INDEX(貼り付け!$A$1:$BZ$3001,1749,$C$1)&amp;"",",",""),"¥",""),"￥","")),0))</f>
        <v/>
      </c>
      <c r="D1750">
        <f>IF($D$1=0,0,IFERROR(VALUE(SUBSTITUTE(SUBSTITUTE(SUBSTITUTE(INDEX(貼り付け!$A$1:$BZ$3001,1749,$D$1)&amp;"",",",""),"¥",""),"￥","")),0))</f>
        <v/>
      </c>
      <c r="E1750">
        <f>IF($E$1=0,0,IFERROR(VALUE(SUBSTITUTE(SUBSTITUTE(SUBSTITUTE(INDEX(貼り付け!$A$1:$BZ$3001,1749,$E$1)&amp;"",",",""),"¥",""),"￥","")),0))</f>
        <v/>
      </c>
      <c r="F1750">
        <f>IF($F$1=0,0,IFERROR(VALUE(SUBSTITUTE(SUBSTITUTE(SUBSTITUTE(INDEX(貼り付け!$A$1:$BZ$3001,1749,$F$1)&amp;"",",",""),"¥",""),"￥","")),0))</f>
        <v/>
      </c>
      <c r="G1750">
        <f>IF(ISNUMBER(B1750),YEAR(B1750),"")</f>
        <v/>
      </c>
      <c r="H1750">
        <f>IF(ISNUMBER(B1750),MONTH(B1750),"")</f>
        <v/>
      </c>
      <c r="I1750">
        <f>IFERROR(IF($B$1=0,"",IF(ISNUMBER(INDEX(貼り付け!$A$1:$BZ$3001,1749,$B$1)),"",SUBSTITUTE(SUBSTITUTE(SUBSTITUTE(SUBSTITUTE(TRIM(LEFT(INDEX(貼り付け!$A$1:$BZ$3001,1749,$B$1)&amp;"",FIND(" ",TRIM(INDEX(貼り付け!$A$1:$BZ$3001,1749,$B$1)&amp;"")&amp;" ")-1)),"/","-"),"年","-"),"月","-"),"日",""))),"")</f>
        <v/>
      </c>
      <c r="J1750">
        <f>IFERROR(MID(I1750,FIND("-",I1750)+1,99),"")</f>
        <v/>
      </c>
    </row>
    <row r="1751">
      <c r="B1751">
        <f>IFERROR(IF($B$1=0,"",IF(INDEX(貼り付け!$A$1:$BZ$3001,1750,$B$1)="","",IF(ISNUMBER(INDEX(貼り付け!$A$1:$BZ$3001,1750,$B$1)),INT(INDEX(貼り付け!$A$1:$BZ$3001,1750,$B$1)),DATE(VALUE(LEFT(I1751,FIND("-",I1751)-1)),VALUE(LEFT(J1751,FIND("-",J1751)-1)),VALUE(MID(J1751,FIND("-",J1751)+1,99)))))),"")</f>
        <v/>
      </c>
      <c r="C1751">
        <f>IF($C$1=0,0,IFERROR(VALUE(SUBSTITUTE(SUBSTITUTE(SUBSTITUTE(INDEX(貼り付け!$A$1:$BZ$3001,1750,$C$1)&amp;"",",",""),"¥",""),"￥","")),0))</f>
        <v/>
      </c>
      <c r="D1751">
        <f>IF($D$1=0,0,IFERROR(VALUE(SUBSTITUTE(SUBSTITUTE(SUBSTITUTE(INDEX(貼り付け!$A$1:$BZ$3001,1750,$D$1)&amp;"",",",""),"¥",""),"￥","")),0))</f>
        <v/>
      </c>
      <c r="E1751">
        <f>IF($E$1=0,0,IFERROR(VALUE(SUBSTITUTE(SUBSTITUTE(SUBSTITUTE(INDEX(貼り付け!$A$1:$BZ$3001,1750,$E$1)&amp;"",",",""),"¥",""),"￥","")),0))</f>
        <v/>
      </c>
      <c r="F1751">
        <f>IF($F$1=0,0,IFERROR(VALUE(SUBSTITUTE(SUBSTITUTE(SUBSTITUTE(INDEX(貼り付け!$A$1:$BZ$3001,1750,$F$1)&amp;"",",",""),"¥",""),"￥","")),0))</f>
        <v/>
      </c>
      <c r="G1751">
        <f>IF(ISNUMBER(B1751),YEAR(B1751),"")</f>
        <v/>
      </c>
      <c r="H1751">
        <f>IF(ISNUMBER(B1751),MONTH(B1751),"")</f>
        <v/>
      </c>
      <c r="I1751">
        <f>IFERROR(IF($B$1=0,"",IF(ISNUMBER(INDEX(貼り付け!$A$1:$BZ$3001,1750,$B$1)),"",SUBSTITUTE(SUBSTITUTE(SUBSTITUTE(SUBSTITUTE(TRIM(LEFT(INDEX(貼り付け!$A$1:$BZ$3001,1750,$B$1)&amp;"",FIND(" ",TRIM(INDEX(貼り付け!$A$1:$BZ$3001,1750,$B$1)&amp;"")&amp;" ")-1)),"/","-"),"年","-"),"月","-"),"日",""))),"")</f>
        <v/>
      </c>
      <c r="J1751">
        <f>IFERROR(MID(I1751,FIND("-",I1751)+1,99),"")</f>
        <v/>
      </c>
    </row>
    <row r="1752">
      <c r="B1752">
        <f>IFERROR(IF($B$1=0,"",IF(INDEX(貼り付け!$A$1:$BZ$3001,1751,$B$1)="","",IF(ISNUMBER(INDEX(貼り付け!$A$1:$BZ$3001,1751,$B$1)),INT(INDEX(貼り付け!$A$1:$BZ$3001,1751,$B$1)),DATE(VALUE(LEFT(I1752,FIND("-",I1752)-1)),VALUE(LEFT(J1752,FIND("-",J1752)-1)),VALUE(MID(J1752,FIND("-",J1752)+1,99)))))),"")</f>
        <v/>
      </c>
      <c r="C1752">
        <f>IF($C$1=0,0,IFERROR(VALUE(SUBSTITUTE(SUBSTITUTE(SUBSTITUTE(INDEX(貼り付け!$A$1:$BZ$3001,1751,$C$1)&amp;"",",",""),"¥",""),"￥","")),0))</f>
        <v/>
      </c>
      <c r="D1752">
        <f>IF($D$1=0,0,IFERROR(VALUE(SUBSTITUTE(SUBSTITUTE(SUBSTITUTE(INDEX(貼り付け!$A$1:$BZ$3001,1751,$D$1)&amp;"",",",""),"¥",""),"￥","")),0))</f>
        <v/>
      </c>
      <c r="E1752">
        <f>IF($E$1=0,0,IFERROR(VALUE(SUBSTITUTE(SUBSTITUTE(SUBSTITUTE(INDEX(貼り付け!$A$1:$BZ$3001,1751,$E$1)&amp;"",",",""),"¥",""),"￥","")),0))</f>
        <v/>
      </c>
      <c r="F1752">
        <f>IF($F$1=0,0,IFERROR(VALUE(SUBSTITUTE(SUBSTITUTE(SUBSTITUTE(INDEX(貼り付け!$A$1:$BZ$3001,1751,$F$1)&amp;"",",",""),"¥",""),"￥","")),0))</f>
        <v/>
      </c>
      <c r="G1752">
        <f>IF(ISNUMBER(B1752),YEAR(B1752),"")</f>
        <v/>
      </c>
      <c r="H1752">
        <f>IF(ISNUMBER(B1752),MONTH(B1752),"")</f>
        <v/>
      </c>
      <c r="I1752">
        <f>IFERROR(IF($B$1=0,"",IF(ISNUMBER(INDEX(貼り付け!$A$1:$BZ$3001,1751,$B$1)),"",SUBSTITUTE(SUBSTITUTE(SUBSTITUTE(SUBSTITUTE(TRIM(LEFT(INDEX(貼り付け!$A$1:$BZ$3001,1751,$B$1)&amp;"",FIND(" ",TRIM(INDEX(貼り付け!$A$1:$BZ$3001,1751,$B$1)&amp;"")&amp;" ")-1)),"/","-"),"年","-"),"月","-"),"日",""))),"")</f>
        <v/>
      </c>
      <c r="J1752">
        <f>IFERROR(MID(I1752,FIND("-",I1752)+1,99),"")</f>
        <v/>
      </c>
    </row>
    <row r="1753">
      <c r="B1753">
        <f>IFERROR(IF($B$1=0,"",IF(INDEX(貼り付け!$A$1:$BZ$3001,1752,$B$1)="","",IF(ISNUMBER(INDEX(貼り付け!$A$1:$BZ$3001,1752,$B$1)),INT(INDEX(貼り付け!$A$1:$BZ$3001,1752,$B$1)),DATE(VALUE(LEFT(I1753,FIND("-",I1753)-1)),VALUE(LEFT(J1753,FIND("-",J1753)-1)),VALUE(MID(J1753,FIND("-",J1753)+1,99)))))),"")</f>
        <v/>
      </c>
      <c r="C1753">
        <f>IF($C$1=0,0,IFERROR(VALUE(SUBSTITUTE(SUBSTITUTE(SUBSTITUTE(INDEX(貼り付け!$A$1:$BZ$3001,1752,$C$1)&amp;"",",",""),"¥",""),"￥","")),0))</f>
        <v/>
      </c>
      <c r="D1753">
        <f>IF($D$1=0,0,IFERROR(VALUE(SUBSTITUTE(SUBSTITUTE(SUBSTITUTE(INDEX(貼り付け!$A$1:$BZ$3001,1752,$D$1)&amp;"",",",""),"¥",""),"￥","")),0))</f>
        <v/>
      </c>
      <c r="E1753">
        <f>IF($E$1=0,0,IFERROR(VALUE(SUBSTITUTE(SUBSTITUTE(SUBSTITUTE(INDEX(貼り付け!$A$1:$BZ$3001,1752,$E$1)&amp;"",",",""),"¥",""),"￥","")),0))</f>
        <v/>
      </c>
      <c r="F1753">
        <f>IF($F$1=0,0,IFERROR(VALUE(SUBSTITUTE(SUBSTITUTE(SUBSTITUTE(INDEX(貼り付け!$A$1:$BZ$3001,1752,$F$1)&amp;"",",",""),"¥",""),"￥","")),0))</f>
        <v/>
      </c>
      <c r="G1753">
        <f>IF(ISNUMBER(B1753),YEAR(B1753),"")</f>
        <v/>
      </c>
      <c r="H1753">
        <f>IF(ISNUMBER(B1753),MONTH(B1753),"")</f>
        <v/>
      </c>
      <c r="I1753">
        <f>IFERROR(IF($B$1=0,"",IF(ISNUMBER(INDEX(貼り付け!$A$1:$BZ$3001,1752,$B$1)),"",SUBSTITUTE(SUBSTITUTE(SUBSTITUTE(SUBSTITUTE(TRIM(LEFT(INDEX(貼り付け!$A$1:$BZ$3001,1752,$B$1)&amp;"",FIND(" ",TRIM(INDEX(貼り付け!$A$1:$BZ$3001,1752,$B$1)&amp;"")&amp;" ")-1)),"/","-"),"年","-"),"月","-"),"日",""))),"")</f>
        <v/>
      </c>
      <c r="J1753">
        <f>IFERROR(MID(I1753,FIND("-",I1753)+1,99),"")</f>
        <v/>
      </c>
    </row>
    <row r="1754">
      <c r="B1754">
        <f>IFERROR(IF($B$1=0,"",IF(INDEX(貼り付け!$A$1:$BZ$3001,1753,$B$1)="","",IF(ISNUMBER(INDEX(貼り付け!$A$1:$BZ$3001,1753,$B$1)),INT(INDEX(貼り付け!$A$1:$BZ$3001,1753,$B$1)),DATE(VALUE(LEFT(I1754,FIND("-",I1754)-1)),VALUE(LEFT(J1754,FIND("-",J1754)-1)),VALUE(MID(J1754,FIND("-",J1754)+1,99)))))),"")</f>
        <v/>
      </c>
      <c r="C1754">
        <f>IF($C$1=0,0,IFERROR(VALUE(SUBSTITUTE(SUBSTITUTE(SUBSTITUTE(INDEX(貼り付け!$A$1:$BZ$3001,1753,$C$1)&amp;"",",",""),"¥",""),"￥","")),0))</f>
        <v/>
      </c>
      <c r="D1754">
        <f>IF($D$1=0,0,IFERROR(VALUE(SUBSTITUTE(SUBSTITUTE(SUBSTITUTE(INDEX(貼り付け!$A$1:$BZ$3001,1753,$D$1)&amp;"",",",""),"¥",""),"￥","")),0))</f>
        <v/>
      </c>
      <c r="E1754">
        <f>IF($E$1=0,0,IFERROR(VALUE(SUBSTITUTE(SUBSTITUTE(SUBSTITUTE(INDEX(貼り付け!$A$1:$BZ$3001,1753,$E$1)&amp;"",",",""),"¥",""),"￥","")),0))</f>
        <v/>
      </c>
      <c r="F1754">
        <f>IF($F$1=0,0,IFERROR(VALUE(SUBSTITUTE(SUBSTITUTE(SUBSTITUTE(INDEX(貼り付け!$A$1:$BZ$3001,1753,$F$1)&amp;"",",",""),"¥",""),"￥","")),0))</f>
        <v/>
      </c>
      <c r="G1754">
        <f>IF(ISNUMBER(B1754),YEAR(B1754),"")</f>
        <v/>
      </c>
      <c r="H1754">
        <f>IF(ISNUMBER(B1754),MONTH(B1754),"")</f>
        <v/>
      </c>
      <c r="I1754">
        <f>IFERROR(IF($B$1=0,"",IF(ISNUMBER(INDEX(貼り付け!$A$1:$BZ$3001,1753,$B$1)),"",SUBSTITUTE(SUBSTITUTE(SUBSTITUTE(SUBSTITUTE(TRIM(LEFT(INDEX(貼り付け!$A$1:$BZ$3001,1753,$B$1)&amp;"",FIND(" ",TRIM(INDEX(貼り付け!$A$1:$BZ$3001,1753,$B$1)&amp;"")&amp;" ")-1)),"/","-"),"年","-"),"月","-"),"日",""))),"")</f>
        <v/>
      </c>
      <c r="J1754">
        <f>IFERROR(MID(I1754,FIND("-",I1754)+1,99),"")</f>
        <v/>
      </c>
    </row>
    <row r="1755">
      <c r="B1755">
        <f>IFERROR(IF($B$1=0,"",IF(INDEX(貼り付け!$A$1:$BZ$3001,1754,$B$1)="","",IF(ISNUMBER(INDEX(貼り付け!$A$1:$BZ$3001,1754,$B$1)),INT(INDEX(貼り付け!$A$1:$BZ$3001,1754,$B$1)),DATE(VALUE(LEFT(I1755,FIND("-",I1755)-1)),VALUE(LEFT(J1755,FIND("-",J1755)-1)),VALUE(MID(J1755,FIND("-",J1755)+1,99)))))),"")</f>
        <v/>
      </c>
      <c r="C1755">
        <f>IF($C$1=0,0,IFERROR(VALUE(SUBSTITUTE(SUBSTITUTE(SUBSTITUTE(INDEX(貼り付け!$A$1:$BZ$3001,1754,$C$1)&amp;"",",",""),"¥",""),"￥","")),0))</f>
        <v/>
      </c>
      <c r="D1755">
        <f>IF($D$1=0,0,IFERROR(VALUE(SUBSTITUTE(SUBSTITUTE(SUBSTITUTE(INDEX(貼り付け!$A$1:$BZ$3001,1754,$D$1)&amp;"",",",""),"¥",""),"￥","")),0))</f>
        <v/>
      </c>
      <c r="E1755">
        <f>IF($E$1=0,0,IFERROR(VALUE(SUBSTITUTE(SUBSTITUTE(SUBSTITUTE(INDEX(貼り付け!$A$1:$BZ$3001,1754,$E$1)&amp;"",",",""),"¥",""),"￥","")),0))</f>
        <v/>
      </c>
      <c r="F1755">
        <f>IF($F$1=0,0,IFERROR(VALUE(SUBSTITUTE(SUBSTITUTE(SUBSTITUTE(INDEX(貼り付け!$A$1:$BZ$3001,1754,$F$1)&amp;"",",",""),"¥",""),"￥","")),0))</f>
        <v/>
      </c>
      <c r="G1755">
        <f>IF(ISNUMBER(B1755),YEAR(B1755),"")</f>
        <v/>
      </c>
      <c r="H1755">
        <f>IF(ISNUMBER(B1755),MONTH(B1755),"")</f>
        <v/>
      </c>
      <c r="I1755">
        <f>IFERROR(IF($B$1=0,"",IF(ISNUMBER(INDEX(貼り付け!$A$1:$BZ$3001,1754,$B$1)),"",SUBSTITUTE(SUBSTITUTE(SUBSTITUTE(SUBSTITUTE(TRIM(LEFT(INDEX(貼り付け!$A$1:$BZ$3001,1754,$B$1)&amp;"",FIND(" ",TRIM(INDEX(貼り付け!$A$1:$BZ$3001,1754,$B$1)&amp;"")&amp;" ")-1)),"/","-"),"年","-"),"月","-"),"日",""))),"")</f>
        <v/>
      </c>
      <c r="J1755">
        <f>IFERROR(MID(I1755,FIND("-",I1755)+1,99),"")</f>
        <v/>
      </c>
    </row>
    <row r="1756">
      <c r="B1756">
        <f>IFERROR(IF($B$1=0,"",IF(INDEX(貼り付け!$A$1:$BZ$3001,1755,$B$1)="","",IF(ISNUMBER(INDEX(貼り付け!$A$1:$BZ$3001,1755,$B$1)),INT(INDEX(貼り付け!$A$1:$BZ$3001,1755,$B$1)),DATE(VALUE(LEFT(I1756,FIND("-",I1756)-1)),VALUE(LEFT(J1756,FIND("-",J1756)-1)),VALUE(MID(J1756,FIND("-",J1756)+1,99)))))),"")</f>
        <v/>
      </c>
      <c r="C1756">
        <f>IF($C$1=0,0,IFERROR(VALUE(SUBSTITUTE(SUBSTITUTE(SUBSTITUTE(INDEX(貼り付け!$A$1:$BZ$3001,1755,$C$1)&amp;"",",",""),"¥",""),"￥","")),0))</f>
        <v/>
      </c>
      <c r="D1756">
        <f>IF($D$1=0,0,IFERROR(VALUE(SUBSTITUTE(SUBSTITUTE(SUBSTITUTE(INDEX(貼り付け!$A$1:$BZ$3001,1755,$D$1)&amp;"",",",""),"¥",""),"￥","")),0))</f>
        <v/>
      </c>
      <c r="E1756">
        <f>IF($E$1=0,0,IFERROR(VALUE(SUBSTITUTE(SUBSTITUTE(SUBSTITUTE(INDEX(貼り付け!$A$1:$BZ$3001,1755,$E$1)&amp;"",",",""),"¥",""),"￥","")),0))</f>
        <v/>
      </c>
      <c r="F1756">
        <f>IF($F$1=0,0,IFERROR(VALUE(SUBSTITUTE(SUBSTITUTE(SUBSTITUTE(INDEX(貼り付け!$A$1:$BZ$3001,1755,$F$1)&amp;"",",",""),"¥",""),"￥","")),0))</f>
        <v/>
      </c>
      <c r="G1756">
        <f>IF(ISNUMBER(B1756),YEAR(B1756),"")</f>
        <v/>
      </c>
      <c r="H1756">
        <f>IF(ISNUMBER(B1756),MONTH(B1756),"")</f>
        <v/>
      </c>
      <c r="I1756">
        <f>IFERROR(IF($B$1=0,"",IF(ISNUMBER(INDEX(貼り付け!$A$1:$BZ$3001,1755,$B$1)),"",SUBSTITUTE(SUBSTITUTE(SUBSTITUTE(SUBSTITUTE(TRIM(LEFT(INDEX(貼り付け!$A$1:$BZ$3001,1755,$B$1)&amp;"",FIND(" ",TRIM(INDEX(貼り付け!$A$1:$BZ$3001,1755,$B$1)&amp;"")&amp;" ")-1)),"/","-"),"年","-"),"月","-"),"日",""))),"")</f>
        <v/>
      </c>
      <c r="J1756">
        <f>IFERROR(MID(I1756,FIND("-",I1756)+1,99),"")</f>
        <v/>
      </c>
    </row>
    <row r="1757">
      <c r="B1757">
        <f>IFERROR(IF($B$1=0,"",IF(INDEX(貼り付け!$A$1:$BZ$3001,1756,$B$1)="","",IF(ISNUMBER(INDEX(貼り付け!$A$1:$BZ$3001,1756,$B$1)),INT(INDEX(貼り付け!$A$1:$BZ$3001,1756,$B$1)),DATE(VALUE(LEFT(I1757,FIND("-",I1757)-1)),VALUE(LEFT(J1757,FIND("-",J1757)-1)),VALUE(MID(J1757,FIND("-",J1757)+1,99)))))),"")</f>
        <v/>
      </c>
      <c r="C1757">
        <f>IF($C$1=0,0,IFERROR(VALUE(SUBSTITUTE(SUBSTITUTE(SUBSTITUTE(INDEX(貼り付け!$A$1:$BZ$3001,1756,$C$1)&amp;"",",",""),"¥",""),"￥","")),0))</f>
        <v/>
      </c>
      <c r="D1757">
        <f>IF($D$1=0,0,IFERROR(VALUE(SUBSTITUTE(SUBSTITUTE(SUBSTITUTE(INDEX(貼り付け!$A$1:$BZ$3001,1756,$D$1)&amp;"",",",""),"¥",""),"￥","")),0))</f>
        <v/>
      </c>
      <c r="E1757">
        <f>IF($E$1=0,0,IFERROR(VALUE(SUBSTITUTE(SUBSTITUTE(SUBSTITUTE(INDEX(貼り付け!$A$1:$BZ$3001,1756,$E$1)&amp;"",",",""),"¥",""),"￥","")),0))</f>
        <v/>
      </c>
      <c r="F1757">
        <f>IF($F$1=0,0,IFERROR(VALUE(SUBSTITUTE(SUBSTITUTE(SUBSTITUTE(INDEX(貼り付け!$A$1:$BZ$3001,1756,$F$1)&amp;"",",",""),"¥",""),"￥","")),0))</f>
        <v/>
      </c>
      <c r="G1757">
        <f>IF(ISNUMBER(B1757),YEAR(B1757),"")</f>
        <v/>
      </c>
      <c r="H1757">
        <f>IF(ISNUMBER(B1757),MONTH(B1757),"")</f>
        <v/>
      </c>
      <c r="I1757">
        <f>IFERROR(IF($B$1=0,"",IF(ISNUMBER(INDEX(貼り付け!$A$1:$BZ$3001,1756,$B$1)),"",SUBSTITUTE(SUBSTITUTE(SUBSTITUTE(SUBSTITUTE(TRIM(LEFT(INDEX(貼り付け!$A$1:$BZ$3001,1756,$B$1)&amp;"",FIND(" ",TRIM(INDEX(貼り付け!$A$1:$BZ$3001,1756,$B$1)&amp;"")&amp;" ")-1)),"/","-"),"年","-"),"月","-"),"日",""))),"")</f>
        <v/>
      </c>
      <c r="J1757">
        <f>IFERROR(MID(I1757,FIND("-",I1757)+1,99),"")</f>
        <v/>
      </c>
    </row>
    <row r="1758">
      <c r="B1758">
        <f>IFERROR(IF($B$1=0,"",IF(INDEX(貼り付け!$A$1:$BZ$3001,1757,$B$1)="","",IF(ISNUMBER(INDEX(貼り付け!$A$1:$BZ$3001,1757,$B$1)),INT(INDEX(貼り付け!$A$1:$BZ$3001,1757,$B$1)),DATE(VALUE(LEFT(I1758,FIND("-",I1758)-1)),VALUE(LEFT(J1758,FIND("-",J1758)-1)),VALUE(MID(J1758,FIND("-",J1758)+1,99)))))),"")</f>
        <v/>
      </c>
      <c r="C1758">
        <f>IF($C$1=0,0,IFERROR(VALUE(SUBSTITUTE(SUBSTITUTE(SUBSTITUTE(INDEX(貼り付け!$A$1:$BZ$3001,1757,$C$1)&amp;"",",",""),"¥",""),"￥","")),0))</f>
        <v/>
      </c>
      <c r="D1758">
        <f>IF($D$1=0,0,IFERROR(VALUE(SUBSTITUTE(SUBSTITUTE(SUBSTITUTE(INDEX(貼り付け!$A$1:$BZ$3001,1757,$D$1)&amp;"",",",""),"¥",""),"￥","")),0))</f>
        <v/>
      </c>
      <c r="E1758">
        <f>IF($E$1=0,0,IFERROR(VALUE(SUBSTITUTE(SUBSTITUTE(SUBSTITUTE(INDEX(貼り付け!$A$1:$BZ$3001,1757,$E$1)&amp;"",",",""),"¥",""),"￥","")),0))</f>
        <v/>
      </c>
      <c r="F1758">
        <f>IF($F$1=0,0,IFERROR(VALUE(SUBSTITUTE(SUBSTITUTE(SUBSTITUTE(INDEX(貼り付け!$A$1:$BZ$3001,1757,$F$1)&amp;"",",",""),"¥",""),"￥","")),0))</f>
        <v/>
      </c>
      <c r="G1758">
        <f>IF(ISNUMBER(B1758),YEAR(B1758),"")</f>
        <v/>
      </c>
      <c r="H1758">
        <f>IF(ISNUMBER(B1758),MONTH(B1758),"")</f>
        <v/>
      </c>
      <c r="I1758">
        <f>IFERROR(IF($B$1=0,"",IF(ISNUMBER(INDEX(貼り付け!$A$1:$BZ$3001,1757,$B$1)),"",SUBSTITUTE(SUBSTITUTE(SUBSTITUTE(SUBSTITUTE(TRIM(LEFT(INDEX(貼り付け!$A$1:$BZ$3001,1757,$B$1)&amp;"",FIND(" ",TRIM(INDEX(貼り付け!$A$1:$BZ$3001,1757,$B$1)&amp;"")&amp;" ")-1)),"/","-"),"年","-"),"月","-"),"日",""))),"")</f>
        <v/>
      </c>
      <c r="J1758">
        <f>IFERROR(MID(I1758,FIND("-",I1758)+1,99),"")</f>
        <v/>
      </c>
    </row>
    <row r="1759">
      <c r="B1759">
        <f>IFERROR(IF($B$1=0,"",IF(INDEX(貼り付け!$A$1:$BZ$3001,1758,$B$1)="","",IF(ISNUMBER(INDEX(貼り付け!$A$1:$BZ$3001,1758,$B$1)),INT(INDEX(貼り付け!$A$1:$BZ$3001,1758,$B$1)),DATE(VALUE(LEFT(I1759,FIND("-",I1759)-1)),VALUE(LEFT(J1759,FIND("-",J1759)-1)),VALUE(MID(J1759,FIND("-",J1759)+1,99)))))),"")</f>
        <v/>
      </c>
      <c r="C1759">
        <f>IF($C$1=0,0,IFERROR(VALUE(SUBSTITUTE(SUBSTITUTE(SUBSTITUTE(INDEX(貼り付け!$A$1:$BZ$3001,1758,$C$1)&amp;"",",",""),"¥",""),"￥","")),0))</f>
        <v/>
      </c>
      <c r="D1759">
        <f>IF($D$1=0,0,IFERROR(VALUE(SUBSTITUTE(SUBSTITUTE(SUBSTITUTE(INDEX(貼り付け!$A$1:$BZ$3001,1758,$D$1)&amp;"",",",""),"¥",""),"￥","")),0))</f>
        <v/>
      </c>
      <c r="E1759">
        <f>IF($E$1=0,0,IFERROR(VALUE(SUBSTITUTE(SUBSTITUTE(SUBSTITUTE(INDEX(貼り付け!$A$1:$BZ$3001,1758,$E$1)&amp;"",",",""),"¥",""),"￥","")),0))</f>
        <v/>
      </c>
      <c r="F1759">
        <f>IF($F$1=0,0,IFERROR(VALUE(SUBSTITUTE(SUBSTITUTE(SUBSTITUTE(INDEX(貼り付け!$A$1:$BZ$3001,1758,$F$1)&amp;"",",",""),"¥",""),"￥","")),0))</f>
        <v/>
      </c>
      <c r="G1759">
        <f>IF(ISNUMBER(B1759),YEAR(B1759),"")</f>
        <v/>
      </c>
      <c r="H1759">
        <f>IF(ISNUMBER(B1759),MONTH(B1759),"")</f>
        <v/>
      </c>
      <c r="I1759">
        <f>IFERROR(IF($B$1=0,"",IF(ISNUMBER(INDEX(貼り付け!$A$1:$BZ$3001,1758,$B$1)),"",SUBSTITUTE(SUBSTITUTE(SUBSTITUTE(SUBSTITUTE(TRIM(LEFT(INDEX(貼り付け!$A$1:$BZ$3001,1758,$B$1)&amp;"",FIND(" ",TRIM(INDEX(貼り付け!$A$1:$BZ$3001,1758,$B$1)&amp;"")&amp;" ")-1)),"/","-"),"年","-"),"月","-"),"日",""))),"")</f>
        <v/>
      </c>
      <c r="J1759">
        <f>IFERROR(MID(I1759,FIND("-",I1759)+1,99),"")</f>
        <v/>
      </c>
    </row>
    <row r="1760">
      <c r="B1760">
        <f>IFERROR(IF($B$1=0,"",IF(INDEX(貼り付け!$A$1:$BZ$3001,1759,$B$1)="","",IF(ISNUMBER(INDEX(貼り付け!$A$1:$BZ$3001,1759,$B$1)),INT(INDEX(貼り付け!$A$1:$BZ$3001,1759,$B$1)),DATE(VALUE(LEFT(I1760,FIND("-",I1760)-1)),VALUE(LEFT(J1760,FIND("-",J1760)-1)),VALUE(MID(J1760,FIND("-",J1760)+1,99)))))),"")</f>
        <v/>
      </c>
      <c r="C1760">
        <f>IF($C$1=0,0,IFERROR(VALUE(SUBSTITUTE(SUBSTITUTE(SUBSTITUTE(INDEX(貼り付け!$A$1:$BZ$3001,1759,$C$1)&amp;"",",",""),"¥",""),"￥","")),0))</f>
        <v/>
      </c>
      <c r="D1760">
        <f>IF($D$1=0,0,IFERROR(VALUE(SUBSTITUTE(SUBSTITUTE(SUBSTITUTE(INDEX(貼り付け!$A$1:$BZ$3001,1759,$D$1)&amp;"",",",""),"¥",""),"￥","")),0))</f>
        <v/>
      </c>
      <c r="E1760">
        <f>IF($E$1=0,0,IFERROR(VALUE(SUBSTITUTE(SUBSTITUTE(SUBSTITUTE(INDEX(貼り付け!$A$1:$BZ$3001,1759,$E$1)&amp;"",",",""),"¥",""),"￥","")),0))</f>
        <v/>
      </c>
      <c r="F1760">
        <f>IF($F$1=0,0,IFERROR(VALUE(SUBSTITUTE(SUBSTITUTE(SUBSTITUTE(INDEX(貼り付け!$A$1:$BZ$3001,1759,$F$1)&amp;"",",",""),"¥",""),"￥","")),0))</f>
        <v/>
      </c>
      <c r="G1760">
        <f>IF(ISNUMBER(B1760),YEAR(B1760),"")</f>
        <v/>
      </c>
      <c r="H1760">
        <f>IF(ISNUMBER(B1760),MONTH(B1760),"")</f>
        <v/>
      </c>
      <c r="I1760">
        <f>IFERROR(IF($B$1=0,"",IF(ISNUMBER(INDEX(貼り付け!$A$1:$BZ$3001,1759,$B$1)),"",SUBSTITUTE(SUBSTITUTE(SUBSTITUTE(SUBSTITUTE(TRIM(LEFT(INDEX(貼り付け!$A$1:$BZ$3001,1759,$B$1)&amp;"",FIND(" ",TRIM(INDEX(貼り付け!$A$1:$BZ$3001,1759,$B$1)&amp;"")&amp;" ")-1)),"/","-"),"年","-"),"月","-"),"日",""))),"")</f>
        <v/>
      </c>
      <c r="J1760">
        <f>IFERROR(MID(I1760,FIND("-",I1760)+1,99),"")</f>
        <v/>
      </c>
    </row>
    <row r="1761">
      <c r="B1761">
        <f>IFERROR(IF($B$1=0,"",IF(INDEX(貼り付け!$A$1:$BZ$3001,1760,$B$1)="","",IF(ISNUMBER(INDEX(貼り付け!$A$1:$BZ$3001,1760,$B$1)),INT(INDEX(貼り付け!$A$1:$BZ$3001,1760,$B$1)),DATE(VALUE(LEFT(I1761,FIND("-",I1761)-1)),VALUE(LEFT(J1761,FIND("-",J1761)-1)),VALUE(MID(J1761,FIND("-",J1761)+1,99)))))),"")</f>
        <v/>
      </c>
      <c r="C1761">
        <f>IF($C$1=0,0,IFERROR(VALUE(SUBSTITUTE(SUBSTITUTE(SUBSTITUTE(INDEX(貼り付け!$A$1:$BZ$3001,1760,$C$1)&amp;"",",",""),"¥",""),"￥","")),0))</f>
        <v/>
      </c>
      <c r="D1761">
        <f>IF($D$1=0,0,IFERROR(VALUE(SUBSTITUTE(SUBSTITUTE(SUBSTITUTE(INDEX(貼り付け!$A$1:$BZ$3001,1760,$D$1)&amp;"",",",""),"¥",""),"￥","")),0))</f>
        <v/>
      </c>
      <c r="E1761">
        <f>IF($E$1=0,0,IFERROR(VALUE(SUBSTITUTE(SUBSTITUTE(SUBSTITUTE(INDEX(貼り付け!$A$1:$BZ$3001,1760,$E$1)&amp;"",",",""),"¥",""),"￥","")),0))</f>
        <v/>
      </c>
      <c r="F1761">
        <f>IF($F$1=0,0,IFERROR(VALUE(SUBSTITUTE(SUBSTITUTE(SUBSTITUTE(INDEX(貼り付け!$A$1:$BZ$3001,1760,$F$1)&amp;"",",",""),"¥",""),"￥","")),0))</f>
        <v/>
      </c>
      <c r="G1761">
        <f>IF(ISNUMBER(B1761),YEAR(B1761),"")</f>
        <v/>
      </c>
      <c r="H1761">
        <f>IF(ISNUMBER(B1761),MONTH(B1761),"")</f>
        <v/>
      </c>
      <c r="I1761">
        <f>IFERROR(IF($B$1=0,"",IF(ISNUMBER(INDEX(貼り付け!$A$1:$BZ$3001,1760,$B$1)),"",SUBSTITUTE(SUBSTITUTE(SUBSTITUTE(SUBSTITUTE(TRIM(LEFT(INDEX(貼り付け!$A$1:$BZ$3001,1760,$B$1)&amp;"",FIND(" ",TRIM(INDEX(貼り付け!$A$1:$BZ$3001,1760,$B$1)&amp;"")&amp;" ")-1)),"/","-"),"年","-"),"月","-"),"日",""))),"")</f>
        <v/>
      </c>
      <c r="J1761">
        <f>IFERROR(MID(I1761,FIND("-",I1761)+1,99),"")</f>
        <v/>
      </c>
    </row>
    <row r="1762">
      <c r="B1762">
        <f>IFERROR(IF($B$1=0,"",IF(INDEX(貼り付け!$A$1:$BZ$3001,1761,$B$1)="","",IF(ISNUMBER(INDEX(貼り付け!$A$1:$BZ$3001,1761,$B$1)),INT(INDEX(貼り付け!$A$1:$BZ$3001,1761,$B$1)),DATE(VALUE(LEFT(I1762,FIND("-",I1762)-1)),VALUE(LEFT(J1762,FIND("-",J1762)-1)),VALUE(MID(J1762,FIND("-",J1762)+1,99)))))),"")</f>
        <v/>
      </c>
      <c r="C1762">
        <f>IF($C$1=0,0,IFERROR(VALUE(SUBSTITUTE(SUBSTITUTE(SUBSTITUTE(INDEX(貼り付け!$A$1:$BZ$3001,1761,$C$1)&amp;"",",",""),"¥",""),"￥","")),0))</f>
        <v/>
      </c>
      <c r="D1762">
        <f>IF($D$1=0,0,IFERROR(VALUE(SUBSTITUTE(SUBSTITUTE(SUBSTITUTE(INDEX(貼り付け!$A$1:$BZ$3001,1761,$D$1)&amp;"",",",""),"¥",""),"￥","")),0))</f>
        <v/>
      </c>
      <c r="E1762">
        <f>IF($E$1=0,0,IFERROR(VALUE(SUBSTITUTE(SUBSTITUTE(SUBSTITUTE(INDEX(貼り付け!$A$1:$BZ$3001,1761,$E$1)&amp;"",",",""),"¥",""),"￥","")),0))</f>
        <v/>
      </c>
      <c r="F1762">
        <f>IF($F$1=0,0,IFERROR(VALUE(SUBSTITUTE(SUBSTITUTE(SUBSTITUTE(INDEX(貼り付け!$A$1:$BZ$3001,1761,$F$1)&amp;"",",",""),"¥",""),"￥","")),0))</f>
        <v/>
      </c>
      <c r="G1762">
        <f>IF(ISNUMBER(B1762),YEAR(B1762),"")</f>
        <v/>
      </c>
      <c r="H1762">
        <f>IF(ISNUMBER(B1762),MONTH(B1762),"")</f>
        <v/>
      </c>
      <c r="I1762">
        <f>IFERROR(IF($B$1=0,"",IF(ISNUMBER(INDEX(貼り付け!$A$1:$BZ$3001,1761,$B$1)),"",SUBSTITUTE(SUBSTITUTE(SUBSTITUTE(SUBSTITUTE(TRIM(LEFT(INDEX(貼り付け!$A$1:$BZ$3001,1761,$B$1)&amp;"",FIND(" ",TRIM(INDEX(貼り付け!$A$1:$BZ$3001,1761,$B$1)&amp;"")&amp;" ")-1)),"/","-"),"年","-"),"月","-"),"日",""))),"")</f>
        <v/>
      </c>
      <c r="J1762">
        <f>IFERROR(MID(I1762,FIND("-",I1762)+1,99),"")</f>
        <v/>
      </c>
    </row>
    <row r="1763">
      <c r="B1763">
        <f>IFERROR(IF($B$1=0,"",IF(INDEX(貼り付け!$A$1:$BZ$3001,1762,$B$1)="","",IF(ISNUMBER(INDEX(貼り付け!$A$1:$BZ$3001,1762,$B$1)),INT(INDEX(貼り付け!$A$1:$BZ$3001,1762,$B$1)),DATE(VALUE(LEFT(I1763,FIND("-",I1763)-1)),VALUE(LEFT(J1763,FIND("-",J1763)-1)),VALUE(MID(J1763,FIND("-",J1763)+1,99)))))),"")</f>
        <v/>
      </c>
      <c r="C1763">
        <f>IF($C$1=0,0,IFERROR(VALUE(SUBSTITUTE(SUBSTITUTE(SUBSTITUTE(INDEX(貼り付け!$A$1:$BZ$3001,1762,$C$1)&amp;"",",",""),"¥",""),"￥","")),0))</f>
        <v/>
      </c>
      <c r="D1763">
        <f>IF($D$1=0,0,IFERROR(VALUE(SUBSTITUTE(SUBSTITUTE(SUBSTITUTE(INDEX(貼り付け!$A$1:$BZ$3001,1762,$D$1)&amp;"",",",""),"¥",""),"￥","")),0))</f>
        <v/>
      </c>
      <c r="E1763">
        <f>IF($E$1=0,0,IFERROR(VALUE(SUBSTITUTE(SUBSTITUTE(SUBSTITUTE(INDEX(貼り付け!$A$1:$BZ$3001,1762,$E$1)&amp;"",",",""),"¥",""),"￥","")),0))</f>
        <v/>
      </c>
      <c r="F1763">
        <f>IF($F$1=0,0,IFERROR(VALUE(SUBSTITUTE(SUBSTITUTE(SUBSTITUTE(INDEX(貼り付け!$A$1:$BZ$3001,1762,$F$1)&amp;"",",",""),"¥",""),"￥","")),0))</f>
        <v/>
      </c>
      <c r="G1763">
        <f>IF(ISNUMBER(B1763),YEAR(B1763),"")</f>
        <v/>
      </c>
      <c r="H1763">
        <f>IF(ISNUMBER(B1763),MONTH(B1763),"")</f>
        <v/>
      </c>
      <c r="I1763">
        <f>IFERROR(IF($B$1=0,"",IF(ISNUMBER(INDEX(貼り付け!$A$1:$BZ$3001,1762,$B$1)),"",SUBSTITUTE(SUBSTITUTE(SUBSTITUTE(SUBSTITUTE(TRIM(LEFT(INDEX(貼り付け!$A$1:$BZ$3001,1762,$B$1)&amp;"",FIND(" ",TRIM(INDEX(貼り付け!$A$1:$BZ$3001,1762,$B$1)&amp;"")&amp;" ")-1)),"/","-"),"年","-"),"月","-"),"日",""))),"")</f>
        <v/>
      </c>
      <c r="J1763">
        <f>IFERROR(MID(I1763,FIND("-",I1763)+1,99),"")</f>
        <v/>
      </c>
    </row>
    <row r="1764">
      <c r="B1764">
        <f>IFERROR(IF($B$1=0,"",IF(INDEX(貼り付け!$A$1:$BZ$3001,1763,$B$1)="","",IF(ISNUMBER(INDEX(貼り付け!$A$1:$BZ$3001,1763,$B$1)),INT(INDEX(貼り付け!$A$1:$BZ$3001,1763,$B$1)),DATE(VALUE(LEFT(I1764,FIND("-",I1764)-1)),VALUE(LEFT(J1764,FIND("-",J1764)-1)),VALUE(MID(J1764,FIND("-",J1764)+1,99)))))),"")</f>
        <v/>
      </c>
      <c r="C1764">
        <f>IF($C$1=0,0,IFERROR(VALUE(SUBSTITUTE(SUBSTITUTE(SUBSTITUTE(INDEX(貼り付け!$A$1:$BZ$3001,1763,$C$1)&amp;"",",",""),"¥",""),"￥","")),0))</f>
        <v/>
      </c>
      <c r="D1764">
        <f>IF($D$1=0,0,IFERROR(VALUE(SUBSTITUTE(SUBSTITUTE(SUBSTITUTE(INDEX(貼り付け!$A$1:$BZ$3001,1763,$D$1)&amp;"",",",""),"¥",""),"￥","")),0))</f>
        <v/>
      </c>
      <c r="E1764">
        <f>IF($E$1=0,0,IFERROR(VALUE(SUBSTITUTE(SUBSTITUTE(SUBSTITUTE(INDEX(貼り付け!$A$1:$BZ$3001,1763,$E$1)&amp;"",",",""),"¥",""),"￥","")),0))</f>
        <v/>
      </c>
      <c r="F1764">
        <f>IF($F$1=0,0,IFERROR(VALUE(SUBSTITUTE(SUBSTITUTE(SUBSTITUTE(INDEX(貼り付け!$A$1:$BZ$3001,1763,$F$1)&amp;"",",",""),"¥",""),"￥","")),0))</f>
        <v/>
      </c>
      <c r="G1764">
        <f>IF(ISNUMBER(B1764),YEAR(B1764),"")</f>
        <v/>
      </c>
      <c r="H1764">
        <f>IF(ISNUMBER(B1764),MONTH(B1764),"")</f>
        <v/>
      </c>
      <c r="I1764">
        <f>IFERROR(IF($B$1=0,"",IF(ISNUMBER(INDEX(貼り付け!$A$1:$BZ$3001,1763,$B$1)),"",SUBSTITUTE(SUBSTITUTE(SUBSTITUTE(SUBSTITUTE(TRIM(LEFT(INDEX(貼り付け!$A$1:$BZ$3001,1763,$B$1)&amp;"",FIND(" ",TRIM(INDEX(貼り付け!$A$1:$BZ$3001,1763,$B$1)&amp;"")&amp;" ")-1)),"/","-"),"年","-"),"月","-"),"日",""))),"")</f>
        <v/>
      </c>
      <c r="J1764">
        <f>IFERROR(MID(I1764,FIND("-",I1764)+1,99),"")</f>
        <v/>
      </c>
    </row>
    <row r="1765">
      <c r="B1765">
        <f>IFERROR(IF($B$1=0,"",IF(INDEX(貼り付け!$A$1:$BZ$3001,1764,$B$1)="","",IF(ISNUMBER(INDEX(貼り付け!$A$1:$BZ$3001,1764,$B$1)),INT(INDEX(貼り付け!$A$1:$BZ$3001,1764,$B$1)),DATE(VALUE(LEFT(I1765,FIND("-",I1765)-1)),VALUE(LEFT(J1765,FIND("-",J1765)-1)),VALUE(MID(J1765,FIND("-",J1765)+1,99)))))),"")</f>
        <v/>
      </c>
      <c r="C1765">
        <f>IF($C$1=0,0,IFERROR(VALUE(SUBSTITUTE(SUBSTITUTE(SUBSTITUTE(INDEX(貼り付け!$A$1:$BZ$3001,1764,$C$1)&amp;"",",",""),"¥",""),"￥","")),0))</f>
        <v/>
      </c>
      <c r="D1765">
        <f>IF($D$1=0,0,IFERROR(VALUE(SUBSTITUTE(SUBSTITUTE(SUBSTITUTE(INDEX(貼り付け!$A$1:$BZ$3001,1764,$D$1)&amp;"",",",""),"¥",""),"￥","")),0))</f>
        <v/>
      </c>
      <c r="E1765">
        <f>IF($E$1=0,0,IFERROR(VALUE(SUBSTITUTE(SUBSTITUTE(SUBSTITUTE(INDEX(貼り付け!$A$1:$BZ$3001,1764,$E$1)&amp;"",",",""),"¥",""),"￥","")),0))</f>
        <v/>
      </c>
      <c r="F1765">
        <f>IF($F$1=0,0,IFERROR(VALUE(SUBSTITUTE(SUBSTITUTE(SUBSTITUTE(INDEX(貼り付け!$A$1:$BZ$3001,1764,$F$1)&amp;"",",",""),"¥",""),"￥","")),0))</f>
        <v/>
      </c>
      <c r="G1765">
        <f>IF(ISNUMBER(B1765),YEAR(B1765),"")</f>
        <v/>
      </c>
      <c r="H1765">
        <f>IF(ISNUMBER(B1765),MONTH(B1765),"")</f>
        <v/>
      </c>
      <c r="I1765">
        <f>IFERROR(IF($B$1=0,"",IF(ISNUMBER(INDEX(貼り付け!$A$1:$BZ$3001,1764,$B$1)),"",SUBSTITUTE(SUBSTITUTE(SUBSTITUTE(SUBSTITUTE(TRIM(LEFT(INDEX(貼り付け!$A$1:$BZ$3001,1764,$B$1)&amp;"",FIND(" ",TRIM(INDEX(貼り付け!$A$1:$BZ$3001,1764,$B$1)&amp;"")&amp;" ")-1)),"/","-"),"年","-"),"月","-"),"日",""))),"")</f>
        <v/>
      </c>
      <c r="J1765">
        <f>IFERROR(MID(I1765,FIND("-",I1765)+1,99),"")</f>
        <v/>
      </c>
    </row>
    <row r="1766">
      <c r="B1766">
        <f>IFERROR(IF($B$1=0,"",IF(INDEX(貼り付け!$A$1:$BZ$3001,1765,$B$1)="","",IF(ISNUMBER(INDEX(貼り付け!$A$1:$BZ$3001,1765,$B$1)),INT(INDEX(貼り付け!$A$1:$BZ$3001,1765,$B$1)),DATE(VALUE(LEFT(I1766,FIND("-",I1766)-1)),VALUE(LEFT(J1766,FIND("-",J1766)-1)),VALUE(MID(J1766,FIND("-",J1766)+1,99)))))),"")</f>
        <v/>
      </c>
      <c r="C1766">
        <f>IF($C$1=0,0,IFERROR(VALUE(SUBSTITUTE(SUBSTITUTE(SUBSTITUTE(INDEX(貼り付け!$A$1:$BZ$3001,1765,$C$1)&amp;"",",",""),"¥",""),"￥","")),0))</f>
        <v/>
      </c>
      <c r="D1766">
        <f>IF($D$1=0,0,IFERROR(VALUE(SUBSTITUTE(SUBSTITUTE(SUBSTITUTE(INDEX(貼り付け!$A$1:$BZ$3001,1765,$D$1)&amp;"",",",""),"¥",""),"￥","")),0))</f>
        <v/>
      </c>
      <c r="E1766">
        <f>IF($E$1=0,0,IFERROR(VALUE(SUBSTITUTE(SUBSTITUTE(SUBSTITUTE(INDEX(貼り付け!$A$1:$BZ$3001,1765,$E$1)&amp;"",",",""),"¥",""),"￥","")),0))</f>
        <v/>
      </c>
      <c r="F1766">
        <f>IF($F$1=0,0,IFERROR(VALUE(SUBSTITUTE(SUBSTITUTE(SUBSTITUTE(INDEX(貼り付け!$A$1:$BZ$3001,1765,$F$1)&amp;"",",",""),"¥",""),"￥","")),0))</f>
        <v/>
      </c>
      <c r="G1766">
        <f>IF(ISNUMBER(B1766),YEAR(B1766),"")</f>
        <v/>
      </c>
      <c r="H1766">
        <f>IF(ISNUMBER(B1766),MONTH(B1766),"")</f>
        <v/>
      </c>
      <c r="I1766">
        <f>IFERROR(IF($B$1=0,"",IF(ISNUMBER(INDEX(貼り付け!$A$1:$BZ$3001,1765,$B$1)),"",SUBSTITUTE(SUBSTITUTE(SUBSTITUTE(SUBSTITUTE(TRIM(LEFT(INDEX(貼り付け!$A$1:$BZ$3001,1765,$B$1)&amp;"",FIND(" ",TRIM(INDEX(貼り付け!$A$1:$BZ$3001,1765,$B$1)&amp;"")&amp;" ")-1)),"/","-"),"年","-"),"月","-"),"日",""))),"")</f>
        <v/>
      </c>
      <c r="J1766">
        <f>IFERROR(MID(I1766,FIND("-",I1766)+1,99),"")</f>
        <v/>
      </c>
    </row>
    <row r="1767">
      <c r="B1767">
        <f>IFERROR(IF($B$1=0,"",IF(INDEX(貼り付け!$A$1:$BZ$3001,1766,$B$1)="","",IF(ISNUMBER(INDEX(貼り付け!$A$1:$BZ$3001,1766,$B$1)),INT(INDEX(貼り付け!$A$1:$BZ$3001,1766,$B$1)),DATE(VALUE(LEFT(I1767,FIND("-",I1767)-1)),VALUE(LEFT(J1767,FIND("-",J1767)-1)),VALUE(MID(J1767,FIND("-",J1767)+1,99)))))),"")</f>
        <v/>
      </c>
      <c r="C1767">
        <f>IF($C$1=0,0,IFERROR(VALUE(SUBSTITUTE(SUBSTITUTE(SUBSTITUTE(INDEX(貼り付け!$A$1:$BZ$3001,1766,$C$1)&amp;"",",",""),"¥",""),"￥","")),0))</f>
        <v/>
      </c>
      <c r="D1767">
        <f>IF($D$1=0,0,IFERROR(VALUE(SUBSTITUTE(SUBSTITUTE(SUBSTITUTE(INDEX(貼り付け!$A$1:$BZ$3001,1766,$D$1)&amp;"",",",""),"¥",""),"￥","")),0))</f>
        <v/>
      </c>
      <c r="E1767">
        <f>IF($E$1=0,0,IFERROR(VALUE(SUBSTITUTE(SUBSTITUTE(SUBSTITUTE(INDEX(貼り付け!$A$1:$BZ$3001,1766,$E$1)&amp;"",",",""),"¥",""),"￥","")),0))</f>
        <v/>
      </c>
      <c r="F1767">
        <f>IF($F$1=0,0,IFERROR(VALUE(SUBSTITUTE(SUBSTITUTE(SUBSTITUTE(INDEX(貼り付け!$A$1:$BZ$3001,1766,$F$1)&amp;"",",",""),"¥",""),"￥","")),0))</f>
        <v/>
      </c>
      <c r="G1767">
        <f>IF(ISNUMBER(B1767),YEAR(B1767),"")</f>
        <v/>
      </c>
      <c r="H1767">
        <f>IF(ISNUMBER(B1767),MONTH(B1767),"")</f>
        <v/>
      </c>
      <c r="I1767">
        <f>IFERROR(IF($B$1=0,"",IF(ISNUMBER(INDEX(貼り付け!$A$1:$BZ$3001,1766,$B$1)),"",SUBSTITUTE(SUBSTITUTE(SUBSTITUTE(SUBSTITUTE(TRIM(LEFT(INDEX(貼り付け!$A$1:$BZ$3001,1766,$B$1)&amp;"",FIND(" ",TRIM(INDEX(貼り付け!$A$1:$BZ$3001,1766,$B$1)&amp;"")&amp;" ")-1)),"/","-"),"年","-"),"月","-"),"日",""))),"")</f>
        <v/>
      </c>
      <c r="J1767">
        <f>IFERROR(MID(I1767,FIND("-",I1767)+1,99),"")</f>
        <v/>
      </c>
    </row>
    <row r="1768">
      <c r="B1768">
        <f>IFERROR(IF($B$1=0,"",IF(INDEX(貼り付け!$A$1:$BZ$3001,1767,$B$1)="","",IF(ISNUMBER(INDEX(貼り付け!$A$1:$BZ$3001,1767,$B$1)),INT(INDEX(貼り付け!$A$1:$BZ$3001,1767,$B$1)),DATE(VALUE(LEFT(I1768,FIND("-",I1768)-1)),VALUE(LEFT(J1768,FIND("-",J1768)-1)),VALUE(MID(J1768,FIND("-",J1768)+1,99)))))),"")</f>
        <v/>
      </c>
      <c r="C1768">
        <f>IF($C$1=0,0,IFERROR(VALUE(SUBSTITUTE(SUBSTITUTE(SUBSTITUTE(INDEX(貼り付け!$A$1:$BZ$3001,1767,$C$1)&amp;"",",",""),"¥",""),"￥","")),0))</f>
        <v/>
      </c>
      <c r="D1768">
        <f>IF($D$1=0,0,IFERROR(VALUE(SUBSTITUTE(SUBSTITUTE(SUBSTITUTE(INDEX(貼り付け!$A$1:$BZ$3001,1767,$D$1)&amp;"",",",""),"¥",""),"￥","")),0))</f>
        <v/>
      </c>
      <c r="E1768">
        <f>IF($E$1=0,0,IFERROR(VALUE(SUBSTITUTE(SUBSTITUTE(SUBSTITUTE(INDEX(貼り付け!$A$1:$BZ$3001,1767,$E$1)&amp;"",",",""),"¥",""),"￥","")),0))</f>
        <v/>
      </c>
      <c r="F1768">
        <f>IF($F$1=0,0,IFERROR(VALUE(SUBSTITUTE(SUBSTITUTE(SUBSTITUTE(INDEX(貼り付け!$A$1:$BZ$3001,1767,$F$1)&amp;"",",",""),"¥",""),"￥","")),0))</f>
        <v/>
      </c>
      <c r="G1768">
        <f>IF(ISNUMBER(B1768),YEAR(B1768),"")</f>
        <v/>
      </c>
      <c r="H1768">
        <f>IF(ISNUMBER(B1768),MONTH(B1768),"")</f>
        <v/>
      </c>
      <c r="I1768">
        <f>IFERROR(IF($B$1=0,"",IF(ISNUMBER(INDEX(貼り付け!$A$1:$BZ$3001,1767,$B$1)),"",SUBSTITUTE(SUBSTITUTE(SUBSTITUTE(SUBSTITUTE(TRIM(LEFT(INDEX(貼り付け!$A$1:$BZ$3001,1767,$B$1)&amp;"",FIND(" ",TRIM(INDEX(貼り付け!$A$1:$BZ$3001,1767,$B$1)&amp;"")&amp;" ")-1)),"/","-"),"年","-"),"月","-"),"日",""))),"")</f>
        <v/>
      </c>
      <c r="J1768">
        <f>IFERROR(MID(I1768,FIND("-",I1768)+1,99),"")</f>
        <v/>
      </c>
    </row>
    <row r="1769">
      <c r="B1769">
        <f>IFERROR(IF($B$1=0,"",IF(INDEX(貼り付け!$A$1:$BZ$3001,1768,$B$1)="","",IF(ISNUMBER(INDEX(貼り付け!$A$1:$BZ$3001,1768,$B$1)),INT(INDEX(貼り付け!$A$1:$BZ$3001,1768,$B$1)),DATE(VALUE(LEFT(I1769,FIND("-",I1769)-1)),VALUE(LEFT(J1769,FIND("-",J1769)-1)),VALUE(MID(J1769,FIND("-",J1769)+1,99)))))),"")</f>
        <v/>
      </c>
      <c r="C1769">
        <f>IF($C$1=0,0,IFERROR(VALUE(SUBSTITUTE(SUBSTITUTE(SUBSTITUTE(INDEX(貼り付け!$A$1:$BZ$3001,1768,$C$1)&amp;"",",",""),"¥",""),"￥","")),0))</f>
        <v/>
      </c>
      <c r="D1769">
        <f>IF($D$1=0,0,IFERROR(VALUE(SUBSTITUTE(SUBSTITUTE(SUBSTITUTE(INDEX(貼り付け!$A$1:$BZ$3001,1768,$D$1)&amp;"",",",""),"¥",""),"￥","")),0))</f>
        <v/>
      </c>
      <c r="E1769">
        <f>IF($E$1=0,0,IFERROR(VALUE(SUBSTITUTE(SUBSTITUTE(SUBSTITUTE(INDEX(貼り付け!$A$1:$BZ$3001,1768,$E$1)&amp;"",",",""),"¥",""),"￥","")),0))</f>
        <v/>
      </c>
      <c r="F1769">
        <f>IF($F$1=0,0,IFERROR(VALUE(SUBSTITUTE(SUBSTITUTE(SUBSTITUTE(INDEX(貼り付け!$A$1:$BZ$3001,1768,$F$1)&amp;"",",",""),"¥",""),"￥","")),0))</f>
        <v/>
      </c>
      <c r="G1769">
        <f>IF(ISNUMBER(B1769),YEAR(B1769),"")</f>
        <v/>
      </c>
      <c r="H1769">
        <f>IF(ISNUMBER(B1769),MONTH(B1769),"")</f>
        <v/>
      </c>
      <c r="I1769">
        <f>IFERROR(IF($B$1=0,"",IF(ISNUMBER(INDEX(貼り付け!$A$1:$BZ$3001,1768,$B$1)),"",SUBSTITUTE(SUBSTITUTE(SUBSTITUTE(SUBSTITUTE(TRIM(LEFT(INDEX(貼り付け!$A$1:$BZ$3001,1768,$B$1)&amp;"",FIND(" ",TRIM(INDEX(貼り付け!$A$1:$BZ$3001,1768,$B$1)&amp;"")&amp;" ")-1)),"/","-"),"年","-"),"月","-"),"日",""))),"")</f>
        <v/>
      </c>
      <c r="J1769">
        <f>IFERROR(MID(I1769,FIND("-",I1769)+1,99),"")</f>
        <v/>
      </c>
    </row>
    <row r="1770">
      <c r="B1770">
        <f>IFERROR(IF($B$1=0,"",IF(INDEX(貼り付け!$A$1:$BZ$3001,1769,$B$1)="","",IF(ISNUMBER(INDEX(貼り付け!$A$1:$BZ$3001,1769,$B$1)),INT(INDEX(貼り付け!$A$1:$BZ$3001,1769,$B$1)),DATE(VALUE(LEFT(I1770,FIND("-",I1770)-1)),VALUE(LEFT(J1770,FIND("-",J1770)-1)),VALUE(MID(J1770,FIND("-",J1770)+1,99)))))),"")</f>
        <v/>
      </c>
      <c r="C1770">
        <f>IF($C$1=0,0,IFERROR(VALUE(SUBSTITUTE(SUBSTITUTE(SUBSTITUTE(INDEX(貼り付け!$A$1:$BZ$3001,1769,$C$1)&amp;"",",",""),"¥",""),"￥","")),0))</f>
        <v/>
      </c>
      <c r="D1770">
        <f>IF($D$1=0,0,IFERROR(VALUE(SUBSTITUTE(SUBSTITUTE(SUBSTITUTE(INDEX(貼り付け!$A$1:$BZ$3001,1769,$D$1)&amp;"",",",""),"¥",""),"￥","")),0))</f>
        <v/>
      </c>
      <c r="E1770">
        <f>IF($E$1=0,0,IFERROR(VALUE(SUBSTITUTE(SUBSTITUTE(SUBSTITUTE(INDEX(貼り付け!$A$1:$BZ$3001,1769,$E$1)&amp;"",",",""),"¥",""),"￥","")),0))</f>
        <v/>
      </c>
      <c r="F1770">
        <f>IF($F$1=0,0,IFERROR(VALUE(SUBSTITUTE(SUBSTITUTE(SUBSTITUTE(INDEX(貼り付け!$A$1:$BZ$3001,1769,$F$1)&amp;"",",",""),"¥",""),"￥","")),0))</f>
        <v/>
      </c>
      <c r="G1770">
        <f>IF(ISNUMBER(B1770),YEAR(B1770),"")</f>
        <v/>
      </c>
      <c r="H1770">
        <f>IF(ISNUMBER(B1770),MONTH(B1770),"")</f>
        <v/>
      </c>
      <c r="I1770">
        <f>IFERROR(IF($B$1=0,"",IF(ISNUMBER(INDEX(貼り付け!$A$1:$BZ$3001,1769,$B$1)),"",SUBSTITUTE(SUBSTITUTE(SUBSTITUTE(SUBSTITUTE(TRIM(LEFT(INDEX(貼り付け!$A$1:$BZ$3001,1769,$B$1)&amp;"",FIND(" ",TRIM(INDEX(貼り付け!$A$1:$BZ$3001,1769,$B$1)&amp;"")&amp;" ")-1)),"/","-"),"年","-"),"月","-"),"日",""))),"")</f>
        <v/>
      </c>
      <c r="J1770">
        <f>IFERROR(MID(I1770,FIND("-",I1770)+1,99),"")</f>
        <v/>
      </c>
    </row>
    <row r="1771">
      <c r="B1771">
        <f>IFERROR(IF($B$1=0,"",IF(INDEX(貼り付け!$A$1:$BZ$3001,1770,$B$1)="","",IF(ISNUMBER(INDEX(貼り付け!$A$1:$BZ$3001,1770,$B$1)),INT(INDEX(貼り付け!$A$1:$BZ$3001,1770,$B$1)),DATE(VALUE(LEFT(I1771,FIND("-",I1771)-1)),VALUE(LEFT(J1771,FIND("-",J1771)-1)),VALUE(MID(J1771,FIND("-",J1771)+1,99)))))),"")</f>
        <v/>
      </c>
      <c r="C1771">
        <f>IF($C$1=0,0,IFERROR(VALUE(SUBSTITUTE(SUBSTITUTE(SUBSTITUTE(INDEX(貼り付け!$A$1:$BZ$3001,1770,$C$1)&amp;"",",",""),"¥",""),"￥","")),0))</f>
        <v/>
      </c>
      <c r="D1771">
        <f>IF($D$1=0,0,IFERROR(VALUE(SUBSTITUTE(SUBSTITUTE(SUBSTITUTE(INDEX(貼り付け!$A$1:$BZ$3001,1770,$D$1)&amp;"",",",""),"¥",""),"￥","")),0))</f>
        <v/>
      </c>
      <c r="E1771">
        <f>IF($E$1=0,0,IFERROR(VALUE(SUBSTITUTE(SUBSTITUTE(SUBSTITUTE(INDEX(貼り付け!$A$1:$BZ$3001,1770,$E$1)&amp;"",",",""),"¥",""),"￥","")),0))</f>
        <v/>
      </c>
      <c r="F1771">
        <f>IF($F$1=0,0,IFERROR(VALUE(SUBSTITUTE(SUBSTITUTE(SUBSTITUTE(INDEX(貼り付け!$A$1:$BZ$3001,1770,$F$1)&amp;"",",",""),"¥",""),"￥","")),0))</f>
        <v/>
      </c>
      <c r="G1771">
        <f>IF(ISNUMBER(B1771),YEAR(B1771),"")</f>
        <v/>
      </c>
      <c r="H1771">
        <f>IF(ISNUMBER(B1771),MONTH(B1771),"")</f>
        <v/>
      </c>
      <c r="I1771">
        <f>IFERROR(IF($B$1=0,"",IF(ISNUMBER(INDEX(貼り付け!$A$1:$BZ$3001,1770,$B$1)),"",SUBSTITUTE(SUBSTITUTE(SUBSTITUTE(SUBSTITUTE(TRIM(LEFT(INDEX(貼り付け!$A$1:$BZ$3001,1770,$B$1)&amp;"",FIND(" ",TRIM(INDEX(貼り付け!$A$1:$BZ$3001,1770,$B$1)&amp;"")&amp;" ")-1)),"/","-"),"年","-"),"月","-"),"日",""))),"")</f>
        <v/>
      </c>
      <c r="J1771">
        <f>IFERROR(MID(I1771,FIND("-",I1771)+1,99),"")</f>
        <v/>
      </c>
    </row>
    <row r="1772">
      <c r="B1772">
        <f>IFERROR(IF($B$1=0,"",IF(INDEX(貼り付け!$A$1:$BZ$3001,1771,$B$1)="","",IF(ISNUMBER(INDEX(貼り付け!$A$1:$BZ$3001,1771,$B$1)),INT(INDEX(貼り付け!$A$1:$BZ$3001,1771,$B$1)),DATE(VALUE(LEFT(I1772,FIND("-",I1772)-1)),VALUE(LEFT(J1772,FIND("-",J1772)-1)),VALUE(MID(J1772,FIND("-",J1772)+1,99)))))),"")</f>
        <v/>
      </c>
      <c r="C1772">
        <f>IF($C$1=0,0,IFERROR(VALUE(SUBSTITUTE(SUBSTITUTE(SUBSTITUTE(INDEX(貼り付け!$A$1:$BZ$3001,1771,$C$1)&amp;"",",",""),"¥",""),"￥","")),0))</f>
        <v/>
      </c>
      <c r="D1772">
        <f>IF($D$1=0,0,IFERROR(VALUE(SUBSTITUTE(SUBSTITUTE(SUBSTITUTE(INDEX(貼り付け!$A$1:$BZ$3001,1771,$D$1)&amp;"",",",""),"¥",""),"￥","")),0))</f>
        <v/>
      </c>
      <c r="E1772">
        <f>IF($E$1=0,0,IFERROR(VALUE(SUBSTITUTE(SUBSTITUTE(SUBSTITUTE(INDEX(貼り付け!$A$1:$BZ$3001,1771,$E$1)&amp;"",",",""),"¥",""),"￥","")),0))</f>
        <v/>
      </c>
      <c r="F1772">
        <f>IF($F$1=0,0,IFERROR(VALUE(SUBSTITUTE(SUBSTITUTE(SUBSTITUTE(INDEX(貼り付け!$A$1:$BZ$3001,1771,$F$1)&amp;"",",",""),"¥",""),"￥","")),0))</f>
        <v/>
      </c>
      <c r="G1772">
        <f>IF(ISNUMBER(B1772),YEAR(B1772),"")</f>
        <v/>
      </c>
      <c r="H1772">
        <f>IF(ISNUMBER(B1772),MONTH(B1772),"")</f>
        <v/>
      </c>
      <c r="I1772">
        <f>IFERROR(IF($B$1=0,"",IF(ISNUMBER(INDEX(貼り付け!$A$1:$BZ$3001,1771,$B$1)),"",SUBSTITUTE(SUBSTITUTE(SUBSTITUTE(SUBSTITUTE(TRIM(LEFT(INDEX(貼り付け!$A$1:$BZ$3001,1771,$B$1)&amp;"",FIND(" ",TRIM(INDEX(貼り付け!$A$1:$BZ$3001,1771,$B$1)&amp;"")&amp;" ")-1)),"/","-"),"年","-"),"月","-"),"日",""))),"")</f>
        <v/>
      </c>
      <c r="J1772">
        <f>IFERROR(MID(I1772,FIND("-",I1772)+1,99),"")</f>
        <v/>
      </c>
    </row>
    <row r="1773">
      <c r="B1773">
        <f>IFERROR(IF($B$1=0,"",IF(INDEX(貼り付け!$A$1:$BZ$3001,1772,$B$1)="","",IF(ISNUMBER(INDEX(貼り付け!$A$1:$BZ$3001,1772,$B$1)),INT(INDEX(貼り付け!$A$1:$BZ$3001,1772,$B$1)),DATE(VALUE(LEFT(I1773,FIND("-",I1773)-1)),VALUE(LEFT(J1773,FIND("-",J1773)-1)),VALUE(MID(J1773,FIND("-",J1773)+1,99)))))),"")</f>
        <v/>
      </c>
      <c r="C1773">
        <f>IF($C$1=0,0,IFERROR(VALUE(SUBSTITUTE(SUBSTITUTE(SUBSTITUTE(INDEX(貼り付け!$A$1:$BZ$3001,1772,$C$1)&amp;"",",",""),"¥",""),"￥","")),0))</f>
        <v/>
      </c>
      <c r="D1773">
        <f>IF($D$1=0,0,IFERROR(VALUE(SUBSTITUTE(SUBSTITUTE(SUBSTITUTE(INDEX(貼り付け!$A$1:$BZ$3001,1772,$D$1)&amp;"",",",""),"¥",""),"￥","")),0))</f>
        <v/>
      </c>
      <c r="E1773">
        <f>IF($E$1=0,0,IFERROR(VALUE(SUBSTITUTE(SUBSTITUTE(SUBSTITUTE(INDEX(貼り付け!$A$1:$BZ$3001,1772,$E$1)&amp;"",",",""),"¥",""),"￥","")),0))</f>
        <v/>
      </c>
      <c r="F1773">
        <f>IF($F$1=0,0,IFERROR(VALUE(SUBSTITUTE(SUBSTITUTE(SUBSTITUTE(INDEX(貼り付け!$A$1:$BZ$3001,1772,$F$1)&amp;"",",",""),"¥",""),"￥","")),0))</f>
        <v/>
      </c>
      <c r="G1773">
        <f>IF(ISNUMBER(B1773),YEAR(B1773),"")</f>
        <v/>
      </c>
      <c r="H1773">
        <f>IF(ISNUMBER(B1773),MONTH(B1773),"")</f>
        <v/>
      </c>
      <c r="I1773">
        <f>IFERROR(IF($B$1=0,"",IF(ISNUMBER(INDEX(貼り付け!$A$1:$BZ$3001,1772,$B$1)),"",SUBSTITUTE(SUBSTITUTE(SUBSTITUTE(SUBSTITUTE(TRIM(LEFT(INDEX(貼り付け!$A$1:$BZ$3001,1772,$B$1)&amp;"",FIND(" ",TRIM(INDEX(貼り付け!$A$1:$BZ$3001,1772,$B$1)&amp;"")&amp;" ")-1)),"/","-"),"年","-"),"月","-"),"日",""))),"")</f>
        <v/>
      </c>
      <c r="J1773">
        <f>IFERROR(MID(I1773,FIND("-",I1773)+1,99),"")</f>
        <v/>
      </c>
    </row>
    <row r="1774">
      <c r="B1774">
        <f>IFERROR(IF($B$1=0,"",IF(INDEX(貼り付け!$A$1:$BZ$3001,1773,$B$1)="","",IF(ISNUMBER(INDEX(貼り付け!$A$1:$BZ$3001,1773,$B$1)),INT(INDEX(貼り付け!$A$1:$BZ$3001,1773,$B$1)),DATE(VALUE(LEFT(I1774,FIND("-",I1774)-1)),VALUE(LEFT(J1774,FIND("-",J1774)-1)),VALUE(MID(J1774,FIND("-",J1774)+1,99)))))),"")</f>
        <v/>
      </c>
      <c r="C1774">
        <f>IF($C$1=0,0,IFERROR(VALUE(SUBSTITUTE(SUBSTITUTE(SUBSTITUTE(INDEX(貼り付け!$A$1:$BZ$3001,1773,$C$1)&amp;"",",",""),"¥",""),"￥","")),0))</f>
        <v/>
      </c>
      <c r="D1774">
        <f>IF($D$1=0,0,IFERROR(VALUE(SUBSTITUTE(SUBSTITUTE(SUBSTITUTE(INDEX(貼り付け!$A$1:$BZ$3001,1773,$D$1)&amp;"",",",""),"¥",""),"￥","")),0))</f>
        <v/>
      </c>
      <c r="E1774">
        <f>IF($E$1=0,0,IFERROR(VALUE(SUBSTITUTE(SUBSTITUTE(SUBSTITUTE(INDEX(貼り付け!$A$1:$BZ$3001,1773,$E$1)&amp;"",",",""),"¥",""),"￥","")),0))</f>
        <v/>
      </c>
      <c r="F1774">
        <f>IF($F$1=0,0,IFERROR(VALUE(SUBSTITUTE(SUBSTITUTE(SUBSTITUTE(INDEX(貼り付け!$A$1:$BZ$3001,1773,$F$1)&amp;"",",",""),"¥",""),"￥","")),0))</f>
        <v/>
      </c>
      <c r="G1774">
        <f>IF(ISNUMBER(B1774),YEAR(B1774),"")</f>
        <v/>
      </c>
      <c r="H1774">
        <f>IF(ISNUMBER(B1774),MONTH(B1774),"")</f>
        <v/>
      </c>
      <c r="I1774">
        <f>IFERROR(IF($B$1=0,"",IF(ISNUMBER(INDEX(貼り付け!$A$1:$BZ$3001,1773,$B$1)),"",SUBSTITUTE(SUBSTITUTE(SUBSTITUTE(SUBSTITUTE(TRIM(LEFT(INDEX(貼り付け!$A$1:$BZ$3001,1773,$B$1)&amp;"",FIND(" ",TRIM(INDEX(貼り付け!$A$1:$BZ$3001,1773,$B$1)&amp;"")&amp;" ")-1)),"/","-"),"年","-"),"月","-"),"日",""))),"")</f>
        <v/>
      </c>
      <c r="J1774">
        <f>IFERROR(MID(I1774,FIND("-",I1774)+1,99),"")</f>
        <v/>
      </c>
    </row>
    <row r="1775">
      <c r="B1775">
        <f>IFERROR(IF($B$1=0,"",IF(INDEX(貼り付け!$A$1:$BZ$3001,1774,$B$1)="","",IF(ISNUMBER(INDEX(貼り付け!$A$1:$BZ$3001,1774,$B$1)),INT(INDEX(貼り付け!$A$1:$BZ$3001,1774,$B$1)),DATE(VALUE(LEFT(I1775,FIND("-",I1775)-1)),VALUE(LEFT(J1775,FIND("-",J1775)-1)),VALUE(MID(J1775,FIND("-",J1775)+1,99)))))),"")</f>
        <v/>
      </c>
      <c r="C1775">
        <f>IF($C$1=0,0,IFERROR(VALUE(SUBSTITUTE(SUBSTITUTE(SUBSTITUTE(INDEX(貼り付け!$A$1:$BZ$3001,1774,$C$1)&amp;"",",",""),"¥",""),"￥","")),0))</f>
        <v/>
      </c>
      <c r="D1775">
        <f>IF($D$1=0,0,IFERROR(VALUE(SUBSTITUTE(SUBSTITUTE(SUBSTITUTE(INDEX(貼り付け!$A$1:$BZ$3001,1774,$D$1)&amp;"",",",""),"¥",""),"￥","")),0))</f>
        <v/>
      </c>
      <c r="E1775">
        <f>IF($E$1=0,0,IFERROR(VALUE(SUBSTITUTE(SUBSTITUTE(SUBSTITUTE(INDEX(貼り付け!$A$1:$BZ$3001,1774,$E$1)&amp;"",",",""),"¥",""),"￥","")),0))</f>
        <v/>
      </c>
      <c r="F1775">
        <f>IF($F$1=0,0,IFERROR(VALUE(SUBSTITUTE(SUBSTITUTE(SUBSTITUTE(INDEX(貼り付け!$A$1:$BZ$3001,1774,$F$1)&amp;"",",",""),"¥",""),"￥","")),0))</f>
        <v/>
      </c>
      <c r="G1775">
        <f>IF(ISNUMBER(B1775),YEAR(B1775),"")</f>
        <v/>
      </c>
      <c r="H1775">
        <f>IF(ISNUMBER(B1775),MONTH(B1775),"")</f>
        <v/>
      </c>
      <c r="I1775">
        <f>IFERROR(IF($B$1=0,"",IF(ISNUMBER(INDEX(貼り付け!$A$1:$BZ$3001,1774,$B$1)),"",SUBSTITUTE(SUBSTITUTE(SUBSTITUTE(SUBSTITUTE(TRIM(LEFT(INDEX(貼り付け!$A$1:$BZ$3001,1774,$B$1)&amp;"",FIND(" ",TRIM(INDEX(貼り付け!$A$1:$BZ$3001,1774,$B$1)&amp;"")&amp;" ")-1)),"/","-"),"年","-"),"月","-"),"日",""))),"")</f>
        <v/>
      </c>
      <c r="J1775">
        <f>IFERROR(MID(I1775,FIND("-",I1775)+1,99),"")</f>
        <v/>
      </c>
    </row>
    <row r="1776">
      <c r="B1776">
        <f>IFERROR(IF($B$1=0,"",IF(INDEX(貼り付け!$A$1:$BZ$3001,1775,$B$1)="","",IF(ISNUMBER(INDEX(貼り付け!$A$1:$BZ$3001,1775,$B$1)),INT(INDEX(貼り付け!$A$1:$BZ$3001,1775,$B$1)),DATE(VALUE(LEFT(I1776,FIND("-",I1776)-1)),VALUE(LEFT(J1776,FIND("-",J1776)-1)),VALUE(MID(J1776,FIND("-",J1776)+1,99)))))),"")</f>
        <v/>
      </c>
      <c r="C1776">
        <f>IF($C$1=0,0,IFERROR(VALUE(SUBSTITUTE(SUBSTITUTE(SUBSTITUTE(INDEX(貼り付け!$A$1:$BZ$3001,1775,$C$1)&amp;"",",",""),"¥",""),"￥","")),0))</f>
        <v/>
      </c>
      <c r="D1776">
        <f>IF($D$1=0,0,IFERROR(VALUE(SUBSTITUTE(SUBSTITUTE(SUBSTITUTE(INDEX(貼り付け!$A$1:$BZ$3001,1775,$D$1)&amp;"",",",""),"¥",""),"￥","")),0))</f>
        <v/>
      </c>
      <c r="E1776">
        <f>IF($E$1=0,0,IFERROR(VALUE(SUBSTITUTE(SUBSTITUTE(SUBSTITUTE(INDEX(貼り付け!$A$1:$BZ$3001,1775,$E$1)&amp;"",",",""),"¥",""),"￥","")),0))</f>
        <v/>
      </c>
      <c r="F1776">
        <f>IF($F$1=0,0,IFERROR(VALUE(SUBSTITUTE(SUBSTITUTE(SUBSTITUTE(INDEX(貼り付け!$A$1:$BZ$3001,1775,$F$1)&amp;"",",",""),"¥",""),"￥","")),0))</f>
        <v/>
      </c>
      <c r="G1776">
        <f>IF(ISNUMBER(B1776),YEAR(B1776),"")</f>
        <v/>
      </c>
      <c r="H1776">
        <f>IF(ISNUMBER(B1776),MONTH(B1776),"")</f>
        <v/>
      </c>
      <c r="I1776">
        <f>IFERROR(IF($B$1=0,"",IF(ISNUMBER(INDEX(貼り付け!$A$1:$BZ$3001,1775,$B$1)),"",SUBSTITUTE(SUBSTITUTE(SUBSTITUTE(SUBSTITUTE(TRIM(LEFT(INDEX(貼り付け!$A$1:$BZ$3001,1775,$B$1)&amp;"",FIND(" ",TRIM(INDEX(貼り付け!$A$1:$BZ$3001,1775,$B$1)&amp;"")&amp;" ")-1)),"/","-"),"年","-"),"月","-"),"日",""))),"")</f>
        <v/>
      </c>
      <c r="J1776">
        <f>IFERROR(MID(I1776,FIND("-",I1776)+1,99),"")</f>
        <v/>
      </c>
    </row>
    <row r="1777">
      <c r="B1777">
        <f>IFERROR(IF($B$1=0,"",IF(INDEX(貼り付け!$A$1:$BZ$3001,1776,$B$1)="","",IF(ISNUMBER(INDEX(貼り付け!$A$1:$BZ$3001,1776,$B$1)),INT(INDEX(貼り付け!$A$1:$BZ$3001,1776,$B$1)),DATE(VALUE(LEFT(I1777,FIND("-",I1777)-1)),VALUE(LEFT(J1777,FIND("-",J1777)-1)),VALUE(MID(J1777,FIND("-",J1777)+1,99)))))),"")</f>
        <v/>
      </c>
      <c r="C1777">
        <f>IF($C$1=0,0,IFERROR(VALUE(SUBSTITUTE(SUBSTITUTE(SUBSTITUTE(INDEX(貼り付け!$A$1:$BZ$3001,1776,$C$1)&amp;"",",",""),"¥",""),"￥","")),0))</f>
        <v/>
      </c>
      <c r="D1777">
        <f>IF($D$1=0,0,IFERROR(VALUE(SUBSTITUTE(SUBSTITUTE(SUBSTITUTE(INDEX(貼り付け!$A$1:$BZ$3001,1776,$D$1)&amp;"",",",""),"¥",""),"￥","")),0))</f>
        <v/>
      </c>
      <c r="E1777">
        <f>IF($E$1=0,0,IFERROR(VALUE(SUBSTITUTE(SUBSTITUTE(SUBSTITUTE(INDEX(貼り付け!$A$1:$BZ$3001,1776,$E$1)&amp;"",",",""),"¥",""),"￥","")),0))</f>
        <v/>
      </c>
      <c r="F1777">
        <f>IF($F$1=0,0,IFERROR(VALUE(SUBSTITUTE(SUBSTITUTE(SUBSTITUTE(INDEX(貼り付け!$A$1:$BZ$3001,1776,$F$1)&amp;"",",",""),"¥",""),"￥","")),0))</f>
        <v/>
      </c>
      <c r="G1777">
        <f>IF(ISNUMBER(B1777),YEAR(B1777),"")</f>
        <v/>
      </c>
      <c r="H1777">
        <f>IF(ISNUMBER(B1777),MONTH(B1777),"")</f>
        <v/>
      </c>
      <c r="I1777">
        <f>IFERROR(IF($B$1=0,"",IF(ISNUMBER(INDEX(貼り付け!$A$1:$BZ$3001,1776,$B$1)),"",SUBSTITUTE(SUBSTITUTE(SUBSTITUTE(SUBSTITUTE(TRIM(LEFT(INDEX(貼り付け!$A$1:$BZ$3001,1776,$B$1)&amp;"",FIND(" ",TRIM(INDEX(貼り付け!$A$1:$BZ$3001,1776,$B$1)&amp;"")&amp;" ")-1)),"/","-"),"年","-"),"月","-"),"日",""))),"")</f>
        <v/>
      </c>
      <c r="J1777">
        <f>IFERROR(MID(I1777,FIND("-",I1777)+1,99),"")</f>
        <v/>
      </c>
    </row>
    <row r="1778">
      <c r="B1778">
        <f>IFERROR(IF($B$1=0,"",IF(INDEX(貼り付け!$A$1:$BZ$3001,1777,$B$1)="","",IF(ISNUMBER(INDEX(貼り付け!$A$1:$BZ$3001,1777,$B$1)),INT(INDEX(貼り付け!$A$1:$BZ$3001,1777,$B$1)),DATE(VALUE(LEFT(I1778,FIND("-",I1778)-1)),VALUE(LEFT(J1778,FIND("-",J1778)-1)),VALUE(MID(J1778,FIND("-",J1778)+1,99)))))),"")</f>
        <v/>
      </c>
      <c r="C1778">
        <f>IF($C$1=0,0,IFERROR(VALUE(SUBSTITUTE(SUBSTITUTE(SUBSTITUTE(INDEX(貼り付け!$A$1:$BZ$3001,1777,$C$1)&amp;"",",",""),"¥",""),"￥","")),0))</f>
        <v/>
      </c>
      <c r="D1778">
        <f>IF($D$1=0,0,IFERROR(VALUE(SUBSTITUTE(SUBSTITUTE(SUBSTITUTE(INDEX(貼り付け!$A$1:$BZ$3001,1777,$D$1)&amp;"",",",""),"¥",""),"￥","")),0))</f>
        <v/>
      </c>
      <c r="E1778">
        <f>IF($E$1=0,0,IFERROR(VALUE(SUBSTITUTE(SUBSTITUTE(SUBSTITUTE(INDEX(貼り付け!$A$1:$BZ$3001,1777,$E$1)&amp;"",",",""),"¥",""),"￥","")),0))</f>
        <v/>
      </c>
      <c r="F1778">
        <f>IF($F$1=0,0,IFERROR(VALUE(SUBSTITUTE(SUBSTITUTE(SUBSTITUTE(INDEX(貼り付け!$A$1:$BZ$3001,1777,$F$1)&amp;"",",",""),"¥",""),"￥","")),0))</f>
        <v/>
      </c>
      <c r="G1778">
        <f>IF(ISNUMBER(B1778),YEAR(B1778),"")</f>
        <v/>
      </c>
      <c r="H1778">
        <f>IF(ISNUMBER(B1778),MONTH(B1778),"")</f>
        <v/>
      </c>
      <c r="I1778">
        <f>IFERROR(IF($B$1=0,"",IF(ISNUMBER(INDEX(貼り付け!$A$1:$BZ$3001,1777,$B$1)),"",SUBSTITUTE(SUBSTITUTE(SUBSTITUTE(SUBSTITUTE(TRIM(LEFT(INDEX(貼り付け!$A$1:$BZ$3001,1777,$B$1)&amp;"",FIND(" ",TRIM(INDEX(貼り付け!$A$1:$BZ$3001,1777,$B$1)&amp;"")&amp;" ")-1)),"/","-"),"年","-"),"月","-"),"日",""))),"")</f>
        <v/>
      </c>
      <c r="J1778">
        <f>IFERROR(MID(I1778,FIND("-",I1778)+1,99),"")</f>
        <v/>
      </c>
    </row>
    <row r="1779">
      <c r="B1779">
        <f>IFERROR(IF($B$1=0,"",IF(INDEX(貼り付け!$A$1:$BZ$3001,1778,$B$1)="","",IF(ISNUMBER(INDEX(貼り付け!$A$1:$BZ$3001,1778,$B$1)),INT(INDEX(貼り付け!$A$1:$BZ$3001,1778,$B$1)),DATE(VALUE(LEFT(I1779,FIND("-",I1779)-1)),VALUE(LEFT(J1779,FIND("-",J1779)-1)),VALUE(MID(J1779,FIND("-",J1779)+1,99)))))),"")</f>
        <v/>
      </c>
      <c r="C1779">
        <f>IF($C$1=0,0,IFERROR(VALUE(SUBSTITUTE(SUBSTITUTE(SUBSTITUTE(INDEX(貼り付け!$A$1:$BZ$3001,1778,$C$1)&amp;"",",",""),"¥",""),"￥","")),0))</f>
        <v/>
      </c>
      <c r="D1779">
        <f>IF($D$1=0,0,IFERROR(VALUE(SUBSTITUTE(SUBSTITUTE(SUBSTITUTE(INDEX(貼り付け!$A$1:$BZ$3001,1778,$D$1)&amp;"",",",""),"¥",""),"￥","")),0))</f>
        <v/>
      </c>
      <c r="E1779">
        <f>IF($E$1=0,0,IFERROR(VALUE(SUBSTITUTE(SUBSTITUTE(SUBSTITUTE(INDEX(貼り付け!$A$1:$BZ$3001,1778,$E$1)&amp;"",",",""),"¥",""),"￥","")),0))</f>
        <v/>
      </c>
      <c r="F1779">
        <f>IF($F$1=0,0,IFERROR(VALUE(SUBSTITUTE(SUBSTITUTE(SUBSTITUTE(INDEX(貼り付け!$A$1:$BZ$3001,1778,$F$1)&amp;"",",",""),"¥",""),"￥","")),0))</f>
        <v/>
      </c>
      <c r="G1779">
        <f>IF(ISNUMBER(B1779),YEAR(B1779),"")</f>
        <v/>
      </c>
      <c r="H1779">
        <f>IF(ISNUMBER(B1779),MONTH(B1779),"")</f>
        <v/>
      </c>
      <c r="I1779">
        <f>IFERROR(IF($B$1=0,"",IF(ISNUMBER(INDEX(貼り付け!$A$1:$BZ$3001,1778,$B$1)),"",SUBSTITUTE(SUBSTITUTE(SUBSTITUTE(SUBSTITUTE(TRIM(LEFT(INDEX(貼り付け!$A$1:$BZ$3001,1778,$B$1)&amp;"",FIND(" ",TRIM(INDEX(貼り付け!$A$1:$BZ$3001,1778,$B$1)&amp;"")&amp;" ")-1)),"/","-"),"年","-"),"月","-"),"日",""))),"")</f>
        <v/>
      </c>
      <c r="J1779">
        <f>IFERROR(MID(I1779,FIND("-",I1779)+1,99),"")</f>
        <v/>
      </c>
    </row>
    <row r="1780">
      <c r="B1780">
        <f>IFERROR(IF($B$1=0,"",IF(INDEX(貼り付け!$A$1:$BZ$3001,1779,$B$1)="","",IF(ISNUMBER(INDEX(貼り付け!$A$1:$BZ$3001,1779,$B$1)),INT(INDEX(貼り付け!$A$1:$BZ$3001,1779,$B$1)),DATE(VALUE(LEFT(I1780,FIND("-",I1780)-1)),VALUE(LEFT(J1780,FIND("-",J1780)-1)),VALUE(MID(J1780,FIND("-",J1780)+1,99)))))),"")</f>
        <v/>
      </c>
      <c r="C1780">
        <f>IF($C$1=0,0,IFERROR(VALUE(SUBSTITUTE(SUBSTITUTE(SUBSTITUTE(INDEX(貼り付け!$A$1:$BZ$3001,1779,$C$1)&amp;"",",",""),"¥",""),"￥","")),0))</f>
        <v/>
      </c>
      <c r="D1780">
        <f>IF($D$1=0,0,IFERROR(VALUE(SUBSTITUTE(SUBSTITUTE(SUBSTITUTE(INDEX(貼り付け!$A$1:$BZ$3001,1779,$D$1)&amp;"",",",""),"¥",""),"￥","")),0))</f>
        <v/>
      </c>
      <c r="E1780">
        <f>IF($E$1=0,0,IFERROR(VALUE(SUBSTITUTE(SUBSTITUTE(SUBSTITUTE(INDEX(貼り付け!$A$1:$BZ$3001,1779,$E$1)&amp;"",",",""),"¥",""),"￥","")),0))</f>
        <v/>
      </c>
      <c r="F1780">
        <f>IF($F$1=0,0,IFERROR(VALUE(SUBSTITUTE(SUBSTITUTE(SUBSTITUTE(INDEX(貼り付け!$A$1:$BZ$3001,1779,$F$1)&amp;"",",",""),"¥",""),"￥","")),0))</f>
        <v/>
      </c>
      <c r="G1780">
        <f>IF(ISNUMBER(B1780),YEAR(B1780),"")</f>
        <v/>
      </c>
      <c r="H1780">
        <f>IF(ISNUMBER(B1780),MONTH(B1780),"")</f>
        <v/>
      </c>
      <c r="I1780">
        <f>IFERROR(IF($B$1=0,"",IF(ISNUMBER(INDEX(貼り付け!$A$1:$BZ$3001,1779,$B$1)),"",SUBSTITUTE(SUBSTITUTE(SUBSTITUTE(SUBSTITUTE(TRIM(LEFT(INDEX(貼り付け!$A$1:$BZ$3001,1779,$B$1)&amp;"",FIND(" ",TRIM(INDEX(貼り付け!$A$1:$BZ$3001,1779,$B$1)&amp;"")&amp;" ")-1)),"/","-"),"年","-"),"月","-"),"日",""))),"")</f>
        <v/>
      </c>
      <c r="J1780">
        <f>IFERROR(MID(I1780,FIND("-",I1780)+1,99),"")</f>
        <v/>
      </c>
    </row>
    <row r="1781">
      <c r="B1781">
        <f>IFERROR(IF($B$1=0,"",IF(INDEX(貼り付け!$A$1:$BZ$3001,1780,$B$1)="","",IF(ISNUMBER(INDEX(貼り付け!$A$1:$BZ$3001,1780,$B$1)),INT(INDEX(貼り付け!$A$1:$BZ$3001,1780,$B$1)),DATE(VALUE(LEFT(I1781,FIND("-",I1781)-1)),VALUE(LEFT(J1781,FIND("-",J1781)-1)),VALUE(MID(J1781,FIND("-",J1781)+1,99)))))),"")</f>
        <v/>
      </c>
      <c r="C1781">
        <f>IF($C$1=0,0,IFERROR(VALUE(SUBSTITUTE(SUBSTITUTE(SUBSTITUTE(INDEX(貼り付け!$A$1:$BZ$3001,1780,$C$1)&amp;"",",",""),"¥",""),"￥","")),0))</f>
        <v/>
      </c>
      <c r="D1781">
        <f>IF($D$1=0,0,IFERROR(VALUE(SUBSTITUTE(SUBSTITUTE(SUBSTITUTE(INDEX(貼り付け!$A$1:$BZ$3001,1780,$D$1)&amp;"",",",""),"¥",""),"￥","")),0))</f>
        <v/>
      </c>
      <c r="E1781">
        <f>IF($E$1=0,0,IFERROR(VALUE(SUBSTITUTE(SUBSTITUTE(SUBSTITUTE(INDEX(貼り付け!$A$1:$BZ$3001,1780,$E$1)&amp;"",",",""),"¥",""),"￥","")),0))</f>
        <v/>
      </c>
      <c r="F1781">
        <f>IF($F$1=0,0,IFERROR(VALUE(SUBSTITUTE(SUBSTITUTE(SUBSTITUTE(INDEX(貼り付け!$A$1:$BZ$3001,1780,$F$1)&amp;"",",",""),"¥",""),"￥","")),0))</f>
        <v/>
      </c>
      <c r="G1781">
        <f>IF(ISNUMBER(B1781),YEAR(B1781),"")</f>
        <v/>
      </c>
      <c r="H1781">
        <f>IF(ISNUMBER(B1781),MONTH(B1781),"")</f>
        <v/>
      </c>
      <c r="I1781">
        <f>IFERROR(IF($B$1=0,"",IF(ISNUMBER(INDEX(貼り付け!$A$1:$BZ$3001,1780,$B$1)),"",SUBSTITUTE(SUBSTITUTE(SUBSTITUTE(SUBSTITUTE(TRIM(LEFT(INDEX(貼り付け!$A$1:$BZ$3001,1780,$B$1)&amp;"",FIND(" ",TRIM(INDEX(貼り付け!$A$1:$BZ$3001,1780,$B$1)&amp;"")&amp;" ")-1)),"/","-"),"年","-"),"月","-"),"日",""))),"")</f>
        <v/>
      </c>
      <c r="J1781">
        <f>IFERROR(MID(I1781,FIND("-",I1781)+1,99),"")</f>
        <v/>
      </c>
    </row>
    <row r="1782">
      <c r="B1782">
        <f>IFERROR(IF($B$1=0,"",IF(INDEX(貼り付け!$A$1:$BZ$3001,1781,$B$1)="","",IF(ISNUMBER(INDEX(貼り付け!$A$1:$BZ$3001,1781,$B$1)),INT(INDEX(貼り付け!$A$1:$BZ$3001,1781,$B$1)),DATE(VALUE(LEFT(I1782,FIND("-",I1782)-1)),VALUE(LEFT(J1782,FIND("-",J1782)-1)),VALUE(MID(J1782,FIND("-",J1782)+1,99)))))),"")</f>
        <v/>
      </c>
      <c r="C1782">
        <f>IF($C$1=0,0,IFERROR(VALUE(SUBSTITUTE(SUBSTITUTE(SUBSTITUTE(INDEX(貼り付け!$A$1:$BZ$3001,1781,$C$1)&amp;"",",",""),"¥",""),"￥","")),0))</f>
        <v/>
      </c>
      <c r="D1782">
        <f>IF($D$1=0,0,IFERROR(VALUE(SUBSTITUTE(SUBSTITUTE(SUBSTITUTE(INDEX(貼り付け!$A$1:$BZ$3001,1781,$D$1)&amp;"",",",""),"¥",""),"￥","")),0))</f>
        <v/>
      </c>
      <c r="E1782">
        <f>IF($E$1=0,0,IFERROR(VALUE(SUBSTITUTE(SUBSTITUTE(SUBSTITUTE(INDEX(貼り付け!$A$1:$BZ$3001,1781,$E$1)&amp;"",",",""),"¥",""),"￥","")),0))</f>
        <v/>
      </c>
      <c r="F1782">
        <f>IF($F$1=0,0,IFERROR(VALUE(SUBSTITUTE(SUBSTITUTE(SUBSTITUTE(INDEX(貼り付け!$A$1:$BZ$3001,1781,$F$1)&amp;"",",",""),"¥",""),"￥","")),0))</f>
        <v/>
      </c>
      <c r="G1782">
        <f>IF(ISNUMBER(B1782),YEAR(B1782),"")</f>
        <v/>
      </c>
      <c r="H1782">
        <f>IF(ISNUMBER(B1782),MONTH(B1782),"")</f>
        <v/>
      </c>
      <c r="I1782">
        <f>IFERROR(IF($B$1=0,"",IF(ISNUMBER(INDEX(貼り付け!$A$1:$BZ$3001,1781,$B$1)),"",SUBSTITUTE(SUBSTITUTE(SUBSTITUTE(SUBSTITUTE(TRIM(LEFT(INDEX(貼り付け!$A$1:$BZ$3001,1781,$B$1)&amp;"",FIND(" ",TRIM(INDEX(貼り付け!$A$1:$BZ$3001,1781,$B$1)&amp;"")&amp;" ")-1)),"/","-"),"年","-"),"月","-"),"日",""))),"")</f>
        <v/>
      </c>
      <c r="J1782">
        <f>IFERROR(MID(I1782,FIND("-",I1782)+1,99),"")</f>
        <v/>
      </c>
    </row>
    <row r="1783">
      <c r="B1783">
        <f>IFERROR(IF($B$1=0,"",IF(INDEX(貼り付け!$A$1:$BZ$3001,1782,$B$1)="","",IF(ISNUMBER(INDEX(貼り付け!$A$1:$BZ$3001,1782,$B$1)),INT(INDEX(貼り付け!$A$1:$BZ$3001,1782,$B$1)),DATE(VALUE(LEFT(I1783,FIND("-",I1783)-1)),VALUE(LEFT(J1783,FIND("-",J1783)-1)),VALUE(MID(J1783,FIND("-",J1783)+1,99)))))),"")</f>
        <v/>
      </c>
      <c r="C1783">
        <f>IF($C$1=0,0,IFERROR(VALUE(SUBSTITUTE(SUBSTITUTE(SUBSTITUTE(INDEX(貼り付け!$A$1:$BZ$3001,1782,$C$1)&amp;"",",",""),"¥",""),"￥","")),0))</f>
        <v/>
      </c>
      <c r="D1783">
        <f>IF($D$1=0,0,IFERROR(VALUE(SUBSTITUTE(SUBSTITUTE(SUBSTITUTE(INDEX(貼り付け!$A$1:$BZ$3001,1782,$D$1)&amp;"",",",""),"¥",""),"￥","")),0))</f>
        <v/>
      </c>
      <c r="E1783">
        <f>IF($E$1=0,0,IFERROR(VALUE(SUBSTITUTE(SUBSTITUTE(SUBSTITUTE(INDEX(貼り付け!$A$1:$BZ$3001,1782,$E$1)&amp;"",",",""),"¥",""),"￥","")),0))</f>
        <v/>
      </c>
      <c r="F1783">
        <f>IF($F$1=0,0,IFERROR(VALUE(SUBSTITUTE(SUBSTITUTE(SUBSTITUTE(INDEX(貼り付け!$A$1:$BZ$3001,1782,$F$1)&amp;"",",",""),"¥",""),"￥","")),0))</f>
        <v/>
      </c>
      <c r="G1783">
        <f>IF(ISNUMBER(B1783),YEAR(B1783),"")</f>
        <v/>
      </c>
      <c r="H1783">
        <f>IF(ISNUMBER(B1783),MONTH(B1783),"")</f>
        <v/>
      </c>
      <c r="I1783">
        <f>IFERROR(IF($B$1=0,"",IF(ISNUMBER(INDEX(貼り付け!$A$1:$BZ$3001,1782,$B$1)),"",SUBSTITUTE(SUBSTITUTE(SUBSTITUTE(SUBSTITUTE(TRIM(LEFT(INDEX(貼り付け!$A$1:$BZ$3001,1782,$B$1)&amp;"",FIND(" ",TRIM(INDEX(貼り付け!$A$1:$BZ$3001,1782,$B$1)&amp;"")&amp;" ")-1)),"/","-"),"年","-"),"月","-"),"日",""))),"")</f>
        <v/>
      </c>
      <c r="J1783">
        <f>IFERROR(MID(I1783,FIND("-",I1783)+1,99),"")</f>
        <v/>
      </c>
    </row>
    <row r="1784">
      <c r="B1784">
        <f>IFERROR(IF($B$1=0,"",IF(INDEX(貼り付け!$A$1:$BZ$3001,1783,$B$1)="","",IF(ISNUMBER(INDEX(貼り付け!$A$1:$BZ$3001,1783,$B$1)),INT(INDEX(貼り付け!$A$1:$BZ$3001,1783,$B$1)),DATE(VALUE(LEFT(I1784,FIND("-",I1784)-1)),VALUE(LEFT(J1784,FIND("-",J1784)-1)),VALUE(MID(J1784,FIND("-",J1784)+1,99)))))),"")</f>
        <v/>
      </c>
      <c r="C1784">
        <f>IF($C$1=0,0,IFERROR(VALUE(SUBSTITUTE(SUBSTITUTE(SUBSTITUTE(INDEX(貼り付け!$A$1:$BZ$3001,1783,$C$1)&amp;"",",",""),"¥",""),"￥","")),0))</f>
        <v/>
      </c>
      <c r="D1784">
        <f>IF($D$1=0,0,IFERROR(VALUE(SUBSTITUTE(SUBSTITUTE(SUBSTITUTE(INDEX(貼り付け!$A$1:$BZ$3001,1783,$D$1)&amp;"",",",""),"¥",""),"￥","")),0))</f>
        <v/>
      </c>
      <c r="E1784">
        <f>IF($E$1=0,0,IFERROR(VALUE(SUBSTITUTE(SUBSTITUTE(SUBSTITUTE(INDEX(貼り付け!$A$1:$BZ$3001,1783,$E$1)&amp;"",",",""),"¥",""),"￥","")),0))</f>
        <v/>
      </c>
      <c r="F1784">
        <f>IF($F$1=0,0,IFERROR(VALUE(SUBSTITUTE(SUBSTITUTE(SUBSTITUTE(INDEX(貼り付け!$A$1:$BZ$3001,1783,$F$1)&amp;"",",",""),"¥",""),"￥","")),0))</f>
        <v/>
      </c>
      <c r="G1784">
        <f>IF(ISNUMBER(B1784),YEAR(B1784),"")</f>
        <v/>
      </c>
      <c r="H1784">
        <f>IF(ISNUMBER(B1784),MONTH(B1784),"")</f>
        <v/>
      </c>
      <c r="I1784">
        <f>IFERROR(IF($B$1=0,"",IF(ISNUMBER(INDEX(貼り付け!$A$1:$BZ$3001,1783,$B$1)),"",SUBSTITUTE(SUBSTITUTE(SUBSTITUTE(SUBSTITUTE(TRIM(LEFT(INDEX(貼り付け!$A$1:$BZ$3001,1783,$B$1)&amp;"",FIND(" ",TRIM(INDEX(貼り付け!$A$1:$BZ$3001,1783,$B$1)&amp;"")&amp;" ")-1)),"/","-"),"年","-"),"月","-"),"日",""))),"")</f>
        <v/>
      </c>
      <c r="J1784">
        <f>IFERROR(MID(I1784,FIND("-",I1784)+1,99),"")</f>
        <v/>
      </c>
    </row>
    <row r="1785">
      <c r="B1785">
        <f>IFERROR(IF($B$1=0,"",IF(INDEX(貼り付け!$A$1:$BZ$3001,1784,$B$1)="","",IF(ISNUMBER(INDEX(貼り付け!$A$1:$BZ$3001,1784,$B$1)),INT(INDEX(貼り付け!$A$1:$BZ$3001,1784,$B$1)),DATE(VALUE(LEFT(I1785,FIND("-",I1785)-1)),VALUE(LEFT(J1785,FIND("-",J1785)-1)),VALUE(MID(J1785,FIND("-",J1785)+1,99)))))),"")</f>
        <v/>
      </c>
      <c r="C1785">
        <f>IF($C$1=0,0,IFERROR(VALUE(SUBSTITUTE(SUBSTITUTE(SUBSTITUTE(INDEX(貼り付け!$A$1:$BZ$3001,1784,$C$1)&amp;"",",",""),"¥",""),"￥","")),0))</f>
        <v/>
      </c>
      <c r="D1785">
        <f>IF($D$1=0,0,IFERROR(VALUE(SUBSTITUTE(SUBSTITUTE(SUBSTITUTE(INDEX(貼り付け!$A$1:$BZ$3001,1784,$D$1)&amp;"",",",""),"¥",""),"￥","")),0))</f>
        <v/>
      </c>
      <c r="E1785">
        <f>IF($E$1=0,0,IFERROR(VALUE(SUBSTITUTE(SUBSTITUTE(SUBSTITUTE(INDEX(貼り付け!$A$1:$BZ$3001,1784,$E$1)&amp;"",",",""),"¥",""),"￥","")),0))</f>
        <v/>
      </c>
      <c r="F1785">
        <f>IF($F$1=0,0,IFERROR(VALUE(SUBSTITUTE(SUBSTITUTE(SUBSTITUTE(INDEX(貼り付け!$A$1:$BZ$3001,1784,$F$1)&amp;"",",",""),"¥",""),"￥","")),0))</f>
        <v/>
      </c>
      <c r="G1785">
        <f>IF(ISNUMBER(B1785),YEAR(B1785),"")</f>
        <v/>
      </c>
      <c r="H1785">
        <f>IF(ISNUMBER(B1785),MONTH(B1785),"")</f>
        <v/>
      </c>
      <c r="I1785">
        <f>IFERROR(IF($B$1=0,"",IF(ISNUMBER(INDEX(貼り付け!$A$1:$BZ$3001,1784,$B$1)),"",SUBSTITUTE(SUBSTITUTE(SUBSTITUTE(SUBSTITUTE(TRIM(LEFT(INDEX(貼り付け!$A$1:$BZ$3001,1784,$B$1)&amp;"",FIND(" ",TRIM(INDEX(貼り付け!$A$1:$BZ$3001,1784,$B$1)&amp;"")&amp;" ")-1)),"/","-"),"年","-"),"月","-"),"日",""))),"")</f>
        <v/>
      </c>
      <c r="J1785">
        <f>IFERROR(MID(I1785,FIND("-",I1785)+1,99),"")</f>
        <v/>
      </c>
    </row>
    <row r="1786">
      <c r="B1786">
        <f>IFERROR(IF($B$1=0,"",IF(INDEX(貼り付け!$A$1:$BZ$3001,1785,$B$1)="","",IF(ISNUMBER(INDEX(貼り付け!$A$1:$BZ$3001,1785,$B$1)),INT(INDEX(貼り付け!$A$1:$BZ$3001,1785,$B$1)),DATE(VALUE(LEFT(I1786,FIND("-",I1786)-1)),VALUE(LEFT(J1786,FIND("-",J1786)-1)),VALUE(MID(J1786,FIND("-",J1786)+1,99)))))),"")</f>
        <v/>
      </c>
      <c r="C1786">
        <f>IF($C$1=0,0,IFERROR(VALUE(SUBSTITUTE(SUBSTITUTE(SUBSTITUTE(INDEX(貼り付け!$A$1:$BZ$3001,1785,$C$1)&amp;"",",",""),"¥",""),"￥","")),0))</f>
        <v/>
      </c>
      <c r="D1786">
        <f>IF($D$1=0,0,IFERROR(VALUE(SUBSTITUTE(SUBSTITUTE(SUBSTITUTE(INDEX(貼り付け!$A$1:$BZ$3001,1785,$D$1)&amp;"",",",""),"¥",""),"￥","")),0))</f>
        <v/>
      </c>
      <c r="E1786">
        <f>IF($E$1=0,0,IFERROR(VALUE(SUBSTITUTE(SUBSTITUTE(SUBSTITUTE(INDEX(貼り付け!$A$1:$BZ$3001,1785,$E$1)&amp;"",",",""),"¥",""),"￥","")),0))</f>
        <v/>
      </c>
      <c r="F1786">
        <f>IF($F$1=0,0,IFERROR(VALUE(SUBSTITUTE(SUBSTITUTE(SUBSTITUTE(INDEX(貼り付け!$A$1:$BZ$3001,1785,$F$1)&amp;"",",",""),"¥",""),"￥","")),0))</f>
        <v/>
      </c>
      <c r="G1786">
        <f>IF(ISNUMBER(B1786),YEAR(B1786),"")</f>
        <v/>
      </c>
      <c r="H1786">
        <f>IF(ISNUMBER(B1786),MONTH(B1786),"")</f>
        <v/>
      </c>
      <c r="I1786">
        <f>IFERROR(IF($B$1=0,"",IF(ISNUMBER(INDEX(貼り付け!$A$1:$BZ$3001,1785,$B$1)),"",SUBSTITUTE(SUBSTITUTE(SUBSTITUTE(SUBSTITUTE(TRIM(LEFT(INDEX(貼り付け!$A$1:$BZ$3001,1785,$B$1)&amp;"",FIND(" ",TRIM(INDEX(貼り付け!$A$1:$BZ$3001,1785,$B$1)&amp;"")&amp;" ")-1)),"/","-"),"年","-"),"月","-"),"日",""))),"")</f>
        <v/>
      </c>
      <c r="J1786">
        <f>IFERROR(MID(I1786,FIND("-",I1786)+1,99),"")</f>
        <v/>
      </c>
    </row>
    <row r="1787">
      <c r="B1787">
        <f>IFERROR(IF($B$1=0,"",IF(INDEX(貼り付け!$A$1:$BZ$3001,1786,$B$1)="","",IF(ISNUMBER(INDEX(貼り付け!$A$1:$BZ$3001,1786,$B$1)),INT(INDEX(貼り付け!$A$1:$BZ$3001,1786,$B$1)),DATE(VALUE(LEFT(I1787,FIND("-",I1787)-1)),VALUE(LEFT(J1787,FIND("-",J1787)-1)),VALUE(MID(J1787,FIND("-",J1787)+1,99)))))),"")</f>
        <v/>
      </c>
      <c r="C1787">
        <f>IF($C$1=0,0,IFERROR(VALUE(SUBSTITUTE(SUBSTITUTE(SUBSTITUTE(INDEX(貼り付け!$A$1:$BZ$3001,1786,$C$1)&amp;"",",",""),"¥",""),"￥","")),0))</f>
        <v/>
      </c>
      <c r="D1787">
        <f>IF($D$1=0,0,IFERROR(VALUE(SUBSTITUTE(SUBSTITUTE(SUBSTITUTE(INDEX(貼り付け!$A$1:$BZ$3001,1786,$D$1)&amp;"",",",""),"¥",""),"￥","")),0))</f>
        <v/>
      </c>
      <c r="E1787">
        <f>IF($E$1=0,0,IFERROR(VALUE(SUBSTITUTE(SUBSTITUTE(SUBSTITUTE(INDEX(貼り付け!$A$1:$BZ$3001,1786,$E$1)&amp;"",",",""),"¥",""),"￥","")),0))</f>
        <v/>
      </c>
      <c r="F1787">
        <f>IF($F$1=0,0,IFERROR(VALUE(SUBSTITUTE(SUBSTITUTE(SUBSTITUTE(INDEX(貼り付け!$A$1:$BZ$3001,1786,$F$1)&amp;"",",",""),"¥",""),"￥","")),0))</f>
        <v/>
      </c>
      <c r="G1787">
        <f>IF(ISNUMBER(B1787),YEAR(B1787),"")</f>
        <v/>
      </c>
      <c r="H1787">
        <f>IF(ISNUMBER(B1787),MONTH(B1787),"")</f>
        <v/>
      </c>
      <c r="I1787">
        <f>IFERROR(IF($B$1=0,"",IF(ISNUMBER(INDEX(貼り付け!$A$1:$BZ$3001,1786,$B$1)),"",SUBSTITUTE(SUBSTITUTE(SUBSTITUTE(SUBSTITUTE(TRIM(LEFT(INDEX(貼り付け!$A$1:$BZ$3001,1786,$B$1)&amp;"",FIND(" ",TRIM(INDEX(貼り付け!$A$1:$BZ$3001,1786,$B$1)&amp;"")&amp;" ")-1)),"/","-"),"年","-"),"月","-"),"日",""))),"")</f>
        <v/>
      </c>
      <c r="J1787">
        <f>IFERROR(MID(I1787,FIND("-",I1787)+1,99),"")</f>
        <v/>
      </c>
    </row>
    <row r="1788">
      <c r="B1788">
        <f>IFERROR(IF($B$1=0,"",IF(INDEX(貼り付け!$A$1:$BZ$3001,1787,$B$1)="","",IF(ISNUMBER(INDEX(貼り付け!$A$1:$BZ$3001,1787,$B$1)),INT(INDEX(貼り付け!$A$1:$BZ$3001,1787,$B$1)),DATE(VALUE(LEFT(I1788,FIND("-",I1788)-1)),VALUE(LEFT(J1788,FIND("-",J1788)-1)),VALUE(MID(J1788,FIND("-",J1788)+1,99)))))),"")</f>
        <v/>
      </c>
      <c r="C1788">
        <f>IF($C$1=0,0,IFERROR(VALUE(SUBSTITUTE(SUBSTITUTE(SUBSTITUTE(INDEX(貼り付け!$A$1:$BZ$3001,1787,$C$1)&amp;"",",",""),"¥",""),"￥","")),0))</f>
        <v/>
      </c>
      <c r="D1788">
        <f>IF($D$1=0,0,IFERROR(VALUE(SUBSTITUTE(SUBSTITUTE(SUBSTITUTE(INDEX(貼り付け!$A$1:$BZ$3001,1787,$D$1)&amp;"",",",""),"¥",""),"￥","")),0))</f>
        <v/>
      </c>
      <c r="E1788">
        <f>IF($E$1=0,0,IFERROR(VALUE(SUBSTITUTE(SUBSTITUTE(SUBSTITUTE(INDEX(貼り付け!$A$1:$BZ$3001,1787,$E$1)&amp;"",",",""),"¥",""),"￥","")),0))</f>
        <v/>
      </c>
      <c r="F1788">
        <f>IF($F$1=0,0,IFERROR(VALUE(SUBSTITUTE(SUBSTITUTE(SUBSTITUTE(INDEX(貼り付け!$A$1:$BZ$3001,1787,$F$1)&amp;"",",",""),"¥",""),"￥","")),0))</f>
        <v/>
      </c>
      <c r="G1788">
        <f>IF(ISNUMBER(B1788),YEAR(B1788),"")</f>
        <v/>
      </c>
      <c r="H1788">
        <f>IF(ISNUMBER(B1788),MONTH(B1788),"")</f>
        <v/>
      </c>
      <c r="I1788">
        <f>IFERROR(IF($B$1=0,"",IF(ISNUMBER(INDEX(貼り付け!$A$1:$BZ$3001,1787,$B$1)),"",SUBSTITUTE(SUBSTITUTE(SUBSTITUTE(SUBSTITUTE(TRIM(LEFT(INDEX(貼り付け!$A$1:$BZ$3001,1787,$B$1)&amp;"",FIND(" ",TRIM(INDEX(貼り付け!$A$1:$BZ$3001,1787,$B$1)&amp;"")&amp;" ")-1)),"/","-"),"年","-"),"月","-"),"日",""))),"")</f>
        <v/>
      </c>
      <c r="J1788">
        <f>IFERROR(MID(I1788,FIND("-",I1788)+1,99),"")</f>
        <v/>
      </c>
    </row>
    <row r="1789">
      <c r="B1789">
        <f>IFERROR(IF($B$1=0,"",IF(INDEX(貼り付け!$A$1:$BZ$3001,1788,$B$1)="","",IF(ISNUMBER(INDEX(貼り付け!$A$1:$BZ$3001,1788,$B$1)),INT(INDEX(貼り付け!$A$1:$BZ$3001,1788,$B$1)),DATE(VALUE(LEFT(I1789,FIND("-",I1789)-1)),VALUE(LEFT(J1789,FIND("-",J1789)-1)),VALUE(MID(J1789,FIND("-",J1789)+1,99)))))),"")</f>
        <v/>
      </c>
      <c r="C1789">
        <f>IF($C$1=0,0,IFERROR(VALUE(SUBSTITUTE(SUBSTITUTE(SUBSTITUTE(INDEX(貼り付け!$A$1:$BZ$3001,1788,$C$1)&amp;"",",",""),"¥",""),"￥","")),0))</f>
        <v/>
      </c>
      <c r="D1789">
        <f>IF($D$1=0,0,IFERROR(VALUE(SUBSTITUTE(SUBSTITUTE(SUBSTITUTE(INDEX(貼り付け!$A$1:$BZ$3001,1788,$D$1)&amp;"",",",""),"¥",""),"￥","")),0))</f>
        <v/>
      </c>
      <c r="E1789">
        <f>IF($E$1=0,0,IFERROR(VALUE(SUBSTITUTE(SUBSTITUTE(SUBSTITUTE(INDEX(貼り付け!$A$1:$BZ$3001,1788,$E$1)&amp;"",",",""),"¥",""),"￥","")),0))</f>
        <v/>
      </c>
      <c r="F1789">
        <f>IF($F$1=0,0,IFERROR(VALUE(SUBSTITUTE(SUBSTITUTE(SUBSTITUTE(INDEX(貼り付け!$A$1:$BZ$3001,1788,$F$1)&amp;"",",",""),"¥",""),"￥","")),0))</f>
        <v/>
      </c>
      <c r="G1789">
        <f>IF(ISNUMBER(B1789),YEAR(B1789),"")</f>
        <v/>
      </c>
      <c r="H1789">
        <f>IF(ISNUMBER(B1789),MONTH(B1789),"")</f>
        <v/>
      </c>
      <c r="I1789">
        <f>IFERROR(IF($B$1=0,"",IF(ISNUMBER(INDEX(貼り付け!$A$1:$BZ$3001,1788,$B$1)),"",SUBSTITUTE(SUBSTITUTE(SUBSTITUTE(SUBSTITUTE(TRIM(LEFT(INDEX(貼り付け!$A$1:$BZ$3001,1788,$B$1)&amp;"",FIND(" ",TRIM(INDEX(貼り付け!$A$1:$BZ$3001,1788,$B$1)&amp;"")&amp;" ")-1)),"/","-"),"年","-"),"月","-"),"日",""))),"")</f>
        <v/>
      </c>
      <c r="J1789">
        <f>IFERROR(MID(I1789,FIND("-",I1789)+1,99),"")</f>
        <v/>
      </c>
    </row>
    <row r="1790">
      <c r="B1790">
        <f>IFERROR(IF($B$1=0,"",IF(INDEX(貼り付け!$A$1:$BZ$3001,1789,$B$1)="","",IF(ISNUMBER(INDEX(貼り付け!$A$1:$BZ$3001,1789,$B$1)),INT(INDEX(貼り付け!$A$1:$BZ$3001,1789,$B$1)),DATE(VALUE(LEFT(I1790,FIND("-",I1790)-1)),VALUE(LEFT(J1790,FIND("-",J1790)-1)),VALUE(MID(J1790,FIND("-",J1790)+1,99)))))),"")</f>
        <v/>
      </c>
      <c r="C1790">
        <f>IF($C$1=0,0,IFERROR(VALUE(SUBSTITUTE(SUBSTITUTE(SUBSTITUTE(INDEX(貼り付け!$A$1:$BZ$3001,1789,$C$1)&amp;"",",",""),"¥",""),"￥","")),0))</f>
        <v/>
      </c>
      <c r="D1790">
        <f>IF($D$1=0,0,IFERROR(VALUE(SUBSTITUTE(SUBSTITUTE(SUBSTITUTE(INDEX(貼り付け!$A$1:$BZ$3001,1789,$D$1)&amp;"",",",""),"¥",""),"￥","")),0))</f>
        <v/>
      </c>
      <c r="E1790">
        <f>IF($E$1=0,0,IFERROR(VALUE(SUBSTITUTE(SUBSTITUTE(SUBSTITUTE(INDEX(貼り付け!$A$1:$BZ$3001,1789,$E$1)&amp;"",",",""),"¥",""),"￥","")),0))</f>
        <v/>
      </c>
      <c r="F1790">
        <f>IF($F$1=0,0,IFERROR(VALUE(SUBSTITUTE(SUBSTITUTE(SUBSTITUTE(INDEX(貼り付け!$A$1:$BZ$3001,1789,$F$1)&amp;"",",",""),"¥",""),"￥","")),0))</f>
        <v/>
      </c>
      <c r="G1790">
        <f>IF(ISNUMBER(B1790),YEAR(B1790),"")</f>
        <v/>
      </c>
      <c r="H1790">
        <f>IF(ISNUMBER(B1790),MONTH(B1790),"")</f>
        <v/>
      </c>
      <c r="I1790">
        <f>IFERROR(IF($B$1=0,"",IF(ISNUMBER(INDEX(貼り付け!$A$1:$BZ$3001,1789,$B$1)),"",SUBSTITUTE(SUBSTITUTE(SUBSTITUTE(SUBSTITUTE(TRIM(LEFT(INDEX(貼り付け!$A$1:$BZ$3001,1789,$B$1)&amp;"",FIND(" ",TRIM(INDEX(貼り付け!$A$1:$BZ$3001,1789,$B$1)&amp;"")&amp;" ")-1)),"/","-"),"年","-"),"月","-"),"日",""))),"")</f>
        <v/>
      </c>
      <c r="J1790">
        <f>IFERROR(MID(I1790,FIND("-",I1790)+1,99),"")</f>
        <v/>
      </c>
    </row>
    <row r="1791">
      <c r="B1791">
        <f>IFERROR(IF($B$1=0,"",IF(INDEX(貼り付け!$A$1:$BZ$3001,1790,$B$1)="","",IF(ISNUMBER(INDEX(貼り付け!$A$1:$BZ$3001,1790,$B$1)),INT(INDEX(貼り付け!$A$1:$BZ$3001,1790,$B$1)),DATE(VALUE(LEFT(I1791,FIND("-",I1791)-1)),VALUE(LEFT(J1791,FIND("-",J1791)-1)),VALUE(MID(J1791,FIND("-",J1791)+1,99)))))),"")</f>
        <v/>
      </c>
      <c r="C1791">
        <f>IF($C$1=0,0,IFERROR(VALUE(SUBSTITUTE(SUBSTITUTE(SUBSTITUTE(INDEX(貼り付け!$A$1:$BZ$3001,1790,$C$1)&amp;"",",",""),"¥",""),"￥","")),0))</f>
        <v/>
      </c>
      <c r="D1791">
        <f>IF($D$1=0,0,IFERROR(VALUE(SUBSTITUTE(SUBSTITUTE(SUBSTITUTE(INDEX(貼り付け!$A$1:$BZ$3001,1790,$D$1)&amp;"",",",""),"¥",""),"￥","")),0))</f>
        <v/>
      </c>
      <c r="E1791">
        <f>IF($E$1=0,0,IFERROR(VALUE(SUBSTITUTE(SUBSTITUTE(SUBSTITUTE(INDEX(貼り付け!$A$1:$BZ$3001,1790,$E$1)&amp;"",",",""),"¥",""),"￥","")),0))</f>
        <v/>
      </c>
      <c r="F1791">
        <f>IF($F$1=0,0,IFERROR(VALUE(SUBSTITUTE(SUBSTITUTE(SUBSTITUTE(INDEX(貼り付け!$A$1:$BZ$3001,1790,$F$1)&amp;"",",",""),"¥",""),"￥","")),0))</f>
        <v/>
      </c>
      <c r="G1791">
        <f>IF(ISNUMBER(B1791),YEAR(B1791),"")</f>
        <v/>
      </c>
      <c r="H1791">
        <f>IF(ISNUMBER(B1791),MONTH(B1791),"")</f>
        <v/>
      </c>
      <c r="I1791">
        <f>IFERROR(IF($B$1=0,"",IF(ISNUMBER(INDEX(貼り付け!$A$1:$BZ$3001,1790,$B$1)),"",SUBSTITUTE(SUBSTITUTE(SUBSTITUTE(SUBSTITUTE(TRIM(LEFT(INDEX(貼り付け!$A$1:$BZ$3001,1790,$B$1)&amp;"",FIND(" ",TRIM(INDEX(貼り付け!$A$1:$BZ$3001,1790,$B$1)&amp;"")&amp;" ")-1)),"/","-"),"年","-"),"月","-"),"日",""))),"")</f>
        <v/>
      </c>
      <c r="J1791">
        <f>IFERROR(MID(I1791,FIND("-",I1791)+1,99),"")</f>
        <v/>
      </c>
    </row>
    <row r="1792">
      <c r="B1792">
        <f>IFERROR(IF($B$1=0,"",IF(INDEX(貼り付け!$A$1:$BZ$3001,1791,$B$1)="","",IF(ISNUMBER(INDEX(貼り付け!$A$1:$BZ$3001,1791,$B$1)),INT(INDEX(貼り付け!$A$1:$BZ$3001,1791,$B$1)),DATE(VALUE(LEFT(I1792,FIND("-",I1792)-1)),VALUE(LEFT(J1792,FIND("-",J1792)-1)),VALUE(MID(J1792,FIND("-",J1792)+1,99)))))),"")</f>
        <v/>
      </c>
      <c r="C1792">
        <f>IF($C$1=0,0,IFERROR(VALUE(SUBSTITUTE(SUBSTITUTE(SUBSTITUTE(INDEX(貼り付け!$A$1:$BZ$3001,1791,$C$1)&amp;"",",",""),"¥",""),"￥","")),0))</f>
        <v/>
      </c>
      <c r="D1792">
        <f>IF($D$1=0,0,IFERROR(VALUE(SUBSTITUTE(SUBSTITUTE(SUBSTITUTE(INDEX(貼り付け!$A$1:$BZ$3001,1791,$D$1)&amp;"",",",""),"¥",""),"￥","")),0))</f>
        <v/>
      </c>
      <c r="E1792">
        <f>IF($E$1=0,0,IFERROR(VALUE(SUBSTITUTE(SUBSTITUTE(SUBSTITUTE(INDEX(貼り付け!$A$1:$BZ$3001,1791,$E$1)&amp;"",",",""),"¥",""),"￥","")),0))</f>
        <v/>
      </c>
      <c r="F1792">
        <f>IF($F$1=0,0,IFERROR(VALUE(SUBSTITUTE(SUBSTITUTE(SUBSTITUTE(INDEX(貼り付け!$A$1:$BZ$3001,1791,$F$1)&amp;"",",",""),"¥",""),"￥","")),0))</f>
        <v/>
      </c>
      <c r="G1792">
        <f>IF(ISNUMBER(B1792),YEAR(B1792),"")</f>
        <v/>
      </c>
      <c r="H1792">
        <f>IF(ISNUMBER(B1792),MONTH(B1792),"")</f>
        <v/>
      </c>
      <c r="I1792">
        <f>IFERROR(IF($B$1=0,"",IF(ISNUMBER(INDEX(貼り付け!$A$1:$BZ$3001,1791,$B$1)),"",SUBSTITUTE(SUBSTITUTE(SUBSTITUTE(SUBSTITUTE(TRIM(LEFT(INDEX(貼り付け!$A$1:$BZ$3001,1791,$B$1)&amp;"",FIND(" ",TRIM(INDEX(貼り付け!$A$1:$BZ$3001,1791,$B$1)&amp;"")&amp;" ")-1)),"/","-"),"年","-"),"月","-"),"日",""))),"")</f>
        <v/>
      </c>
      <c r="J1792">
        <f>IFERROR(MID(I1792,FIND("-",I1792)+1,99),"")</f>
        <v/>
      </c>
    </row>
    <row r="1793">
      <c r="B1793">
        <f>IFERROR(IF($B$1=0,"",IF(INDEX(貼り付け!$A$1:$BZ$3001,1792,$B$1)="","",IF(ISNUMBER(INDEX(貼り付け!$A$1:$BZ$3001,1792,$B$1)),INT(INDEX(貼り付け!$A$1:$BZ$3001,1792,$B$1)),DATE(VALUE(LEFT(I1793,FIND("-",I1793)-1)),VALUE(LEFT(J1793,FIND("-",J1793)-1)),VALUE(MID(J1793,FIND("-",J1793)+1,99)))))),"")</f>
        <v/>
      </c>
      <c r="C1793">
        <f>IF($C$1=0,0,IFERROR(VALUE(SUBSTITUTE(SUBSTITUTE(SUBSTITUTE(INDEX(貼り付け!$A$1:$BZ$3001,1792,$C$1)&amp;"",",",""),"¥",""),"￥","")),0))</f>
        <v/>
      </c>
      <c r="D1793">
        <f>IF($D$1=0,0,IFERROR(VALUE(SUBSTITUTE(SUBSTITUTE(SUBSTITUTE(INDEX(貼り付け!$A$1:$BZ$3001,1792,$D$1)&amp;"",",",""),"¥",""),"￥","")),0))</f>
        <v/>
      </c>
      <c r="E1793">
        <f>IF($E$1=0,0,IFERROR(VALUE(SUBSTITUTE(SUBSTITUTE(SUBSTITUTE(INDEX(貼り付け!$A$1:$BZ$3001,1792,$E$1)&amp;"",",",""),"¥",""),"￥","")),0))</f>
        <v/>
      </c>
      <c r="F1793">
        <f>IF($F$1=0,0,IFERROR(VALUE(SUBSTITUTE(SUBSTITUTE(SUBSTITUTE(INDEX(貼り付け!$A$1:$BZ$3001,1792,$F$1)&amp;"",",",""),"¥",""),"￥","")),0))</f>
        <v/>
      </c>
      <c r="G1793">
        <f>IF(ISNUMBER(B1793),YEAR(B1793),"")</f>
        <v/>
      </c>
      <c r="H1793">
        <f>IF(ISNUMBER(B1793),MONTH(B1793),"")</f>
        <v/>
      </c>
      <c r="I1793">
        <f>IFERROR(IF($B$1=0,"",IF(ISNUMBER(INDEX(貼り付け!$A$1:$BZ$3001,1792,$B$1)),"",SUBSTITUTE(SUBSTITUTE(SUBSTITUTE(SUBSTITUTE(TRIM(LEFT(INDEX(貼り付け!$A$1:$BZ$3001,1792,$B$1)&amp;"",FIND(" ",TRIM(INDEX(貼り付け!$A$1:$BZ$3001,1792,$B$1)&amp;"")&amp;" ")-1)),"/","-"),"年","-"),"月","-"),"日",""))),"")</f>
        <v/>
      </c>
      <c r="J1793">
        <f>IFERROR(MID(I1793,FIND("-",I1793)+1,99),"")</f>
        <v/>
      </c>
    </row>
    <row r="1794">
      <c r="B1794">
        <f>IFERROR(IF($B$1=0,"",IF(INDEX(貼り付け!$A$1:$BZ$3001,1793,$B$1)="","",IF(ISNUMBER(INDEX(貼り付け!$A$1:$BZ$3001,1793,$B$1)),INT(INDEX(貼り付け!$A$1:$BZ$3001,1793,$B$1)),DATE(VALUE(LEFT(I1794,FIND("-",I1794)-1)),VALUE(LEFT(J1794,FIND("-",J1794)-1)),VALUE(MID(J1794,FIND("-",J1794)+1,99)))))),"")</f>
        <v/>
      </c>
      <c r="C1794">
        <f>IF($C$1=0,0,IFERROR(VALUE(SUBSTITUTE(SUBSTITUTE(SUBSTITUTE(INDEX(貼り付け!$A$1:$BZ$3001,1793,$C$1)&amp;"",",",""),"¥",""),"￥","")),0))</f>
        <v/>
      </c>
      <c r="D1794">
        <f>IF($D$1=0,0,IFERROR(VALUE(SUBSTITUTE(SUBSTITUTE(SUBSTITUTE(INDEX(貼り付け!$A$1:$BZ$3001,1793,$D$1)&amp;"",",",""),"¥",""),"￥","")),0))</f>
        <v/>
      </c>
      <c r="E1794">
        <f>IF($E$1=0,0,IFERROR(VALUE(SUBSTITUTE(SUBSTITUTE(SUBSTITUTE(INDEX(貼り付け!$A$1:$BZ$3001,1793,$E$1)&amp;"",",",""),"¥",""),"￥","")),0))</f>
        <v/>
      </c>
      <c r="F1794">
        <f>IF($F$1=0,0,IFERROR(VALUE(SUBSTITUTE(SUBSTITUTE(SUBSTITUTE(INDEX(貼り付け!$A$1:$BZ$3001,1793,$F$1)&amp;"",",",""),"¥",""),"￥","")),0))</f>
        <v/>
      </c>
      <c r="G1794">
        <f>IF(ISNUMBER(B1794),YEAR(B1794),"")</f>
        <v/>
      </c>
      <c r="H1794">
        <f>IF(ISNUMBER(B1794),MONTH(B1794),"")</f>
        <v/>
      </c>
      <c r="I1794">
        <f>IFERROR(IF($B$1=0,"",IF(ISNUMBER(INDEX(貼り付け!$A$1:$BZ$3001,1793,$B$1)),"",SUBSTITUTE(SUBSTITUTE(SUBSTITUTE(SUBSTITUTE(TRIM(LEFT(INDEX(貼り付け!$A$1:$BZ$3001,1793,$B$1)&amp;"",FIND(" ",TRIM(INDEX(貼り付け!$A$1:$BZ$3001,1793,$B$1)&amp;"")&amp;" ")-1)),"/","-"),"年","-"),"月","-"),"日",""))),"")</f>
        <v/>
      </c>
      <c r="J1794">
        <f>IFERROR(MID(I1794,FIND("-",I1794)+1,99),"")</f>
        <v/>
      </c>
    </row>
    <row r="1795">
      <c r="B1795">
        <f>IFERROR(IF($B$1=0,"",IF(INDEX(貼り付け!$A$1:$BZ$3001,1794,$B$1)="","",IF(ISNUMBER(INDEX(貼り付け!$A$1:$BZ$3001,1794,$B$1)),INT(INDEX(貼り付け!$A$1:$BZ$3001,1794,$B$1)),DATE(VALUE(LEFT(I1795,FIND("-",I1795)-1)),VALUE(LEFT(J1795,FIND("-",J1795)-1)),VALUE(MID(J1795,FIND("-",J1795)+1,99)))))),"")</f>
        <v/>
      </c>
      <c r="C1795">
        <f>IF($C$1=0,0,IFERROR(VALUE(SUBSTITUTE(SUBSTITUTE(SUBSTITUTE(INDEX(貼り付け!$A$1:$BZ$3001,1794,$C$1)&amp;"",",",""),"¥",""),"￥","")),0))</f>
        <v/>
      </c>
      <c r="D1795">
        <f>IF($D$1=0,0,IFERROR(VALUE(SUBSTITUTE(SUBSTITUTE(SUBSTITUTE(INDEX(貼り付け!$A$1:$BZ$3001,1794,$D$1)&amp;"",",",""),"¥",""),"￥","")),0))</f>
        <v/>
      </c>
      <c r="E1795">
        <f>IF($E$1=0,0,IFERROR(VALUE(SUBSTITUTE(SUBSTITUTE(SUBSTITUTE(INDEX(貼り付け!$A$1:$BZ$3001,1794,$E$1)&amp;"",",",""),"¥",""),"￥","")),0))</f>
        <v/>
      </c>
      <c r="F1795">
        <f>IF($F$1=0,0,IFERROR(VALUE(SUBSTITUTE(SUBSTITUTE(SUBSTITUTE(INDEX(貼り付け!$A$1:$BZ$3001,1794,$F$1)&amp;"",",",""),"¥",""),"￥","")),0))</f>
        <v/>
      </c>
      <c r="G1795">
        <f>IF(ISNUMBER(B1795),YEAR(B1795),"")</f>
        <v/>
      </c>
      <c r="H1795">
        <f>IF(ISNUMBER(B1795),MONTH(B1795),"")</f>
        <v/>
      </c>
      <c r="I1795">
        <f>IFERROR(IF($B$1=0,"",IF(ISNUMBER(INDEX(貼り付け!$A$1:$BZ$3001,1794,$B$1)),"",SUBSTITUTE(SUBSTITUTE(SUBSTITUTE(SUBSTITUTE(TRIM(LEFT(INDEX(貼り付け!$A$1:$BZ$3001,1794,$B$1)&amp;"",FIND(" ",TRIM(INDEX(貼り付け!$A$1:$BZ$3001,1794,$B$1)&amp;"")&amp;" ")-1)),"/","-"),"年","-"),"月","-"),"日",""))),"")</f>
        <v/>
      </c>
      <c r="J1795">
        <f>IFERROR(MID(I1795,FIND("-",I1795)+1,99),"")</f>
        <v/>
      </c>
    </row>
    <row r="1796">
      <c r="B1796">
        <f>IFERROR(IF($B$1=0,"",IF(INDEX(貼り付け!$A$1:$BZ$3001,1795,$B$1)="","",IF(ISNUMBER(INDEX(貼り付け!$A$1:$BZ$3001,1795,$B$1)),INT(INDEX(貼り付け!$A$1:$BZ$3001,1795,$B$1)),DATE(VALUE(LEFT(I1796,FIND("-",I1796)-1)),VALUE(LEFT(J1796,FIND("-",J1796)-1)),VALUE(MID(J1796,FIND("-",J1796)+1,99)))))),"")</f>
        <v/>
      </c>
      <c r="C1796">
        <f>IF($C$1=0,0,IFERROR(VALUE(SUBSTITUTE(SUBSTITUTE(SUBSTITUTE(INDEX(貼り付け!$A$1:$BZ$3001,1795,$C$1)&amp;"",",",""),"¥",""),"￥","")),0))</f>
        <v/>
      </c>
      <c r="D1796">
        <f>IF($D$1=0,0,IFERROR(VALUE(SUBSTITUTE(SUBSTITUTE(SUBSTITUTE(INDEX(貼り付け!$A$1:$BZ$3001,1795,$D$1)&amp;"",",",""),"¥",""),"￥","")),0))</f>
        <v/>
      </c>
      <c r="E1796">
        <f>IF($E$1=0,0,IFERROR(VALUE(SUBSTITUTE(SUBSTITUTE(SUBSTITUTE(INDEX(貼り付け!$A$1:$BZ$3001,1795,$E$1)&amp;"",",",""),"¥",""),"￥","")),0))</f>
        <v/>
      </c>
      <c r="F1796">
        <f>IF($F$1=0,0,IFERROR(VALUE(SUBSTITUTE(SUBSTITUTE(SUBSTITUTE(INDEX(貼り付け!$A$1:$BZ$3001,1795,$F$1)&amp;"",",",""),"¥",""),"￥","")),0))</f>
        <v/>
      </c>
      <c r="G1796">
        <f>IF(ISNUMBER(B1796),YEAR(B1796),"")</f>
        <v/>
      </c>
      <c r="H1796">
        <f>IF(ISNUMBER(B1796),MONTH(B1796),"")</f>
        <v/>
      </c>
      <c r="I1796">
        <f>IFERROR(IF($B$1=0,"",IF(ISNUMBER(INDEX(貼り付け!$A$1:$BZ$3001,1795,$B$1)),"",SUBSTITUTE(SUBSTITUTE(SUBSTITUTE(SUBSTITUTE(TRIM(LEFT(INDEX(貼り付け!$A$1:$BZ$3001,1795,$B$1)&amp;"",FIND(" ",TRIM(INDEX(貼り付け!$A$1:$BZ$3001,1795,$B$1)&amp;"")&amp;" ")-1)),"/","-"),"年","-"),"月","-"),"日",""))),"")</f>
        <v/>
      </c>
      <c r="J1796">
        <f>IFERROR(MID(I1796,FIND("-",I1796)+1,99),"")</f>
        <v/>
      </c>
    </row>
    <row r="1797">
      <c r="B1797">
        <f>IFERROR(IF($B$1=0,"",IF(INDEX(貼り付け!$A$1:$BZ$3001,1796,$B$1)="","",IF(ISNUMBER(INDEX(貼り付け!$A$1:$BZ$3001,1796,$B$1)),INT(INDEX(貼り付け!$A$1:$BZ$3001,1796,$B$1)),DATE(VALUE(LEFT(I1797,FIND("-",I1797)-1)),VALUE(LEFT(J1797,FIND("-",J1797)-1)),VALUE(MID(J1797,FIND("-",J1797)+1,99)))))),"")</f>
        <v/>
      </c>
      <c r="C1797">
        <f>IF($C$1=0,0,IFERROR(VALUE(SUBSTITUTE(SUBSTITUTE(SUBSTITUTE(INDEX(貼り付け!$A$1:$BZ$3001,1796,$C$1)&amp;"",",",""),"¥",""),"￥","")),0))</f>
        <v/>
      </c>
      <c r="D1797">
        <f>IF($D$1=0,0,IFERROR(VALUE(SUBSTITUTE(SUBSTITUTE(SUBSTITUTE(INDEX(貼り付け!$A$1:$BZ$3001,1796,$D$1)&amp;"",",",""),"¥",""),"￥","")),0))</f>
        <v/>
      </c>
      <c r="E1797">
        <f>IF($E$1=0,0,IFERROR(VALUE(SUBSTITUTE(SUBSTITUTE(SUBSTITUTE(INDEX(貼り付け!$A$1:$BZ$3001,1796,$E$1)&amp;"",",",""),"¥",""),"￥","")),0))</f>
        <v/>
      </c>
      <c r="F1797">
        <f>IF($F$1=0,0,IFERROR(VALUE(SUBSTITUTE(SUBSTITUTE(SUBSTITUTE(INDEX(貼り付け!$A$1:$BZ$3001,1796,$F$1)&amp;"",",",""),"¥",""),"￥","")),0))</f>
        <v/>
      </c>
      <c r="G1797">
        <f>IF(ISNUMBER(B1797),YEAR(B1797),"")</f>
        <v/>
      </c>
      <c r="H1797">
        <f>IF(ISNUMBER(B1797),MONTH(B1797),"")</f>
        <v/>
      </c>
      <c r="I1797">
        <f>IFERROR(IF($B$1=0,"",IF(ISNUMBER(INDEX(貼り付け!$A$1:$BZ$3001,1796,$B$1)),"",SUBSTITUTE(SUBSTITUTE(SUBSTITUTE(SUBSTITUTE(TRIM(LEFT(INDEX(貼り付け!$A$1:$BZ$3001,1796,$B$1)&amp;"",FIND(" ",TRIM(INDEX(貼り付け!$A$1:$BZ$3001,1796,$B$1)&amp;"")&amp;" ")-1)),"/","-"),"年","-"),"月","-"),"日",""))),"")</f>
        <v/>
      </c>
      <c r="J1797">
        <f>IFERROR(MID(I1797,FIND("-",I1797)+1,99),"")</f>
        <v/>
      </c>
    </row>
    <row r="1798">
      <c r="B1798">
        <f>IFERROR(IF($B$1=0,"",IF(INDEX(貼り付け!$A$1:$BZ$3001,1797,$B$1)="","",IF(ISNUMBER(INDEX(貼り付け!$A$1:$BZ$3001,1797,$B$1)),INT(INDEX(貼り付け!$A$1:$BZ$3001,1797,$B$1)),DATE(VALUE(LEFT(I1798,FIND("-",I1798)-1)),VALUE(LEFT(J1798,FIND("-",J1798)-1)),VALUE(MID(J1798,FIND("-",J1798)+1,99)))))),"")</f>
        <v/>
      </c>
      <c r="C1798">
        <f>IF($C$1=0,0,IFERROR(VALUE(SUBSTITUTE(SUBSTITUTE(SUBSTITUTE(INDEX(貼り付け!$A$1:$BZ$3001,1797,$C$1)&amp;"",",",""),"¥",""),"￥","")),0))</f>
        <v/>
      </c>
      <c r="D1798">
        <f>IF($D$1=0,0,IFERROR(VALUE(SUBSTITUTE(SUBSTITUTE(SUBSTITUTE(INDEX(貼り付け!$A$1:$BZ$3001,1797,$D$1)&amp;"",",",""),"¥",""),"￥","")),0))</f>
        <v/>
      </c>
      <c r="E1798">
        <f>IF($E$1=0,0,IFERROR(VALUE(SUBSTITUTE(SUBSTITUTE(SUBSTITUTE(INDEX(貼り付け!$A$1:$BZ$3001,1797,$E$1)&amp;"",",",""),"¥",""),"￥","")),0))</f>
        <v/>
      </c>
      <c r="F1798">
        <f>IF($F$1=0,0,IFERROR(VALUE(SUBSTITUTE(SUBSTITUTE(SUBSTITUTE(INDEX(貼り付け!$A$1:$BZ$3001,1797,$F$1)&amp;"",",",""),"¥",""),"￥","")),0))</f>
        <v/>
      </c>
      <c r="G1798">
        <f>IF(ISNUMBER(B1798),YEAR(B1798),"")</f>
        <v/>
      </c>
      <c r="H1798">
        <f>IF(ISNUMBER(B1798),MONTH(B1798),"")</f>
        <v/>
      </c>
      <c r="I1798">
        <f>IFERROR(IF($B$1=0,"",IF(ISNUMBER(INDEX(貼り付け!$A$1:$BZ$3001,1797,$B$1)),"",SUBSTITUTE(SUBSTITUTE(SUBSTITUTE(SUBSTITUTE(TRIM(LEFT(INDEX(貼り付け!$A$1:$BZ$3001,1797,$B$1)&amp;"",FIND(" ",TRIM(INDEX(貼り付け!$A$1:$BZ$3001,1797,$B$1)&amp;"")&amp;" ")-1)),"/","-"),"年","-"),"月","-"),"日",""))),"")</f>
        <v/>
      </c>
      <c r="J1798">
        <f>IFERROR(MID(I1798,FIND("-",I1798)+1,99),"")</f>
        <v/>
      </c>
    </row>
    <row r="1799">
      <c r="B1799">
        <f>IFERROR(IF($B$1=0,"",IF(INDEX(貼り付け!$A$1:$BZ$3001,1798,$B$1)="","",IF(ISNUMBER(INDEX(貼り付け!$A$1:$BZ$3001,1798,$B$1)),INT(INDEX(貼り付け!$A$1:$BZ$3001,1798,$B$1)),DATE(VALUE(LEFT(I1799,FIND("-",I1799)-1)),VALUE(LEFT(J1799,FIND("-",J1799)-1)),VALUE(MID(J1799,FIND("-",J1799)+1,99)))))),"")</f>
        <v/>
      </c>
      <c r="C1799">
        <f>IF($C$1=0,0,IFERROR(VALUE(SUBSTITUTE(SUBSTITUTE(SUBSTITUTE(INDEX(貼り付け!$A$1:$BZ$3001,1798,$C$1)&amp;"",",",""),"¥",""),"￥","")),0))</f>
        <v/>
      </c>
      <c r="D1799">
        <f>IF($D$1=0,0,IFERROR(VALUE(SUBSTITUTE(SUBSTITUTE(SUBSTITUTE(INDEX(貼り付け!$A$1:$BZ$3001,1798,$D$1)&amp;"",",",""),"¥",""),"￥","")),0))</f>
        <v/>
      </c>
      <c r="E1799">
        <f>IF($E$1=0,0,IFERROR(VALUE(SUBSTITUTE(SUBSTITUTE(SUBSTITUTE(INDEX(貼り付け!$A$1:$BZ$3001,1798,$E$1)&amp;"",",",""),"¥",""),"￥","")),0))</f>
        <v/>
      </c>
      <c r="F1799">
        <f>IF($F$1=0,0,IFERROR(VALUE(SUBSTITUTE(SUBSTITUTE(SUBSTITUTE(INDEX(貼り付け!$A$1:$BZ$3001,1798,$F$1)&amp;"",",",""),"¥",""),"￥","")),0))</f>
        <v/>
      </c>
      <c r="G1799">
        <f>IF(ISNUMBER(B1799),YEAR(B1799),"")</f>
        <v/>
      </c>
      <c r="H1799">
        <f>IF(ISNUMBER(B1799),MONTH(B1799),"")</f>
        <v/>
      </c>
      <c r="I1799">
        <f>IFERROR(IF($B$1=0,"",IF(ISNUMBER(INDEX(貼り付け!$A$1:$BZ$3001,1798,$B$1)),"",SUBSTITUTE(SUBSTITUTE(SUBSTITUTE(SUBSTITUTE(TRIM(LEFT(INDEX(貼り付け!$A$1:$BZ$3001,1798,$B$1)&amp;"",FIND(" ",TRIM(INDEX(貼り付け!$A$1:$BZ$3001,1798,$B$1)&amp;"")&amp;" ")-1)),"/","-"),"年","-"),"月","-"),"日",""))),"")</f>
        <v/>
      </c>
      <c r="J1799">
        <f>IFERROR(MID(I1799,FIND("-",I1799)+1,99),"")</f>
        <v/>
      </c>
    </row>
    <row r="1800">
      <c r="B1800">
        <f>IFERROR(IF($B$1=0,"",IF(INDEX(貼り付け!$A$1:$BZ$3001,1799,$B$1)="","",IF(ISNUMBER(INDEX(貼り付け!$A$1:$BZ$3001,1799,$B$1)),INT(INDEX(貼り付け!$A$1:$BZ$3001,1799,$B$1)),DATE(VALUE(LEFT(I1800,FIND("-",I1800)-1)),VALUE(LEFT(J1800,FIND("-",J1800)-1)),VALUE(MID(J1800,FIND("-",J1800)+1,99)))))),"")</f>
        <v/>
      </c>
      <c r="C1800">
        <f>IF($C$1=0,0,IFERROR(VALUE(SUBSTITUTE(SUBSTITUTE(SUBSTITUTE(INDEX(貼り付け!$A$1:$BZ$3001,1799,$C$1)&amp;"",",",""),"¥",""),"￥","")),0))</f>
        <v/>
      </c>
      <c r="D1800">
        <f>IF($D$1=0,0,IFERROR(VALUE(SUBSTITUTE(SUBSTITUTE(SUBSTITUTE(INDEX(貼り付け!$A$1:$BZ$3001,1799,$D$1)&amp;"",",",""),"¥",""),"￥","")),0))</f>
        <v/>
      </c>
      <c r="E1800">
        <f>IF($E$1=0,0,IFERROR(VALUE(SUBSTITUTE(SUBSTITUTE(SUBSTITUTE(INDEX(貼り付け!$A$1:$BZ$3001,1799,$E$1)&amp;"",",",""),"¥",""),"￥","")),0))</f>
        <v/>
      </c>
      <c r="F1800">
        <f>IF($F$1=0,0,IFERROR(VALUE(SUBSTITUTE(SUBSTITUTE(SUBSTITUTE(INDEX(貼り付け!$A$1:$BZ$3001,1799,$F$1)&amp;"",",",""),"¥",""),"￥","")),0))</f>
        <v/>
      </c>
      <c r="G1800">
        <f>IF(ISNUMBER(B1800),YEAR(B1800),"")</f>
        <v/>
      </c>
      <c r="H1800">
        <f>IF(ISNUMBER(B1800),MONTH(B1800),"")</f>
        <v/>
      </c>
      <c r="I1800">
        <f>IFERROR(IF($B$1=0,"",IF(ISNUMBER(INDEX(貼り付け!$A$1:$BZ$3001,1799,$B$1)),"",SUBSTITUTE(SUBSTITUTE(SUBSTITUTE(SUBSTITUTE(TRIM(LEFT(INDEX(貼り付け!$A$1:$BZ$3001,1799,$B$1)&amp;"",FIND(" ",TRIM(INDEX(貼り付け!$A$1:$BZ$3001,1799,$B$1)&amp;"")&amp;" ")-1)),"/","-"),"年","-"),"月","-"),"日",""))),"")</f>
        <v/>
      </c>
      <c r="J1800">
        <f>IFERROR(MID(I1800,FIND("-",I1800)+1,99),"")</f>
        <v/>
      </c>
    </row>
    <row r="1801">
      <c r="B1801">
        <f>IFERROR(IF($B$1=0,"",IF(INDEX(貼り付け!$A$1:$BZ$3001,1800,$B$1)="","",IF(ISNUMBER(INDEX(貼り付け!$A$1:$BZ$3001,1800,$B$1)),INT(INDEX(貼り付け!$A$1:$BZ$3001,1800,$B$1)),DATE(VALUE(LEFT(I1801,FIND("-",I1801)-1)),VALUE(LEFT(J1801,FIND("-",J1801)-1)),VALUE(MID(J1801,FIND("-",J1801)+1,99)))))),"")</f>
        <v/>
      </c>
      <c r="C1801">
        <f>IF($C$1=0,0,IFERROR(VALUE(SUBSTITUTE(SUBSTITUTE(SUBSTITUTE(INDEX(貼り付け!$A$1:$BZ$3001,1800,$C$1)&amp;"",",",""),"¥",""),"￥","")),0))</f>
        <v/>
      </c>
      <c r="D1801">
        <f>IF($D$1=0,0,IFERROR(VALUE(SUBSTITUTE(SUBSTITUTE(SUBSTITUTE(INDEX(貼り付け!$A$1:$BZ$3001,1800,$D$1)&amp;"",",",""),"¥",""),"￥","")),0))</f>
        <v/>
      </c>
      <c r="E1801">
        <f>IF($E$1=0,0,IFERROR(VALUE(SUBSTITUTE(SUBSTITUTE(SUBSTITUTE(INDEX(貼り付け!$A$1:$BZ$3001,1800,$E$1)&amp;"",",",""),"¥",""),"￥","")),0))</f>
        <v/>
      </c>
      <c r="F1801">
        <f>IF($F$1=0,0,IFERROR(VALUE(SUBSTITUTE(SUBSTITUTE(SUBSTITUTE(INDEX(貼り付け!$A$1:$BZ$3001,1800,$F$1)&amp;"",",",""),"¥",""),"￥","")),0))</f>
        <v/>
      </c>
      <c r="G1801">
        <f>IF(ISNUMBER(B1801),YEAR(B1801),"")</f>
        <v/>
      </c>
      <c r="H1801">
        <f>IF(ISNUMBER(B1801),MONTH(B1801),"")</f>
        <v/>
      </c>
      <c r="I1801">
        <f>IFERROR(IF($B$1=0,"",IF(ISNUMBER(INDEX(貼り付け!$A$1:$BZ$3001,1800,$B$1)),"",SUBSTITUTE(SUBSTITUTE(SUBSTITUTE(SUBSTITUTE(TRIM(LEFT(INDEX(貼り付け!$A$1:$BZ$3001,1800,$B$1)&amp;"",FIND(" ",TRIM(INDEX(貼り付け!$A$1:$BZ$3001,1800,$B$1)&amp;"")&amp;" ")-1)),"/","-"),"年","-"),"月","-"),"日",""))),"")</f>
        <v/>
      </c>
      <c r="J1801">
        <f>IFERROR(MID(I1801,FIND("-",I1801)+1,99),"")</f>
        <v/>
      </c>
    </row>
    <row r="1802">
      <c r="B1802">
        <f>IFERROR(IF($B$1=0,"",IF(INDEX(貼り付け!$A$1:$BZ$3001,1801,$B$1)="","",IF(ISNUMBER(INDEX(貼り付け!$A$1:$BZ$3001,1801,$B$1)),INT(INDEX(貼り付け!$A$1:$BZ$3001,1801,$B$1)),DATE(VALUE(LEFT(I1802,FIND("-",I1802)-1)),VALUE(LEFT(J1802,FIND("-",J1802)-1)),VALUE(MID(J1802,FIND("-",J1802)+1,99)))))),"")</f>
        <v/>
      </c>
      <c r="C1802">
        <f>IF($C$1=0,0,IFERROR(VALUE(SUBSTITUTE(SUBSTITUTE(SUBSTITUTE(INDEX(貼り付け!$A$1:$BZ$3001,1801,$C$1)&amp;"",",",""),"¥",""),"￥","")),0))</f>
        <v/>
      </c>
      <c r="D1802">
        <f>IF($D$1=0,0,IFERROR(VALUE(SUBSTITUTE(SUBSTITUTE(SUBSTITUTE(INDEX(貼り付け!$A$1:$BZ$3001,1801,$D$1)&amp;"",",",""),"¥",""),"￥","")),0))</f>
        <v/>
      </c>
      <c r="E1802">
        <f>IF($E$1=0,0,IFERROR(VALUE(SUBSTITUTE(SUBSTITUTE(SUBSTITUTE(INDEX(貼り付け!$A$1:$BZ$3001,1801,$E$1)&amp;"",",",""),"¥",""),"￥","")),0))</f>
        <v/>
      </c>
      <c r="F1802">
        <f>IF($F$1=0,0,IFERROR(VALUE(SUBSTITUTE(SUBSTITUTE(SUBSTITUTE(INDEX(貼り付け!$A$1:$BZ$3001,1801,$F$1)&amp;"",",",""),"¥",""),"￥","")),0))</f>
        <v/>
      </c>
      <c r="G1802">
        <f>IF(ISNUMBER(B1802),YEAR(B1802),"")</f>
        <v/>
      </c>
      <c r="H1802">
        <f>IF(ISNUMBER(B1802),MONTH(B1802),"")</f>
        <v/>
      </c>
      <c r="I1802">
        <f>IFERROR(IF($B$1=0,"",IF(ISNUMBER(INDEX(貼り付け!$A$1:$BZ$3001,1801,$B$1)),"",SUBSTITUTE(SUBSTITUTE(SUBSTITUTE(SUBSTITUTE(TRIM(LEFT(INDEX(貼り付け!$A$1:$BZ$3001,1801,$B$1)&amp;"",FIND(" ",TRIM(INDEX(貼り付け!$A$1:$BZ$3001,1801,$B$1)&amp;"")&amp;" ")-1)),"/","-"),"年","-"),"月","-"),"日",""))),"")</f>
        <v/>
      </c>
      <c r="J1802">
        <f>IFERROR(MID(I1802,FIND("-",I1802)+1,99),"")</f>
        <v/>
      </c>
    </row>
    <row r="1803">
      <c r="B1803">
        <f>IFERROR(IF($B$1=0,"",IF(INDEX(貼り付け!$A$1:$BZ$3001,1802,$B$1)="","",IF(ISNUMBER(INDEX(貼り付け!$A$1:$BZ$3001,1802,$B$1)),INT(INDEX(貼り付け!$A$1:$BZ$3001,1802,$B$1)),DATE(VALUE(LEFT(I1803,FIND("-",I1803)-1)),VALUE(LEFT(J1803,FIND("-",J1803)-1)),VALUE(MID(J1803,FIND("-",J1803)+1,99)))))),"")</f>
        <v/>
      </c>
      <c r="C1803">
        <f>IF($C$1=0,0,IFERROR(VALUE(SUBSTITUTE(SUBSTITUTE(SUBSTITUTE(INDEX(貼り付け!$A$1:$BZ$3001,1802,$C$1)&amp;"",",",""),"¥",""),"￥","")),0))</f>
        <v/>
      </c>
      <c r="D1803">
        <f>IF($D$1=0,0,IFERROR(VALUE(SUBSTITUTE(SUBSTITUTE(SUBSTITUTE(INDEX(貼り付け!$A$1:$BZ$3001,1802,$D$1)&amp;"",",",""),"¥",""),"￥","")),0))</f>
        <v/>
      </c>
      <c r="E1803">
        <f>IF($E$1=0,0,IFERROR(VALUE(SUBSTITUTE(SUBSTITUTE(SUBSTITUTE(INDEX(貼り付け!$A$1:$BZ$3001,1802,$E$1)&amp;"",",",""),"¥",""),"￥","")),0))</f>
        <v/>
      </c>
      <c r="F1803">
        <f>IF($F$1=0,0,IFERROR(VALUE(SUBSTITUTE(SUBSTITUTE(SUBSTITUTE(INDEX(貼り付け!$A$1:$BZ$3001,1802,$F$1)&amp;"",",",""),"¥",""),"￥","")),0))</f>
        <v/>
      </c>
      <c r="G1803">
        <f>IF(ISNUMBER(B1803),YEAR(B1803),"")</f>
        <v/>
      </c>
      <c r="H1803">
        <f>IF(ISNUMBER(B1803),MONTH(B1803),"")</f>
        <v/>
      </c>
      <c r="I1803">
        <f>IFERROR(IF($B$1=0,"",IF(ISNUMBER(INDEX(貼り付け!$A$1:$BZ$3001,1802,$B$1)),"",SUBSTITUTE(SUBSTITUTE(SUBSTITUTE(SUBSTITUTE(TRIM(LEFT(INDEX(貼り付け!$A$1:$BZ$3001,1802,$B$1)&amp;"",FIND(" ",TRIM(INDEX(貼り付け!$A$1:$BZ$3001,1802,$B$1)&amp;"")&amp;" ")-1)),"/","-"),"年","-"),"月","-"),"日",""))),"")</f>
        <v/>
      </c>
      <c r="J1803">
        <f>IFERROR(MID(I1803,FIND("-",I1803)+1,99),"")</f>
        <v/>
      </c>
    </row>
    <row r="1804">
      <c r="B1804">
        <f>IFERROR(IF($B$1=0,"",IF(INDEX(貼り付け!$A$1:$BZ$3001,1803,$B$1)="","",IF(ISNUMBER(INDEX(貼り付け!$A$1:$BZ$3001,1803,$B$1)),INT(INDEX(貼り付け!$A$1:$BZ$3001,1803,$B$1)),DATE(VALUE(LEFT(I1804,FIND("-",I1804)-1)),VALUE(LEFT(J1804,FIND("-",J1804)-1)),VALUE(MID(J1804,FIND("-",J1804)+1,99)))))),"")</f>
        <v/>
      </c>
      <c r="C1804">
        <f>IF($C$1=0,0,IFERROR(VALUE(SUBSTITUTE(SUBSTITUTE(SUBSTITUTE(INDEX(貼り付け!$A$1:$BZ$3001,1803,$C$1)&amp;"",",",""),"¥",""),"￥","")),0))</f>
        <v/>
      </c>
      <c r="D1804">
        <f>IF($D$1=0,0,IFERROR(VALUE(SUBSTITUTE(SUBSTITUTE(SUBSTITUTE(INDEX(貼り付け!$A$1:$BZ$3001,1803,$D$1)&amp;"",",",""),"¥",""),"￥","")),0))</f>
        <v/>
      </c>
      <c r="E1804">
        <f>IF($E$1=0,0,IFERROR(VALUE(SUBSTITUTE(SUBSTITUTE(SUBSTITUTE(INDEX(貼り付け!$A$1:$BZ$3001,1803,$E$1)&amp;"",",",""),"¥",""),"￥","")),0))</f>
        <v/>
      </c>
      <c r="F1804">
        <f>IF($F$1=0,0,IFERROR(VALUE(SUBSTITUTE(SUBSTITUTE(SUBSTITUTE(INDEX(貼り付け!$A$1:$BZ$3001,1803,$F$1)&amp;"",",",""),"¥",""),"￥","")),0))</f>
        <v/>
      </c>
      <c r="G1804">
        <f>IF(ISNUMBER(B1804),YEAR(B1804),"")</f>
        <v/>
      </c>
      <c r="H1804">
        <f>IF(ISNUMBER(B1804),MONTH(B1804),"")</f>
        <v/>
      </c>
      <c r="I1804">
        <f>IFERROR(IF($B$1=0,"",IF(ISNUMBER(INDEX(貼り付け!$A$1:$BZ$3001,1803,$B$1)),"",SUBSTITUTE(SUBSTITUTE(SUBSTITUTE(SUBSTITUTE(TRIM(LEFT(INDEX(貼り付け!$A$1:$BZ$3001,1803,$B$1)&amp;"",FIND(" ",TRIM(INDEX(貼り付け!$A$1:$BZ$3001,1803,$B$1)&amp;"")&amp;" ")-1)),"/","-"),"年","-"),"月","-"),"日",""))),"")</f>
        <v/>
      </c>
      <c r="J1804">
        <f>IFERROR(MID(I1804,FIND("-",I1804)+1,99),"")</f>
        <v/>
      </c>
    </row>
    <row r="1805">
      <c r="B1805">
        <f>IFERROR(IF($B$1=0,"",IF(INDEX(貼り付け!$A$1:$BZ$3001,1804,$B$1)="","",IF(ISNUMBER(INDEX(貼り付け!$A$1:$BZ$3001,1804,$B$1)),INT(INDEX(貼り付け!$A$1:$BZ$3001,1804,$B$1)),DATE(VALUE(LEFT(I1805,FIND("-",I1805)-1)),VALUE(LEFT(J1805,FIND("-",J1805)-1)),VALUE(MID(J1805,FIND("-",J1805)+1,99)))))),"")</f>
        <v/>
      </c>
      <c r="C1805">
        <f>IF($C$1=0,0,IFERROR(VALUE(SUBSTITUTE(SUBSTITUTE(SUBSTITUTE(INDEX(貼り付け!$A$1:$BZ$3001,1804,$C$1)&amp;"",",",""),"¥",""),"￥","")),0))</f>
        <v/>
      </c>
      <c r="D1805">
        <f>IF($D$1=0,0,IFERROR(VALUE(SUBSTITUTE(SUBSTITUTE(SUBSTITUTE(INDEX(貼り付け!$A$1:$BZ$3001,1804,$D$1)&amp;"",",",""),"¥",""),"￥","")),0))</f>
        <v/>
      </c>
      <c r="E1805">
        <f>IF($E$1=0,0,IFERROR(VALUE(SUBSTITUTE(SUBSTITUTE(SUBSTITUTE(INDEX(貼り付け!$A$1:$BZ$3001,1804,$E$1)&amp;"",",",""),"¥",""),"￥","")),0))</f>
        <v/>
      </c>
      <c r="F1805">
        <f>IF($F$1=0,0,IFERROR(VALUE(SUBSTITUTE(SUBSTITUTE(SUBSTITUTE(INDEX(貼り付け!$A$1:$BZ$3001,1804,$F$1)&amp;"",",",""),"¥",""),"￥","")),0))</f>
        <v/>
      </c>
      <c r="G1805">
        <f>IF(ISNUMBER(B1805),YEAR(B1805),"")</f>
        <v/>
      </c>
      <c r="H1805">
        <f>IF(ISNUMBER(B1805),MONTH(B1805),"")</f>
        <v/>
      </c>
      <c r="I1805">
        <f>IFERROR(IF($B$1=0,"",IF(ISNUMBER(INDEX(貼り付け!$A$1:$BZ$3001,1804,$B$1)),"",SUBSTITUTE(SUBSTITUTE(SUBSTITUTE(SUBSTITUTE(TRIM(LEFT(INDEX(貼り付け!$A$1:$BZ$3001,1804,$B$1)&amp;"",FIND(" ",TRIM(INDEX(貼り付け!$A$1:$BZ$3001,1804,$B$1)&amp;"")&amp;" ")-1)),"/","-"),"年","-"),"月","-"),"日",""))),"")</f>
        <v/>
      </c>
      <c r="J1805">
        <f>IFERROR(MID(I1805,FIND("-",I1805)+1,99),"")</f>
        <v/>
      </c>
    </row>
    <row r="1806">
      <c r="B1806">
        <f>IFERROR(IF($B$1=0,"",IF(INDEX(貼り付け!$A$1:$BZ$3001,1805,$B$1)="","",IF(ISNUMBER(INDEX(貼り付け!$A$1:$BZ$3001,1805,$B$1)),INT(INDEX(貼り付け!$A$1:$BZ$3001,1805,$B$1)),DATE(VALUE(LEFT(I1806,FIND("-",I1806)-1)),VALUE(LEFT(J1806,FIND("-",J1806)-1)),VALUE(MID(J1806,FIND("-",J1806)+1,99)))))),"")</f>
        <v/>
      </c>
      <c r="C1806">
        <f>IF($C$1=0,0,IFERROR(VALUE(SUBSTITUTE(SUBSTITUTE(SUBSTITUTE(INDEX(貼り付け!$A$1:$BZ$3001,1805,$C$1)&amp;"",",",""),"¥",""),"￥","")),0))</f>
        <v/>
      </c>
      <c r="D1806">
        <f>IF($D$1=0,0,IFERROR(VALUE(SUBSTITUTE(SUBSTITUTE(SUBSTITUTE(INDEX(貼り付け!$A$1:$BZ$3001,1805,$D$1)&amp;"",",",""),"¥",""),"￥","")),0))</f>
        <v/>
      </c>
      <c r="E1806">
        <f>IF($E$1=0,0,IFERROR(VALUE(SUBSTITUTE(SUBSTITUTE(SUBSTITUTE(INDEX(貼り付け!$A$1:$BZ$3001,1805,$E$1)&amp;"",",",""),"¥",""),"￥","")),0))</f>
        <v/>
      </c>
      <c r="F1806">
        <f>IF($F$1=0,0,IFERROR(VALUE(SUBSTITUTE(SUBSTITUTE(SUBSTITUTE(INDEX(貼り付け!$A$1:$BZ$3001,1805,$F$1)&amp;"",",",""),"¥",""),"￥","")),0))</f>
        <v/>
      </c>
      <c r="G1806">
        <f>IF(ISNUMBER(B1806),YEAR(B1806),"")</f>
        <v/>
      </c>
      <c r="H1806">
        <f>IF(ISNUMBER(B1806),MONTH(B1806),"")</f>
        <v/>
      </c>
      <c r="I1806">
        <f>IFERROR(IF($B$1=0,"",IF(ISNUMBER(INDEX(貼り付け!$A$1:$BZ$3001,1805,$B$1)),"",SUBSTITUTE(SUBSTITUTE(SUBSTITUTE(SUBSTITUTE(TRIM(LEFT(INDEX(貼り付け!$A$1:$BZ$3001,1805,$B$1)&amp;"",FIND(" ",TRIM(INDEX(貼り付け!$A$1:$BZ$3001,1805,$B$1)&amp;"")&amp;" ")-1)),"/","-"),"年","-"),"月","-"),"日",""))),"")</f>
        <v/>
      </c>
      <c r="J1806">
        <f>IFERROR(MID(I1806,FIND("-",I1806)+1,99),"")</f>
        <v/>
      </c>
    </row>
    <row r="1807">
      <c r="B1807">
        <f>IFERROR(IF($B$1=0,"",IF(INDEX(貼り付け!$A$1:$BZ$3001,1806,$B$1)="","",IF(ISNUMBER(INDEX(貼り付け!$A$1:$BZ$3001,1806,$B$1)),INT(INDEX(貼り付け!$A$1:$BZ$3001,1806,$B$1)),DATE(VALUE(LEFT(I1807,FIND("-",I1807)-1)),VALUE(LEFT(J1807,FIND("-",J1807)-1)),VALUE(MID(J1807,FIND("-",J1807)+1,99)))))),"")</f>
        <v/>
      </c>
      <c r="C1807">
        <f>IF($C$1=0,0,IFERROR(VALUE(SUBSTITUTE(SUBSTITUTE(SUBSTITUTE(INDEX(貼り付け!$A$1:$BZ$3001,1806,$C$1)&amp;"",",",""),"¥",""),"￥","")),0))</f>
        <v/>
      </c>
      <c r="D1807">
        <f>IF($D$1=0,0,IFERROR(VALUE(SUBSTITUTE(SUBSTITUTE(SUBSTITUTE(INDEX(貼り付け!$A$1:$BZ$3001,1806,$D$1)&amp;"",",",""),"¥",""),"￥","")),0))</f>
        <v/>
      </c>
      <c r="E1807">
        <f>IF($E$1=0,0,IFERROR(VALUE(SUBSTITUTE(SUBSTITUTE(SUBSTITUTE(INDEX(貼り付け!$A$1:$BZ$3001,1806,$E$1)&amp;"",",",""),"¥",""),"￥","")),0))</f>
        <v/>
      </c>
      <c r="F1807">
        <f>IF($F$1=0,0,IFERROR(VALUE(SUBSTITUTE(SUBSTITUTE(SUBSTITUTE(INDEX(貼り付け!$A$1:$BZ$3001,1806,$F$1)&amp;"",",",""),"¥",""),"￥","")),0))</f>
        <v/>
      </c>
      <c r="G1807">
        <f>IF(ISNUMBER(B1807),YEAR(B1807),"")</f>
        <v/>
      </c>
      <c r="H1807">
        <f>IF(ISNUMBER(B1807),MONTH(B1807),"")</f>
        <v/>
      </c>
      <c r="I1807">
        <f>IFERROR(IF($B$1=0,"",IF(ISNUMBER(INDEX(貼り付け!$A$1:$BZ$3001,1806,$B$1)),"",SUBSTITUTE(SUBSTITUTE(SUBSTITUTE(SUBSTITUTE(TRIM(LEFT(INDEX(貼り付け!$A$1:$BZ$3001,1806,$B$1)&amp;"",FIND(" ",TRIM(INDEX(貼り付け!$A$1:$BZ$3001,1806,$B$1)&amp;"")&amp;" ")-1)),"/","-"),"年","-"),"月","-"),"日",""))),"")</f>
        <v/>
      </c>
      <c r="J1807">
        <f>IFERROR(MID(I1807,FIND("-",I1807)+1,99),"")</f>
        <v/>
      </c>
    </row>
    <row r="1808">
      <c r="B1808">
        <f>IFERROR(IF($B$1=0,"",IF(INDEX(貼り付け!$A$1:$BZ$3001,1807,$B$1)="","",IF(ISNUMBER(INDEX(貼り付け!$A$1:$BZ$3001,1807,$B$1)),INT(INDEX(貼り付け!$A$1:$BZ$3001,1807,$B$1)),DATE(VALUE(LEFT(I1808,FIND("-",I1808)-1)),VALUE(LEFT(J1808,FIND("-",J1808)-1)),VALUE(MID(J1808,FIND("-",J1808)+1,99)))))),"")</f>
        <v/>
      </c>
      <c r="C1808">
        <f>IF($C$1=0,0,IFERROR(VALUE(SUBSTITUTE(SUBSTITUTE(SUBSTITUTE(INDEX(貼り付け!$A$1:$BZ$3001,1807,$C$1)&amp;"",",",""),"¥",""),"￥","")),0))</f>
        <v/>
      </c>
      <c r="D1808">
        <f>IF($D$1=0,0,IFERROR(VALUE(SUBSTITUTE(SUBSTITUTE(SUBSTITUTE(INDEX(貼り付け!$A$1:$BZ$3001,1807,$D$1)&amp;"",",",""),"¥",""),"￥","")),0))</f>
        <v/>
      </c>
      <c r="E1808">
        <f>IF($E$1=0,0,IFERROR(VALUE(SUBSTITUTE(SUBSTITUTE(SUBSTITUTE(INDEX(貼り付け!$A$1:$BZ$3001,1807,$E$1)&amp;"",",",""),"¥",""),"￥","")),0))</f>
        <v/>
      </c>
      <c r="F1808">
        <f>IF($F$1=0,0,IFERROR(VALUE(SUBSTITUTE(SUBSTITUTE(SUBSTITUTE(INDEX(貼り付け!$A$1:$BZ$3001,1807,$F$1)&amp;"",",",""),"¥",""),"￥","")),0))</f>
        <v/>
      </c>
      <c r="G1808">
        <f>IF(ISNUMBER(B1808),YEAR(B1808),"")</f>
        <v/>
      </c>
      <c r="H1808">
        <f>IF(ISNUMBER(B1808),MONTH(B1808),"")</f>
        <v/>
      </c>
      <c r="I1808">
        <f>IFERROR(IF($B$1=0,"",IF(ISNUMBER(INDEX(貼り付け!$A$1:$BZ$3001,1807,$B$1)),"",SUBSTITUTE(SUBSTITUTE(SUBSTITUTE(SUBSTITUTE(TRIM(LEFT(INDEX(貼り付け!$A$1:$BZ$3001,1807,$B$1)&amp;"",FIND(" ",TRIM(INDEX(貼り付け!$A$1:$BZ$3001,1807,$B$1)&amp;"")&amp;" ")-1)),"/","-"),"年","-"),"月","-"),"日",""))),"")</f>
        <v/>
      </c>
      <c r="J1808">
        <f>IFERROR(MID(I1808,FIND("-",I1808)+1,99),"")</f>
        <v/>
      </c>
    </row>
    <row r="1809">
      <c r="B1809">
        <f>IFERROR(IF($B$1=0,"",IF(INDEX(貼り付け!$A$1:$BZ$3001,1808,$B$1)="","",IF(ISNUMBER(INDEX(貼り付け!$A$1:$BZ$3001,1808,$B$1)),INT(INDEX(貼り付け!$A$1:$BZ$3001,1808,$B$1)),DATE(VALUE(LEFT(I1809,FIND("-",I1809)-1)),VALUE(LEFT(J1809,FIND("-",J1809)-1)),VALUE(MID(J1809,FIND("-",J1809)+1,99)))))),"")</f>
        <v/>
      </c>
      <c r="C1809">
        <f>IF($C$1=0,0,IFERROR(VALUE(SUBSTITUTE(SUBSTITUTE(SUBSTITUTE(INDEX(貼り付け!$A$1:$BZ$3001,1808,$C$1)&amp;"",",",""),"¥",""),"￥","")),0))</f>
        <v/>
      </c>
      <c r="D1809">
        <f>IF($D$1=0,0,IFERROR(VALUE(SUBSTITUTE(SUBSTITUTE(SUBSTITUTE(INDEX(貼り付け!$A$1:$BZ$3001,1808,$D$1)&amp;"",",",""),"¥",""),"￥","")),0))</f>
        <v/>
      </c>
      <c r="E1809">
        <f>IF($E$1=0,0,IFERROR(VALUE(SUBSTITUTE(SUBSTITUTE(SUBSTITUTE(INDEX(貼り付け!$A$1:$BZ$3001,1808,$E$1)&amp;"",",",""),"¥",""),"￥","")),0))</f>
        <v/>
      </c>
      <c r="F1809">
        <f>IF($F$1=0,0,IFERROR(VALUE(SUBSTITUTE(SUBSTITUTE(SUBSTITUTE(INDEX(貼り付け!$A$1:$BZ$3001,1808,$F$1)&amp;"",",",""),"¥",""),"￥","")),0))</f>
        <v/>
      </c>
      <c r="G1809">
        <f>IF(ISNUMBER(B1809),YEAR(B1809),"")</f>
        <v/>
      </c>
      <c r="H1809">
        <f>IF(ISNUMBER(B1809),MONTH(B1809),"")</f>
        <v/>
      </c>
      <c r="I1809">
        <f>IFERROR(IF($B$1=0,"",IF(ISNUMBER(INDEX(貼り付け!$A$1:$BZ$3001,1808,$B$1)),"",SUBSTITUTE(SUBSTITUTE(SUBSTITUTE(SUBSTITUTE(TRIM(LEFT(INDEX(貼り付け!$A$1:$BZ$3001,1808,$B$1)&amp;"",FIND(" ",TRIM(INDEX(貼り付け!$A$1:$BZ$3001,1808,$B$1)&amp;"")&amp;" ")-1)),"/","-"),"年","-"),"月","-"),"日",""))),"")</f>
        <v/>
      </c>
      <c r="J1809">
        <f>IFERROR(MID(I1809,FIND("-",I1809)+1,99),"")</f>
        <v/>
      </c>
    </row>
    <row r="1810">
      <c r="B1810">
        <f>IFERROR(IF($B$1=0,"",IF(INDEX(貼り付け!$A$1:$BZ$3001,1809,$B$1)="","",IF(ISNUMBER(INDEX(貼り付け!$A$1:$BZ$3001,1809,$B$1)),INT(INDEX(貼り付け!$A$1:$BZ$3001,1809,$B$1)),DATE(VALUE(LEFT(I1810,FIND("-",I1810)-1)),VALUE(LEFT(J1810,FIND("-",J1810)-1)),VALUE(MID(J1810,FIND("-",J1810)+1,99)))))),"")</f>
        <v/>
      </c>
      <c r="C1810">
        <f>IF($C$1=0,0,IFERROR(VALUE(SUBSTITUTE(SUBSTITUTE(SUBSTITUTE(INDEX(貼り付け!$A$1:$BZ$3001,1809,$C$1)&amp;"",",",""),"¥",""),"￥","")),0))</f>
        <v/>
      </c>
      <c r="D1810">
        <f>IF($D$1=0,0,IFERROR(VALUE(SUBSTITUTE(SUBSTITUTE(SUBSTITUTE(INDEX(貼り付け!$A$1:$BZ$3001,1809,$D$1)&amp;"",",",""),"¥",""),"￥","")),0))</f>
        <v/>
      </c>
      <c r="E1810">
        <f>IF($E$1=0,0,IFERROR(VALUE(SUBSTITUTE(SUBSTITUTE(SUBSTITUTE(INDEX(貼り付け!$A$1:$BZ$3001,1809,$E$1)&amp;"",",",""),"¥",""),"￥","")),0))</f>
        <v/>
      </c>
      <c r="F1810">
        <f>IF($F$1=0,0,IFERROR(VALUE(SUBSTITUTE(SUBSTITUTE(SUBSTITUTE(INDEX(貼り付け!$A$1:$BZ$3001,1809,$F$1)&amp;"",",",""),"¥",""),"￥","")),0))</f>
        <v/>
      </c>
      <c r="G1810">
        <f>IF(ISNUMBER(B1810),YEAR(B1810),"")</f>
        <v/>
      </c>
      <c r="H1810">
        <f>IF(ISNUMBER(B1810),MONTH(B1810),"")</f>
        <v/>
      </c>
      <c r="I1810">
        <f>IFERROR(IF($B$1=0,"",IF(ISNUMBER(INDEX(貼り付け!$A$1:$BZ$3001,1809,$B$1)),"",SUBSTITUTE(SUBSTITUTE(SUBSTITUTE(SUBSTITUTE(TRIM(LEFT(INDEX(貼り付け!$A$1:$BZ$3001,1809,$B$1)&amp;"",FIND(" ",TRIM(INDEX(貼り付け!$A$1:$BZ$3001,1809,$B$1)&amp;"")&amp;" ")-1)),"/","-"),"年","-"),"月","-"),"日",""))),"")</f>
        <v/>
      </c>
      <c r="J1810">
        <f>IFERROR(MID(I1810,FIND("-",I1810)+1,99),"")</f>
        <v/>
      </c>
    </row>
    <row r="1811">
      <c r="B1811">
        <f>IFERROR(IF($B$1=0,"",IF(INDEX(貼り付け!$A$1:$BZ$3001,1810,$B$1)="","",IF(ISNUMBER(INDEX(貼り付け!$A$1:$BZ$3001,1810,$B$1)),INT(INDEX(貼り付け!$A$1:$BZ$3001,1810,$B$1)),DATE(VALUE(LEFT(I1811,FIND("-",I1811)-1)),VALUE(LEFT(J1811,FIND("-",J1811)-1)),VALUE(MID(J1811,FIND("-",J1811)+1,99)))))),"")</f>
        <v/>
      </c>
      <c r="C1811">
        <f>IF($C$1=0,0,IFERROR(VALUE(SUBSTITUTE(SUBSTITUTE(SUBSTITUTE(INDEX(貼り付け!$A$1:$BZ$3001,1810,$C$1)&amp;"",",",""),"¥",""),"￥","")),0))</f>
        <v/>
      </c>
      <c r="D1811">
        <f>IF($D$1=0,0,IFERROR(VALUE(SUBSTITUTE(SUBSTITUTE(SUBSTITUTE(INDEX(貼り付け!$A$1:$BZ$3001,1810,$D$1)&amp;"",",",""),"¥",""),"￥","")),0))</f>
        <v/>
      </c>
      <c r="E1811">
        <f>IF($E$1=0,0,IFERROR(VALUE(SUBSTITUTE(SUBSTITUTE(SUBSTITUTE(INDEX(貼り付け!$A$1:$BZ$3001,1810,$E$1)&amp;"",",",""),"¥",""),"￥","")),0))</f>
        <v/>
      </c>
      <c r="F1811">
        <f>IF($F$1=0,0,IFERROR(VALUE(SUBSTITUTE(SUBSTITUTE(SUBSTITUTE(INDEX(貼り付け!$A$1:$BZ$3001,1810,$F$1)&amp;"",",",""),"¥",""),"￥","")),0))</f>
        <v/>
      </c>
      <c r="G1811">
        <f>IF(ISNUMBER(B1811),YEAR(B1811),"")</f>
        <v/>
      </c>
      <c r="H1811">
        <f>IF(ISNUMBER(B1811),MONTH(B1811),"")</f>
        <v/>
      </c>
      <c r="I1811">
        <f>IFERROR(IF($B$1=0,"",IF(ISNUMBER(INDEX(貼り付け!$A$1:$BZ$3001,1810,$B$1)),"",SUBSTITUTE(SUBSTITUTE(SUBSTITUTE(SUBSTITUTE(TRIM(LEFT(INDEX(貼り付け!$A$1:$BZ$3001,1810,$B$1)&amp;"",FIND(" ",TRIM(INDEX(貼り付け!$A$1:$BZ$3001,1810,$B$1)&amp;"")&amp;" ")-1)),"/","-"),"年","-"),"月","-"),"日",""))),"")</f>
        <v/>
      </c>
      <c r="J1811">
        <f>IFERROR(MID(I1811,FIND("-",I1811)+1,99),"")</f>
        <v/>
      </c>
    </row>
    <row r="1812">
      <c r="B1812">
        <f>IFERROR(IF($B$1=0,"",IF(INDEX(貼り付け!$A$1:$BZ$3001,1811,$B$1)="","",IF(ISNUMBER(INDEX(貼り付け!$A$1:$BZ$3001,1811,$B$1)),INT(INDEX(貼り付け!$A$1:$BZ$3001,1811,$B$1)),DATE(VALUE(LEFT(I1812,FIND("-",I1812)-1)),VALUE(LEFT(J1812,FIND("-",J1812)-1)),VALUE(MID(J1812,FIND("-",J1812)+1,99)))))),"")</f>
        <v/>
      </c>
      <c r="C1812">
        <f>IF($C$1=0,0,IFERROR(VALUE(SUBSTITUTE(SUBSTITUTE(SUBSTITUTE(INDEX(貼り付け!$A$1:$BZ$3001,1811,$C$1)&amp;"",",",""),"¥",""),"￥","")),0))</f>
        <v/>
      </c>
      <c r="D1812">
        <f>IF($D$1=0,0,IFERROR(VALUE(SUBSTITUTE(SUBSTITUTE(SUBSTITUTE(INDEX(貼り付け!$A$1:$BZ$3001,1811,$D$1)&amp;"",",",""),"¥",""),"￥","")),0))</f>
        <v/>
      </c>
      <c r="E1812">
        <f>IF($E$1=0,0,IFERROR(VALUE(SUBSTITUTE(SUBSTITUTE(SUBSTITUTE(INDEX(貼り付け!$A$1:$BZ$3001,1811,$E$1)&amp;"",",",""),"¥",""),"￥","")),0))</f>
        <v/>
      </c>
      <c r="F1812">
        <f>IF($F$1=0,0,IFERROR(VALUE(SUBSTITUTE(SUBSTITUTE(SUBSTITUTE(INDEX(貼り付け!$A$1:$BZ$3001,1811,$F$1)&amp;"",",",""),"¥",""),"￥","")),0))</f>
        <v/>
      </c>
      <c r="G1812">
        <f>IF(ISNUMBER(B1812),YEAR(B1812),"")</f>
        <v/>
      </c>
      <c r="H1812">
        <f>IF(ISNUMBER(B1812),MONTH(B1812),"")</f>
        <v/>
      </c>
      <c r="I1812">
        <f>IFERROR(IF($B$1=0,"",IF(ISNUMBER(INDEX(貼り付け!$A$1:$BZ$3001,1811,$B$1)),"",SUBSTITUTE(SUBSTITUTE(SUBSTITUTE(SUBSTITUTE(TRIM(LEFT(INDEX(貼り付け!$A$1:$BZ$3001,1811,$B$1)&amp;"",FIND(" ",TRIM(INDEX(貼り付け!$A$1:$BZ$3001,1811,$B$1)&amp;"")&amp;" ")-1)),"/","-"),"年","-"),"月","-"),"日",""))),"")</f>
        <v/>
      </c>
      <c r="J1812">
        <f>IFERROR(MID(I1812,FIND("-",I1812)+1,99),"")</f>
        <v/>
      </c>
    </row>
    <row r="1813">
      <c r="B1813">
        <f>IFERROR(IF($B$1=0,"",IF(INDEX(貼り付け!$A$1:$BZ$3001,1812,$B$1)="","",IF(ISNUMBER(INDEX(貼り付け!$A$1:$BZ$3001,1812,$B$1)),INT(INDEX(貼り付け!$A$1:$BZ$3001,1812,$B$1)),DATE(VALUE(LEFT(I1813,FIND("-",I1813)-1)),VALUE(LEFT(J1813,FIND("-",J1813)-1)),VALUE(MID(J1813,FIND("-",J1813)+1,99)))))),"")</f>
        <v/>
      </c>
      <c r="C1813">
        <f>IF($C$1=0,0,IFERROR(VALUE(SUBSTITUTE(SUBSTITUTE(SUBSTITUTE(INDEX(貼り付け!$A$1:$BZ$3001,1812,$C$1)&amp;"",",",""),"¥",""),"￥","")),0))</f>
        <v/>
      </c>
      <c r="D1813">
        <f>IF($D$1=0,0,IFERROR(VALUE(SUBSTITUTE(SUBSTITUTE(SUBSTITUTE(INDEX(貼り付け!$A$1:$BZ$3001,1812,$D$1)&amp;"",",",""),"¥",""),"￥","")),0))</f>
        <v/>
      </c>
      <c r="E1813">
        <f>IF($E$1=0,0,IFERROR(VALUE(SUBSTITUTE(SUBSTITUTE(SUBSTITUTE(INDEX(貼り付け!$A$1:$BZ$3001,1812,$E$1)&amp;"",",",""),"¥",""),"￥","")),0))</f>
        <v/>
      </c>
      <c r="F1813">
        <f>IF($F$1=0,0,IFERROR(VALUE(SUBSTITUTE(SUBSTITUTE(SUBSTITUTE(INDEX(貼り付け!$A$1:$BZ$3001,1812,$F$1)&amp;"",",",""),"¥",""),"￥","")),0))</f>
        <v/>
      </c>
      <c r="G1813">
        <f>IF(ISNUMBER(B1813),YEAR(B1813),"")</f>
        <v/>
      </c>
      <c r="H1813">
        <f>IF(ISNUMBER(B1813),MONTH(B1813),"")</f>
        <v/>
      </c>
      <c r="I1813">
        <f>IFERROR(IF($B$1=0,"",IF(ISNUMBER(INDEX(貼り付け!$A$1:$BZ$3001,1812,$B$1)),"",SUBSTITUTE(SUBSTITUTE(SUBSTITUTE(SUBSTITUTE(TRIM(LEFT(INDEX(貼り付け!$A$1:$BZ$3001,1812,$B$1)&amp;"",FIND(" ",TRIM(INDEX(貼り付け!$A$1:$BZ$3001,1812,$B$1)&amp;"")&amp;" ")-1)),"/","-"),"年","-"),"月","-"),"日",""))),"")</f>
        <v/>
      </c>
      <c r="J1813">
        <f>IFERROR(MID(I1813,FIND("-",I1813)+1,99),"")</f>
        <v/>
      </c>
    </row>
    <row r="1814">
      <c r="B1814">
        <f>IFERROR(IF($B$1=0,"",IF(INDEX(貼り付け!$A$1:$BZ$3001,1813,$B$1)="","",IF(ISNUMBER(INDEX(貼り付け!$A$1:$BZ$3001,1813,$B$1)),INT(INDEX(貼り付け!$A$1:$BZ$3001,1813,$B$1)),DATE(VALUE(LEFT(I1814,FIND("-",I1814)-1)),VALUE(LEFT(J1814,FIND("-",J1814)-1)),VALUE(MID(J1814,FIND("-",J1814)+1,99)))))),"")</f>
        <v/>
      </c>
      <c r="C1814">
        <f>IF($C$1=0,0,IFERROR(VALUE(SUBSTITUTE(SUBSTITUTE(SUBSTITUTE(INDEX(貼り付け!$A$1:$BZ$3001,1813,$C$1)&amp;"",",",""),"¥",""),"￥","")),0))</f>
        <v/>
      </c>
      <c r="D1814">
        <f>IF($D$1=0,0,IFERROR(VALUE(SUBSTITUTE(SUBSTITUTE(SUBSTITUTE(INDEX(貼り付け!$A$1:$BZ$3001,1813,$D$1)&amp;"",",",""),"¥",""),"￥","")),0))</f>
        <v/>
      </c>
      <c r="E1814">
        <f>IF($E$1=0,0,IFERROR(VALUE(SUBSTITUTE(SUBSTITUTE(SUBSTITUTE(INDEX(貼り付け!$A$1:$BZ$3001,1813,$E$1)&amp;"",",",""),"¥",""),"￥","")),0))</f>
        <v/>
      </c>
      <c r="F1814">
        <f>IF($F$1=0,0,IFERROR(VALUE(SUBSTITUTE(SUBSTITUTE(SUBSTITUTE(INDEX(貼り付け!$A$1:$BZ$3001,1813,$F$1)&amp;"",",",""),"¥",""),"￥","")),0))</f>
        <v/>
      </c>
      <c r="G1814">
        <f>IF(ISNUMBER(B1814),YEAR(B1814),"")</f>
        <v/>
      </c>
      <c r="H1814">
        <f>IF(ISNUMBER(B1814),MONTH(B1814),"")</f>
        <v/>
      </c>
      <c r="I1814">
        <f>IFERROR(IF($B$1=0,"",IF(ISNUMBER(INDEX(貼り付け!$A$1:$BZ$3001,1813,$B$1)),"",SUBSTITUTE(SUBSTITUTE(SUBSTITUTE(SUBSTITUTE(TRIM(LEFT(INDEX(貼り付け!$A$1:$BZ$3001,1813,$B$1)&amp;"",FIND(" ",TRIM(INDEX(貼り付け!$A$1:$BZ$3001,1813,$B$1)&amp;"")&amp;" ")-1)),"/","-"),"年","-"),"月","-"),"日",""))),"")</f>
        <v/>
      </c>
      <c r="J1814">
        <f>IFERROR(MID(I1814,FIND("-",I1814)+1,99),"")</f>
        <v/>
      </c>
    </row>
    <row r="1815">
      <c r="B1815">
        <f>IFERROR(IF($B$1=0,"",IF(INDEX(貼り付け!$A$1:$BZ$3001,1814,$B$1)="","",IF(ISNUMBER(INDEX(貼り付け!$A$1:$BZ$3001,1814,$B$1)),INT(INDEX(貼り付け!$A$1:$BZ$3001,1814,$B$1)),DATE(VALUE(LEFT(I1815,FIND("-",I1815)-1)),VALUE(LEFT(J1815,FIND("-",J1815)-1)),VALUE(MID(J1815,FIND("-",J1815)+1,99)))))),"")</f>
        <v/>
      </c>
      <c r="C1815">
        <f>IF($C$1=0,0,IFERROR(VALUE(SUBSTITUTE(SUBSTITUTE(SUBSTITUTE(INDEX(貼り付け!$A$1:$BZ$3001,1814,$C$1)&amp;"",",",""),"¥",""),"￥","")),0))</f>
        <v/>
      </c>
      <c r="D1815">
        <f>IF($D$1=0,0,IFERROR(VALUE(SUBSTITUTE(SUBSTITUTE(SUBSTITUTE(INDEX(貼り付け!$A$1:$BZ$3001,1814,$D$1)&amp;"",",",""),"¥",""),"￥","")),0))</f>
        <v/>
      </c>
      <c r="E1815">
        <f>IF($E$1=0,0,IFERROR(VALUE(SUBSTITUTE(SUBSTITUTE(SUBSTITUTE(INDEX(貼り付け!$A$1:$BZ$3001,1814,$E$1)&amp;"",",",""),"¥",""),"￥","")),0))</f>
        <v/>
      </c>
      <c r="F1815">
        <f>IF($F$1=0,0,IFERROR(VALUE(SUBSTITUTE(SUBSTITUTE(SUBSTITUTE(INDEX(貼り付け!$A$1:$BZ$3001,1814,$F$1)&amp;"",",",""),"¥",""),"￥","")),0))</f>
        <v/>
      </c>
      <c r="G1815">
        <f>IF(ISNUMBER(B1815),YEAR(B1815),"")</f>
        <v/>
      </c>
      <c r="H1815">
        <f>IF(ISNUMBER(B1815),MONTH(B1815),"")</f>
        <v/>
      </c>
      <c r="I1815">
        <f>IFERROR(IF($B$1=0,"",IF(ISNUMBER(INDEX(貼り付け!$A$1:$BZ$3001,1814,$B$1)),"",SUBSTITUTE(SUBSTITUTE(SUBSTITUTE(SUBSTITUTE(TRIM(LEFT(INDEX(貼り付け!$A$1:$BZ$3001,1814,$B$1)&amp;"",FIND(" ",TRIM(INDEX(貼り付け!$A$1:$BZ$3001,1814,$B$1)&amp;"")&amp;" ")-1)),"/","-"),"年","-"),"月","-"),"日",""))),"")</f>
        <v/>
      </c>
      <c r="J1815">
        <f>IFERROR(MID(I1815,FIND("-",I1815)+1,99),"")</f>
        <v/>
      </c>
    </row>
    <row r="1816">
      <c r="B1816">
        <f>IFERROR(IF($B$1=0,"",IF(INDEX(貼り付け!$A$1:$BZ$3001,1815,$B$1)="","",IF(ISNUMBER(INDEX(貼り付け!$A$1:$BZ$3001,1815,$B$1)),INT(INDEX(貼り付け!$A$1:$BZ$3001,1815,$B$1)),DATE(VALUE(LEFT(I1816,FIND("-",I1816)-1)),VALUE(LEFT(J1816,FIND("-",J1816)-1)),VALUE(MID(J1816,FIND("-",J1816)+1,99)))))),"")</f>
        <v/>
      </c>
      <c r="C1816">
        <f>IF($C$1=0,0,IFERROR(VALUE(SUBSTITUTE(SUBSTITUTE(SUBSTITUTE(INDEX(貼り付け!$A$1:$BZ$3001,1815,$C$1)&amp;"",",",""),"¥",""),"￥","")),0))</f>
        <v/>
      </c>
      <c r="D1816">
        <f>IF($D$1=0,0,IFERROR(VALUE(SUBSTITUTE(SUBSTITUTE(SUBSTITUTE(INDEX(貼り付け!$A$1:$BZ$3001,1815,$D$1)&amp;"",",",""),"¥",""),"￥","")),0))</f>
        <v/>
      </c>
      <c r="E1816">
        <f>IF($E$1=0,0,IFERROR(VALUE(SUBSTITUTE(SUBSTITUTE(SUBSTITUTE(INDEX(貼り付け!$A$1:$BZ$3001,1815,$E$1)&amp;"",",",""),"¥",""),"￥","")),0))</f>
        <v/>
      </c>
      <c r="F1816">
        <f>IF($F$1=0,0,IFERROR(VALUE(SUBSTITUTE(SUBSTITUTE(SUBSTITUTE(INDEX(貼り付け!$A$1:$BZ$3001,1815,$F$1)&amp;"",",",""),"¥",""),"￥","")),0))</f>
        <v/>
      </c>
      <c r="G1816">
        <f>IF(ISNUMBER(B1816),YEAR(B1816),"")</f>
        <v/>
      </c>
      <c r="H1816">
        <f>IF(ISNUMBER(B1816),MONTH(B1816),"")</f>
        <v/>
      </c>
      <c r="I1816">
        <f>IFERROR(IF($B$1=0,"",IF(ISNUMBER(INDEX(貼り付け!$A$1:$BZ$3001,1815,$B$1)),"",SUBSTITUTE(SUBSTITUTE(SUBSTITUTE(SUBSTITUTE(TRIM(LEFT(INDEX(貼り付け!$A$1:$BZ$3001,1815,$B$1)&amp;"",FIND(" ",TRIM(INDEX(貼り付け!$A$1:$BZ$3001,1815,$B$1)&amp;"")&amp;" ")-1)),"/","-"),"年","-"),"月","-"),"日",""))),"")</f>
        <v/>
      </c>
      <c r="J1816">
        <f>IFERROR(MID(I1816,FIND("-",I1816)+1,99),"")</f>
        <v/>
      </c>
    </row>
    <row r="1817">
      <c r="B1817">
        <f>IFERROR(IF($B$1=0,"",IF(INDEX(貼り付け!$A$1:$BZ$3001,1816,$B$1)="","",IF(ISNUMBER(INDEX(貼り付け!$A$1:$BZ$3001,1816,$B$1)),INT(INDEX(貼り付け!$A$1:$BZ$3001,1816,$B$1)),DATE(VALUE(LEFT(I1817,FIND("-",I1817)-1)),VALUE(LEFT(J1817,FIND("-",J1817)-1)),VALUE(MID(J1817,FIND("-",J1817)+1,99)))))),"")</f>
        <v/>
      </c>
      <c r="C1817">
        <f>IF($C$1=0,0,IFERROR(VALUE(SUBSTITUTE(SUBSTITUTE(SUBSTITUTE(INDEX(貼り付け!$A$1:$BZ$3001,1816,$C$1)&amp;"",",",""),"¥",""),"￥","")),0))</f>
        <v/>
      </c>
      <c r="D1817">
        <f>IF($D$1=0,0,IFERROR(VALUE(SUBSTITUTE(SUBSTITUTE(SUBSTITUTE(INDEX(貼り付け!$A$1:$BZ$3001,1816,$D$1)&amp;"",",",""),"¥",""),"￥","")),0))</f>
        <v/>
      </c>
      <c r="E1817">
        <f>IF($E$1=0,0,IFERROR(VALUE(SUBSTITUTE(SUBSTITUTE(SUBSTITUTE(INDEX(貼り付け!$A$1:$BZ$3001,1816,$E$1)&amp;"",",",""),"¥",""),"￥","")),0))</f>
        <v/>
      </c>
      <c r="F1817">
        <f>IF($F$1=0,0,IFERROR(VALUE(SUBSTITUTE(SUBSTITUTE(SUBSTITUTE(INDEX(貼り付け!$A$1:$BZ$3001,1816,$F$1)&amp;"",",",""),"¥",""),"￥","")),0))</f>
        <v/>
      </c>
      <c r="G1817">
        <f>IF(ISNUMBER(B1817),YEAR(B1817),"")</f>
        <v/>
      </c>
      <c r="H1817">
        <f>IF(ISNUMBER(B1817),MONTH(B1817),"")</f>
        <v/>
      </c>
      <c r="I1817">
        <f>IFERROR(IF($B$1=0,"",IF(ISNUMBER(INDEX(貼り付け!$A$1:$BZ$3001,1816,$B$1)),"",SUBSTITUTE(SUBSTITUTE(SUBSTITUTE(SUBSTITUTE(TRIM(LEFT(INDEX(貼り付け!$A$1:$BZ$3001,1816,$B$1)&amp;"",FIND(" ",TRIM(INDEX(貼り付け!$A$1:$BZ$3001,1816,$B$1)&amp;"")&amp;" ")-1)),"/","-"),"年","-"),"月","-"),"日",""))),"")</f>
        <v/>
      </c>
      <c r="J1817">
        <f>IFERROR(MID(I1817,FIND("-",I1817)+1,99),"")</f>
        <v/>
      </c>
    </row>
    <row r="1818">
      <c r="B1818">
        <f>IFERROR(IF($B$1=0,"",IF(INDEX(貼り付け!$A$1:$BZ$3001,1817,$B$1)="","",IF(ISNUMBER(INDEX(貼り付け!$A$1:$BZ$3001,1817,$B$1)),INT(INDEX(貼り付け!$A$1:$BZ$3001,1817,$B$1)),DATE(VALUE(LEFT(I1818,FIND("-",I1818)-1)),VALUE(LEFT(J1818,FIND("-",J1818)-1)),VALUE(MID(J1818,FIND("-",J1818)+1,99)))))),"")</f>
        <v/>
      </c>
      <c r="C1818">
        <f>IF($C$1=0,0,IFERROR(VALUE(SUBSTITUTE(SUBSTITUTE(SUBSTITUTE(INDEX(貼り付け!$A$1:$BZ$3001,1817,$C$1)&amp;"",",",""),"¥",""),"￥","")),0))</f>
        <v/>
      </c>
      <c r="D1818">
        <f>IF($D$1=0,0,IFERROR(VALUE(SUBSTITUTE(SUBSTITUTE(SUBSTITUTE(INDEX(貼り付け!$A$1:$BZ$3001,1817,$D$1)&amp;"",",",""),"¥",""),"￥","")),0))</f>
        <v/>
      </c>
      <c r="E1818">
        <f>IF($E$1=0,0,IFERROR(VALUE(SUBSTITUTE(SUBSTITUTE(SUBSTITUTE(INDEX(貼り付け!$A$1:$BZ$3001,1817,$E$1)&amp;"",",",""),"¥",""),"￥","")),0))</f>
        <v/>
      </c>
      <c r="F1818">
        <f>IF($F$1=0,0,IFERROR(VALUE(SUBSTITUTE(SUBSTITUTE(SUBSTITUTE(INDEX(貼り付け!$A$1:$BZ$3001,1817,$F$1)&amp;"",",",""),"¥",""),"￥","")),0))</f>
        <v/>
      </c>
      <c r="G1818">
        <f>IF(ISNUMBER(B1818),YEAR(B1818),"")</f>
        <v/>
      </c>
      <c r="H1818">
        <f>IF(ISNUMBER(B1818),MONTH(B1818),"")</f>
        <v/>
      </c>
      <c r="I1818">
        <f>IFERROR(IF($B$1=0,"",IF(ISNUMBER(INDEX(貼り付け!$A$1:$BZ$3001,1817,$B$1)),"",SUBSTITUTE(SUBSTITUTE(SUBSTITUTE(SUBSTITUTE(TRIM(LEFT(INDEX(貼り付け!$A$1:$BZ$3001,1817,$B$1)&amp;"",FIND(" ",TRIM(INDEX(貼り付け!$A$1:$BZ$3001,1817,$B$1)&amp;"")&amp;" ")-1)),"/","-"),"年","-"),"月","-"),"日",""))),"")</f>
        <v/>
      </c>
      <c r="J1818">
        <f>IFERROR(MID(I1818,FIND("-",I1818)+1,99),"")</f>
        <v/>
      </c>
    </row>
    <row r="1819">
      <c r="B1819">
        <f>IFERROR(IF($B$1=0,"",IF(INDEX(貼り付け!$A$1:$BZ$3001,1818,$B$1)="","",IF(ISNUMBER(INDEX(貼り付け!$A$1:$BZ$3001,1818,$B$1)),INT(INDEX(貼り付け!$A$1:$BZ$3001,1818,$B$1)),DATE(VALUE(LEFT(I1819,FIND("-",I1819)-1)),VALUE(LEFT(J1819,FIND("-",J1819)-1)),VALUE(MID(J1819,FIND("-",J1819)+1,99)))))),"")</f>
        <v/>
      </c>
      <c r="C1819">
        <f>IF($C$1=0,0,IFERROR(VALUE(SUBSTITUTE(SUBSTITUTE(SUBSTITUTE(INDEX(貼り付け!$A$1:$BZ$3001,1818,$C$1)&amp;"",",",""),"¥",""),"￥","")),0))</f>
        <v/>
      </c>
      <c r="D1819">
        <f>IF($D$1=0,0,IFERROR(VALUE(SUBSTITUTE(SUBSTITUTE(SUBSTITUTE(INDEX(貼り付け!$A$1:$BZ$3001,1818,$D$1)&amp;"",",",""),"¥",""),"￥","")),0))</f>
        <v/>
      </c>
      <c r="E1819">
        <f>IF($E$1=0,0,IFERROR(VALUE(SUBSTITUTE(SUBSTITUTE(SUBSTITUTE(INDEX(貼り付け!$A$1:$BZ$3001,1818,$E$1)&amp;"",",",""),"¥",""),"￥","")),0))</f>
        <v/>
      </c>
      <c r="F1819">
        <f>IF($F$1=0,0,IFERROR(VALUE(SUBSTITUTE(SUBSTITUTE(SUBSTITUTE(INDEX(貼り付け!$A$1:$BZ$3001,1818,$F$1)&amp;"",",",""),"¥",""),"￥","")),0))</f>
        <v/>
      </c>
      <c r="G1819">
        <f>IF(ISNUMBER(B1819),YEAR(B1819),"")</f>
        <v/>
      </c>
      <c r="H1819">
        <f>IF(ISNUMBER(B1819),MONTH(B1819),"")</f>
        <v/>
      </c>
      <c r="I1819">
        <f>IFERROR(IF($B$1=0,"",IF(ISNUMBER(INDEX(貼り付け!$A$1:$BZ$3001,1818,$B$1)),"",SUBSTITUTE(SUBSTITUTE(SUBSTITUTE(SUBSTITUTE(TRIM(LEFT(INDEX(貼り付け!$A$1:$BZ$3001,1818,$B$1)&amp;"",FIND(" ",TRIM(INDEX(貼り付け!$A$1:$BZ$3001,1818,$B$1)&amp;"")&amp;" ")-1)),"/","-"),"年","-"),"月","-"),"日",""))),"")</f>
        <v/>
      </c>
      <c r="J1819">
        <f>IFERROR(MID(I1819,FIND("-",I1819)+1,99),"")</f>
        <v/>
      </c>
    </row>
    <row r="1820">
      <c r="B1820">
        <f>IFERROR(IF($B$1=0,"",IF(INDEX(貼り付け!$A$1:$BZ$3001,1819,$B$1)="","",IF(ISNUMBER(INDEX(貼り付け!$A$1:$BZ$3001,1819,$B$1)),INT(INDEX(貼り付け!$A$1:$BZ$3001,1819,$B$1)),DATE(VALUE(LEFT(I1820,FIND("-",I1820)-1)),VALUE(LEFT(J1820,FIND("-",J1820)-1)),VALUE(MID(J1820,FIND("-",J1820)+1,99)))))),"")</f>
        <v/>
      </c>
      <c r="C1820">
        <f>IF($C$1=0,0,IFERROR(VALUE(SUBSTITUTE(SUBSTITUTE(SUBSTITUTE(INDEX(貼り付け!$A$1:$BZ$3001,1819,$C$1)&amp;"",",",""),"¥",""),"￥","")),0))</f>
        <v/>
      </c>
      <c r="D1820">
        <f>IF($D$1=0,0,IFERROR(VALUE(SUBSTITUTE(SUBSTITUTE(SUBSTITUTE(INDEX(貼り付け!$A$1:$BZ$3001,1819,$D$1)&amp;"",",",""),"¥",""),"￥","")),0))</f>
        <v/>
      </c>
      <c r="E1820">
        <f>IF($E$1=0,0,IFERROR(VALUE(SUBSTITUTE(SUBSTITUTE(SUBSTITUTE(INDEX(貼り付け!$A$1:$BZ$3001,1819,$E$1)&amp;"",",",""),"¥",""),"￥","")),0))</f>
        <v/>
      </c>
      <c r="F1820">
        <f>IF($F$1=0,0,IFERROR(VALUE(SUBSTITUTE(SUBSTITUTE(SUBSTITUTE(INDEX(貼り付け!$A$1:$BZ$3001,1819,$F$1)&amp;"",",",""),"¥",""),"￥","")),0))</f>
        <v/>
      </c>
      <c r="G1820">
        <f>IF(ISNUMBER(B1820),YEAR(B1820),"")</f>
        <v/>
      </c>
      <c r="H1820">
        <f>IF(ISNUMBER(B1820),MONTH(B1820),"")</f>
        <v/>
      </c>
      <c r="I1820">
        <f>IFERROR(IF($B$1=0,"",IF(ISNUMBER(INDEX(貼り付け!$A$1:$BZ$3001,1819,$B$1)),"",SUBSTITUTE(SUBSTITUTE(SUBSTITUTE(SUBSTITUTE(TRIM(LEFT(INDEX(貼り付け!$A$1:$BZ$3001,1819,$B$1)&amp;"",FIND(" ",TRIM(INDEX(貼り付け!$A$1:$BZ$3001,1819,$B$1)&amp;"")&amp;" ")-1)),"/","-"),"年","-"),"月","-"),"日",""))),"")</f>
        <v/>
      </c>
      <c r="J1820">
        <f>IFERROR(MID(I1820,FIND("-",I1820)+1,99),"")</f>
        <v/>
      </c>
    </row>
    <row r="1821">
      <c r="B1821">
        <f>IFERROR(IF($B$1=0,"",IF(INDEX(貼り付け!$A$1:$BZ$3001,1820,$B$1)="","",IF(ISNUMBER(INDEX(貼り付け!$A$1:$BZ$3001,1820,$B$1)),INT(INDEX(貼り付け!$A$1:$BZ$3001,1820,$B$1)),DATE(VALUE(LEFT(I1821,FIND("-",I1821)-1)),VALUE(LEFT(J1821,FIND("-",J1821)-1)),VALUE(MID(J1821,FIND("-",J1821)+1,99)))))),"")</f>
        <v/>
      </c>
      <c r="C1821">
        <f>IF($C$1=0,0,IFERROR(VALUE(SUBSTITUTE(SUBSTITUTE(SUBSTITUTE(INDEX(貼り付け!$A$1:$BZ$3001,1820,$C$1)&amp;"",",",""),"¥",""),"￥","")),0))</f>
        <v/>
      </c>
      <c r="D1821">
        <f>IF($D$1=0,0,IFERROR(VALUE(SUBSTITUTE(SUBSTITUTE(SUBSTITUTE(INDEX(貼り付け!$A$1:$BZ$3001,1820,$D$1)&amp;"",",",""),"¥",""),"￥","")),0))</f>
        <v/>
      </c>
      <c r="E1821">
        <f>IF($E$1=0,0,IFERROR(VALUE(SUBSTITUTE(SUBSTITUTE(SUBSTITUTE(INDEX(貼り付け!$A$1:$BZ$3001,1820,$E$1)&amp;"",",",""),"¥",""),"￥","")),0))</f>
        <v/>
      </c>
      <c r="F1821">
        <f>IF($F$1=0,0,IFERROR(VALUE(SUBSTITUTE(SUBSTITUTE(SUBSTITUTE(INDEX(貼り付け!$A$1:$BZ$3001,1820,$F$1)&amp;"",",",""),"¥",""),"￥","")),0))</f>
        <v/>
      </c>
      <c r="G1821">
        <f>IF(ISNUMBER(B1821),YEAR(B1821),"")</f>
        <v/>
      </c>
      <c r="H1821">
        <f>IF(ISNUMBER(B1821),MONTH(B1821),"")</f>
        <v/>
      </c>
      <c r="I1821">
        <f>IFERROR(IF($B$1=0,"",IF(ISNUMBER(INDEX(貼り付け!$A$1:$BZ$3001,1820,$B$1)),"",SUBSTITUTE(SUBSTITUTE(SUBSTITUTE(SUBSTITUTE(TRIM(LEFT(INDEX(貼り付け!$A$1:$BZ$3001,1820,$B$1)&amp;"",FIND(" ",TRIM(INDEX(貼り付け!$A$1:$BZ$3001,1820,$B$1)&amp;"")&amp;" ")-1)),"/","-"),"年","-"),"月","-"),"日",""))),"")</f>
        <v/>
      </c>
      <c r="J1821">
        <f>IFERROR(MID(I1821,FIND("-",I1821)+1,99),"")</f>
        <v/>
      </c>
    </row>
    <row r="1822">
      <c r="B1822">
        <f>IFERROR(IF($B$1=0,"",IF(INDEX(貼り付け!$A$1:$BZ$3001,1821,$B$1)="","",IF(ISNUMBER(INDEX(貼り付け!$A$1:$BZ$3001,1821,$B$1)),INT(INDEX(貼り付け!$A$1:$BZ$3001,1821,$B$1)),DATE(VALUE(LEFT(I1822,FIND("-",I1822)-1)),VALUE(LEFT(J1822,FIND("-",J1822)-1)),VALUE(MID(J1822,FIND("-",J1822)+1,99)))))),"")</f>
        <v/>
      </c>
      <c r="C1822">
        <f>IF($C$1=0,0,IFERROR(VALUE(SUBSTITUTE(SUBSTITUTE(SUBSTITUTE(INDEX(貼り付け!$A$1:$BZ$3001,1821,$C$1)&amp;"",",",""),"¥",""),"￥","")),0))</f>
        <v/>
      </c>
      <c r="D1822">
        <f>IF($D$1=0,0,IFERROR(VALUE(SUBSTITUTE(SUBSTITUTE(SUBSTITUTE(INDEX(貼り付け!$A$1:$BZ$3001,1821,$D$1)&amp;"",",",""),"¥",""),"￥","")),0))</f>
        <v/>
      </c>
      <c r="E1822">
        <f>IF($E$1=0,0,IFERROR(VALUE(SUBSTITUTE(SUBSTITUTE(SUBSTITUTE(INDEX(貼り付け!$A$1:$BZ$3001,1821,$E$1)&amp;"",",",""),"¥",""),"￥","")),0))</f>
        <v/>
      </c>
      <c r="F1822">
        <f>IF($F$1=0,0,IFERROR(VALUE(SUBSTITUTE(SUBSTITUTE(SUBSTITUTE(INDEX(貼り付け!$A$1:$BZ$3001,1821,$F$1)&amp;"",",",""),"¥",""),"￥","")),0))</f>
        <v/>
      </c>
      <c r="G1822">
        <f>IF(ISNUMBER(B1822),YEAR(B1822),"")</f>
        <v/>
      </c>
      <c r="H1822">
        <f>IF(ISNUMBER(B1822),MONTH(B1822),"")</f>
        <v/>
      </c>
      <c r="I1822">
        <f>IFERROR(IF($B$1=0,"",IF(ISNUMBER(INDEX(貼り付け!$A$1:$BZ$3001,1821,$B$1)),"",SUBSTITUTE(SUBSTITUTE(SUBSTITUTE(SUBSTITUTE(TRIM(LEFT(INDEX(貼り付け!$A$1:$BZ$3001,1821,$B$1)&amp;"",FIND(" ",TRIM(INDEX(貼り付け!$A$1:$BZ$3001,1821,$B$1)&amp;"")&amp;" ")-1)),"/","-"),"年","-"),"月","-"),"日",""))),"")</f>
        <v/>
      </c>
      <c r="J1822">
        <f>IFERROR(MID(I1822,FIND("-",I1822)+1,99),"")</f>
        <v/>
      </c>
    </row>
    <row r="1823">
      <c r="B1823">
        <f>IFERROR(IF($B$1=0,"",IF(INDEX(貼り付け!$A$1:$BZ$3001,1822,$B$1)="","",IF(ISNUMBER(INDEX(貼り付け!$A$1:$BZ$3001,1822,$B$1)),INT(INDEX(貼り付け!$A$1:$BZ$3001,1822,$B$1)),DATE(VALUE(LEFT(I1823,FIND("-",I1823)-1)),VALUE(LEFT(J1823,FIND("-",J1823)-1)),VALUE(MID(J1823,FIND("-",J1823)+1,99)))))),"")</f>
        <v/>
      </c>
      <c r="C1823">
        <f>IF($C$1=0,0,IFERROR(VALUE(SUBSTITUTE(SUBSTITUTE(SUBSTITUTE(INDEX(貼り付け!$A$1:$BZ$3001,1822,$C$1)&amp;"",",",""),"¥",""),"￥","")),0))</f>
        <v/>
      </c>
      <c r="D1823">
        <f>IF($D$1=0,0,IFERROR(VALUE(SUBSTITUTE(SUBSTITUTE(SUBSTITUTE(INDEX(貼り付け!$A$1:$BZ$3001,1822,$D$1)&amp;"",",",""),"¥",""),"￥","")),0))</f>
        <v/>
      </c>
      <c r="E1823">
        <f>IF($E$1=0,0,IFERROR(VALUE(SUBSTITUTE(SUBSTITUTE(SUBSTITUTE(INDEX(貼り付け!$A$1:$BZ$3001,1822,$E$1)&amp;"",",",""),"¥",""),"￥","")),0))</f>
        <v/>
      </c>
      <c r="F1823">
        <f>IF($F$1=0,0,IFERROR(VALUE(SUBSTITUTE(SUBSTITUTE(SUBSTITUTE(INDEX(貼り付け!$A$1:$BZ$3001,1822,$F$1)&amp;"",",",""),"¥",""),"￥","")),0))</f>
        <v/>
      </c>
      <c r="G1823">
        <f>IF(ISNUMBER(B1823),YEAR(B1823),"")</f>
        <v/>
      </c>
      <c r="H1823">
        <f>IF(ISNUMBER(B1823),MONTH(B1823),"")</f>
        <v/>
      </c>
      <c r="I1823">
        <f>IFERROR(IF($B$1=0,"",IF(ISNUMBER(INDEX(貼り付け!$A$1:$BZ$3001,1822,$B$1)),"",SUBSTITUTE(SUBSTITUTE(SUBSTITUTE(SUBSTITUTE(TRIM(LEFT(INDEX(貼り付け!$A$1:$BZ$3001,1822,$B$1)&amp;"",FIND(" ",TRIM(INDEX(貼り付け!$A$1:$BZ$3001,1822,$B$1)&amp;"")&amp;" ")-1)),"/","-"),"年","-"),"月","-"),"日",""))),"")</f>
        <v/>
      </c>
      <c r="J1823">
        <f>IFERROR(MID(I1823,FIND("-",I1823)+1,99),"")</f>
        <v/>
      </c>
    </row>
    <row r="1824">
      <c r="B1824">
        <f>IFERROR(IF($B$1=0,"",IF(INDEX(貼り付け!$A$1:$BZ$3001,1823,$B$1)="","",IF(ISNUMBER(INDEX(貼り付け!$A$1:$BZ$3001,1823,$B$1)),INT(INDEX(貼り付け!$A$1:$BZ$3001,1823,$B$1)),DATE(VALUE(LEFT(I1824,FIND("-",I1824)-1)),VALUE(LEFT(J1824,FIND("-",J1824)-1)),VALUE(MID(J1824,FIND("-",J1824)+1,99)))))),"")</f>
        <v/>
      </c>
      <c r="C1824">
        <f>IF($C$1=0,0,IFERROR(VALUE(SUBSTITUTE(SUBSTITUTE(SUBSTITUTE(INDEX(貼り付け!$A$1:$BZ$3001,1823,$C$1)&amp;"",",",""),"¥",""),"￥","")),0))</f>
        <v/>
      </c>
      <c r="D1824">
        <f>IF($D$1=0,0,IFERROR(VALUE(SUBSTITUTE(SUBSTITUTE(SUBSTITUTE(INDEX(貼り付け!$A$1:$BZ$3001,1823,$D$1)&amp;"",",",""),"¥",""),"￥","")),0))</f>
        <v/>
      </c>
      <c r="E1824">
        <f>IF($E$1=0,0,IFERROR(VALUE(SUBSTITUTE(SUBSTITUTE(SUBSTITUTE(INDEX(貼り付け!$A$1:$BZ$3001,1823,$E$1)&amp;"",",",""),"¥",""),"￥","")),0))</f>
        <v/>
      </c>
      <c r="F1824">
        <f>IF($F$1=0,0,IFERROR(VALUE(SUBSTITUTE(SUBSTITUTE(SUBSTITUTE(INDEX(貼り付け!$A$1:$BZ$3001,1823,$F$1)&amp;"",",",""),"¥",""),"￥","")),0))</f>
        <v/>
      </c>
      <c r="G1824">
        <f>IF(ISNUMBER(B1824),YEAR(B1824),"")</f>
        <v/>
      </c>
      <c r="H1824">
        <f>IF(ISNUMBER(B1824),MONTH(B1824),"")</f>
        <v/>
      </c>
      <c r="I1824">
        <f>IFERROR(IF($B$1=0,"",IF(ISNUMBER(INDEX(貼り付け!$A$1:$BZ$3001,1823,$B$1)),"",SUBSTITUTE(SUBSTITUTE(SUBSTITUTE(SUBSTITUTE(TRIM(LEFT(INDEX(貼り付け!$A$1:$BZ$3001,1823,$B$1)&amp;"",FIND(" ",TRIM(INDEX(貼り付け!$A$1:$BZ$3001,1823,$B$1)&amp;"")&amp;" ")-1)),"/","-"),"年","-"),"月","-"),"日",""))),"")</f>
        <v/>
      </c>
      <c r="J1824">
        <f>IFERROR(MID(I1824,FIND("-",I1824)+1,99),"")</f>
        <v/>
      </c>
    </row>
    <row r="1825">
      <c r="B1825">
        <f>IFERROR(IF($B$1=0,"",IF(INDEX(貼り付け!$A$1:$BZ$3001,1824,$B$1)="","",IF(ISNUMBER(INDEX(貼り付け!$A$1:$BZ$3001,1824,$B$1)),INT(INDEX(貼り付け!$A$1:$BZ$3001,1824,$B$1)),DATE(VALUE(LEFT(I1825,FIND("-",I1825)-1)),VALUE(LEFT(J1825,FIND("-",J1825)-1)),VALUE(MID(J1825,FIND("-",J1825)+1,99)))))),"")</f>
        <v/>
      </c>
      <c r="C1825">
        <f>IF($C$1=0,0,IFERROR(VALUE(SUBSTITUTE(SUBSTITUTE(SUBSTITUTE(INDEX(貼り付け!$A$1:$BZ$3001,1824,$C$1)&amp;"",",",""),"¥",""),"￥","")),0))</f>
        <v/>
      </c>
      <c r="D1825">
        <f>IF($D$1=0,0,IFERROR(VALUE(SUBSTITUTE(SUBSTITUTE(SUBSTITUTE(INDEX(貼り付け!$A$1:$BZ$3001,1824,$D$1)&amp;"",",",""),"¥",""),"￥","")),0))</f>
        <v/>
      </c>
      <c r="E1825">
        <f>IF($E$1=0,0,IFERROR(VALUE(SUBSTITUTE(SUBSTITUTE(SUBSTITUTE(INDEX(貼り付け!$A$1:$BZ$3001,1824,$E$1)&amp;"",",",""),"¥",""),"￥","")),0))</f>
        <v/>
      </c>
      <c r="F1825">
        <f>IF($F$1=0,0,IFERROR(VALUE(SUBSTITUTE(SUBSTITUTE(SUBSTITUTE(INDEX(貼り付け!$A$1:$BZ$3001,1824,$F$1)&amp;"",",",""),"¥",""),"￥","")),0))</f>
        <v/>
      </c>
      <c r="G1825">
        <f>IF(ISNUMBER(B1825),YEAR(B1825),"")</f>
        <v/>
      </c>
      <c r="H1825">
        <f>IF(ISNUMBER(B1825),MONTH(B1825),"")</f>
        <v/>
      </c>
      <c r="I1825">
        <f>IFERROR(IF($B$1=0,"",IF(ISNUMBER(INDEX(貼り付け!$A$1:$BZ$3001,1824,$B$1)),"",SUBSTITUTE(SUBSTITUTE(SUBSTITUTE(SUBSTITUTE(TRIM(LEFT(INDEX(貼り付け!$A$1:$BZ$3001,1824,$B$1)&amp;"",FIND(" ",TRIM(INDEX(貼り付け!$A$1:$BZ$3001,1824,$B$1)&amp;"")&amp;" ")-1)),"/","-"),"年","-"),"月","-"),"日",""))),"")</f>
        <v/>
      </c>
      <c r="J1825">
        <f>IFERROR(MID(I1825,FIND("-",I1825)+1,99),"")</f>
        <v/>
      </c>
    </row>
    <row r="1826">
      <c r="B1826">
        <f>IFERROR(IF($B$1=0,"",IF(INDEX(貼り付け!$A$1:$BZ$3001,1825,$B$1)="","",IF(ISNUMBER(INDEX(貼り付け!$A$1:$BZ$3001,1825,$B$1)),INT(INDEX(貼り付け!$A$1:$BZ$3001,1825,$B$1)),DATE(VALUE(LEFT(I1826,FIND("-",I1826)-1)),VALUE(LEFT(J1826,FIND("-",J1826)-1)),VALUE(MID(J1826,FIND("-",J1826)+1,99)))))),"")</f>
        <v/>
      </c>
      <c r="C1826">
        <f>IF($C$1=0,0,IFERROR(VALUE(SUBSTITUTE(SUBSTITUTE(SUBSTITUTE(INDEX(貼り付け!$A$1:$BZ$3001,1825,$C$1)&amp;"",",",""),"¥",""),"￥","")),0))</f>
        <v/>
      </c>
      <c r="D1826">
        <f>IF($D$1=0,0,IFERROR(VALUE(SUBSTITUTE(SUBSTITUTE(SUBSTITUTE(INDEX(貼り付け!$A$1:$BZ$3001,1825,$D$1)&amp;"",",",""),"¥",""),"￥","")),0))</f>
        <v/>
      </c>
      <c r="E1826">
        <f>IF($E$1=0,0,IFERROR(VALUE(SUBSTITUTE(SUBSTITUTE(SUBSTITUTE(INDEX(貼り付け!$A$1:$BZ$3001,1825,$E$1)&amp;"",",",""),"¥",""),"￥","")),0))</f>
        <v/>
      </c>
      <c r="F1826">
        <f>IF($F$1=0,0,IFERROR(VALUE(SUBSTITUTE(SUBSTITUTE(SUBSTITUTE(INDEX(貼り付け!$A$1:$BZ$3001,1825,$F$1)&amp;"",",",""),"¥",""),"￥","")),0))</f>
        <v/>
      </c>
      <c r="G1826">
        <f>IF(ISNUMBER(B1826),YEAR(B1826),"")</f>
        <v/>
      </c>
      <c r="H1826">
        <f>IF(ISNUMBER(B1826),MONTH(B1826),"")</f>
        <v/>
      </c>
      <c r="I1826">
        <f>IFERROR(IF($B$1=0,"",IF(ISNUMBER(INDEX(貼り付け!$A$1:$BZ$3001,1825,$B$1)),"",SUBSTITUTE(SUBSTITUTE(SUBSTITUTE(SUBSTITUTE(TRIM(LEFT(INDEX(貼り付け!$A$1:$BZ$3001,1825,$B$1)&amp;"",FIND(" ",TRIM(INDEX(貼り付け!$A$1:$BZ$3001,1825,$B$1)&amp;"")&amp;" ")-1)),"/","-"),"年","-"),"月","-"),"日",""))),"")</f>
        <v/>
      </c>
      <c r="J1826">
        <f>IFERROR(MID(I1826,FIND("-",I1826)+1,99),"")</f>
        <v/>
      </c>
    </row>
    <row r="1827">
      <c r="B1827">
        <f>IFERROR(IF($B$1=0,"",IF(INDEX(貼り付け!$A$1:$BZ$3001,1826,$B$1)="","",IF(ISNUMBER(INDEX(貼り付け!$A$1:$BZ$3001,1826,$B$1)),INT(INDEX(貼り付け!$A$1:$BZ$3001,1826,$B$1)),DATE(VALUE(LEFT(I1827,FIND("-",I1827)-1)),VALUE(LEFT(J1827,FIND("-",J1827)-1)),VALUE(MID(J1827,FIND("-",J1827)+1,99)))))),"")</f>
        <v/>
      </c>
      <c r="C1827">
        <f>IF($C$1=0,0,IFERROR(VALUE(SUBSTITUTE(SUBSTITUTE(SUBSTITUTE(INDEX(貼り付け!$A$1:$BZ$3001,1826,$C$1)&amp;"",",",""),"¥",""),"￥","")),0))</f>
        <v/>
      </c>
      <c r="D1827">
        <f>IF($D$1=0,0,IFERROR(VALUE(SUBSTITUTE(SUBSTITUTE(SUBSTITUTE(INDEX(貼り付け!$A$1:$BZ$3001,1826,$D$1)&amp;"",",",""),"¥",""),"￥","")),0))</f>
        <v/>
      </c>
      <c r="E1827">
        <f>IF($E$1=0,0,IFERROR(VALUE(SUBSTITUTE(SUBSTITUTE(SUBSTITUTE(INDEX(貼り付け!$A$1:$BZ$3001,1826,$E$1)&amp;"",",",""),"¥",""),"￥","")),0))</f>
        <v/>
      </c>
      <c r="F1827">
        <f>IF($F$1=0,0,IFERROR(VALUE(SUBSTITUTE(SUBSTITUTE(SUBSTITUTE(INDEX(貼り付け!$A$1:$BZ$3001,1826,$F$1)&amp;"",",",""),"¥",""),"￥","")),0))</f>
        <v/>
      </c>
      <c r="G1827">
        <f>IF(ISNUMBER(B1827),YEAR(B1827),"")</f>
        <v/>
      </c>
      <c r="H1827">
        <f>IF(ISNUMBER(B1827),MONTH(B1827),"")</f>
        <v/>
      </c>
      <c r="I1827">
        <f>IFERROR(IF($B$1=0,"",IF(ISNUMBER(INDEX(貼り付け!$A$1:$BZ$3001,1826,$B$1)),"",SUBSTITUTE(SUBSTITUTE(SUBSTITUTE(SUBSTITUTE(TRIM(LEFT(INDEX(貼り付け!$A$1:$BZ$3001,1826,$B$1)&amp;"",FIND(" ",TRIM(INDEX(貼り付け!$A$1:$BZ$3001,1826,$B$1)&amp;"")&amp;" ")-1)),"/","-"),"年","-"),"月","-"),"日",""))),"")</f>
        <v/>
      </c>
      <c r="J1827">
        <f>IFERROR(MID(I1827,FIND("-",I1827)+1,99),"")</f>
        <v/>
      </c>
    </row>
    <row r="1828">
      <c r="B1828">
        <f>IFERROR(IF($B$1=0,"",IF(INDEX(貼り付け!$A$1:$BZ$3001,1827,$B$1)="","",IF(ISNUMBER(INDEX(貼り付け!$A$1:$BZ$3001,1827,$B$1)),INT(INDEX(貼り付け!$A$1:$BZ$3001,1827,$B$1)),DATE(VALUE(LEFT(I1828,FIND("-",I1828)-1)),VALUE(LEFT(J1828,FIND("-",J1828)-1)),VALUE(MID(J1828,FIND("-",J1828)+1,99)))))),"")</f>
        <v/>
      </c>
      <c r="C1828">
        <f>IF($C$1=0,0,IFERROR(VALUE(SUBSTITUTE(SUBSTITUTE(SUBSTITUTE(INDEX(貼り付け!$A$1:$BZ$3001,1827,$C$1)&amp;"",",",""),"¥",""),"￥","")),0))</f>
        <v/>
      </c>
      <c r="D1828">
        <f>IF($D$1=0,0,IFERROR(VALUE(SUBSTITUTE(SUBSTITUTE(SUBSTITUTE(INDEX(貼り付け!$A$1:$BZ$3001,1827,$D$1)&amp;"",",",""),"¥",""),"￥","")),0))</f>
        <v/>
      </c>
      <c r="E1828">
        <f>IF($E$1=0,0,IFERROR(VALUE(SUBSTITUTE(SUBSTITUTE(SUBSTITUTE(INDEX(貼り付け!$A$1:$BZ$3001,1827,$E$1)&amp;"",",",""),"¥",""),"￥","")),0))</f>
        <v/>
      </c>
      <c r="F1828">
        <f>IF($F$1=0,0,IFERROR(VALUE(SUBSTITUTE(SUBSTITUTE(SUBSTITUTE(INDEX(貼り付け!$A$1:$BZ$3001,1827,$F$1)&amp;"",",",""),"¥",""),"￥","")),0))</f>
        <v/>
      </c>
      <c r="G1828">
        <f>IF(ISNUMBER(B1828),YEAR(B1828),"")</f>
        <v/>
      </c>
      <c r="H1828">
        <f>IF(ISNUMBER(B1828),MONTH(B1828),"")</f>
        <v/>
      </c>
      <c r="I1828">
        <f>IFERROR(IF($B$1=0,"",IF(ISNUMBER(INDEX(貼り付け!$A$1:$BZ$3001,1827,$B$1)),"",SUBSTITUTE(SUBSTITUTE(SUBSTITUTE(SUBSTITUTE(TRIM(LEFT(INDEX(貼り付け!$A$1:$BZ$3001,1827,$B$1)&amp;"",FIND(" ",TRIM(INDEX(貼り付け!$A$1:$BZ$3001,1827,$B$1)&amp;"")&amp;" ")-1)),"/","-"),"年","-"),"月","-"),"日",""))),"")</f>
        <v/>
      </c>
      <c r="J1828">
        <f>IFERROR(MID(I1828,FIND("-",I1828)+1,99),"")</f>
        <v/>
      </c>
    </row>
    <row r="1829">
      <c r="B1829">
        <f>IFERROR(IF($B$1=0,"",IF(INDEX(貼り付け!$A$1:$BZ$3001,1828,$B$1)="","",IF(ISNUMBER(INDEX(貼り付け!$A$1:$BZ$3001,1828,$B$1)),INT(INDEX(貼り付け!$A$1:$BZ$3001,1828,$B$1)),DATE(VALUE(LEFT(I1829,FIND("-",I1829)-1)),VALUE(LEFT(J1829,FIND("-",J1829)-1)),VALUE(MID(J1829,FIND("-",J1829)+1,99)))))),"")</f>
        <v/>
      </c>
      <c r="C1829">
        <f>IF($C$1=0,0,IFERROR(VALUE(SUBSTITUTE(SUBSTITUTE(SUBSTITUTE(INDEX(貼り付け!$A$1:$BZ$3001,1828,$C$1)&amp;"",",",""),"¥",""),"￥","")),0))</f>
        <v/>
      </c>
      <c r="D1829">
        <f>IF($D$1=0,0,IFERROR(VALUE(SUBSTITUTE(SUBSTITUTE(SUBSTITUTE(INDEX(貼り付け!$A$1:$BZ$3001,1828,$D$1)&amp;"",",",""),"¥",""),"￥","")),0))</f>
        <v/>
      </c>
      <c r="E1829">
        <f>IF($E$1=0,0,IFERROR(VALUE(SUBSTITUTE(SUBSTITUTE(SUBSTITUTE(INDEX(貼り付け!$A$1:$BZ$3001,1828,$E$1)&amp;"",",",""),"¥",""),"￥","")),0))</f>
        <v/>
      </c>
      <c r="F1829">
        <f>IF($F$1=0,0,IFERROR(VALUE(SUBSTITUTE(SUBSTITUTE(SUBSTITUTE(INDEX(貼り付け!$A$1:$BZ$3001,1828,$F$1)&amp;"",",",""),"¥",""),"￥","")),0))</f>
        <v/>
      </c>
      <c r="G1829">
        <f>IF(ISNUMBER(B1829),YEAR(B1829),"")</f>
        <v/>
      </c>
      <c r="H1829">
        <f>IF(ISNUMBER(B1829),MONTH(B1829),"")</f>
        <v/>
      </c>
      <c r="I1829">
        <f>IFERROR(IF($B$1=0,"",IF(ISNUMBER(INDEX(貼り付け!$A$1:$BZ$3001,1828,$B$1)),"",SUBSTITUTE(SUBSTITUTE(SUBSTITUTE(SUBSTITUTE(TRIM(LEFT(INDEX(貼り付け!$A$1:$BZ$3001,1828,$B$1)&amp;"",FIND(" ",TRIM(INDEX(貼り付け!$A$1:$BZ$3001,1828,$B$1)&amp;"")&amp;" ")-1)),"/","-"),"年","-"),"月","-"),"日",""))),"")</f>
        <v/>
      </c>
      <c r="J1829">
        <f>IFERROR(MID(I1829,FIND("-",I1829)+1,99),"")</f>
        <v/>
      </c>
    </row>
    <row r="1830">
      <c r="B1830">
        <f>IFERROR(IF($B$1=0,"",IF(INDEX(貼り付け!$A$1:$BZ$3001,1829,$B$1)="","",IF(ISNUMBER(INDEX(貼り付け!$A$1:$BZ$3001,1829,$B$1)),INT(INDEX(貼り付け!$A$1:$BZ$3001,1829,$B$1)),DATE(VALUE(LEFT(I1830,FIND("-",I1830)-1)),VALUE(LEFT(J1830,FIND("-",J1830)-1)),VALUE(MID(J1830,FIND("-",J1830)+1,99)))))),"")</f>
        <v/>
      </c>
      <c r="C1830">
        <f>IF($C$1=0,0,IFERROR(VALUE(SUBSTITUTE(SUBSTITUTE(SUBSTITUTE(INDEX(貼り付け!$A$1:$BZ$3001,1829,$C$1)&amp;"",",",""),"¥",""),"￥","")),0))</f>
        <v/>
      </c>
      <c r="D1830">
        <f>IF($D$1=0,0,IFERROR(VALUE(SUBSTITUTE(SUBSTITUTE(SUBSTITUTE(INDEX(貼り付け!$A$1:$BZ$3001,1829,$D$1)&amp;"",",",""),"¥",""),"￥","")),0))</f>
        <v/>
      </c>
      <c r="E1830">
        <f>IF($E$1=0,0,IFERROR(VALUE(SUBSTITUTE(SUBSTITUTE(SUBSTITUTE(INDEX(貼り付け!$A$1:$BZ$3001,1829,$E$1)&amp;"",",",""),"¥",""),"￥","")),0))</f>
        <v/>
      </c>
      <c r="F1830">
        <f>IF($F$1=0,0,IFERROR(VALUE(SUBSTITUTE(SUBSTITUTE(SUBSTITUTE(INDEX(貼り付け!$A$1:$BZ$3001,1829,$F$1)&amp;"",",",""),"¥",""),"￥","")),0))</f>
        <v/>
      </c>
      <c r="G1830">
        <f>IF(ISNUMBER(B1830),YEAR(B1830),"")</f>
        <v/>
      </c>
      <c r="H1830">
        <f>IF(ISNUMBER(B1830),MONTH(B1830),"")</f>
        <v/>
      </c>
      <c r="I1830">
        <f>IFERROR(IF($B$1=0,"",IF(ISNUMBER(INDEX(貼り付け!$A$1:$BZ$3001,1829,$B$1)),"",SUBSTITUTE(SUBSTITUTE(SUBSTITUTE(SUBSTITUTE(TRIM(LEFT(INDEX(貼り付け!$A$1:$BZ$3001,1829,$B$1)&amp;"",FIND(" ",TRIM(INDEX(貼り付け!$A$1:$BZ$3001,1829,$B$1)&amp;"")&amp;" ")-1)),"/","-"),"年","-"),"月","-"),"日",""))),"")</f>
        <v/>
      </c>
      <c r="J1830">
        <f>IFERROR(MID(I1830,FIND("-",I1830)+1,99),"")</f>
        <v/>
      </c>
    </row>
    <row r="1831">
      <c r="B1831">
        <f>IFERROR(IF($B$1=0,"",IF(INDEX(貼り付け!$A$1:$BZ$3001,1830,$B$1)="","",IF(ISNUMBER(INDEX(貼り付け!$A$1:$BZ$3001,1830,$B$1)),INT(INDEX(貼り付け!$A$1:$BZ$3001,1830,$B$1)),DATE(VALUE(LEFT(I1831,FIND("-",I1831)-1)),VALUE(LEFT(J1831,FIND("-",J1831)-1)),VALUE(MID(J1831,FIND("-",J1831)+1,99)))))),"")</f>
        <v/>
      </c>
      <c r="C1831">
        <f>IF($C$1=0,0,IFERROR(VALUE(SUBSTITUTE(SUBSTITUTE(SUBSTITUTE(INDEX(貼り付け!$A$1:$BZ$3001,1830,$C$1)&amp;"",",",""),"¥",""),"￥","")),0))</f>
        <v/>
      </c>
      <c r="D1831">
        <f>IF($D$1=0,0,IFERROR(VALUE(SUBSTITUTE(SUBSTITUTE(SUBSTITUTE(INDEX(貼り付け!$A$1:$BZ$3001,1830,$D$1)&amp;"",",",""),"¥",""),"￥","")),0))</f>
        <v/>
      </c>
      <c r="E1831">
        <f>IF($E$1=0,0,IFERROR(VALUE(SUBSTITUTE(SUBSTITUTE(SUBSTITUTE(INDEX(貼り付け!$A$1:$BZ$3001,1830,$E$1)&amp;"",",",""),"¥",""),"￥","")),0))</f>
        <v/>
      </c>
      <c r="F1831">
        <f>IF($F$1=0,0,IFERROR(VALUE(SUBSTITUTE(SUBSTITUTE(SUBSTITUTE(INDEX(貼り付け!$A$1:$BZ$3001,1830,$F$1)&amp;"",",",""),"¥",""),"￥","")),0))</f>
        <v/>
      </c>
      <c r="G1831">
        <f>IF(ISNUMBER(B1831),YEAR(B1831),"")</f>
        <v/>
      </c>
      <c r="H1831">
        <f>IF(ISNUMBER(B1831),MONTH(B1831),"")</f>
        <v/>
      </c>
      <c r="I1831">
        <f>IFERROR(IF($B$1=0,"",IF(ISNUMBER(INDEX(貼り付け!$A$1:$BZ$3001,1830,$B$1)),"",SUBSTITUTE(SUBSTITUTE(SUBSTITUTE(SUBSTITUTE(TRIM(LEFT(INDEX(貼り付け!$A$1:$BZ$3001,1830,$B$1)&amp;"",FIND(" ",TRIM(INDEX(貼り付け!$A$1:$BZ$3001,1830,$B$1)&amp;"")&amp;" ")-1)),"/","-"),"年","-"),"月","-"),"日",""))),"")</f>
        <v/>
      </c>
      <c r="J1831">
        <f>IFERROR(MID(I1831,FIND("-",I1831)+1,99),"")</f>
        <v/>
      </c>
    </row>
    <row r="1832">
      <c r="B1832">
        <f>IFERROR(IF($B$1=0,"",IF(INDEX(貼り付け!$A$1:$BZ$3001,1831,$B$1)="","",IF(ISNUMBER(INDEX(貼り付け!$A$1:$BZ$3001,1831,$B$1)),INT(INDEX(貼り付け!$A$1:$BZ$3001,1831,$B$1)),DATE(VALUE(LEFT(I1832,FIND("-",I1832)-1)),VALUE(LEFT(J1832,FIND("-",J1832)-1)),VALUE(MID(J1832,FIND("-",J1832)+1,99)))))),"")</f>
        <v/>
      </c>
      <c r="C1832">
        <f>IF($C$1=0,0,IFERROR(VALUE(SUBSTITUTE(SUBSTITUTE(SUBSTITUTE(INDEX(貼り付け!$A$1:$BZ$3001,1831,$C$1)&amp;"",",",""),"¥",""),"￥","")),0))</f>
        <v/>
      </c>
      <c r="D1832">
        <f>IF($D$1=0,0,IFERROR(VALUE(SUBSTITUTE(SUBSTITUTE(SUBSTITUTE(INDEX(貼り付け!$A$1:$BZ$3001,1831,$D$1)&amp;"",",",""),"¥",""),"￥","")),0))</f>
        <v/>
      </c>
      <c r="E1832">
        <f>IF($E$1=0,0,IFERROR(VALUE(SUBSTITUTE(SUBSTITUTE(SUBSTITUTE(INDEX(貼り付け!$A$1:$BZ$3001,1831,$E$1)&amp;"",",",""),"¥",""),"￥","")),0))</f>
        <v/>
      </c>
      <c r="F1832">
        <f>IF($F$1=0,0,IFERROR(VALUE(SUBSTITUTE(SUBSTITUTE(SUBSTITUTE(INDEX(貼り付け!$A$1:$BZ$3001,1831,$F$1)&amp;"",",",""),"¥",""),"￥","")),0))</f>
        <v/>
      </c>
      <c r="G1832">
        <f>IF(ISNUMBER(B1832),YEAR(B1832),"")</f>
        <v/>
      </c>
      <c r="H1832">
        <f>IF(ISNUMBER(B1832),MONTH(B1832),"")</f>
        <v/>
      </c>
      <c r="I1832">
        <f>IFERROR(IF($B$1=0,"",IF(ISNUMBER(INDEX(貼り付け!$A$1:$BZ$3001,1831,$B$1)),"",SUBSTITUTE(SUBSTITUTE(SUBSTITUTE(SUBSTITUTE(TRIM(LEFT(INDEX(貼り付け!$A$1:$BZ$3001,1831,$B$1)&amp;"",FIND(" ",TRIM(INDEX(貼り付け!$A$1:$BZ$3001,1831,$B$1)&amp;"")&amp;" ")-1)),"/","-"),"年","-"),"月","-"),"日",""))),"")</f>
        <v/>
      </c>
      <c r="J1832">
        <f>IFERROR(MID(I1832,FIND("-",I1832)+1,99),"")</f>
        <v/>
      </c>
    </row>
    <row r="1833">
      <c r="B1833">
        <f>IFERROR(IF($B$1=0,"",IF(INDEX(貼り付け!$A$1:$BZ$3001,1832,$B$1)="","",IF(ISNUMBER(INDEX(貼り付け!$A$1:$BZ$3001,1832,$B$1)),INT(INDEX(貼り付け!$A$1:$BZ$3001,1832,$B$1)),DATE(VALUE(LEFT(I1833,FIND("-",I1833)-1)),VALUE(LEFT(J1833,FIND("-",J1833)-1)),VALUE(MID(J1833,FIND("-",J1833)+1,99)))))),"")</f>
        <v/>
      </c>
      <c r="C1833">
        <f>IF($C$1=0,0,IFERROR(VALUE(SUBSTITUTE(SUBSTITUTE(SUBSTITUTE(INDEX(貼り付け!$A$1:$BZ$3001,1832,$C$1)&amp;"",",",""),"¥",""),"￥","")),0))</f>
        <v/>
      </c>
      <c r="D1833">
        <f>IF($D$1=0,0,IFERROR(VALUE(SUBSTITUTE(SUBSTITUTE(SUBSTITUTE(INDEX(貼り付け!$A$1:$BZ$3001,1832,$D$1)&amp;"",",",""),"¥",""),"￥","")),0))</f>
        <v/>
      </c>
      <c r="E1833">
        <f>IF($E$1=0,0,IFERROR(VALUE(SUBSTITUTE(SUBSTITUTE(SUBSTITUTE(INDEX(貼り付け!$A$1:$BZ$3001,1832,$E$1)&amp;"",",",""),"¥",""),"￥","")),0))</f>
        <v/>
      </c>
      <c r="F1833">
        <f>IF($F$1=0,0,IFERROR(VALUE(SUBSTITUTE(SUBSTITUTE(SUBSTITUTE(INDEX(貼り付け!$A$1:$BZ$3001,1832,$F$1)&amp;"",",",""),"¥",""),"￥","")),0))</f>
        <v/>
      </c>
      <c r="G1833">
        <f>IF(ISNUMBER(B1833),YEAR(B1833),"")</f>
        <v/>
      </c>
      <c r="H1833">
        <f>IF(ISNUMBER(B1833),MONTH(B1833),"")</f>
        <v/>
      </c>
      <c r="I1833">
        <f>IFERROR(IF($B$1=0,"",IF(ISNUMBER(INDEX(貼り付け!$A$1:$BZ$3001,1832,$B$1)),"",SUBSTITUTE(SUBSTITUTE(SUBSTITUTE(SUBSTITUTE(TRIM(LEFT(INDEX(貼り付け!$A$1:$BZ$3001,1832,$B$1)&amp;"",FIND(" ",TRIM(INDEX(貼り付け!$A$1:$BZ$3001,1832,$B$1)&amp;"")&amp;" ")-1)),"/","-"),"年","-"),"月","-"),"日",""))),"")</f>
        <v/>
      </c>
      <c r="J1833">
        <f>IFERROR(MID(I1833,FIND("-",I1833)+1,99),"")</f>
        <v/>
      </c>
    </row>
    <row r="1834">
      <c r="B1834">
        <f>IFERROR(IF($B$1=0,"",IF(INDEX(貼り付け!$A$1:$BZ$3001,1833,$B$1)="","",IF(ISNUMBER(INDEX(貼り付け!$A$1:$BZ$3001,1833,$B$1)),INT(INDEX(貼り付け!$A$1:$BZ$3001,1833,$B$1)),DATE(VALUE(LEFT(I1834,FIND("-",I1834)-1)),VALUE(LEFT(J1834,FIND("-",J1834)-1)),VALUE(MID(J1834,FIND("-",J1834)+1,99)))))),"")</f>
        <v/>
      </c>
      <c r="C1834">
        <f>IF($C$1=0,0,IFERROR(VALUE(SUBSTITUTE(SUBSTITUTE(SUBSTITUTE(INDEX(貼り付け!$A$1:$BZ$3001,1833,$C$1)&amp;"",",",""),"¥",""),"￥","")),0))</f>
        <v/>
      </c>
      <c r="D1834">
        <f>IF($D$1=0,0,IFERROR(VALUE(SUBSTITUTE(SUBSTITUTE(SUBSTITUTE(INDEX(貼り付け!$A$1:$BZ$3001,1833,$D$1)&amp;"",",",""),"¥",""),"￥","")),0))</f>
        <v/>
      </c>
      <c r="E1834">
        <f>IF($E$1=0,0,IFERROR(VALUE(SUBSTITUTE(SUBSTITUTE(SUBSTITUTE(INDEX(貼り付け!$A$1:$BZ$3001,1833,$E$1)&amp;"",",",""),"¥",""),"￥","")),0))</f>
        <v/>
      </c>
      <c r="F1834">
        <f>IF($F$1=0,0,IFERROR(VALUE(SUBSTITUTE(SUBSTITUTE(SUBSTITUTE(INDEX(貼り付け!$A$1:$BZ$3001,1833,$F$1)&amp;"",",",""),"¥",""),"￥","")),0))</f>
        <v/>
      </c>
      <c r="G1834">
        <f>IF(ISNUMBER(B1834),YEAR(B1834),"")</f>
        <v/>
      </c>
      <c r="H1834">
        <f>IF(ISNUMBER(B1834),MONTH(B1834),"")</f>
        <v/>
      </c>
      <c r="I1834">
        <f>IFERROR(IF($B$1=0,"",IF(ISNUMBER(INDEX(貼り付け!$A$1:$BZ$3001,1833,$B$1)),"",SUBSTITUTE(SUBSTITUTE(SUBSTITUTE(SUBSTITUTE(TRIM(LEFT(INDEX(貼り付け!$A$1:$BZ$3001,1833,$B$1)&amp;"",FIND(" ",TRIM(INDEX(貼り付け!$A$1:$BZ$3001,1833,$B$1)&amp;"")&amp;" ")-1)),"/","-"),"年","-"),"月","-"),"日",""))),"")</f>
        <v/>
      </c>
      <c r="J1834">
        <f>IFERROR(MID(I1834,FIND("-",I1834)+1,99),"")</f>
        <v/>
      </c>
    </row>
    <row r="1835">
      <c r="B1835">
        <f>IFERROR(IF($B$1=0,"",IF(INDEX(貼り付け!$A$1:$BZ$3001,1834,$B$1)="","",IF(ISNUMBER(INDEX(貼り付け!$A$1:$BZ$3001,1834,$B$1)),INT(INDEX(貼り付け!$A$1:$BZ$3001,1834,$B$1)),DATE(VALUE(LEFT(I1835,FIND("-",I1835)-1)),VALUE(LEFT(J1835,FIND("-",J1835)-1)),VALUE(MID(J1835,FIND("-",J1835)+1,99)))))),"")</f>
        <v/>
      </c>
      <c r="C1835">
        <f>IF($C$1=0,0,IFERROR(VALUE(SUBSTITUTE(SUBSTITUTE(SUBSTITUTE(INDEX(貼り付け!$A$1:$BZ$3001,1834,$C$1)&amp;"",",",""),"¥",""),"￥","")),0))</f>
        <v/>
      </c>
      <c r="D1835">
        <f>IF($D$1=0,0,IFERROR(VALUE(SUBSTITUTE(SUBSTITUTE(SUBSTITUTE(INDEX(貼り付け!$A$1:$BZ$3001,1834,$D$1)&amp;"",",",""),"¥",""),"￥","")),0))</f>
        <v/>
      </c>
      <c r="E1835">
        <f>IF($E$1=0,0,IFERROR(VALUE(SUBSTITUTE(SUBSTITUTE(SUBSTITUTE(INDEX(貼り付け!$A$1:$BZ$3001,1834,$E$1)&amp;"",",",""),"¥",""),"￥","")),0))</f>
        <v/>
      </c>
      <c r="F1835">
        <f>IF($F$1=0,0,IFERROR(VALUE(SUBSTITUTE(SUBSTITUTE(SUBSTITUTE(INDEX(貼り付け!$A$1:$BZ$3001,1834,$F$1)&amp;"",",",""),"¥",""),"￥","")),0))</f>
        <v/>
      </c>
      <c r="G1835">
        <f>IF(ISNUMBER(B1835),YEAR(B1835),"")</f>
        <v/>
      </c>
      <c r="H1835">
        <f>IF(ISNUMBER(B1835),MONTH(B1835),"")</f>
        <v/>
      </c>
      <c r="I1835">
        <f>IFERROR(IF($B$1=0,"",IF(ISNUMBER(INDEX(貼り付け!$A$1:$BZ$3001,1834,$B$1)),"",SUBSTITUTE(SUBSTITUTE(SUBSTITUTE(SUBSTITUTE(TRIM(LEFT(INDEX(貼り付け!$A$1:$BZ$3001,1834,$B$1)&amp;"",FIND(" ",TRIM(INDEX(貼り付け!$A$1:$BZ$3001,1834,$B$1)&amp;"")&amp;" ")-1)),"/","-"),"年","-"),"月","-"),"日",""))),"")</f>
        <v/>
      </c>
      <c r="J1835">
        <f>IFERROR(MID(I1835,FIND("-",I1835)+1,99),"")</f>
        <v/>
      </c>
    </row>
    <row r="1836">
      <c r="B1836">
        <f>IFERROR(IF($B$1=0,"",IF(INDEX(貼り付け!$A$1:$BZ$3001,1835,$B$1)="","",IF(ISNUMBER(INDEX(貼り付け!$A$1:$BZ$3001,1835,$B$1)),INT(INDEX(貼り付け!$A$1:$BZ$3001,1835,$B$1)),DATE(VALUE(LEFT(I1836,FIND("-",I1836)-1)),VALUE(LEFT(J1836,FIND("-",J1836)-1)),VALUE(MID(J1836,FIND("-",J1836)+1,99)))))),"")</f>
        <v/>
      </c>
      <c r="C1836">
        <f>IF($C$1=0,0,IFERROR(VALUE(SUBSTITUTE(SUBSTITUTE(SUBSTITUTE(INDEX(貼り付け!$A$1:$BZ$3001,1835,$C$1)&amp;"",",",""),"¥",""),"￥","")),0))</f>
        <v/>
      </c>
      <c r="D1836">
        <f>IF($D$1=0,0,IFERROR(VALUE(SUBSTITUTE(SUBSTITUTE(SUBSTITUTE(INDEX(貼り付け!$A$1:$BZ$3001,1835,$D$1)&amp;"",",",""),"¥",""),"￥","")),0))</f>
        <v/>
      </c>
      <c r="E1836">
        <f>IF($E$1=0,0,IFERROR(VALUE(SUBSTITUTE(SUBSTITUTE(SUBSTITUTE(INDEX(貼り付け!$A$1:$BZ$3001,1835,$E$1)&amp;"",",",""),"¥",""),"￥","")),0))</f>
        <v/>
      </c>
      <c r="F1836">
        <f>IF($F$1=0,0,IFERROR(VALUE(SUBSTITUTE(SUBSTITUTE(SUBSTITUTE(INDEX(貼り付け!$A$1:$BZ$3001,1835,$F$1)&amp;"",",",""),"¥",""),"￥","")),0))</f>
        <v/>
      </c>
      <c r="G1836">
        <f>IF(ISNUMBER(B1836),YEAR(B1836),"")</f>
        <v/>
      </c>
      <c r="H1836">
        <f>IF(ISNUMBER(B1836),MONTH(B1836),"")</f>
        <v/>
      </c>
      <c r="I1836">
        <f>IFERROR(IF($B$1=0,"",IF(ISNUMBER(INDEX(貼り付け!$A$1:$BZ$3001,1835,$B$1)),"",SUBSTITUTE(SUBSTITUTE(SUBSTITUTE(SUBSTITUTE(TRIM(LEFT(INDEX(貼り付け!$A$1:$BZ$3001,1835,$B$1)&amp;"",FIND(" ",TRIM(INDEX(貼り付け!$A$1:$BZ$3001,1835,$B$1)&amp;"")&amp;" ")-1)),"/","-"),"年","-"),"月","-"),"日",""))),"")</f>
        <v/>
      </c>
      <c r="J1836">
        <f>IFERROR(MID(I1836,FIND("-",I1836)+1,99),"")</f>
        <v/>
      </c>
    </row>
    <row r="1837">
      <c r="B1837">
        <f>IFERROR(IF($B$1=0,"",IF(INDEX(貼り付け!$A$1:$BZ$3001,1836,$B$1)="","",IF(ISNUMBER(INDEX(貼り付け!$A$1:$BZ$3001,1836,$B$1)),INT(INDEX(貼り付け!$A$1:$BZ$3001,1836,$B$1)),DATE(VALUE(LEFT(I1837,FIND("-",I1837)-1)),VALUE(LEFT(J1837,FIND("-",J1837)-1)),VALUE(MID(J1837,FIND("-",J1837)+1,99)))))),"")</f>
        <v/>
      </c>
      <c r="C1837">
        <f>IF($C$1=0,0,IFERROR(VALUE(SUBSTITUTE(SUBSTITUTE(SUBSTITUTE(INDEX(貼り付け!$A$1:$BZ$3001,1836,$C$1)&amp;"",",",""),"¥",""),"￥","")),0))</f>
        <v/>
      </c>
      <c r="D1837">
        <f>IF($D$1=0,0,IFERROR(VALUE(SUBSTITUTE(SUBSTITUTE(SUBSTITUTE(INDEX(貼り付け!$A$1:$BZ$3001,1836,$D$1)&amp;"",",",""),"¥",""),"￥","")),0))</f>
        <v/>
      </c>
      <c r="E1837">
        <f>IF($E$1=0,0,IFERROR(VALUE(SUBSTITUTE(SUBSTITUTE(SUBSTITUTE(INDEX(貼り付け!$A$1:$BZ$3001,1836,$E$1)&amp;"",",",""),"¥",""),"￥","")),0))</f>
        <v/>
      </c>
      <c r="F1837">
        <f>IF($F$1=0,0,IFERROR(VALUE(SUBSTITUTE(SUBSTITUTE(SUBSTITUTE(INDEX(貼り付け!$A$1:$BZ$3001,1836,$F$1)&amp;"",",",""),"¥",""),"￥","")),0))</f>
        <v/>
      </c>
      <c r="G1837">
        <f>IF(ISNUMBER(B1837),YEAR(B1837),"")</f>
        <v/>
      </c>
      <c r="H1837">
        <f>IF(ISNUMBER(B1837),MONTH(B1837),"")</f>
        <v/>
      </c>
      <c r="I1837">
        <f>IFERROR(IF($B$1=0,"",IF(ISNUMBER(INDEX(貼り付け!$A$1:$BZ$3001,1836,$B$1)),"",SUBSTITUTE(SUBSTITUTE(SUBSTITUTE(SUBSTITUTE(TRIM(LEFT(INDEX(貼り付け!$A$1:$BZ$3001,1836,$B$1)&amp;"",FIND(" ",TRIM(INDEX(貼り付け!$A$1:$BZ$3001,1836,$B$1)&amp;"")&amp;" ")-1)),"/","-"),"年","-"),"月","-"),"日",""))),"")</f>
        <v/>
      </c>
      <c r="J1837">
        <f>IFERROR(MID(I1837,FIND("-",I1837)+1,99),"")</f>
        <v/>
      </c>
    </row>
    <row r="1838">
      <c r="B1838">
        <f>IFERROR(IF($B$1=0,"",IF(INDEX(貼り付け!$A$1:$BZ$3001,1837,$B$1)="","",IF(ISNUMBER(INDEX(貼り付け!$A$1:$BZ$3001,1837,$B$1)),INT(INDEX(貼り付け!$A$1:$BZ$3001,1837,$B$1)),DATE(VALUE(LEFT(I1838,FIND("-",I1838)-1)),VALUE(LEFT(J1838,FIND("-",J1838)-1)),VALUE(MID(J1838,FIND("-",J1838)+1,99)))))),"")</f>
        <v/>
      </c>
      <c r="C1838">
        <f>IF($C$1=0,0,IFERROR(VALUE(SUBSTITUTE(SUBSTITUTE(SUBSTITUTE(INDEX(貼り付け!$A$1:$BZ$3001,1837,$C$1)&amp;"",",",""),"¥",""),"￥","")),0))</f>
        <v/>
      </c>
      <c r="D1838">
        <f>IF($D$1=0,0,IFERROR(VALUE(SUBSTITUTE(SUBSTITUTE(SUBSTITUTE(INDEX(貼り付け!$A$1:$BZ$3001,1837,$D$1)&amp;"",",",""),"¥",""),"￥","")),0))</f>
        <v/>
      </c>
      <c r="E1838">
        <f>IF($E$1=0,0,IFERROR(VALUE(SUBSTITUTE(SUBSTITUTE(SUBSTITUTE(INDEX(貼り付け!$A$1:$BZ$3001,1837,$E$1)&amp;"",",",""),"¥",""),"￥","")),0))</f>
        <v/>
      </c>
      <c r="F1838">
        <f>IF($F$1=0,0,IFERROR(VALUE(SUBSTITUTE(SUBSTITUTE(SUBSTITUTE(INDEX(貼り付け!$A$1:$BZ$3001,1837,$F$1)&amp;"",",",""),"¥",""),"￥","")),0))</f>
        <v/>
      </c>
      <c r="G1838">
        <f>IF(ISNUMBER(B1838),YEAR(B1838),"")</f>
        <v/>
      </c>
      <c r="H1838">
        <f>IF(ISNUMBER(B1838),MONTH(B1838),"")</f>
        <v/>
      </c>
      <c r="I1838">
        <f>IFERROR(IF($B$1=0,"",IF(ISNUMBER(INDEX(貼り付け!$A$1:$BZ$3001,1837,$B$1)),"",SUBSTITUTE(SUBSTITUTE(SUBSTITUTE(SUBSTITUTE(TRIM(LEFT(INDEX(貼り付け!$A$1:$BZ$3001,1837,$B$1)&amp;"",FIND(" ",TRIM(INDEX(貼り付け!$A$1:$BZ$3001,1837,$B$1)&amp;"")&amp;" ")-1)),"/","-"),"年","-"),"月","-"),"日",""))),"")</f>
        <v/>
      </c>
      <c r="J1838">
        <f>IFERROR(MID(I1838,FIND("-",I1838)+1,99),"")</f>
        <v/>
      </c>
    </row>
    <row r="1839">
      <c r="B1839">
        <f>IFERROR(IF($B$1=0,"",IF(INDEX(貼り付け!$A$1:$BZ$3001,1838,$B$1)="","",IF(ISNUMBER(INDEX(貼り付け!$A$1:$BZ$3001,1838,$B$1)),INT(INDEX(貼り付け!$A$1:$BZ$3001,1838,$B$1)),DATE(VALUE(LEFT(I1839,FIND("-",I1839)-1)),VALUE(LEFT(J1839,FIND("-",J1839)-1)),VALUE(MID(J1839,FIND("-",J1839)+1,99)))))),"")</f>
        <v/>
      </c>
      <c r="C1839">
        <f>IF($C$1=0,0,IFERROR(VALUE(SUBSTITUTE(SUBSTITUTE(SUBSTITUTE(INDEX(貼り付け!$A$1:$BZ$3001,1838,$C$1)&amp;"",",",""),"¥",""),"￥","")),0))</f>
        <v/>
      </c>
      <c r="D1839">
        <f>IF($D$1=0,0,IFERROR(VALUE(SUBSTITUTE(SUBSTITUTE(SUBSTITUTE(INDEX(貼り付け!$A$1:$BZ$3001,1838,$D$1)&amp;"",",",""),"¥",""),"￥","")),0))</f>
        <v/>
      </c>
      <c r="E1839">
        <f>IF($E$1=0,0,IFERROR(VALUE(SUBSTITUTE(SUBSTITUTE(SUBSTITUTE(INDEX(貼り付け!$A$1:$BZ$3001,1838,$E$1)&amp;"",",",""),"¥",""),"￥","")),0))</f>
        <v/>
      </c>
      <c r="F1839">
        <f>IF($F$1=0,0,IFERROR(VALUE(SUBSTITUTE(SUBSTITUTE(SUBSTITUTE(INDEX(貼り付け!$A$1:$BZ$3001,1838,$F$1)&amp;"",",",""),"¥",""),"￥","")),0))</f>
        <v/>
      </c>
      <c r="G1839">
        <f>IF(ISNUMBER(B1839),YEAR(B1839),"")</f>
        <v/>
      </c>
      <c r="H1839">
        <f>IF(ISNUMBER(B1839),MONTH(B1839),"")</f>
        <v/>
      </c>
      <c r="I1839">
        <f>IFERROR(IF($B$1=0,"",IF(ISNUMBER(INDEX(貼り付け!$A$1:$BZ$3001,1838,$B$1)),"",SUBSTITUTE(SUBSTITUTE(SUBSTITUTE(SUBSTITUTE(TRIM(LEFT(INDEX(貼り付け!$A$1:$BZ$3001,1838,$B$1)&amp;"",FIND(" ",TRIM(INDEX(貼り付け!$A$1:$BZ$3001,1838,$B$1)&amp;"")&amp;" ")-1)),"/","-"),"年","-"),"月","-"),"日",""))),"")</f>
        <v/>
      </c>
      <c r="J1839">
        <f>IFERROR(MID(I1839,FIND("-",I1839)+1,99),"")</f>
        <v/>
      </c>
    </row>
    <row r="1840">
      <c r="B1840">
        <f>IFERROR(IF($B$1=0,"",IF(INDEX(貼り付け!$A$1:$BZ$3001,1839,$B$1)="","",IF(ISNUMBER(INDEX(貼り付け!$A$1:$BZ$3001,1839,$B$1)),INT(INDEX(貼り付け!$A$1:$BZ$3001,1839,$B$1)),DATE(VALUE(LEFT(I1840,FIND("-",I1840)-1)),VALUE(LEFT(J1840,FIND("-",J1840)-1)),VALUE(MID(J1840,FIND("-",J1840)+1,99)))))),"")</f>
        <v/>
      </c>
      <c r="C1840">
        <f>IF($C$1=0,0,IFERROR(VALUE(SUBSTITUTE(SUBSTITUTE(SUBSTITUTE(INDEX(貼り付け!$A$1:$BZ$3001,1839,$C$1)&amp;"",",",""),"¥",""),"￥","")),0))</f>
        <v/>
      </c>
      <c r="D1840">
        <f>IF($D$1=0,0,IFERROR(VALUE(SUBSTITUTE(SUBSTITUTE(SUBSTITUTE(INDEX(貼り付け!$A$1:$BZ$3001,1839,$D$1)&amp;"",",",""),"¥",""),"￥","")),0))</f>
        <v/>
      </c>
      <c r="E1840">
        <f>IF($E$1=0,0,IFERROR(VALUE(SUBSTITUTE(SUBSTITUTE(SUBSTITUTE(INDEX(貼り付け!$A$1:$BZ$3001,1839,$E$1)&amp;"",",",""),"¥",""),"￥","")),0))</f>
        <v/>
      </c>
      <c r="F1840">
        <f>IF($F$1=0,0,IFERROR(VALUE(SUBSTITUTE(SUBSTITUTE(SUBSTITUTE(INDEX(貼り付け!$A$1:$BZ$3001,1839,$F$1)&amp;"",",",""),"¥",""),"￥","")),0))</f>
        <v/>
      </c>
      <c r="G1840">
        <f>IF(ISNUMBER(B1840),YEAR(B1840),"")</f>
        <v/>
      </c>
      <c r="H1840">
        <f>IF(ISNUMBER(B1840),MONTH(B1840),"")</f>
        <v/>
      </c>
      <c r="I1840">
        <f>IFERROR(IF($B$1=0,"",IF(ISNUMBER(INDEX(貼り付け!$A$1:$BZ$3001,1839,$B$1)),"",SUBSTITUTE(SUBSTITUTE(SUBSTITUTE(SUBSTITUTE(TRIM(LEFT(INDEX(貼り付け!$A$1:$BZ$3001,1839,$B$1)&amp;"",FIND(" ",TRIM(INDEX(貼り付け!$A$1:$BZ$3001,1839,$B$1)&amp;"")&amp;" ")-1)),"/","-"),"年","-"),"月","-"),"日",""))),"")</f>
        <v/>
      </c>
      <c r="J1840">
        <f>IFERROR(MID(I1840,FIND("-",I1840)+1,99),"")</f>
        <v/>
      </c>
    </row>
    <row r="1841">
      <c r="B1841">
        <f>IFERROR(IF($B$1=0,"",IF(INDEX(貼り付け!$A$1:$BZ$3001,1840,$B$1)="","",IF(ISNUMBER(INDEX(貼り付け!$A$1:$BZ$3001,1840,$B$1)),INT(INDEX(貼り付け!$A$1:$BZ$3001,1840,$B$1)),DATE(VALUE(LEFT(I1841,FIND("-",I1841)-1)),VALUE(LEFT(J1841,FIND("-",J1841)-1)),VALUE(MID(J1841,FIND("-",J1841)+1,99)))))),"")</f>
        <v/>
      </c>
      <c r="C1841">
        <f>IF($C$1=0,0,IFERROR(VALUE(SUBSTITUTE(SUBSTITUTE(SUBSTITUTE(INDEX(貼り付け!$A$1:$BZ$3001,1840,$C$1)&amp;"",",",""),"¥",""),"￥","")),0))</f>
        <v/>
      </c>
      <c r="D1841">
        <f>IF($D$1=0,0,IFERROR(VALUE(SUBSTITUTE(SUBSTITUTE(SUBSTITUTE(INDEX(貼り付け!$A$1:$BZ$3001,1840,$D$1)&amp;"",",",""),"¥",""),"￥","")),0))</f>
        <v/>
      </c>
      <c r="E1841">
        <f>IF($E$1=0,0,IFERROR(VALUE(SUBSTITUTE(SUBSTITUTE(SUBSTITUTE(INDEX(貼り付け!$A$1:$BZ$3001,1840,$E$1)&amp;"",",",""),"¥",""),"￥","")),0))</f>
        <v/>
      </c>
      <c r="F1841">
        <f>IF($F$1=0,0,IFERROR(VALUE(SUBSTITUTE(SUBSTITUTE(SUBSTITUTE(INDEX(貼り付け!$A$1:$BZ$3001,1840,$F$1)&amp;"",",",""),"¥",""),"￥","")),0))</f>
        <v/>
      </c>
      <c r="G1841">
        <f>IF(ISNUMBER(B1841),YEAR(B1841),"")</f>
        <v/>
      </c>
      <c r="H1841">
        <f>IF(ISNUMBER(B1841),MONTH(B1841),"")</f>
        <v/>
      </c>
      <c r="I1841">
        <f>IFERROR(IF($B$1=0,"",IF(ISNUMBER(INDEX(貼り付け!$A$1:$BZ$3001,1840,$B$1)),"",SUBSTITUTE(SUBSTITUTE(SUBSTITUTE(SUBSTITUTE(TRIM(LEFT(INDEX(貼り付け!$A$1:$BZ$3001,1840,$B$1)&amp;"",FIND(" ",TRIM(INDEX(貼り付け!$A$1:$BZ$3001,1840,$B$1)&amp;"")&amp;" ")-1)),"/","-"),"年","-"),"月","-"),"日",""))),"")</f>
        <v/>
      </c>
      <c r="J1841">
        <f>IFERROR(MID(I1841,FIND("-",I1841)+1,99),"")</f>
        <v/>
      </c>
    </row>
    <row r="1842">
      <c r="B1842">
        <f>IFERROR(IF($B$1=0,"",IF(INDEX(貼り付け!$A$1:$BZ$3001,1841,$B$1)="","",IF(ISNUMBER(INDEX(貼り付け!$A$1:$BZ$3001,1841,$B$1)),INT(INDEX(貼り付け!$A$1:$BZ$3001,1841,$B$1)),DATE(VALUE(LEFT(I1842,FIND("-",I1842)-1)),VALUE(LEFT(J1842,FIND("-",J1842)-1)),VALUE(MID(J1842,FIND("-",J1842)+1,99)))))),"")</f>
        <v/>
      </c>
      <c r="C1842">
        <f>IF($C$1=0,0,IFERROR(VALUE(SUBSTITUTE(SUBSTITUTE(SUBSTITUTE(INDEX(貼り付け!$A$1:$BZ$3001,1841,$C$1)&amp;"",",",""),"¥",""),"￥","")),0))</f>
        <v/>
      </c>
      <c r="D1842">
        <f>IF($D$1=0,0,IFERROR(VALUE(SUBSTITUTE(SUBSTITUTE(SUBSTITUTE(INDEX(貼り付け!$A$1:$BZ$3001,1841,$D$1)&amp;"",",",""),"¥",""),"￥","")),0))</f>
        <v/>
      </c>
      <c r="E1842">
        <f>IF($E$1=0,0,IFERROR(VALUE(SUBSTITUTE(SUBSTITUTE(SUBSTITUTE(INDEX(貼り付け!$A$1:$BZ$3001,1841,$E$1)&amp;"",",",""),"¥",""),"￥","")),0))</f>
        <v/>
      </c>
      <c r="F1842">
        <f>IF($F$1=0,0,IFERROR(VALUE(SUBSTITUTE(SUBSTITUTE(SUBSTITUTE(INDEX(貼り付け!$A$1:$BZ$3001,1841,$F$1)&amp;"",",",""),"¥",""),"￥","")),0))</f>
        <v/>
      </c>
      <c r="G1842">
        <f>IF(ISNUMBER(B1842),YEAR(B1842),"")</f>
        <v/>
      </c>
      <c r="H1842">
        <f>IF(ISNUMBER(B1842),MONTH(B1842),"")</f>
        <v/>
      </c>
      <c r="I1842">
        <f>IFERROR(IF($B$1=0,"",IF(ISNUMBER(INDEX(貼り付け!$A$1:$BZ$3001,1841,$B$1)),"",SUBSTITUTE(SUBSTITUTE(SUBSTITUTE(SUBSTITUTE(TRIM(LEFT(INDEX(貼り付け!$A$1:$BZ$3001,1841,$B$1)&amp;"",FIND(" ",TRIM(INDEX(貼り付け!$A$1:$BZ$3001,1841,$B$1)&amp;"")&amp;" ")-1)),"/","-"),"年","-"),"月","-"),"日",""))),"")</f>
        <v/>
      </c>
      <c r="J1842">
        <f>IFERROR(MID(I1842,FIND("-",I1842)+1,99),"")</f>
        <v/>
      </c>
    </row>
    <row r="1843">
      <c r="B1843">
        <f>IFERROR(IF($B$1=0,"",IF(INDEX(貼り付け!$A$1:$BZ$3001,1842,$B$1)="","",IF(ISNUMBER(INDEX(貼り付け!$A$1:$BZ$3001,1842,$B$1)),INT(INDEX(貼り付け!$A$1:$BZ$3001,1842,$B$1)),DATE(VALUE(LEFT(I1843,FIND("-",I1843)-1)),VALUE(LEFT(J1843,FIND("-",J1843)-1)),VALUE(MID(J1843,FIND("-",J1843)+1,99)))))),"")</f>
        <v/>
      </c>
      <c r="C1843">
        <f>IF($C$1=0,0,IFERROR(VALUE(SUBSTITUTE(SUBSTITUTE(SUBSTITUTE(INDEX(貼り付け!$A$1:$BZ$3001,1842,$C$1)&amp;"",",",""),"¥",""),"￥","")),0))</f>
        <v/>
      </c>
      <c r="D1843">
        <f>IF($D$1=0,0,IFERROR(VALUE(SUBSTITUTE(SUBSTITUTE(SUBSTITUTE(INDEX(貼り付け!$A$1:$BZ$3001,1842,$D$1)&amp;"",",",""),"¥",""),"￥","")),0))</f>
        <v/>
      </c>
      <c r="E1843">
        <f>IF($E$1=0,0,IFERROR(VALUE(SUBSTITUTE(SUBSTITUTE(SUBSTITUTE(INDEX(貼り付け!$A$1:$BZ$3001,1842,$E$1)&amp;"",",",""),"¥",""),"￥","")),0))</f>
        <v/>
      </c>
      <c r="F1843">
        <f>IF($F$1=0,0,IFERROR(VALUE(SUBSTITUTE(SUBSTITUTE(SUBSTITUTE(INDEX(貼り付け!$A$1:$BZ$3001,1842,$F$1)&amp;"",",",""),"¥",""),"￥","")),0))</f>
        <v/>
      </c>
      <c r="G1843">
        <f>IF(ISNUMBER(B1843),YEAR(B1843),"")</f>
        <v/>
      </c>
      <c r="H1843">
        <f>IF(ISNUMBER(B1843),MONTH(B1843),"")</f>
        <v/>
      </c>
      <c r="I1843">
        <f>IFERROR(IF($B$1=0,"",IF(ISNUMBER(INDEX(貼り付け!$A$1:$BZ$3001,1842,$B$1)),"",SUBSTITUTE(SUBSTITUTE(SUBSTITUTE(SUBSTITUTE(TRIM(LEFT(INDEX(貼り付け!$A$1:$BZ$3001,1842,$B$1)&amp;"",FIND(" ",TRIM(INDEX(貼り付け!$A$1:$BZ$3001,1842,$B$1)&amp;"")&amp;" ")-1)),"/","-"),"年","-"),"月","-"),"日",""))),"")</f>
        <v/>
      </c>
      <c r="J1843">
        <f>IFERROR(MID(I1843,FIND("-",I1843)+1,99),"")</f>
        <v/>
      </c>
    </row>
    <row r="1844">
      <c r="B1844">
        <f>IFERROR(IF($B$1=0,"",IF(INDEX(貼り付け!$A$1:$BZ$3001,1843,$B$1)="","",IF(ISNUMBER(INDEX(貼り付け!$A$1:$BZ$3001,1843,$B$1)),INT(INDEX(貼り付け!$A$1:$BZ$3001,1843,$B$1)),DATE(VALUE(LEFT(I1844,FIND("-",I1844)-1)),VALUE(LEFT(J1844,FIND("-",J1844)-1)),VALUE(MID(J1844,FIND("-",J1844)+1,99)))))),"")</f>
        <v/>
      </c>
      <c r="C1844">
        <f>IF($C$1=0,0,IFERROR(VALUE(SUBSTITUTE(SUBSTITUTE(SUBSTITUTE(INDEX(貼り付け!$A$1:$BZ$3001,1843,$C$1)&amp;"",",",""),"¥",""),"￥","")),0))</f>
        <v/>
      </c>
      <c r="D1844">
        <f>IF($D$1=0,0,IFERROR(VALUE(SUBSTITUTE(SUBSTITUTE(SUBSTITUTE(INDEX(貼り付け!$A$1:$BZ$3001,1843,$D$1)&amp;"",",",""),"¥",""),"￥","")),0))</f>
        <v/>
      </c>
      <c r="E1844">
        <f>IF($E$1=0,0,IFERROR(VALUE(SUBSTITUTE(SUBSTITUTE(SUBSTITUTE(INDEX(貼り付け!$A$1:$BZ$3001,1843,$E$1)&amp;"",",",""),"¥",""),"￥","")),0))</f>
        <v/>
      </c>
      <c r="F1844">
        <f>IF($F$1=0,0,IFERROR(VALUE(SUBSTITUTE(SUBSTITUTE(SUBSTITUTE(INDEX(貼り付け!$A$1:$BZ$3001,1843,$F$1)&amp;"",",",""),"¥",""),"￥","")),0))</f>
        <v/>
      </c>
      <c r="G1844">
        <f>IF(ISNUMBER(B1844),YEAR(B1844),"")</f>
        <v/>
      </c>
      <c r="H1844">
        <f>IF(ISNUMBER(B1844),MONTH(B1844),"")</f>
        <v/>
      </c>
      <c r="I1844">
        <f>IFERROR(IF($B$1=0,"",IF(ISNUMBER(INDEX(貼り付け!$A$1:$BZ$3001,1843,$B$1)),"",SUBSTITUTE(SUBSTITUTE(SUBSTITUTE(SUBSTITUTE(TRIM(LEFT(INDEX(貼り付け!$A$1:$BZ$3001,1843,$B$1)&amp;"",FIND(" ",TRIM(INDEX(貼り付け!$A$1:$BZ$3001,1843,$B$1)&amp;"")&amp;" ")-1)),"/","-"),"年","-"),"月","-"),"日",""))),"")</f>
        <v/>
      </c>
      <c r="J1844">
        <f>IFERROR(MID(I1844,FIND("-",I1844)+1,99),"")</f>
        <v/>
      </c>
    </row>
    <row r="1845">
      <c r="B1845">
        <f>IFERROR(IF($B$1=0,"",IF(INDEX(貼り付け!$A$1:$BZ$3001,1844,$B$1)="","",IF(ISNUMBER(INDEX(貼り付け!$A$1:$BZ$3001,1844,$B$1)),INT(INDEX(貼り付け!$A$1:$BZ$3001,1844,$B$1)),DATE(VALUE(LEFT(I1845,FIND("-",I1845)-1)),VALUE(LEFT(J1845,FIND("-",J1845)-1)),VALUE(MID(J1845,FIND("-",J1845)+1,99)))))),"")</f>
        <v/>
      </c>
      <c r="C1845">
        <f>IF($C$1=0,0,IFERROR(VALUE(SUBSTITUTE(SUBSTITUTE(SUBSTITUTE(INDEX(貼り付け!$A$1:$BZ$3001,1844,$C$1)&amp;"",",",""),"¥",""),"￥","")),0))</f>
        <v/>
      </c>
      <c r="D1845">
        <f>IF($D$1=0,0,IFERROR(VALUE(SUBSTITUTE(SUBSTITUTE(SUBSTITUTE(INDEX(貼り付け!$A$1:$BZ$3001,1844,$D$1)&amp;"",",",""),"¥",""),"￥","")),0))</f>
        <v/>
      </c>
      <c r="E1845">
        <f>IF($E$1=0,0,IFERROR(VALUE(SUBSTITUTE(SUBSTITUTE(SUBSTITUTE(INDEX(貼り付け!$A$1:$BZ$3001,1844,$E$1)&amp;"",",",""),"¥",""),"￥","")),0))</f>
        <v/>
      </c>
      <c r="F1845">
        <f>IF($F$1=0,0,IFERROR(VALUE(SUBSTITUTE(SUBSTITUTE(SUBSTITUTE(INDEX(貼り付け!$A$1:$BZ$3001,1844,$F$1)&amp;"",",",""),"¥",""),"￥","")),0))</f>
        <v/>
      </c>
      <c r="G1845">
        <f>IF(ISNUMBER(B1845),YEAR(B1845),"")</f>
        <v/>
      </c>
      <c r="H1845">
        <f>IF(ISNUMBER(B1845),MONTH(B1845),"")</f>
        <v/>
      </c>
      <c r="I1845">
        <f>IFERROR(IF($B$1=0,"",IF(ISNUMBER(INDEX(貼り付け!$A$1:$BZ$3001,1844,$B$1)),"",SUBSTITUTE(SUBSTITUTE(SUBSTITUTE(SUBSTITUTE(TRIM(LEFT(INDEX(貼り付け!$A$1:$BZ$3001,1844,$B$1)&amp;"",FIND(" ",TRIM(INDEX(貼り付け!$A$1:$BZ$3001,1844,$B$1)&amp;"")&amp;" ")-1)),"/","-"),"年","-"),"月","-"),"日",""))),"")</f>
        <v/>
      </c>
      <c r="J1845">
        <f>IFERROR(MID(I1845,FIND("-",I1845)+1,99),"")</f>
        <v/>
      </c>
    </row>
    <row r="1846">
      <c r="B1846">
        <f>IFERROR(IF($B$1=0,"",IF(INDEX(貼り付け!$A$1:$BZ$3001,1845,$B$1)="","",IF(ISNUMBER(INDEX(貼り付け!$A$1:$BZ$3001,1845,$B$1)),INT(INDEX(貼り付け!$A$1:$BZ$3001,1845,$B$1)),DATE(VALUE(LEFT(I1846,FIND("-",I1846)-1)),VALUE(LEFT(J1846,FIND("-",J1846)-1)),VALUE(MID(J1846,FIND("-",J1846)+1,99)))))),"")</f>
        <v/>
      </c>
      <c r="C1846">
        <f>IF($C$1=0,0,IFERROR(VALUE(SUBSTITUTE(SUBSTITUTE(SUBSTITUTE(INDEX(貼り付け!$A$1:$BZ$3001,1845,$C$1)&amp;"",",",""),"¥",""),"￥","")),0))</f>
        <v/>
      </c>
      <c r="D1846">
        <f>IF($D$1=0,0,IFERROR(VALUE(SUBSTITUTE(SUBSTITUTE(SUBSTITUTE(INDEX(貼り付け!$A$1:$BZ$3001,1845,$D$1)&amp;"",",",""),"¥",""),"￥","")),0))</f>
        <v/>
      </c>
      <c r="E1846">
        <f>IF($E$1=0,0,IFERROR(VALUE(SUBSTITUTE(SUBSTITUTE(SUBSTITUTE(INDEX(貼り付け!$A$1:$BZ$3001,1845,$E$1)&amp;"",",",""),"¥",""),"￥","")),0))</f>
        <v/>
      </c>
      <c r="F1846">
        <f>IF($F$1=0,0,IFERROR(VALUE(SUBSTITUTE(SUBSTITUTE(SUBSTITUTE(INDEX(貼り付け!$A$1:$BZ$3001,1845,$F$1)&amp;"",",",""),"¥",""),"￥","")),0))</f>
        <v/>
      </c>
      <c r="G1846">
        <f>IF(ISNUMBER(B1846),YEAR(B1846),"")</f>
        <v/>
      </c>
      <c r="H1846">
        <f>IF(ISNUMBER(B1846),MONTH(B1846),"")</f>
        <v/>
      </c>
      <c r="I1846">
        <f>IFERROR(IF($B$1=0,"",IF(ISNUMBER(INDEX(貼り付け!$A$1:$BZ$3001,1845,$B$1)),"",SUBSTITUTE(SUBSTITUTE(SUBSTITUTE(SUBSTITUTE(TRIM(LEFT(INDEX(貼り付け!$A$1:$BZ$3001,1845,$B$1)&amp;"",FIND(" ",TRIM(INDEX(貼り付け!$A$1:$BZ$3001,1845,$B$1)&amp;"")&amp;" ")-1)),"/","-"),"年","-"),"月","-"),"日",""))),"")</f>
        <v/>
      </c>
      <c r="J1846">
        <f>IFERROR(MID(I1846,FIND("-",I1846)+1,99),"")</f>
        <v/>
      </c>
    </row>
    <row r="1847">
      <c r="B1847">
        <f>IFERROR(IF($B$1=0,"",IF(INDEX(貼り付け!$A$1:$BZ$3001,1846,$B$1)="","",IF(ISNUMBER(INDEX(貼り付け!$A$1:$BZ$3001,1846,$B$1)),INT(INDEX(貼り付け!$A$1:$BZ$3001,1846,$B$1)),DATE(VALUE(LEFT(I1847,FIND("-",I1847)-1)),VALUE(LEFT(J1847,FIND("-",J1847)-1)),VALUE(MID(J1847,FIND("-",J1847)+1,99)))))),"")</f>
        <v/>
      </c>
      <c r="C1847">
        <f>IF($C$1=0,0,IFERROR(VALUE(SUBSTITUTE(SUBSTITUTE(SUBSTITUTE(INDEX(貼り付け!$A$1:$BZ$3001,1846,$C$1)&amp;"",",",""),"¥",""),"￥","")),0))</f>
        <v/>
      </c>
      <c r="D1847">
        <f>IF($D$1=0,0,IFERROR(VALUE(SUBSTITUTE(SUBSTITUTE(SUBSTITUTE(INDEX(貼り付け!$A$1:$BZ$3001,1846,$D$1)&amp;"",",",""),"¥",""),"￥","")),0))</f>
        <v/>
      </c>
      <c r="E1847">
        <f>IF($E$1=0,0,IFERROR(VALUE(SUBSTITUTE(SUBSTITUTE(SUBSTITUTE(INDEX(貼り付け!$A$1:$BZ$3001,1846,$E$1)&amp;"",",",""),"¥",""),"￥","")),0))</f>
        <v/>
      </c>
      <c r="F1847">
        <f>IF($F$1=0,0,IFERROR(VALUE(SUBSTITUTE(SUBSTITUTE(SUBSTITUTE(INDEX(貼り付け!$A$1:$BZ$3001,1846,$F$1)&amp;"",",",""),"¥",""),"￥","")),0))</f>
        <v/>
      </c>
      <c r="G1847">
        <f>IF(ISNUMBER(B1847),YEAR(B1847),"")</f>
        <v/>
      </c>
      <c r="H1847">
        <f>IF(ISNUMBER(B1847),MONTH(B1847),"")</f>
        <v/>
      </c>
      <c r="I1847">
        <f>IFERROR(IF($B$1=0,"",IF(ISNUMBER(INDEX(貼り付け!$A$1:$BZ$3001,1846,$B$1)),"",SUBSTITUTE(SUBSTITUTE(SUBSTITUTE(SUBSTITUTE(TRIM(LEFT(INDEX(貼り付け!$A$1:$BZ$3001,1846,$B$1)&amp;"",FIND(" ",TRIM(INDEX(貼り付け!$A$1:$BZ$3001,1846,$B$1)&amp;"")&amp;" ")-1)),"/","-"),"年","-"),"月","-"),"日",""))),"")</f>
        <v/>
      </c>
      <c r="J1847">
        <f>IFERROR(MID(I1847,FIND("-",I1847)+1,99),"")</f>
        <v/>
      </c>
    </row>
    <row r="1848">
      <c r="B1848">
        <f>IFERROR(IF($B$1=0,"",IF(INDEX(貼り付け!$A$1:$BZ$3001,1847,$B$1)="","",IF(ISNUMBER(INDEX(貼り付け!$A$1:$BZ$3001,1847,$B$1)),INT(INDEX(貼り付け!$A$1:$BZ$3001,1847,$B$1)),DATE(VALUE(LEFT(I1848,FIND("-",I1848)-1)),VALUE(LEFT(J1848,FIND("-",J1848)-1)),VALUE(MID(J1848,FIND("-",J1848)+1,99)))))),"")</f>
        <v/>
      </c>
      <c r="C1848">
        <f>IF($C$1=0,0,IFERROR(VALUE(SUBSTITUTE(SUBSTITUTE(SUBSTITUTE(INDEX(貼り付け!$A$1:$BZ$3001,1847,$C$1)&amp;"",",",""),"¥",""),"￥","")),0))</f>
        <v/>
      </c>
      <c r="D1848">
        <f>IF($D$1=0,0,IFERROR(VALUE(SUBSTITUTE(SUBSTITUTE(SUBSTITUTE(INDEX(貼り付け!$A$1:$BZ$3001,1847,$D$1)&amp;"",",",""),"¥",""),"￥","")),0))</f>
        <v/>
      </c>
      <c r="E1848">
        <f>IF($E$1=0,0,IFERROR(VALUE(SUBSTITUTE(SUBSTITUTE(SUBSTITUTE(INDEX(貼り付け!$A$1:$BZ$3001,1847,$E$1)&amp;"",",",""),"¥",""),"￥","")),0))</f>
        <v/>
      </c>
      <c r="F1848">
        <f>IF($F$1=0,0,IFERROR(VALUE(SUBSTITUTE(SUBSTITUTE(SUBSTITUTE(INDEX(貼り付け!$A$1:$BZ$3001,1847,$F$1)&amp;"",",",""),"¥",""),"￥","")),0))</f>
        <v/>
      </c>
      <c r="G1848">
        <f>IF(ISNUMBER(B1848),YEAR(B1848),"")</f>
        <v/>
      </c>
      <c r="H1848">
        <f>IF(ISNUMBER(B1848),MONTH(B1848),"")</f>
        <v/>
      </c>
      <c r="I1848">
        <f>IFERROR(IF($B$1=0,"",IF(ISNUMBER(INDEX(貼り付け!$A$1:$BZ$3001,1847,$B$1)),"",SUBSTITUTE(SUBSTITUTE(SUBSTITUTE(SUBSTITUTE(TRIM(LEFT(INDEX(貼り付け!$A$1:$BZ$3001,1847,$B$1)&amp;"",FIND(" ",TRIM(INDEX(貼り付け!$A$1:$BZ$3001,1847,$B$1)&amp;"")&amp;" ")-1)),"/","-"),"年","-"),"月","-"),"日",""))),"")</f>
        <v/>
      </c>
      <c r="J1848">
        <f>IFERROR(MID(I1848,FIND("-",I1848)+1,99),"")</f>
        <v/>
      </c>
    </row>
    <row r="1849">
      <c r="B1849">
        <f>IFERROR(IF($B$1=0,"",IF(INDEX(貼り付け!$A$1:$BZ$3001,1848,$B$1)="","",IF(ISNUMBER(INDEX(貼り付け!$A$1:$BZ$3001,1848,$B$1)),INT(INDEX(貼り付け!$A$1:$BZ$3001,1848,$B$1)),DATE(VALUE(LEFT(I1849,FIND("-",I1849)-1)),VALUE(LEFT(J1849,FIND("-",J1849)-1)),VALUE(MID(J1849,FIND("-",J1849)+1,99)))))),"")</f>
        <v/>
      </c>
      <c r="C1849">
        <f>IF($C$1=0,0,IFERROR(VALUE(SUBSTITUTE(SUBSTITUTE(SUBSTITUTE(INDEX(貼り付け!$A$1:$BZ$3001,1848,$C$1)&amp;"",",",""),"¥",""),"￥","")),0))</f>
        <v/>
      </c>
      <c r="D1849">
        <f>IF($D$1=0,0,IFERROR(VALUE(SUBSTITUTE(SUBSTITUTE(SUBSTITUTE(INDEX(貼り付け!$A$1:$BZ$3001,1848,$D$1)&amp;"",",",""),"¥",""),"￥","")),0))</f>
        <v/>
      </c>
      <c r="E1849">
        <f>IF($E$1=0,0,IFERROR(VALUE(SUBSTITUTE(SUBSTITUTE(SUBSTITUTE(INDEX(貼り付け!$A$1:$BZ$3001,1848,$E$1)&amp;"",",",""),"¥",""),"￥","")),0))</f>
        <v/>
      </c>
      <c r="F1849">
        <f>IF($F$1=0,0,IFERROR(VALUE(SUBSTITUTE(SUBSTITUTE(SUBSTITUTE(INDEX(貼り付け!$A$1:$BZ$3001,1848,$F$1)&amp;"",",",""),"¥",""),"￥","")),0))</f>
        <v/>
      </c>
      <c r="G1849">
        <f>IF(ISNUMBER(B1849),YEAR(B1849),"")</f>
        <v/>
      </c>
      <c r="H1849">
        <f>IF(ISNUMBER(B1849),MONTH(B1849),"")</f>
        <v/>
      </c>
      <c r="I1849">
        <f>IFERROR(IF($B$1=0,"",IF(ISNUMBER(INDEX(貼り付け!$A$1:$BZ$3001,1848,$B$1)),"",SUBSTITUTE(SUBSTITUTE(SUBSTITUTE(SUBSTITUTE(TRIM(LEFT(INDEX(貼り付け!$A$1:$BZ$3001,1848,$B$1)&amp;"",FIND(" ",TRIM(INDEX(貼り付け!$A$1:$BZ$3001,1848,$B$1)&amp;"")&amp;" ")-1)),"/","-"),"年","-"),"月","-"),"日",""))),"")</f>
        <v/>
      </c>
      <c r="J1849">
        <f>IFERROR(MID(I1849,FIND("-",I1849)+1,99),"")</f>
        <v/>
      </c>
    </row>
    <row r="1850">
      <c r="B1850">
        <f>IFERROR(IF($B$1=0,"",IF(INDEX(貼り付け!$A$1:$BZ$3001,1849,$B$1)="","",IF(ISNUMBER(INDEX(貼り付け!$A$1:$BZ$3001,1849,$B$1)),INT(INDEX(貼り付け!$A$1:$BZ$3001,1849,$B$1)),DATE(VALUE(LEFT(I1850,FIND("-",I1850)-1)),VALUE(LEFT(J1850,FIND("-",J1850)-1)),VALUE(MID(J1850,FIND("-",J1850)+1,99)))))),"")</f>
        <v/>
      </c>
      <c r="C1850">
        <f>IF($C$1=0,0,IFERROR(VALUE(SUBSTITUTE(SUBSTITUTE(SUBSTITUTE(INDEX(貼り付け!$A$1:$BZ$3001,1849,$C$1)&amp;"",",",""),"¥",""),"￥","")),0))</f>
        <v/>
      </c>
      <c r="D1850">
        <f>IF($D$1=0,0,IFERROR(VALUE(SUBSTITUTE(SUBSTITUTE(SUBSTITUTE(INDEX(貼り付け!$A$1:$BZ$3001,1849,$D$1)&amp;"",",",""),"¥",""),"￥","")),0))</f>
        <v/>
      </c>
      <c r="E1850">
        <f>IF($E$1=0,0,IFERROR(VALUE(SUBSTITUTE(SUBSTITUTE(SUBSTITUTE(INDEX(貼り付け!$A$1:$BZ$3001,1849,$E$1)&amp;"",",",""),"¥",""),"￥","")),0))</f>
        <v/>
      </c>
      <c r="F1850">
        <f>IF($F$1=0,0,IFERROR(VALUE(SUBSTITUTE(SUBSTITUTE(SUBSTITUTE(INDEX(貼り付け!$A$1:$BZ$3001,1849,$F$1)&amp;"",",",""),"¥",""),"￥","")),0))</f>
        <v/>
      </c>
      <c r="G1850">
        <f>IF(ISNUMBER(B1850),YEAR(B1850),"")</f>
        <v/>
      </c>
      <c r="H1850">
        <f>IF(ISNUMBER(B1850),MONTH(B1850),"")</f>
        <v/>
      </c>
      <c r="I1850">
        <f>IFERROR(IF($B$1=0,"",IF(ISNUMBER(INDEX(貼り付け!$A$1:$BZ$3001,1849,$B$1)),"",SUBSTITUTE(SUBSTITUTE(SUBSTITUTE(SUBSTITUTE(TRIM(LEFT(INDEX(貼り付け!$A$1:$BZ$3001,1849,$B$1)&amp;"",FIND(" ",TRIM(INDEX(貼り付け!$A$1:$BZ$3001,1849,$B$1)&amp;"")&amp;" ")-1)),"/","-"),"年","-"),"月","-"),"日",""))),"")</f>
        <v/>
      </c>
      <c r="J1850">
        <f>IFERROR(MID(I1850,FIND("-",I1850)+1,99),"")</f>
        <v/>
      </c>
    </row>
    <row r="1851">
      <c r="B1851">
        <f>IFERROR(IF($B$1=0,"",IF(INDEX(貼り付け!$A$1:$BZ$3001,1850,$B$1)="","",IF(ISNUMBER(INDEX(貼り付け!$A$1:$BZ$3001,1850,$B$1)),INT(INDEX(貼り付け!$A$1:$BZ$3001,1850,$B$1)),DATE(VALUE(LEFT(I1851,FIND("-",I1851)-1)),VALUE(LEFT(J1851,FIND("-",J1851)-1)),VALUE(MID(J1851,FIND("-",J1851)+1,99)))))),"")</f>
        <v/>
      </c>
      <c r="C1851">
        <f>IF($C$1=0,0,IFERROR(VALUE(SUBSTITUTE(SUBSTITUTE(SUBSTITUTE(INDEX(貼り付け!$A$1:$BZ$3001,1850,$C$1)&amp;"",",",""),"¥",""),"￥","")),0))</f>
        <v/>
      </c>
      <c r="D1851">
        <f>IF($D$1=0,0,IFERROR(VALUE(SUBSTITUTE(SUBSTITUTE(SUBSTITUTE(INDEX(貼り付け!$A$1:$BZ$3001,1850,$D$1)&amp;"",",",""),"¥",""),"￥","")),0))</f>
        <v/>
      </c>
      <c r="E1851">
        <f>IF($E$1=0,0,IFERROR(VALUE(SUBSTITUTE(SUBSTITUTE(SUBSTITUTE(INDEX(貼り付け!$A$1:$BZ$3001,1850,$E$1)&amp;"",",",""),"¥",""),"￥","")),0))</f>
        <v/>
      </c>
      <c r="F1851">
        <f>IF($F$1=0,0,IFERROR(VALUE(SUBSTITUTE(SUBSTITUTE(SUBSTITUTE(INDEX(貼り付け!$A$1:$BZ$3001,1850,$F$1)&amp;"",",",""),"¥",""),"￥","")),0))</f>
        <v/>
      </c>
      <c r="G1851">
        <f>IF(ISNUMBER(B1851),YEAR(B1851),"")</f>
        <v/>
      </c>
      <c r="H1851">
        <f>IF(ISNUMBER(B1851),MONTH(B1851),"")</f>
        <v/>
      </c>
      <c r="I1851">
        <f>IFERROR(IF($B$1=0,"",IF(ISNUMBER(INDEX(貼り付け!$A$1:$BZ$3001,1850,$B$1)),"",SUBSTITUTE(SUBSTITUTE(SUBSTITUTE(SUBSTITUTE(TRIM(LEFT(INDEX(貼り付け!$A$1:$BZ$3001,1850,$B$1)&amp;"",FIND(" ",TRIM(INDEX(貼り付け!$A$1:$BZ$3001,1850,$B$1)&amp;"")&amp;" ")-1)),"/","-"),"年","-"),"月","-"),"日",""))),"")</f>
        <v/>
      </c>
      <c r="J1851">
        <f>IFERROR(MID(I1851,FIND("-",I1851)+1,99),"")</f>
        <v/>
      </c>
    </row>
    <row r="1852">
      <c r="B1852">
        <f>IFERROR(IF($B$1=0,"",IF(INDEX(貼り付け!$A$1:$BZ$3001,1851,$B$1)="","",IF(ISNUMBER(INDEX(貼り付け!$A$1:$BZ$3001,1851,$B$1)),INT(INDEX(貼り付け!$A$1:$BZ$3001,1851,$B$1)),DATE(VALUE(LEFT(I1852,FIND("-",I1852)-1)),VALUE(LEFT(J1852,FIND("-",J1852)-1)),VALUE(MID(J1852,FIND("-",J1852)+1,99)))))),"")</f>
        <v/>
      </c>
      <c r="C1852">
        <f>IF($C$1=0,0,IFERROR(VALUE(SUBSTITUTE(SUBSTITUTE(SUBSTITUTE(INDEX(貼り付け!$A$1:$BZ$3001,1851,$C$1)&amp;"",",",""),"¥",""),"￥","")),0))</f>
        <v/>
      </c>
      <c r="D1852">
        <f>IF($D$1=0,0,IFERROR(VALUE(SUBSTITUTE(SUBSTITUTE(SUBSTITUTE(INDEX(貼り付け!$A$1:$BZ$3001,1851,$D$1)&amp;"",",",""),"¥",""),"￥","")),0))</f>
        <v/>
      </c>
      <c r="E1852">
        <f>IF($E$1=0,0,IFERROR(VALUE(SUBSTITUTE(SUBSTITUTE(SUBSTITUTE(INDEX(貼り付け!$A$1:$BZ$3001,1851,$E$1)&amp;"",",",""),"¥",""),"￥","")),0))</f>
        <v/>
      </c>
      <c r="F1852">
        <f>IF($F$1=0,0,IFERROR(VALUE(SUBSTITUTE(SUBSTITUTE(SUBSTITUTE(INDEX(貼り付け!$A$1:$BZ$3001,1851,$F$1)&amp;"",",",""),"¥",""),"￥","")),0))</f>
        <v/>
      </c>
      <c r="G1852">
        <f>IF(ISNUMBER(B1852),YEAR(B1852),"")</f>
        <v/>
      </c>
      <c r="H1852">
        <f>IF(ISNUMBER(B1852),MONTH(B1852),"")</f>
        <v/>
      </c>
      <c r="I1852">
        <f>IFERROR(IF($B$1=0,"",IF(ISNUMBER(INDEX(貼り付け!$A$1:$BZ$3001,1851,$B$1)),"",SUBSTITUTE(SUBSTITUTE(SUBSTITUTE(SUBSTITUTE(TRIM(LEFT(INDEX(貼り付け!$A$1:$BZ$3001,1851,$B$1)&amp;"",FIND(" ",TRIM(INDEX(貼り付け!$A$1:$BZ$3001,1851,$B$1)&amp;"")&amp;" ")-1)),"/","-"),"年","-"),"月","-"),"日",""))),"")</f>
        <v/>
      </c>
      <c r="J1852">
        <f>IFERROR(MID(I1852,FIND("-",I1852)+1,99),"")</f>
        <v/>
      </c>
    </row>
    <row r="1853">
      <c r="B1853">
        <f>IFERROR(IF($B$1=0,"",IF(INDEX(貼り付け!$A$1:$BZ$3001,1852,$B$1)="","",IF(ISNUMBER(INDEX(貼り付け!$A$1:$BZ$3001,1852,$B$1)),INT(INDEX(貼り付け!$A$1:$BZ$3001,1852,$B$1)),DATE(VALUE(LEFT(I1853,FIND("-",I1853)-1)),VALUE(LEFT(J1853,FIND("-",J1853)-1)),VALUE(MID(J1853,FIND("-",J1853)+1,99)))))),"")</f>
        <v/>
      </c>
      <c r="C1853">
        <f>IF($C$1=0,0,IFERROR(VALUE(SUBSTITUTE(SUBSTITUTE(SUBSTITUTE(INDEX(貼り付け!$A$1:$BZ$3001,1852,$C$1)&amp;"",",",""),"¥",""),"￥","")),0))</f>
        <v/>
      </c>
      <c r="D1853">
        <f>IF($D$1=0,0,IFERROR(VALUE(SUBSTITUTE(SUBSTITUTE(SUBSTITUTE(INDEX(貼り付け!$A$1:$BZ$3001,1852,$D$1)&amp;"",",",""),"¥",""),"￥","")),0))</f>
        <v/>
      </c>
      <c r="E1853">
        <f>IF($E$1=0,0,IFERROR(VALUE(SUBSTITUTE(SUBSTITUTE(SUBSTITUTE(INDEX(貼り付け!$A$1:$BZ$3001,1852,$E$1)&amp;"",",",""),"¥",""),"￥","")),0))</f>
        <v/>
      </c>
      <c r="F1853">
        <f>IF($F$1=0,0,IFERROR(VALUE(SUBSTITUTE(SUBSTITUTE(SUBSTITUTE(INDEX(貼り付け!$A$1:$BZ$3001,1852,$F$1)&amp;"",",",""),"¥",""),"￥","")),0))</f>
        <v/>
      </c>
      <c r="G1853">
        <f>IF(ISNUMBER(B1853),YEAR(B1853),"")</f>
        <v/>
      </c>
      <c r="H1853">
        <f>IF(ISNUMBER(B1853),MONTH(B1853),"")</f>
        <v/>
      </c>
      <c r="I1853">
        <f>IFERROR(IF($B$1=0,"",IF(ISNUMBER(INDEX(貼り付け!$A$1:$BZ$3001,1852,$B$1)),"",SUBSTITUTE(SUBSTITUTE(SUBSTITUTE(SUBSTITUTE(TRIM(LEFT(INDEX(貼り付け!$A$1:$BZ$3001,1852,$B$1)&amp;"",FIND(" ",TRIM(INDEX(貼り付け!$A$1:$BZ$3001,1852,$B$1)&amp;"")&amp;" ")-1)),"/","-"),"年","-"),"月","-"),"日",""))),"")</f>
        <v/>
      </c>
      <c r="J1853">
        <f>IFERROR(MID(I1853,FIND("-",I1853)+1,99),"")</f>
        <v/>
      </c>
    </row>
    <row r="1854">
      <c r="B1854">
        <f>IFERROR(IF($B$1=0,"",IF(INDEX(貼り付け!$A$1:$BZ$3001,1853,$B$1)="","",IF(ISNUMBER(INDEX(貼り付け!$A$1:$BZ$3001,1853,$B$1)),INT(INDEX(貼り付け!$A$1:$BZ$3001,1853,$B$1)),DATE(VALUE(LEFT(I1854,FIND("-",I1854)-1)),VALUE(LEFT(J1854,FIND("-",J1854)-1)),VALUE(MID(J1854,FIND("-",J1854)+1,99)))))),"")</f>
        <v/>
      </c>
      <c r="C1854">
        <f>IF($C$1=0,0,IFERROR(VALUE(SUBSTITUTE(SUBSTITUTE(SUBSTITUTE(INDEX(貼り付け!$A$1:$BZ$3001,1853,$C$1)&amp;"",",",""),"¥",""),"￥","")),0))</f>
        <v/>
      </c>
      <c r="D1854">
        <f>IF($D$1=0,0,IFERROR(VALUE(SUBSTITUTE(SUBSTITUTE(SUBSTITUTE(INDEX(貼り付け!$A$1:$BZ$3001,1853,$D$1)&amp;"",",",""),"¥",""),"￥","")),0))</f>
        <v/>
      </c>
      <c r="E1854">
        <f>IF($E$1=0,0,IFERROR(VALUE(SUBSTITUTE(SUBSTITUTE(SUBSTITUTE(INDEX(貼り付け!$A$1:$BZ$3001,1853,$E$1)&amp;"",",",""),"¥",""),"￥","")),0))</f>
        <v/>
      </c>
      <c r="F1854">
        <f>IF($F$1=0,0,IFERROR(VALUE(SUBSTITUTE(SUBSTITUTE(SUBSTITUTE(INDEX(貼り付け!$A$1:$BZ$3001,1853,$F$1)&amp;"",",",""),"¥",""),"￥","")),0))</f>
        <v/>
      </c>
      <c r="G1854">
        <f>IF(ISNUMBER(B1854),YEAR(B1854),"")</f>
        <v/>
      </c>
      <c r="H1854">
        <f>IF(ISNUMBER(B1854),MONTH(B1854),"")</f>
        <v/>
      </c>
      <c r="I1854">
        <f>IFERROR(IF($B$1=0,"",IF(ISNUMBER(INDEX(貼り付け!$A$1:$BZ$3001,1853,$B$1)),"",SUBSTITUTE(SUBSTITUTE(SUBSTITUTE(SUBSTITUTE(TRIM(LEFT(INDEX(貼り付け!$A$1:$BZ$3001,1853,$B$1)&amp;"",FIND(" ",TRIM(INDEX(貼り付け!$A$1:$BZ$3001,1853,$B$1)&amp;"")&amp;" ")-1)),"/","-"),"年","-"),"月","-"),"日",""))),"")</f>
        <v/>
      </c>
      <c r="J1854">
        <f>IFERROR(MID(I1854,FIND("-",I1854)+1,99),"")</f>
        <v/>
      </c>
    </row>
    <row r="1855">
      <c r="B1855">
        <f>IFERROR(IF($B$1=0,"",IF(INDEX(貼り付け!$A$1:$BZ$3001,1854,$B$1)="","",IF(ISNUMBER(INDEX(貼り付け!$A$1:$BZ$3001,1854,$B$1)),INT(INDEX(貼り付け!$A$1:$BZ$3001,1854,$B$1)),DATE(VALUE(LEFT(I1855,FIND("-",I1855)-1)),VALUE(LEFT(J1855,FIND("-",J1855)-1)),VALUE(MID(J1855,FIND("-",J1855)+1,99)))))),"")</f>
        <v/>
      </c>
      <c r="C1855">
        <f>IF($C$1=0,0,IFERROR(VALUE(SUBSTITUTE(SUBSTITUTE(SUBSTITUTE(INDEX(貼り付け!$A$1:$BZ$3001,1854,$C$1)&amp;"",",",""),"¥",""),"￥","")),0))</f>
        <v/>
      </c>
      <c r="D1855">
        <f>IF($D$1=0,0,IFERROR(VALUE(SUBSTITUTE(SUBSTITUTE(SUBSTITUTE(INDEX(貼り付け!$A$1:$BZ$3001,1854,$D$1)&amp;"",",",""),"¥",""),"￥","")),0))</f>
        <v/>
      </c>
      <c r="E1855">
        <f>IF($E$1=0,0,IFERROR(VALUE(SUBSTITUTE(SUBSTITUTE(SUBSTITUTE(INDEX(貼り付け!$A$1:$BZ$3001,1854,$E$1)&amp;"",",",""),"¥",""),"￥","")),0))</f>
        <v/>
      </c>
      <c r="F1855">
        <f>IF($F$1=0,0,IFERROR(VALUE(SUBSTITUTE(SUBSTITUTE(SUBSTITUTE(INDEX(貼り付け!$A$1:$BZ$3001,1854,$F$1)&amp;"",",",""),"¥",""),"￥","")),0))</f>
        <v/>
      </c>
      <c r="G1855">
        <f>IF(ISNUMBER(B1855),YEAR(B1855),"")</f>
        <v/>
      </c>
      <c r="H1855">
        <f>IF(ISNUMBER(B1855),MONTH(B1855),"")</f>
        <v/>
      </c>
      <c r="I1855">
        <f>IFERROR(IF($B$1=0,"",IF(ISNUMBER(INDEX(貼り付け!$A$1:$BZ$3001,1854,$B$1)),"",SUBSTITUTE(SUBSTITUTE(SUBSTITUTE(SUBSTITUTE(TRIM(LEFT(INDEX(貼り付け!$A$1:$BZ$3001,1854,$B$1)&amp;"",FIND(" ",TRIM(INDEX(貼り付け!$A$1:$BZ$3001,1854,$B$1)&amp;"")&amp;" ")-1)),"/","-"),"年","-"),"月","-"),"日",""))),"")</f>
        <v/>
      </c>
      <c r="J1855">
        <f>IFERROR(MID(I1855,FIND("-",I1855)+1,99),"")</f>
        <v/>
      </c>
    </row>
    <row r="1856">
      <c r="B1856">
        <f>IFERROR(IF($B$1=0,"",IF(INDEX(貼り付け!$A$1:$BZ$3001,1855,$B$1)="","",IF(ISNUMBER(INDEX(貼り付け!$A$1:$BZ$3001,1855,$B$1)),INT(INDEX(貼り付け!$A$1:$BZ$3001,1855,$B$1)),DATE(VALUE(LEFT(I1856,FIND("-",I1856)-1)),VALUE(LEFT(J1856,FIND("-",J1856)-1)),VALUE(MID(J1856,FIND("-",J1856)+1,99)))))),"")</f>
        <v/>
      </c>
      <c r="C1856">
        <f>IF($C$1=0,0,IFERROR(VALUE(SUBSTITUTE(SUBSTITUTE(SUBSTITUTE(INDEX(貼り付け!$A$1:$BZ$3001,1855,$C$1)&amp;"",",",""),"¥",""),"￥","")),0))</f>
        <v/>
      </c>
      <c r="D1856">
        <f>IF($D$1=0,0,IFERROR(VALUE(SUBSTITUTE(SUBSTITUTE(SUBSTITUTE(INDEX(貼り付け!$A$1:$BZ$3001,1855,$D$1)&amp;"",",",""),"¥",""),"￥","")),0))</f>
        <v/>
      </c>
      <c r="E1856">
        <f>IF($E$1=0,0,IFERROR(VALUE(SUBSTITUTE(SUBSTITUTE(SUBSTITUTE(INDEX(貼り付け!$A$1:$BZ$3001,1855,$E$1)&amp;"",",",""),"¥",""),"￥","")),0))</f>
        <v/>
      </c>
      <c r="F1856">
        <f>IF($F$1=0,0,IFERROR(VALUE(SUBSTITUTE(SUBSTITUTE(SUBSTITUTE(INDEX(貼り付け!$A$1:$BZ$3001,1855,$F$1)&amp;"",",",""),"¥",""),"￥","")),0))</f>
        <v/>
      </c>
      <c r="G1856">
        <f>IF(ISNUMBER(B1856),YEAR(B1856),"")</f>
        <v/>
      </c>
      <c r="H1856">
        <f>IF(ISNUMBER(B1856),MONTH(B1856),"")</f>
        <v/>
      </c>
      <c r="I1856">
        <f>IFERROR(IF($B$1=0,"",IF(ISNUMBER(INDEX(貼り付け!$A$1:$BZ$3001,1855,$B$1)),"",SUBSTITUTE(SUBSTITUTE(SUBSTITUTE(SUBSTITUTE(TRIM(LEFT(INDEX(貼り付け!$A$1:$BZ$3001,1855,$B$1)&amp;"",FIND(" ",TRIM(INDEX(貼り付け!$A$1:$BZ$3001,1855,$B$1)&amp;"")&amp;" ")-1)),"/","-"),"年","-"),"月","-"),"日",""))),"")</f>
        <v/>
      </c>
      <c r="J1856">
        <f>IFERROR(MID(I1856,FIND("-",I1856)+1,99),"")</f>
        <v/>
      </c>
    </row>
    <row r="1857">
      <c r="B1857">
        <f>IFERROR(IF($B$1=0,"",IF(INDEX(貼り付け!$A$1:$BZ$3001,1856,$B$1)="","",IF(ISNUMBER(INDEX(貼り付け!$A$1:$BZ$3001,1856,$B$1)),INT(INDEX(貼り付け!$A$1:$BZ$3001,1856,$B$1)),DATE(VALUE(LEFT(I1857,FIND("-",I1857)-1)),VALUE(LEFT(J1857,FIND("-",J1857)-1)),VALUE(MID(J1857,FIND("-",J1857)+1,99)))))),"")</f>
        <v/>
      </c>
      <c r="C1857">
        <f>IF($C$1=0,0,IFERROR(VALUE(SUBSTITUTE(SUBSTITUTE(SUBSTITUTE(INDEX(貼り付け!$A$1:$BZ$3001,1856,$C$1)&amp;"",",",""),"¥",""),"￥","")),0))</f>
        <v/>
      </c>
      <c r="D1857">
        <f>IF($D$1=0,0,IFERROR(VALUE(SUBSTITUTE(SUBSTITUTE(SUBSTITUTE(INDEX(貼り付け!$A$1:$BZ$3001,1856,$D$1)&amp;"",",",""),"¥",""),"￥","")),0))</f>
        <v/>
      </c>
      <c r="E1857">
        <f>IF($E$1=0,0,IFERROR(VALUE(SUBSTITUTE(SUBSTITUTE(SUBSTITUTE(INDEX(貼り付け!$A$1:$BZ$3001,1856,$E$1)&amp;"",",",""),"¥",""),"￥","")),0))</f>
        <v/>
      </c>
      <c r="F1857">
        <f>IF($F$1=0,0,IFERROR(VALUE(SUBSTITUTE(SUBSTITUTE(SUBSTITUTE(INDEX(貼り付け!$A$1:$BZ$3001,1856,$F$1)&amp;"",",",""),"¥",""),"￥","")),0))</f>
        <v/>
      </c>
      <c r="G1857">
        <f>IF(ISNUMBER(B1857),YEAR(B1857),"")</f>
        <v/>
      </c>
      <c r="H1857">
        <f>IF(ISNUMBER(B1857),MONTH(B1857),"")</f>
        <v/>
      </c>
      <c r="I1857">
        <f>IFERROR(IF($B$1=0,"",IF(ISNUMBER(INDEX(貼り付け!$A$1:$BZ$3001,1856,$B$1)),"",SUBSTITUTE(SUBSTITUTE(SUBSTITUTE(SUBSTITUTE(TRIM(LEFT(INDEX(貼り付け!$A$1:$BZ$3001,1856,$B$1)&amp;"",FIND(" ",TRIM(INDEX(貼り付け!$A$1:$BZ$3001,1856,$B$1)&amp;"")&amp;" ")-1)),"/","-"),"年","-"),"月","-"),"日",""))),"")</f>
        <v/>
      </c>
      <c r="J1857">
        <f>IFERROR(MID(I1857,FIND("-",I1857)+1,99),"")</f>
        <v/>
      </c>
    </row>
    <row r="1858">
      <c r="B1858">
        <f>IFERROR(IF($B$1=0,"",IF(INDEX(貼り付け!$A$1:$BZ$3001,1857,$B$1)="","",IF(ISNUMBER(INDEX(貼り付け!$A$1:$BZ$3001,1857,$B$1)),INT(INDEX(貼り付け!$A$1:$BZ$3001,1857,$B$1)),DATE(VALUE(LEFT(I1858,FIND("-",I1858)-1)),VALUE(LEFT(J1858,FIND("-",J1858)-1)),VALUE(MID(J1858,FIND("-",J1858)+1,99)))))),"")</f>
        <v/>
      </c>
      <c r="C1858">
        <f>IF($C$1=0,0,IFERROR(VALUE(SUBSTITUTE(SUBSTITUTE(SUBSTITUTE(INDEX(貼り付け!$A$1:$BZ$3001,1857,$C$1)&amp;"",",",""),"¥",""),"￥","")),0))</f>
        <v/>
      </c>
      <c r="D1858">
        <f>IF($D$1=0,0,IFERROR(VALUE(SUBSTITUTE(SUBSTITUTE(SUBSTITUTE(INDEX(貼り付け!$A$1:$BZ$3001,1857,$D$1)&amp;"",",",""),"¥",""),"￥","")),0))</f>
        <v/>
      </c>
      <c r="E1858">
        <f>IF($E$1=0,0,IFERROR(VALUE(SUBSTITUTE(SUBSTITUTE(SUBSTITUTE(INDEX(貼り付け!$A$1:$BZ$3001,1857,$E$1)&amp;"",",",""),"¥",""),"￥","")),0))</f>
        <v/>
      </c>
      <c r="F1858">
        <f>IF($F$1=0,0,IFERROR(VALUE(SUBSTITUTE(SUBSTITUTE(SUBSTITUTE(INDEX(貼り付け!$A$1:$BZ$3001,1857,$F$1)&amp;"",",",""),"¥",""),"￥","")),0))</f>
        <v/>
      </c>
      <c r="G1858">
        <f>IF(ISNUMBER(B1858),YEAR(B1858),"")</f>
        <v/>
      </c>
      <c r="H1858">
        <f>IF(ISNUMBER(B1858),MONTH(B1858),"")</f>
        <v/>
      </c>
      <c r="I1858">
        <f>IFERROR(IF($B$1=0,"",IF(ISNUMBER(INDEX(貼り付け!$A$1:$BZ$3001,1857,$B$1)),"",SUBSTITUTE(SUBSTITUTE(SUBSTITUTE(SUBSTITUTE(TRIM(LEFT(INDEX(貼り付け!$A$1:$BZ$3001,1857,$B$1)&amp;"",FIND(" ",TRIM(INDEX(貼り付け!$A$1:$BZ$3001,1857,$B$1)&amp;"")&amp;" ")-1)),"/","-"),"年","-"),"月","-"),"日",""))),"")</f>
        <v/>
      </c>
      <c r="J1858">
        <f>IFERROR(MID(I1858,FIND("-",I1858)+1,99),"")</f>
        <v/>
      </c>
    </row>
    <row r="1859">
      <c r="B1859">
        <f>IFERROR(IF($B$1=0,"",IF(INDEX(貼り付け!$A$1:$BZ$3001,1858,$B$1)="","",IF(ISNUMBER(INDEX(貼り付け!$A$1:$BZ$3001,1858,$B$1)),INT(INDEX(貼り付け!$A$1:$BZ$3001,1858,$B$1)),DATE(VALUE(LEFT(I1859,FIND("-",I1859)-1)),VALUE(LEFT(J1859,FIND("-",J1859)-1)),VALUE(MID(J1859,FIND("-",J1859)+1,99)))))),"")</f>
        <v/>
      </c>
      <c r="C1859">
        <f>IF($C$1=0,0,IFERROR(VALUE(SUBSTITUTE(SUBSTITUTE(SUBSTITUTE(INDEX(貼り付け!$A$1:$BZ$3001,1858,$C$1)&amp;"",",",""),"¥",""),"￥","")),0))</f>
        <v/>
      </c>
      <c r="D1859">
        <f>IF($D$1=0,0,IFERROR(VALUE(SUBSTITUTE(SUBSTITUTE(SUBSTITUTE(INDEX(貼り付け!$A$1:$BZ$3001,1858,$D$1)&amp;"",",",""),"¥",""),"￥","")),0))</f>
        <v/>
      </c>
      <c r="E1859">
        <f>IF($E$1=0,0,IFERROR(VALUE(SUBSTITUTE(SUBSTITUTE(SUBSTITUTE(INDEX(貼り付け!$A$1:$BZ$3001,1858,$E$1)&amp;"",",",""),"¥",""),"￥","")),0))</f>
        <v/>
      </c>
      <c r="F1859">
        <f>IF($F$1=0,0,IFERROR(VALUE(SUBSTITUTE(SUBSTITUTE(SUBSTITUTE(INDEX(貼り付け!$A$1:$BZ$3001,1858,$F$1)&amp;"",",",""),"¥",""),"￥","")),0))</f>
        <v/>
      </c>
      <c r="G1859">
        <f>IF(ISNUMBER(B1859),YEAR(B1859),"")</f>
        <v/>
      </c>
      <c r="H1859">
        <f>IF(ISNUMBER(B1859),MONTH(B1859),"")</f>
        <v/>
      </c>
      <c r="I1859">
        <f>IFERROR(IF($B$1=0,"",IF(ISNUMBER(INDEX(貼り付け!$A$1:$BZ$3001,1858,$B$1)),"",SUBSTITUTE(SUBSTITUTE(SUBSTITUTE(SUBSTITUTE(TRIM(LEFT(INDEX(貼り付け!$A$1:$BZ$3001,1858,$B$1)&amp;"",FIND(" ",TRIM(INDEX(貼り付け!$A$1:$BZ$3001,1858,$B$1)&amp;"")&amp;" ")-1)),"/","-"),"年","-"),"月","-"),"日",""))),"")</f>
        <v/>
      </c>
      <c r="J1859">
        <f>IFERROR(MID(I1859,FIND("-",I1859)+1,99),"")</f>
        <v/>
      </c>
    </row>
    <row r="1860">
      <c r="B1860">
        <f>IFERROR(IF($B$1=0,"",IF(INDEX(貼り付け!$A$1:$BZ$3001,1859,$B$1)="","",IF(ISNUMBER(INDEX(貼り付け!$A$1:$BZ$3001,1859,$B$1)),INT(INDEX(貼り付け!$A$1:$BZ$3001,1859,$B$1)),DATE(VALUE(LEFT(I1860,FIND("-",I1860)-1)),VALUE(LEFT(J1860,FIND("-",J1860)-1)),VALUE(MID(J1860,FIND("-",J1860)+1,99)))))),"")</f>
        <v/>
      </c>
      <c r="C1860">
        <f>IF($C$1=0,0,IFERROR(VALUE(SUBSTITUTE(SUBSTITUTE(SUBSTITUTE(INDEX(貼り付け!$A$1:$BZ$3001,1859,$C$1)&amp;"",",",""),"¥",""),"￥","")),0))</f>
        <v/>
      </c>
      <c r="D1860">
        <f>IF($D$1=0,0,IFERROR(VALUE(SUBSTITUTE(SUBSTITUTE(SUBSTITUTE(INDEX(貼り付け!$A$1:$BZ$3001,1859,$D$1)&amp;"",",",""),"¥",""),"￥","")),0))</f>
        <v/>
      </c>
      <c r="E1860">
        <f>IF($E$1=0,0,IFERROR(VALUE(SUBSTITUTE(SUBSTITUTE(SUBSTITUTE(INDEX(貼り付け!$A$1:$BZ$3001,1859,$E$1)&amp;"",",",""),"¥",""),"￥","")),0))</f>
        <v/>
      </c>
      <c r="F1860">
        <f>IF($F$1=0,0,IFERROR(VALUE(SUBSTITUTE(SUBSTITUTE(SUBSTITUTE(INDEX(貼り付け!$A$1:$BZ$3001,1859,$F$1)&amp;"",",",""),"¥",""),"￥","")),0))</f>
        <v/>
      </c>
      <c r="G1860">
        <f>IF(ISNUMBER(B1860),YEAR(B1860),"")</f>
        <v/>
      </c>
      <c r="H1860">
        <f>IF(ISNUMBER(B1860),MONTH(B1860),"")</f>
        <v/>
      </c>
      <c r="I1860">
        <f>IFERROR(IF($B$1=0,"",IF(ISNUMBER(INDEX(貼り付け!$A$1:$BZ$3001,1859,$B$1)),"",SUBSTITUTE(SUBSTITUTE(SUBSTITUTE(SUBSTITUTE(TRIM(LEFT(INDEX(貼り付け!$A$1:$BZ$3001,1859,$B$1)&amp;"",FIND(" ",TRIM(INDEX(貼り付け!$A$1:$BZ$3001,1859,$B$1)&amp;"")&amp;" ")-1)),"/","-"),"年","-"),"月","-"),"日",""))),"")</f>
        <v/>
      </c>
      <c r="J1860">
        <f>IFERROR(MID(I1860,FIND("-",I1860)+1,99),"")</f>
        <v/>
      </c>
    </row>
    <row r="1861">
      <c r="B1861">
        <f>IFERROR(IF($B$1=0,"",IF(INDEX(貼り付け!$A$1:$BZ$3001,1860,$B$1)="","",IF(ISNUMBER(INDEX(貼り付け!$A$1:$BZ$3001,1860,$B$1)),INT(INDEX(貼り付け!$A$1:$BZ$3001,1860,$B$1)),DATE(VALUE(LEFT(I1861,FIND("-",I1861)-1)),VALUE(LEFT(J1861,FIND("-",J1861)-1)),VALUE(MID(J1861,FIND("-",J1861)+1,99)))))),"")</f>
        <v/>
      </c>
      <c r="C1861">
        <f>IF($C$1=0,0,IFERROR(VALUE(SUBSTITUTE(SUBSTITUTE(SUBSTITUTE(INDEX(貼り付け!$A$1:$BZ$3001,1860,$C$1)&amp;"",",",""),"¥",""),"￥","")),0))</f>
        <v/>
      </c>
      <c r="D1861">
        <f>IF($D$1=0,0,IFERROR(VALUE(SUBSTITUTE(SUBSTITUTE(SUBSTITUTE(INDEX(貼り付け!$A$1:$BZ$3001,1860,$D$1)&amp;"",",",""),"¥",""),"￥","")),0))</f>
        <v/>
      </c>
      <c r="E1861">
        <f>IF($E$1=0,0,IFERROR(VALUE(SUBSTITUTE(SUBSTITUTE(SUBSTITUTE(INDEX(貼り付け!$A$1:$BZ$3001,1860,$E$1)&amp;"",",",""),"¥",""),"￥","")),0))</f>
        <v/>
      </c>
      <c r="F1861">
        <f>IF($F$1=0,0,IFERROR(VALUE(SUBSTITUTE(SUBSTITUTE(SUBSTITUTE(INDEX(貼り付け!$A$1:$BZ$3001,1860,$F$1)&amp;"",",",""),"¥",""),"￥","")),0))</f>
        <v/>
      </c>
      <c r="G1861">
        <f>IF(ISNUMBER(B1861),YEAR(B1861),"")</f>
        <v/>
      </c>
      <c r="H1861">
        <f>IF(ISNUMBER(B1861),MONTH(B1861),"")</f>
        <v/>
      </c>
      <c r="I1861">
        <f>IFERROR(IF($B$1=0,"",IF(ISNUMBER(INDEX(貼り付け!$A$1:$BZ$3001,1860,$B$1)),"",SUBSTITUTE(SUBSTITUTE(SUBSTITUTE(SUBSTITUTE(TRIM(LEFT(INDEX(貼り付け!$A$1:$BZ$3001,1860,$B$1)&amp;"",FIND(" ",TRIM(INDEX(貼り付け!$A$1:$BZ$3001,1860,$B$1)&amp;"")&amp;" ")-1)),"/","-"),"年","-"),"月","-"),"日",""))),"")</f>
        <v/>
      </c>
      <c r="J1861">
        <f>IFERROR(MID(I1861,FIND("-",I1861)+1,99),"")</f>
        <v/>
      </c>
    </row>
    <row r="1862">
      <c r="B1862">
        <f>IFERROR(IF($B$1=0,"",IF(INDEX(貼り付け!$A$1:$BZ$3001,1861,$B$1)="","",IF(ISNUMBER(INDEX(貼り付け!$A$1:$BZ$3001,1861,$B$1)),INT(INDEX(貼り付け!$A$1:$BZ$3001,1861,$B$1)),DATE(VALUE(LEFT(I1862,FIND("-",I1862)-1)),VALUE(LEFT(J1862,FIND("-",J1862)-1)),VALUE(MID(J1862,FIND("-",J1862)+1,99)))))),"")</f>
        <v/>
      </c>
      <c r="C1862">
        <f>IF($C$1=0,0,IFERROR(VALUE(SUBSTITUTE(SUBSTITUTE(SUBSTITUTE(INDEX(貼り付け!$A$1:$BZ$3001,1861,$C$1)&amp;"",",",""),"¥",""),"￥","")),0))</f>
        <v/>
      </c>
      <c r="D1862">
        <f>IF($D$1=0,0,IFERROR(VALUE(SUBSTITUTE(SUBSTITUTE(SUBSTITUTE(INDEX(貼り付け!$A$1:$BZ$3001,1861,$D$1)&amp;"",",",""),"¥",""),"￥","")),0))</f>
        <v/>
      </c>
      <c r="E1862">
        <f>IF($E$1=0,0,IFERROR(VALUE(SUBSTITUTE(SUBSTITUTE(SUBSTITUTE(INDEX(貼り付け!$A$1:$BZ$3001,1861,$E$1)&amp;"",",",""),"¥",""),"￥","")),0))</f>
        <v/>
      </c>
      <c r="F1862">
        <f>IF($F$1=0,0,IFERROR(VALUE(SUBSTITUTE(SUBSTITUTE(SUBSTITUTE(INDEX(貼り付け!$A$1:$BZ$3001,1861,$F$1)&amp;"",",",""),"¥",""),"￥","")),0))</f>
        <v/>
      </c>
      <c r="G1862">
        <f>IF(ISNUMBER(B1862),YEAR(B1862),"")</f>
        <v/>
      </c>
      <c r="H1862">
        <f>IF(ISNUMBER(B1862),MONTH(B1862),"")</f>
        <v/>
      </c>
      <c r="I1862">
        <f>IFERROR(IF($B$1=0,"",IF(ISNUMBER(INDEX(貼り付け!$A$1:$BZ$3001,1861,$B$1)),"",SUBSTITUTE(SUBSTITUTE(SUBSTITUTE(SUBSTITUTE(TRIM(LEFT(INDEX(貼り付け!$A$1:$BZ$3001,1861,$B$1)&amp;"",FIND(" ",TRIM(INDEX(貼り付け!$A$1:$BZ$3001,1861,$B$1)&amp;"")&amp;" ")-1)),"/","-"),"年","-"),"月","-"),"日",""))),"")</f>
        <v/>
      </c>
      <c r="J1862">
        <f>IFERROR(MID(I1862,FIND("-",I1862)+1,99),"")</f>
        <v/>
      </c>
    </row>
    <row r="1863">
      <c r="B1863">
        <f>IFERROR(IF($B$1=0,"",IF(INDEX(貼り付け!$A$1:$BZ$3001,1862,$B$1)="","",IF(ISNUMBER(INDEX(貼り付け!$A$1:$BZ$3001,1862,$B$1)),INT(INDEX(貼り付け!$A$1:$BZ$3001,1862,$B$1)),DATE(VALUE(LEFT(I1863,FIND("-",I1863)-1)),VALUE(LEFT(J1863,FIND("-",J1863)-1)),VALUE(MID(J1863,FIND("-",J1863)+1,99)))))),"")</f>
        <v/>
      </c>
      <c r="C1863">
        <f>IF($C$1=0,0,IFERROR(VALUE(SUBSTITUTE(SUBSTITUTE(SUBSTITUTE(INDEX(貼り付け!$A$1:$BZ$3001,1862,$C$1)&amp;"",",",""),"¥",""),"￥","")),0))</f>
        <v/>
      </c>
      <c r="D1863">
        <f>IF($D$1=0,0,IFERROR(VALUE(SUBSTITUTE(SUBSTITUTE(SUBSTITUTE(INDEX(貼り付け!$A$1:$BZ$3001,1862,$D$1)&amp;"",",",""),"¥",""),"￥","")),0))</f>
        <v/>
      </c>
      <c r="E1863">
        <f>IF($E$1=0,0,IFERROR(VALUE(SUBSTITUTE(SUBSTITUTE(SUBSTITUTE(INDEX(貼り付け!$A$1:$BZ$3001,1862,$E$1)&amp;"",",",""),"¥",""),"￥","")),0))</f>
        <v/>
      </c>
      <c r="F1863">
        <f>IF($F$1=0,0,IFERROR(VALUE(SUBSTITUTE(SUBSTITUTE(SUBSTITUTE(INDEX(貼り付け!$A$1:$BZ$3001,1862,$F$1)&amp;"",",",""),"¥",""),"￥","")),0))</f>
        <v/>
      </c>
      <c r="G1863">
        <f>IF(ISNUMBER(B1863),YEAR(B1863),"")</f>
        <v/>
      </c>
      <c r="H1863">
        <f>IF(ISNUMBER(B1863),MONTH(B1863),"")</f>
        <v/>
      </c>
      <c r="I1863">
        <f>IFERROR(IF($B$1=0,"",IF(ISNUMBER(INDEX(貼り付け!$A$1:$BZ$3001,1862,$B$1)),"",SUBSTITUTE(SUBSTITUTE(SUBSTITUTE(SUBSTITUTE(TRIM(LEFT(INDEX(貼り付け!$A$1:$BZ$3001,1862,$B$1)&amp;"",FIND(" ",TRIM(INDEX(貼り付け!$A$1:$BZ$3001,1862,$B$1)&amp;"")&amp;" ")-1)),"/","-"),"年","-"),"月","-"),"日",""))),"")</f>
        <v/>
      </c>
      <c r="J1863">
        <f>IFERROR(MID(I1863,FIND("-",I1863)+1,99),"")</f>
        <v/>
      </c>
    </row>
    <row r="1864">
      <c r="B1864">
        <f>IFERROR(IF($B$1=0,"",IF(INDEX(貼り付け!$A$1:$BZ$3001,1863,$B$1)="","",IF(ISNUMBER(INDEX(貼り付け!$A$1:$BZ$3001,1863,$B$1)),INT(INDEX(貼り付け!$A$1:$BZ$3001,1863,$B$1)),DATE(VALUE(LEFT(I1864,FIND("-",I1864)-1)),VALUE(LEFT(J1864,FIND("-",J1864)-1)),VALUE(MID(J1864,FIND("-",J1864)+1,99)))))),"")</f>
        <v/>
      </c>
      <c r="C1864">
        <f>IF($C$1=0,0,IFERROR(VALUE(SUBSTITUTE(SUBSTITUTE(SUBSTITUTE(INDEX(貼り付け!$A$1:$BZ$3001,1863,$C$1)&amp;"",",",""),"¥",""),"￥","")),0))</f>
        <v/>
      </c>
      <c r="D1864">
        <f>IF($D$1=0,0,IFERROR(VALUE(SUBSTITUTE(SUBSTITUTE(SUBSTITUTE(INDEX(貼り付け!$A$1:$BZ$3001,1863,$D$1)&amp;"",",",""),"¥",""),"￥","")),0))</f>
        <v/>
      </c>
      <c r="E1864">
        <f>IF($E$1=0,0,IFERROR(VALUE(SUBSTITUTE(SUBSTITUTE(SUBSTITUTE(INDEX(貼り付け!$A$1:$BZ$3001,1863,$E$1)&amp;"",",",""),"¥",""),"￥","")),0))</f>
        <v/>
      </c>
      <c r="F1864">
        <f>IF($F$1=0,0,IFERROR(VALUE(SUBSTITUTE(SUBSTITUTE(SUBSTITUTE(INDEX(貼り付け!$A$1:$BZ$3001,1863,$F$1)&amp;"",",",""),"¥",""),"￥","")),0))</f>
        <v/>
      </c>
      <c r="G1864">
        <f>IF(ISNUMBER(B1864),YEAR(B1864),"")</f>
        <v/>
      </c>
      <c r="H1864">
        <f>IF(ISNUMBER(B1864),MONTH(B1864),"")</f>
        <v/>
      </c>
      <c r="I1864">
        <f>IFERROR(IF($B$1=0,"",IF(ISNUMBER(INDEX(貼り付け!$A$1:$BZ$3001,1863,$B$1)),"",SUBSTITUTE(SUBSTITUTE(SUBSTITUTE(SUBSTITUTE(TRIM(LEFT(INDEX(貼り付け!$A$1:$BZ$3001,1863,$B$1)&amp;"",FIND(" ",TRIM(INDEX(貼り付け!$A$1:$BZ$3001,1863,$B$1)&amp;"")&amp;" ")-1)),"/","-"),"年","-"),"月","-"),"日",""))),"")</f>
        <v/>
      </c>
      <c r="J1864">
        <f>IFERROR(MID(I1864,FIND("-",I1864)+1,99),"")</f>
        <v/>
      </c>
    </row>
    <row r="1865">
      <c r="B1865">
        <f>IFERROR(IF($B$1=0,"",IF(INDEX(貼り付け!$A$1:$BZ$3001,1864,$B$1)="","",IF(ISNUMBER(INDEX(貼り付け!$A$1:$BZ$3001,1864,$B$1)),INT(INDEX(貼り付け!$A$1:$BZ$3001,1864,$B$1)),DATE(VALUE(LEFT(I1865,FIND("-",I1865)-1)),VALUE(LEFT(J1865,FIND("-",J1865)-1)),VALUE(MID(J1865,FIND("-",J1865)+1,99)))))),"")</f>
        <v/>
      </c>
      <c r="C1865">
        <f>IF($C$1=0,0,IFERROR(VALUE(SUBSTITUTE(SUBSTITUTE(SUBSTITUTE(INDEX(貼り付け!$A$1:$BZ$3001,1864,$C$1)&amp;"",",",""),"¥",""),"￥","")),0))</f>
        <v/>
      </c>
      <c r="D1865">
        <f>IF($D$1=0,0,IFERROR(VALUE(SUBSTITUTE(SUBSTITUTE(SUBSTITUTE(INDEX(貼り付け!$A$1:$BZ$3001,1864,$D$1)&amp;"",",",""),"¥",""),"￥","")),0))</f>
        <v/>
      </c>
      <c r="E1865">
        <f>IF($E$1=0,0,IFERROR(VALUE(SUBSTITUTE(SUBSTITUTE(SUBSTITUTE(INDEX(貼り付け!$A$1:$BZ$3001,1864,$E$1)&amp;"",",",""),"¥",""),"￥","")),0))</f>
        <v/>
      </c>
      <c r="F1865">
        <f>IF($F$1=0,0,IFERROR(VALUE(SUBSTITUTE(SUBSTITUTE(SUBSTITUTE(INDEX(貼り付け!$A$1:$BZ$3001,1864,$F$1)&amp;"",",",""),"¥",""),"￥","")),0))</f>
        <v/>
      </c>
      <c r="G1865">
        <f>IF(ISNUMBER(B1865),YEAR(B1865),"")</f>
        <v/>
      </c>
      <c r="H1865">
        <f>IF(ISNUMBER(B1865),MONTH(B1865),"")</f>
        <v/>
      </c>
      <c r="I1865">
        <f>IFERROR(IF($B$1=0,"",IF(ISNUMBER(INDEX(貼り付け!$A$1:$BZ$3001,1864,$B$1)),"",SUBSTITUTE(SUBSTITUTE(SUBSTITUTE(SUBSTITUTE(TRIM(LEFT(INDEX(貼り付け!$A$1:$BZ$3001,1864,$B$1)&amp;"",FIND(" ",TRIM(INDEX(貼り付け!$A$1:$BZ$3001,1864,$B$1)&amp;"")&amp;" ")-1)),"/","-"),"年","-"),"月","-"),"日",""))),"")</f>
        <v/>
      </c>
      <c r="J1865">
        <f>IFERROR(MID(I1865,FIND("-",I1865)+1,99),"")</f>
        <v/>
      </c>
    </row>
    <row r="1866">
      <c r="B1866">
        <f>IFERROR(IF($B$1=0,"",IF(INDEX(貼り付け!$A$1:$BZ$3001,1865,$B$1)="","",IF(ISNUMBER(INDEX(貼り付け!$A$1:$BZ$3001,1865,$B$1)),INT(INDEX(貼り付け!$A$1:$BZ$3001,1865,$B$1)),DATE(VALUE(LEFT(I1866,FIND("-",I1866)-1)),VALUE(LEFT(J1866,FIND("-",J1866)-1)),VALUE(MID(J1866,FIND("-",J1866)+1,99)))))),"")</f>
        <v/>
      </c>
      <c r="C1866">
        <f>IF($C$1=0,0,IFERROR(VALUE(SUBSTITUTE(SUBSTITUTE(SUBSTITUTE(INDEX(貼り付け!$A$1:$BZ$3001,1865,$C$1)&amp;"",",",""),"¥",""),"￥","")),0))</f>
        <v/>
      </c>
      <c r="D1866">
        <f>IF($D$1=0,0,IFERROR(VALUE(SUBSTITUTE(SUBSTITUTE(SUBSTITUTE(INDEX(貼り付け!$A$1:$BZ$3001,1865,$D$1)&amp;"",",",""),"¥",""),"￥","")),0))</f>
        <v/>
      </c>
      <c r="E1866">
        <f>IF($E$1=0,0,IFERROR(VALUE(SUBSTITUTE(SUBSTITUTE(SUBSTITUTE(INDEX(貼り付け!$A$1:$BZ$3001,1865,$E$1)&amp;"",",",""),"¥",""),"￥","")),0))</f>
        <v/>
      </c>
      <c r="F1866">
        <f>IF($F$1=0,0,IFERROR(VALUE(SUBSTITUTE(SUBSTITUTE(SUBSTITUTE(INDEX(貼り付け!$A$1:$BZ$3001,1865,$F$1)&amp;"",",",""),"¥",""),"￥","")),0))</f>
        <v/>
      </c>
      <c r="G1866">
        <f>IF(ISNUMBER(B1866),YEAR(B1866),"")</f>
        <v/>
      </c>
      <c r="H1866">
        <f>IF(ISNUMBER(B1866),MONTH(B1866),"")</f>
        <v/>
      </c>
      <c r="I1866">
        <f>IFERROR(IF($B$1=0,"",IF(ISNUMBER(INDEX(貼り付け!$A$1:$BZ$3001,1865,$B$1)),"",SUBSTITUTE(SUBSTITUTE(SUBSTITUTE(SUBSTITUTE(TRIM(LEFT(INDEX(貼り付け!$A$1:$BZ$3001,1865,$B$1)&amp;"",FIND(" ",TRIM(INDEX(貼り付け!$A$1:$BZ$3001,1865,$B$1)&amp;"")&amp;" ")-1)),"/","-"),"年","-"),"月","-"),"日",""))),"")</f>
        <v/>
      </c>
      <c r="J1866">
        <f>IFERROR(MID(I1866,FIND("-",I1866)+1,99),"")</f>
        <v/>
      </c>
    </row>
    <row r="1867">
      <c r="B1867">
        <f>IFERROR(IF($B$1=0,"",IF(INDEX(貼り付け!$A$1:$BZ$3001,1866,$B$1)="","",IF(ISNUMBER(INDEX(貼り付け!$A$1:$BZ$3001,1866,$B$1)),INT(INDEX(貼り付け!$A$1:$BZ$3001,1866,$B$1)),DATE(VALUE(LEFT(I1867,FIND("-",I1867)-1)),VALUE(LEFT(J1867,FIND("-",J1867)-1)),VALUE(MID(J1867,FIND("-",J1867)+1,99)))))),"")</f>
        <v/>
      </c>
      <c r="C1867">
        <f>IF($C$1=0,0,IFERROR(VALUE(SUBSTITUTE(SUBSTITUTE(SUBSTITUTE(INDEX(貼り付け!$A$1:$BZ$3001,1866,$C$1)&amp;"",",",""),"¥",""),"￥","")),0))</f>
        <v/>
      </c>
      <c r="D1867">
        <f>IF($D$1=0,0,IFERROR(VALUE(SUBSTITUTE(SUBSTITUTE(SUBSTITUTE(INDEX(貼り付け!$A$1:$BZ$3001,1866,$D$1)&amp;"",",",""),"¥",""),"￥","")),0))</f>
        <v/>
      </c>
      <c r="E1867">
        <f>IF($E$1=0,0,IFERROR(VALUE(SUBSTITUTE(SUBSTITUTE(SUBSTITUTE(INDEX(貼り付け!$A$1:$BZ$3001,1866,$E$1)&amp;"",",",""),"¥",""),"￥","")),0))</f>
        <v/>
      </c>
      <c r="F1867">
        <f>IF($F$1=0,0,IFERROR(VALUE(SUBSTITUTE(SUBSTITUTE(SUBSTITUTE(INDEX(貼り付け!$A$1:$BZ$3001,1866,$F$1)&amp;"",",",""),"¥",""),"￥","")),0))</f>
        <v/>
      </c>
      <c r="G1867">
        <f>IF(ISNUMBER(B1867),YEAR(B1867),"")</f>
        <v/>
      </c>
      <c r="H1867">
        <f>IF(ISNUMBER(B1867),MONTH(B1867),"")</f>
        <v/>
      </c>
      <c r="I1867">
        <f>IFERROR(IF($B$1=0,"",IF(ISNUMBER(INDEX(貼り付け!$A$1:$BZ$3001,1866,$B$1)),"",SUBSTITUTE(SUBSTITUTE(SUBSTITUTE(SUBSTITUTE(TRIM(LEFT(INDEX(貼り付け!$A$1:$BZ$3001,1866,$B$1)&amp;"",FIND(" ",TRIM(INDEX(貼り付け!$A$1:$BZ$3001,1866,$B$1)&amp;"")&amp;" ")-1)),"/","-"),"年","-"),"月","-"),"日",""))),"")</f>
        <v/>
      </c>
      <c r="J1867">
        <f>IFERROR(MID(I1867,FIND("-",I1867)+1,99),"")</f>
        <v/>
      </c>
    </row>
    <row r="1868">
      <c r="B1868">
        <f>IFERROR(IF($B$1=0,"",IF(INDEX(貼り付け!$A$1:$BZ$3001,1867,$B$1)="","",IF(ISNUMBER(INDEX(貼り付け!$A$1:$BZ$3001,1867,$B$1)),INT(INDEX(貼り付け!$A$1:$BZ$3001,1867,$B$1)),DATE(VALUE(LEFT(I1868,FIND("-",I1868)-1)),VALUE(LEFT(J1868,FIND("-",J1868)-1)),VALUE(MID(J1868,FIND("-",J1868)+1,99)))))),"")</f>
        <v/>
      </c>
      <c r="C1868">
        <f>IF($C$1=0,0,IFERROR(VALUE(SUBSTITUTE(SUBSTITUTE(SUBSTITUTE(INDEX(貼り付け!$A$1:$BZ$3001,1867,$C$1)&amp;"",",",""),"¥",""),"￥","")),0))</f>
        <v/>
      </c>
      <c r="D1868">
        <f>IF($D$1=0,0,IFERROR(VALUE(SUBSTITUTE(SUBSTITUTE(SUBSTITUTE(INDEX(貼り付け!$A$1:$BZ$3001,1867,$D$1)&amp;"",",",""),"¥",""),"￥","")),0))</f>
        <v/>
      </c>
      <c r="E1868">
        <f>IF($E$1=0,0,IFERROR(VALUE(SUBSTITUTE(SUBSTITUTE(SUBSTITUTE(INDEX(貼り付け!$A$1:$BZ$3001,1867,$E$1)&amp;"",",",""),"¥",""),"￥","")),0))</f>
        <v/>
      </c>
      <c r="F1868">
        <f>IF($F$1=0,0,IFERROR(VALUE(SUBSTITUTE(SUBSTITUTE(SUBSTITUTE(INDEX(貼り付け!$A$1:$BZ$3001,1867,$F$1)&amp;"",",",""),"¥",""),"￥","")),0))</f>
        <v/>
      </c>
      <c r="G1868">
        <f>IF(ISNUMBER(B1868),YEAR(B1868),"")</f>
        <v/>
      </c>
      <c r="H1868">
        <f>IF(ISNUMBER(B1868),MONTH(B1868),"")</f>
        <v/>
      </c>
      <c r="I1868">
        <f>IFERROR(IF($B$1=0,"",IF(ISNUMBER(INDEX(貼り付け!$A$1:$BZ$3001,1867,$B$1)),"",SUBSTITUTE(SUBSTITUTE(SUBSTITUTE(SUBSTITUTE(TRIM(LEFT(INDEX(貼り付け!$A$1:$BZ$3001,1867,$B$1)&amp;"",FIND(" ",TRIM(INDEX(貼り付け!$A$1:$BZ$3001,1867,$B$1)&amp;"")&amp;" ")-1)),"/","-"),"年","-"),"月","-"),"日",""))),"")</f>
        <v/>
      </c>
      <c r="J1868">
        <f>IFERROR(MID(I1868,FIND("-",I1868)+1,99),"")</f>
        <v/>
      </c>
    </row>
    <row r="1869">
      <c r="B1869">
        <f>IFERROR(IF($B$1=0,"",IF(INDEX(貼り付け!$A$1:$BZ$3001,1868,$B$1)="","",IF(ISNUMBER(INDEX(貼り付け!$A$1:$BZ$3001,1868,$B$1)),INT(INDEX(貼り付け!$A$1:$BZ$3001,1868,$B$1)),DATE(VALUE(LEFT(I1869,FIND("-",I1869)-1)),VALUE(LEFT(J1869,FIND("-",J1869)-1)),VALUE(MID(J1869,FIND("-",J1869)+1,99)))))),"")</f>
        <v/>
      </c>
      <c r="C1869">
        <f>IF($C$1=0,0,IFERROR(VALUE(SUBSTITUTE(SUBSTITUTE(SUBSTITUTE(INDEX(貼り付け!$A$1:$BZ$3001,1868,$C$1)&amp;"",",",""),"¥",""),"￥","")),0))</f>
        <v/>
      </c>
      <c r="D1869">
        <f>IF($D$1=0,0,IFERROR(VALUE(SUBSTITUTE(SUBSTITUTE(SUBSTITUTE(INDEX(貼り付け!$A$1:$BZ$3001,1868,$D$1)&amp;"",",",""),"¥",""),"￥","")),0))</f>
        <v/>
      </c>
      <c r="E1869">
        <f>IF($E$1=0,0,IFERROR(VALUE(SUBSTITUTE(SUBSTITUTE(SUBSTITUTE(INDEX(貼り付け!$A$1:$BZ$3001,1868,$E$1)&amp;"",",",""),"¥",""),"￥","")),0))</f>
        <v/>
      </c>
      <c r="F1869">
        <f>IF($F$1=0,0,IFERROR(VALUE(SUBSTITUTE(SUBSTITUTE(SUBSTITUTE(INDEX(貼り付け!$A$1:$BZ$3001,1868,$F$1)&amp;"",",",""),"¥",""),"￥","")),0))</f>
        <v/>
      </c>
      <c r="G1869">
        <f>IF(ISNUMBER(B1869),YEAR(B1869),"")</f>
        <v/>
      </c>
      <c r="H1869">
        <f>IF(ISNUMBER(B1869),MONTH(B1869),"")</f>
        <v/>
      </c>
      <c r="I1869">
        <f>IFERROR(IF($B$1=0,"",IF(ISNUMBER(INDEX(貼り付け!$A$1:$BZ$3001,1868,$B$1)),"",SUBSTITUTE(SUBSTITUTE(SUBSTITUTE(SUBSTITUTE(TRIM(LEFT(INDEX(貼り付け!$A$1:$BZ$3001,1868,$B$1)&amp;"",FIND(" ",TRIM(INDEX(貼り付け!$A$1:$BZ$3001,1868,$B$1)&amp;"")&amp;" ")-1)),"/","-"),"年","-"),"月","-"),"日",""))),"")</f>
        <v/>
      </c>
      <c r="J1869">
        <f>IFERROR(MID(I1869,FIND("-",I1869)+1,99),"")</f>
        <v/>
      </c>
    </row>
    <row r="1870">
      <c r="B1870">
        <f>IFERROR(IF($B$1=0,"",IF(INDEX(貼り付け!$A$1:$BZ$3001,1869,$B$1)="","",IF(ISNUMBER(INDEX(貼り付け!$A$1:$BZ$3001,1869,$B$1)),INT(INDEX(貼り付け!$A$1:$BZ$3001,1869,$B$1)),DATE(VALUE(LEFT(I1870,FIND("-",I1870)-1)),VALUE(LEFT(J1870,FIND("-",J1870)-1)),VALUE(MID(J1870,FIND("-",J1870)+1,99)))))),"")</f>
        <v/>
      </c>
      <c r="C1870">
        <f>IF($C$1=0,0,IFERROR(VALUE(SUBSTITUTE(SUBSTITUTE(SUBSTITUTE(INDEX(貼り付け!$A$1:$BZ$3001,1869,$C$1)&amp;"",",",""),"¥",""),"￥","")),0))</f>
        <v/>
      </c>
      <c r="D1870">
        <f>IF($D$1=0,0,IFERROR(VALUE(SUBSTITUTE(SUBSTITUTE(SUBSTITUTE(INDEX(貼り付け!$A$1:$BZ$3001,1869,$D$1)&amp;"",",",""),"¥",""),"￥","")),0))</f>
        <v/>
      </c>
      <c r="E1870">
        <f>IF($E$1=0,0,IFERROR(VALUE(SUBSTITUTE(SUBSTITUTE(SUBSTITUTE(INDEX(貼り付け!$A$1:$BZ$3001,1869,$E$1)&amp;"",",",""),"¥",""),"￥","")),0))</f>
        <v/>
      </c>
      <c r="F1870">
        <f>IF($F$1=0,0,IFERROR(VALUE(SUBSTITUTE(SUBSTITUTE(SUBSTITUTE(INDEX(貼り付け!$A$1:$BZ$3001,1869,$F$1)&amp;"",",",""),"¥",""),"￥","")),0))</f>
        <v/>
      </c>
      <c r="G1870">
        <f>IF(ISNUMBER(B1870),YEAR(B1870),"")</f>
        <v/>
      </c>
      <c r="H1870">
        <f>IF(ISNUMBER(B1870),MONTH(B1870),"")</f>
        <v/>
      </c>
      <c r="I1870">
        <f>IFERROR(IF($B$1=0,"",IF(ISNUMBER(INDEX(貼り付け!$A$1:$BZ$3001,1869,$B$1)),"",SUBSTITUTE(SUBSTITUTE(SUBSTITUTE(SUBSTITUTE(TRIM(LEFT(INDEX(貼り付け!$A$1:$BZ$3001,1869,$B$1)&amp;"",FIND(" ",TRIM(INDEX(貼り付け!$A$1:$BZ$3001,1869,$B$1)&amp;"")&amp;" ")-1)),"/","-"),"年","-"),"月","-"),"日",""))),"")</f>
        <v/>
      </c>
      <c r="J1870">
        <f>IFERROR(MID(I1870,FIND("-",I1870)+1,99),"")</f>
        <v/>
      </c>
    </row>
    <row r="1871">
      <c r="B1871">
        <f>IFERROR(IF($B$1=0,"",IF(INDEX(貼り付け!$A$1:$BZ$3001,1870,$B$1)="","",IF(ISNUMBER(INDEX(貼り付け!$A$1:$BZ$3001,1870,$B$1)),INT(INDEX(貼り付け!$A$1:$BZ$3001,1870,$B$1)),DATE(VALUE(LEFT(I1871,FIND("-",I1871)-1)),VALUE(LEFT(J1871,FIND("-",J1871)-1)),VALUE(MID(J1871,FIND("-",J1871)+1,99)))))),"")</f>
        <v/>
      </c>
      <c r="C1871">
        <f>IF($C$1=0,0,IFERROR(VALUE(SUBSTITUTE(SUBSTITUTE(SUBSTITUTE(INDEX(貼り付け!$A$1:$BZ$3001,1870,$C$1)&amp;"",",",""),"¥",""),"￥","")),0))</f>
        <v/>
      </c>
      <c r="D1871">
        <f>IF($D$1=0,0,IFERROR(VALUE(SUBSTITUTE(SUBSTITUTE(SUBSTITUTE(INDEX(貼り付け!$A$1:$BZ$3001,1870,$D$1)&amp;"",",",""),"¥",""),"￥","")),0))</f>
        <v/>
      </c>
      <c r="E1871">
        <f>IF($E$1=0,0,IFERROR(VALUE(SUBSTITUTE(SUBSTITUTE(SUBSTITUTE(INDEX(貼り付け!$A$1:$BZ$3001,1870,$E$1)&amp;"",",",""),"¥",""),"￥","")),0))</f>
        <v/>
      </c>
      <c r="F1871">
        <f>IF($F$1=0,0,IFERROR(VALUE(SUBSTITUTE(SUBSTITUTE(SUBSTITUTE(INDEX(貼り付け!$A$1:$BZ$3001,1870,$F$1)&amp;"",",",""),"¥",""),"￥","")),0))</f>
        <v/>
      </c>
      <c r="G1871">
        <f>IF(ISNUMBER(B1871),YEAR(B1871),"")</f>
        <v/>
      </c>
      <c r="H1871">
        <f>IF(ISNUMBER(B1871),MONTH(B1871),"")</f>
        <v/>
      </c>
      <c r="I1871">
        <f>IFERROR(IF($B$1=0,"",IF(ISNUMBER(INDEX(貼り付け!$A$1:$BZ$3001,1870,$B$1)),"",SUBSTITUTE(SUBSTITUTE(SUBSTITUTE(SUBSTITUTE(TRIM(LEFT(INDEX(貼り付け!$A$1:$BZ$3001,1870,$B$1)&amp;"",FIND(" ",TRIM(INDEX(貼り付け!$A$1:$BZ$3001,1870,$B$1)&amp;"")&amp;" ")-1)),"/","-"),"年","-"),"月","-"),"日",""))),"")</f>
        <v/>
      </c>
      <c r="J1871">
        <f>IFERROR(MID(I1871,FIND("-",I1871)+1,99),"")</f>
        <v/>
      </c>
    </row>
    <row r="1872">
      <c r="B1872">
        <f>IFERROR(IF($B$1=0,"",IF(INDEX(貼り付け!$A$1:$BZ$3001,1871,$B$1)="","",IF(ISNUMBER(INDEX(貼り付け!$A$1:$BZ$3001,1871,$B$1)),INT(INDEX(貼り付け!$A$1:$BZ$3001,1871,$B$1)),DATE(VALUE(LEFT(I1872,FIND("-",I1872)-1)),VALUE(LEFT(J1872,FIND("-",J1872)-1)),VALUE(MID(J1872,FIND("-",J1872)+1,99)))))),"")</f>
        <v/>
      </c>
      <c r="C1872">
        <f>IF($C$1=0,0,IFERROR(VALUE(SUBSTITUTE(SUBSTITUTE(SUBSTITUTE(INDEX(貼り付け!$A$1:$BZ$3001,1871,$C$1)&amp;"",",",""),"¥",""),"￥","")),0))</f>
        <v/>
      </c>
      <c r="D1872">
        <f>IF($D$1=0,0,IFERROR(VALUE(SUBSTITUTE(SUBSTITUTE(SUBSTITUTE(INDEX(貼り付け!$A$1:$BZ$3001,1871,$D$1)&amp;"",",",""),"¥",""),"￥","")),0))</f>
        <v/>
      </c>
      <c r="E1872">
        <f>IF($E$1=0,0,IFERROR(VALUE(SUBSTITUTE(SUBSTITUTE(SUBSTITUTE(INDEX(貼り付け!$A$1:$BZ$3001,1871,$E$1)&amp;"",",",""),"¥",""),"￥","")),0))</f>
        <v/>
      </c>
      <c r="F1872">
        <f>IF($F$1=0,0,IFERROR(VALUE(SUBSTITUTE(SUBSTITUTE(SUBSTITUTE(INDEX(貼り付け!$A$1:$BZ$3001,1871,$F$1)&amp;"",",",""),"¥",""),"￥","")),0))</f>
        <v/>
      </c>
      <c r="G1872">
        <f>IF(ISNUMBER(B1872),YEAR(B1872),"")</f>
        <v/>
      </c>
      <c r="H1872">
        <f>IF(ISNUMBER(B1872),MONTH(B1872),"")</f>
        <v/>
      </c>
      <c r="I1872">
        <f>IFERROR(IF($B$1=0,"",IF(ISNUMBER(INDEX(貼り付け!$A$1:$BZ$3001,1871,$B$1)),"",SUBSTITUTE(SUBSTITUTE(SUBSTITUTE(SUBSTITUTE(TRIM(LEFT(INDEX(貼り付け!$A$1:$BZ$3001,1871,$B$1)&amp;"",FIND(" ",TRIM(INDEX(貼り付け!$A$1:$BZ$3001,1871,$B$1)&amp;"")&amp;" ")-1)),"/","-"),"年","-"),"月","-"),"日",""))),"")</f>
        <v/>
      </c>
      <c r="J1872">
        <f>IFERROR(MID(I1872,FIND("-",I1872)+1,99),"")</f>
        <v/>
      </c>
    </row>
    <row r="1873">
      <c r="B1873">
        <f>IFERROR(IF($B$1=0,"",IF(INDEX(貼り付け!$A$1:$BZ$3001,1872,$B$1)="","",IF(ISNUMBER(INDEX(貼り付け!$A$1:$BZ$3001,1872,$B$1)),INT(INDEX(貼り付け!$A$1:$BZ$3001,1872,$B$1)),DATE(VALUE(LEFT(I1873,FIND("-",I1873)-1)),VALUE(LEFT(J1873,FIND("-",J1873)-1)),VALUE(MID(J1873,FIND("-",J1873)+1,99)))))),"")</f>
        <v/>
      </c>
      <c r="C1873">
        <f>IF($C$1=0,0,IFERROR(VALUE(SUBSTITUTE(SUBSTITUTE(SUBSTITUTE(INDEX(貼り付け!$A$1:$BZ$3001,1872,$C$1)&amp;"",",",""),"¥",""),"￥","")),0))</f>
        <v/>
      </c>
      <c r="D1873">
        <f>IF($D$1=0,0,IFERROR(VALUE(SUBSTITUTE(SUBSTITUTE(SUBSTITUTE(INDEX(貼り付け!$A$1:$BZ$3001,1872,$D$1)&amp;"",",",""),"¥",""),"￥","")),0))</f>
        <v/>
      </c>
      <c r="E1873">
        <f>IF($E$1=0,0,IFERROR(VALUE(SUBSTITUTE(SUBSTITUTE(SUBSTITUTE(INDEX(貼り付け!$A$1:$BZ$3001,1872,$E$1)&amp;"",",",""),"¥",""),"￥","")),0))</f>
        <v/>
      </c>
      <c r="F1873">
        <f>IF($F$1=0,0,IFERROR(VALUE(SUBSTITUTE(SUBSTITUTE(SUBSTITUTE(INDEX(貼り付け!$A$1:$BZ$3001,1872,$F$1)&amp;"",",",""),"¥",""),"￥","")),0))</f>
        <v/>
      </c>
      <c r="G1873">
        <f>IF(ISNUMBER(B1873),YEAR(B1873),"")</f>
        <v/>
      </c>
      <c r="H1873">
        <f>IF(ISNUMBER(B1873),MONTH(B1873),"")</f>
        <v/>
      </c>
      <c r="I1873">
        <f>IFERROR(IF($B$1=0,"",IF(ISNUMBER(INDEX(貼り付け!$A$1:$BZ$3001,1872,$B$1)),"",SUBSTITUTE(SUBSTITUTE(SUBSTITUTE(SUBSTITUTE(TRIM(LEFT(INDEX(貼り付け!$A$1:$BZ$3001,1872,$B$1)&amp;"",FIND(" ",TRIM(INDEX(貼り付け!$A$1:$BZ$3001,1872,$B$1)&amp;"")&amp;" ")-1)),"/","-"),"年","-"),"月","-"),"日",""))),"")</f>
        <v/>
      </c>
      <c r="J1873">
        <f>IFERROR(MID(I1873,FIND("-",I1873)+1,99),"")</f>
        <v/>
      </c>
    </row>
    <row r="1874">
      <c r="B1874">
        <f>IFERROR(IF($B$1=0,"",IF(INDEX(貼り付け!$A$1:$BZ$3001,1873,$B$1)="","",IF(ISNUMBER(INDEX(貼り付け!$A$1:$BZ$3001,1873,$B$1)),INT(INDEX(貼り付け!$A$1:$BZ$3001,1873,$B$1)),DATE(VALUE(LEFT(I1874,FIND("-",I1874)-1)),VALUE(LEFT(J1874,FIND("-",J1874)-1)),VALUE(MID(J1874,FIND("-",J1874)+1,99)))))),"")</f>
        <v/>
      </c>
      <c r="C1874">
        <f>IF($C$1=0,0,IFERROR(VALUE(SUBSTITUTE(SUBSTITUTE(SUBSTITUTE(INDEX(貼り付け!$A$1:$BZ$3001,1873,$C$1)&amp;"",",",""),"¥",""),"￥","")),0))</f>
        <v/>
      </c>
      <c r="D1874">
        <f>IF($D$1=0,0,IFERROR(VALUE(SUBSTITUTE(SUBSTITUTE(SUBSTITUTE(INDEX(貼り付け!$A$1:$BZ$3001,1873,$D$1)&amp;"",",",""),"¥",""),"￥","")),0))</f>
        <v/>
      </c>
      <c r="E1874">
        <f>IF($E$1=0,0,IFERROR(VALUE(SUBSTITUTE(SUBSTITUTE(SUBSTITUTE(INDEX(貼り付け!$A$1:$BZ$3001,1873,$E$1)&amp;"",",",""),"¥",""),"￥","")),0))</f>
        <v/>
      </c>
      <c r="F1874">
        <f>IF($F$1=0,0,IFERROR(VALUE(SUBSTITUTE(SUBSTITUTE(SUBSTITUTE(INDEX(貼り付け!$A$1:$BZ$3001,1873,$F$1)&amp;"",",",""),"¥",""),"￥","")),0))</f>
        <v/>
      </c>
      <c r="G1874">
        <f>IF(ISNUMBER(B1874),YEAR(B1874),"")</f>
        <v/>
      </c>
      <c r="H1874">
        <f>IF(ISNUMBER(B1874),MONTH(B1874),"")</f>
        <v/>
      </c>
      <c r="I1874">
        <f>IFERROR(IF($B$1=0,"",IF(ISNUMBER(INDEX(貼り付け!$A$1:$BZ$3001,1873,$B$1)),"",SUBSTITUTE(SUBSTITUTE(SUBSTITUTE(SUBSTITUTE(TRIM(LEFT(INDEX(貼り付け!$A$1:$BZ$3001,1873,$B$1)&amp;"",FIND(" ",TRIM(INDEX(貼り付け!$A$1:$BZ$3001,1873,$B$1)&amp;"")&amp;" ")-1)),"/","-"),"年","-"),"月","-"),"日",""))),"")</f>
        <v/>
      </c>
      <c r="J1874">
        <f>IFERROR(MID(I1874,FIND("-",I1874)+1,99),"")</f>
        <v/>
      </c>
    </row>
    <row r="1875">
      <c r="B1875">
        <f>IFERROR(IF($B$1=0,"",IF(INDEX(貼り付け!$A$1:$BZ$3001,1874,$B$1)="","",IF(ISNUMBER(INDEX(貼り付け!$A$1:$BZ$3001,1874,$B$1)),INT(INDEX(貼り付け!$A$1:$BZ$3001,1874,$B$1)),DATE(VALUE(LEFT(I1875,FIND("-",I1875)-1)),VALUE(LEFT(J1875,FIND("-",J1875)-1)),VALUE(MID(J1875,FIND("-",J1875)+1,99)))))),"")</f>
        <v/>
      </c>
      <c r="C1875">
        <f>IF($C$1=0,0,IFERROR(VALUE(SUBSTITUTE(SUBSTITUTE(SUBSTITUTE(INDEX(貼り付け!$A$1:$BZ$3001,1874,$C$1)&amp;"",",",""),"¥",""),"￥","")),0))</f>
        <v/>
      </c>
      <c r="D1875">
        <f>IF($D$1=0,0,IFERROR(VALUE(SUBSTITUTE(SUBSTITUTE(SUBSTITUTE(INDEX(貼り付け!$A$1:$BZ$3001,1874,$D$1)&amp;"",",",""),"¥",""),"￥","")),0))</f>
        <v/>
      </c>
      <c r="E1875">
        <f>IF($E$1=0,0,IFERROR(VALUE(SUBSTITUTE(SUBSTITUTE(SUBSTITUTE(INDEX(貼り付け!$A$1:$BZ$3001,1874,$E$1)&amp;"",",",""),"¥",""),"￥","")),0))</f>
        <v/>
      </c>
      <c r="F1875">
        <f>IF($F$1=0,0,IFERROR(VALUE(SUBSTITUTE(SUBSTITUTE(SUBSTITUTE(INDEX(貼り付け!$A$1:$BZ$3001,1874,$F$1)&amp;"",",",""),"¥",""),"￥","")),0))</f>
        <v/>
      </c>
      <c r="G1875">
        <f>IF(ISNUMBER(B1875),YEAR(B1875),"")</f>
        <v/>
      </c>
      <c r="H1875">
        <f>IF(ISNUMBER(B1875),MONTH(B1875),"")</f>
        <v/>
      </c>
      <c r="I1875">
        <f>IFERROR(IF($B$1=0,"",IF(ISNUMBER(INDEX(貼り付け!$A$1:$BZ$3001,1874,$B$1)),"",SUBSTITUTE(SUBSTITUTE(SUBSTITUTE(SUBSTITUTE(TRIM(LEFT(INDEX(貼り付け!$A$1:$BZ$3001,1874,$B$1)&amp;"",FIND(" ",TRIM(INDEX(貼り付け!$A$1:$BZ$3001,1874,$B$1)&amp;"")&amp;" ")-1)),"/","-"),"年","-"),"月","-"),"日",""))),"")</f>
        <v/>
      </c>
      <c r="J1875">
        <f>IFERROR(MID(I1875,FIND("-",I1875)+1,99),"")</f>
        <v/>
      </c>
    </row>
    <row r="1876">
      <c r="B1876">
        <f>IFERROR(IF($B$1=0,"",IF(INDEX(貼り付け!$A$1:$BZ$3001,1875,$B$1)="","",IF(ISNUMBER(INDEX(貼り付け!$A$1:$BZ$3001,1875,$B$1)),INT(INDEX(貼り付け!$A$1:$BZ$3001,1875,$B$1)),DATE(VALUE(LEFT(I1876,FIND("-",I1876)-1)),VALUE(LEFT(J1876,FIND("-",J1876)-1)),VALUE(MID(J1876,FIND("-",J1876)+1,99)))))),"")</f>
        <v/>
      </c>
      <c r="C1876">
        <f>IF($C$1=0,0,IFERROR(VALUE(SUBSTITUTE(SUBSTITUTE(SUBSTITUTE(INDEX(貼り付け!$A$1:$BZ$3001,1875,$C$1)&amp;"",",",""),"¥",""),"￥","")),0))</f>
        <v/>
      </c>
      <c r="D1876">
        <f>IF($D$1=0,0,IFERROR(VALUE(SUBSTITUTE(SUBSTITUTE(SUBSTITUTE(INDEX(貼り付け!$A$1:$BZ$3001,1875,$D$1)&amp;"",",",""),"¥",""),"￥","")),0))</f>
        <v/>
      </c>
      <c r="E1876">
        <f>IF($E$1=0,0,IFERROR(VALUE(SUBSTITUTE(SUBSTITUTE(SUBSTITUTE(INDEX(貼り付け!$A$1:$BZ$3001,1875,$E$1)&amp;"",",",""),"¥",""),"￥","")),0))</f>
        <v/>
      </c>
      <c r="F1876">
        <f>IF($F$1=0,0,IFERROR(VALUE(SUBSTITUTE(SUBSTITUTE(SUBSTITUTE(INDEX(貼り付け!$A$1:$BZ$3001,1875,$F$1)&amp;"",",",""),"¥",""),"￥","")),0))</f>
        <v/>
      </c>
      <c r="G1876">
        <f>IF(ISNUMBER(B1876),YEAR(B1876),"")</f>
        <v/>
      </c>
      <c r="H1876">
        <f>IF(ISNUMBER(B1876),MONTH(B1876),"")</f>
        <v/>
      </c>
      <c r="I1876">
        <f>IFERROR(IF($B$1=0,"",IF(ISNUMBER(INDEX(貼り付け!$A$1:$BZ$3001,1875,$B$1)),"",SUBSTITUTE(SUBSTITUTE(SUBSTITUTE(SUBSTITUTE(TRIM(LEFT(INDEX(貼り付け!$A$1:$BZ$3001,1875,$B$1)&amp;"",FIND(" ",TRIM(INDEX(貼り付け!$A$1:$BZ$3001,1875,$B$1)&amp;"")&amp;" ")-1)),"/","-"),"年","-"),"月","-"),"日",""))),"")</f>
        <v/>
      </c>
      <c r="J1876">
        <f>IFERROR(MID(I1876,FIND("-",I1876)+1,99),"")</f>
        <v/>
      </c>
    </row>
    <row r="1877">
      <c r="B1877">
        <f>IFERROR(IF($B$1=0,"",IF(INDEX(貼り付け!$A$1:$BZ$3001,1876,$B$1)="","",IF(ISNUMBER(INDEX(貼り付け!$A$1:$BZ$3001,1876,$B$1)),INT(INDEX(貼り付け!$A$1:$BZ$3001,1876,$B$1)),DATE(VALUE(LEFT(I1877,FIND("-",I1877)-1)),VALUE(LEFT(J1877,FIND("-",J1877)-1)),VALUE(MID(J1877,FIND("-",J1877)+1,99)))))),"")</f>
        <v/>
      </c>
      <c r="C1877">
        <f>IF($C$1=0,0,IFERROR(VALUE(SUBSTITUTE(SUBSTITUTE(SUBSTITUTE(INDEX(貼り付け!$A$1:$BZ$3001,1876,$C$1)&amp;"",",",""),"¥",""),"￥","")),0))</f>
        <v/>
      </c>
      <c r="D1877">
        <f>IF($D$1=0,0,IFERROR(VALUE(SUBSTITUTE(SUBSTITUTE(SUBSTITUTE(INDEX(貼り付け!$A$1:$BZ$3001,1876,$D$1)&amp;"",",",""),"¥",""),"￥","")),0))</f>
        <v/>
      </c>
      <c r="E1877">
        <f>IF($E$1=0,0,IFERROR(VALUE(SUBSTITUTE(SUBSTITUTE(SUBSTITUTE(INDEX(貼り付け!$A$1:$BZ$3001,1876,$E$1)&amp;"",",",""),"¥",""),"￥","")),0))</f>
        <v/>
      </c>
      <c r="F1877">
        <f>IF($F$1=0,0,IFERROR(VALUE(SUBSTITUTE(SUBSTITUTE(SUBSTITUTE(INDEX(貼り付け!$A$1:$BZ$3001,1876,$F$1)&amp;"",",",""),"¥",""),"￥","")),0))</f>
        <v/>
      </c>
      <c r="G1877">
        <f>IF(ISNUMBER(B1877),YEAR(B1877),"")</f>
        <v/>
      </c>
      <c r="H1877">
        <f>IF(ISNUMBER(B1877),MONTH(B1877),"")</f>
        <v/>
      </c>
      <c r="I1877">
        <f>IFERROR(IF($B$1=0,"",IF(ISNUMBER(INDEX(貼り付け!$A$1:$BZ$3001,1876,$B$1)),"",SUBSTITUTE(SUBSTITUTE(SUBSTITUTE(SUBSTITUTE(TRIM(LEFT(INDEX(貼り付け!$A$1:$BZ$3001,1876,$B$1)&amp;"",FIND(" ",TRIM(INDEX(貼り付け!$A$1:$BZ$3001,1876,$B$1)&amp;"")&amp;" ")-1)),"/","-"),"年","-"),"月","-"),"日",""))),"")</f>
        <v/>
      </c>
      <c r="J1877">
        <f>IFERROR(MID(I1877,FIND("-",I1877)+1,99),"")</f>
        <v/>
      </c>
    </row>
    <row r="1878">
      <c r="B1878">
        <f>IFERROR(IF($B$1=0,"",IF(INDEX(貼り付け!$A$1:$BZ$3001,1877,$B$1)="","",IF(ISNUMBER(INDEX(貼り付け!$A$1:$BZ$3001,1877,$B$1)),INT(INDEX(貼り付け!$A$1:$BZ$3001,1877,$B$1)),DATE(VALUE(LEFT(I1878,FIND("-",I1878)-1)),VALUE(LEFT(J1878,FIND("-",J1878)-1)),VALUE(MID(J1878,FIND("-",J1878)+1,99)))))),"")</f>
        <v/>
      </c>
      <c r="C1878">
        <f>IF($C$1=0,0,IFERROR(VALUE(SUBSTITUTE(SUBSTITUTE(SUBSTITUTE(INDEX(貼り付け!$A$1:$BZ$3001,1877,$C$1)&amp;"",",",""),"¥",""),"￥","")),0))</f>
        <v/>
      </c>
      <c r="D1878">
        <f>IF($D$1=0,0,IFERROR(VALUE(SUBSTITUTE(SUBSTITUTE(SUBSTITUTE(INDEX(貼り付け!$A$1:$BZ$3001,1877,$D$1)&amp;"",",",""),"¥",""),"￥","")),0))</f>
        <v/>
      </c>
      <c r="E1878">
        <f>IF($E$1=0,0,IFERROR(VALUE(SUBSTITUTE(SUBSTITUTE(SUBSTITUTE(INDEX(貼り付け!$A$1:$BZ$3001,1877,$E$1)&amp;"",",",""),"¥",""),"￥","")),0))</f>
        <v/>
      </c>
      <c r="F1878">
        <f>IF($F$1=0,0,IFERROR(VALUE(SUBSTITUTE(SUBSTITUTE(SUBSTITUTE(INDEX(貼り付け!$A$1:$BZ$3001,1877,$F$1)&amp;"",",",""),"¥",""),"￥","")),0))</f>
        <v/>
      </c>
      <c r="G1878">
        <f>IF(ISNUMBER(B1878),YEAR(B1878),"")</f>
        <v/>
      </c>
      <c r="H1878">
        <f>IF(ISNUMBER(B1878),MONTH(B1878),"")</f>
        <v/>
      </c>
      <c r="I1878">
        <f>IFERROR(IF($B$1=0,"",IF(ISNUMBER(INDEX(貼り付け!$A$1:$BZ$3001,1877,$B$1)),"",SUBSTITUTE(SUBSTITUTE(SUBSTITUTE(SUBSTITUTE(TRIM(LEFT(INDEX(貼り付け!$A$1:$BZ$3001,1877,$B$1)&amp;"",FIND(" ",TRIM(INDEX(貼り付け!$A$1:$BZ$3001,1877,$B$1)&amp;"")&amp;" ")-1)),"/","-"),"年","-"),"月","-"),"日",""))),"")</f>
        <v/>
      </c>
      <c r="J1878">
        <f>IFERROR(MID(I1878,FIND("-",I1878)+1,99),"")</f>
        <v/>
      </c>
    </row>
    <row r="1879">
      <c r="B1879">
        <f>IFERROR(IF($B$1=0,"",IF(INDEX(貼り付け!$A$1:$BZ$3001,1878,$B$1)="","",IF(ISNUMBER(INDEX(貼り付け!$A$1:$BZ$3001,1878,$B$1)),INT(INDEX(貼り付け!$A$1:$BZ$3001,1878,$B$1)),DATE(VALUE(LEFT(I1879,FIND("-",I1879)-1)),VALUE(LEFT(J1879,FIND("-",J1879)-1)),VALUE(MID(J1879,FIND("-",J1879)+1,99)))))),"")</f>
        <v/>
      </c>
      <c r="C1879">
        <f>IF($C$1=0,0,IFERROR(VALUE(SUBSTITUTE(SUBSTITUTE(SUBSTITUTE(INDEX(貼り付け!$A$1:$BZ$3001,1878,$C$1)&amp;"",",",""),"¥",""),"￥","")),0))</f>
        <v/>
      </c>
      <c r="D1879">
        <f>IF($D$1=0,0,IFERROR(VALUE(SUBSTITUTE(SUBSTITUTE(SUBSTITUTE(INDEX(貼り付け!$A$1:$BZ$3001,1878,$D$1)&amp;"",",",""),"¥",""),"￥","")),0))</f>
        <v/>
      </c>
      <c r="E1879">
        <f>IF($E$1=0,0,IFERROR(VALUE(SUBSTITUTE(SUBSTITUTE(SUBSTITUTE(INDEX(貼り付け!$A$1:$BZ$3001,1878,$E$1)&amp;"",",",""),"¥",""),"￥","")),0))</f>
        <v/>
      </c>
      <c r="F1879">
        <f>IF($F$1=0,0,IFERROR(VALUE(SUBSTITUTE(SUBSTITUTE(SUBSTITUTE(INDEX(貼り付け!$A$1:$BZ$3001,1878,$F$1)&amp;"",",",""),"¥",""),"￥","")),0))</f>
        <v/>
      </c>
      <c r="G1879">
        <f>IF(ISNUMBER(B1879),YEAR(B1879),"")</f>
        <v/>
      </c>
      <c r="H1879">
        <f>IF(ISNUMBER(B1879),MONTH(B1879),"")</f>
        <v/>
      </c>
      <c r="I1879">
        <f>IFERROR(IF($B$1=0,"",IF(ISNUMBER(INDEX(貼り付け!$A$1:$BZ$3001,1878,$B$1)),"",SUBSTITUTE(SUBSTITUTE(SUBSTITUTE(SUBSTITUTE(TRIM(LEFT(INDEX(貼り付け!$A$1:$BZ$3001,1878,$B$1)&amp;"",FIND(" ",TRIM(INDEX(貼り付け!$A$1:$BZ$3001,1878,$B$1)&amp;"")&amp;" ")-1)),"/","-"),"年","-"),"月","-"),"日",""))),"")</f>
        <v/>
      </c>
      <c r="J1879">
        <f>IFERROR(MID(I1879,FIND("-",I1879)+1,99),"")</f>
        <v/>
      </c>
    </row>
    <row r="1880">
      <c r="B1880">
        <f>IFERROR(IF($B$1=0,"",IF(INDEX(貼り付け!$A$1:$BZ$3001,1879,$B$1)="","",IF(ISNUMBER(INDEX(貼り付け!$A$1:$BZ$3001,1879,$B$1)),INT(INDEX(貼り付け!$A$1:$BZ$3001,1879,$B$1)),DATE(VALUE(LEFT(I1880,FIND("-",I1880)-1)),VALUE(LEFT(J1880,FIND("-",J1880)-1)),VALUE(MID(J1880,FIND("-",J1880)+1,99)))))),"")</f>
        <v/>
      </c>
      <c r="C1880">
        <f>IF($C$1=0,0,IFERROR(VALUE(SUBSTITUTE(SUBSTITUTE(SUBSTITUTE(INDEX(貼り付け!$A$1:$BZ$3001,1879,$C$1)&amp;"",",",""),"¥",""),"￥","")),0))</f>
        <v/>
      </c>
      <c r="D1880">
        <f>IF($D$1=0,0,IFERROR(VALUE(SUBSTITUTE(SUBSTITUTE(SUBSTITUTE(INDEX(貼り付け!$A$1:$BZ$3001,1879,$D$1)&amp;"",",",""),"¥",""),"￥","")),0))</f>
        <v/>
      </c>
      <c r="E1880">
        <f>IF($E$1=0,0,IFERROR(VALUE(SUBSTITUTE(SUBSTITUTE(SUBSTITUTE(INDEX(貼り付け!$A$1:$BZ$3001,1879,$E$1)&amp;"",",",""),"¥",""),"￥","")),0))</f>
        <v/>
      </c>
      <c r="F1880">
        <f>IF($F$1=0,0,IFERROR(VALUE(SUBSTITUTE(SUBSTITUTE(SUBSTITUTE(INDEX(貼り付け!$A$1:$BZ$3001,1879,$F$1)&amp;"",",",""),"¥",""),"￥","")),0))</f>
        <v/>
      </c>
      <c r="G1880">
        <f>IF(ISNUMBER(B1880),YEAR(B1880),"")</f>
        <v/>
      </c>
      <c r="H1880">
        <f>IF(ISNUMBER(B1880),MONTH(B1880),"")</f>
        <v/>
      </c>
      <c r="I1880">
        <f>IFERROR(IF($B$1=0,"",IF(ISNUMBER(INDEX(貼り付け!$A$1:$BZ$3001,1879,$B$1)),"",SUBSTITUTE(SUBSTITUTE(SUBSTITUTE(SUBSTITUTE(TRIM(LEFT(INDEX(貼り付け!$A$1:$BZ$3001,1879,$B$1)&amp;"",FIND(" ",TRIM(INDEX(貼り付け!$A$1:$BZ$3001,1879,$B$1)&amp;"")&amp;" ")-1)),"/","-"),"年","-"),"月","-"),"日",""))),"")</f>
        <v/>
      </c>
      <c r="J1880">
        <f>IFERROR(MID(I1880,FIND("-",I1880)+1,99),"")</f>
        <v/>
      </c>
    </row>
    <row r="1881">
      <c r="B1881">
        <f>IFERROR(IF($B$1=0,"",IF(INDEX(貼り付け!$A$1:$BZ$3001,1880,$B$1)="","",IF(ISNUMBER(INDEX(貼り付け!$A$1:$BZ$3001,1880,$B$1)),INT(INDEX(貼り付け!$A$1:$BZ$3001,1880,$B$1)),DATE(VALUE(LEFT(I1881,FIND("-",I1881)-1)),VALUE(LEFT(J1881,FIND("-",J1881)-1)),VALUE(MID(J1881,FIND("-",J1881)+1,99)))))),"")</f>
        <v/>
      </c>
      <c r="C1881">
        <f>IF($C$1=0,0,IFERROR(VALUE(SUBSTITUTE(SUBSTITUTE(SUBSTITUTE(INDEX(貼り付け!$A$1:$BZ$3001,1880,$C$1)&amp;"",",",""),"¥",""),"￥","")),0))</f>
        <v/>
      </c>
      <c r="D1881">
        <f>IF($D$1=0,0,IFERROR(VALUE(SUBSTITUTE(SUBSTITUTE(SUBSTITUTE(INDEX(貼り付け!$A$1:$BZ$3001,1880,$D$1)&amp;"",",",""),"¥",""),"￥","")),0))</f>
        <v/>
      </c>
      <c r="E1881">
        <f>IF($E$1=0,0,IFERROR(VALUE(SUBSTITUTE(SUBSTITUTE(SUBSTITUTE(INDEX(貼り付け!$A$1:$BZ$3001,1880,$E$1)&amp;"",",",""),"¥",""),"￥","")),0))</f>
        <v/>
      </c>
      <c r="F1881">
        <f>IF($F$1=0,0,IFERROR(VALUE(SUBSTITUTE(SUBSTITUTE(SUBSTITUTE(INDEX(貼り付け!$A$1:$BZ$3001,1880,$F$1)&amp;"",",",""),"¥",""),"￥","")),0))</f>
        <v/>
      </c>
      <c r="G1881">
        <f>IF(ISNUMBER(B1881),YEAR(B1881),"")</f>
        <v/>
      </c>
      <c r="H1881">
        <f>IF(ISNUMBER(B1881),MONTH(B1881),"")</f>
        <v/>
      </c>
      <c r="I1881">
        <f>IFERROR(IF($B$1=0,"",IF(ISNUMBER(INDEX(貼り付け!$A$1:$BZ$3001,1880,$B$1)),"",SUBSTITUTE(SUBSTITUTE(SUBSTITUTE(SUBSTITUTE(TRIM(LEFT(INDEX(貼り付け!$A$1:$BZ$3001,1880,$B$1)&amp;"",FIND(" ",TRIM(INDEX(貼り付け!$A$1:$BZ$3001,1880,$B$1)&amp;"")&amp;" ")-1)),"/","-"),"年","-"),"月","-"),"日",""))),"")</f>
        <v/>
      </c>
      <c r="J1881">
        <f>IFERROR(MID(I1881,FIND("-",I1881)+1,99),"")</f>
        <v/>
      </c>
    </row>
    <row r="1882">
      <c r="B1882">
        <f>IFERROR(IF($B$1=0,"",IF(INDEX(貼り付け!$A$1:$BZ$3001,1881,$B$1)="","",IF(ISNUMBER(INDEX(貼り付け!$A$1:$BZ$3001,1881,$B$1)),INT(INDEX(貼り付け!$A$1:$BZ$3001,1881,$B$1)),DATE(VALUE(LEFT(I1882,FIND("-",I1882)-1)),VALUE(LEFT(J1882,FIND("-",J1882)-1)),VALUE(MID(J1882,FIND("-",J1882)+1,99)))))),"")</f>
        <v/>
      </c>
      <c r="C1882">
        <f>IF($C$1=0,0,IFERROR(VALUE(SUBSTITUTE(SUBSTITUTE(SUBSTITUTE(INDEX(貼り付け!$A$1:$BZ$3001,1881,$C$1)&amp;"",",",""),"¥",""),"￥","")),0))</f>
        <v/>
      </c>
      <c r="D1882">
        <f>IF($D$1=0,0,IFERROR(VALUE(SUBSTITUTE(SUBSTITUTE(SUBSTITUTE(INDEX(貼り付け!$A$1:$BZ$3001,1881,$D$1)&amp;"",",",""),"¥",""),"￥","")),0))</f>
        <v/>
      </c>
      <c r="E1882">
        <f>IF($E$1=0,0,IFERROR(VALUE(SUBSTITUTE(SUBSTITUTE(SUBSTITUTE(INDEX(貼り付け!$A$1:$BZ$3001,1881,$E$1)&amp;"",",",""),"¥",""),"￥","")),0))</f>
        <v/>
      </c>
      <c r="F1882">
        <f>IF($F$1=0,0,IFERROR(VALUE(SUBSTITUTE(SUBSTITUTE(SUBSTITUTE(INDEX(貼り付け!$A$1:$BZ$3001,1881,$F$1)&amp;"",",",""),"¥",""),"￥","")),0))</f>
        <v/>
      </c>
      <c r="G1882">
        <f>IF(ISNUMBER(B1882),YEAR(B1882),"")</f>
        <v/>
      </c>
      <c r="H1882">
        <f>IF(ISNUMBER(B1882),MONTH(B1882),"")</f>
        <v/>
      </c>
      <c r="I1882">
        <f>IFERROR(IF($B$1=0,"",IF(ISNUMBER(INDEX(貼り付け!$A$1:$BZ$3001,1881,$B$1)),"",SUBSTITUTE(SUBSTITUTE(SUBSTITUTE(SUBSTITUTE(TRIM(LEFT(INDEX(貼り付け!$A$1:$BZ$3001,1881,$B$1)&amp;"",FIND(" ",TRIM(INDEX(貼り付け!$A$1:$BZ$3001,1881,$B$1)&amp;"")&amp;" ")-1)),"/","-"),"年","-"),"月","-"),"日",""))),"")</f>
        <v/>
      </c>
      <c r="J1882">
        <f>IFERROR(MID(I1882,FIND("-",I1882)+1,99),"")</f>
        <v/>
      </c>
    </row>
    <row r="1883">
      <c r="B1883">
        <f>IFERROR(IF($B$1=0,"",IF(INDEX(貼り付け!$A$1:$BZ$3001,1882,$B$1)="","",IF(ISNUMBER(INDEX(貼り付け!$A$1:$BZ$3001,1882,$B$1)),INT(INDEX(貼り付け!$A$1:$BZ$3001,1882,$B$1)),DATE(VALUE(LEFT(I1883,FIND("-",I1883)-1)),VALUE(LEFT(J1883,FIND("-",J1883)-1)),VALUE(MID(J1883,FIND("-",J1883)+1,99)))))),"")</f>
        <v/>
      </c>
      <c r="C1883">
        <f>IF($C$1=0,0,IFERROR(VALUE(SUBSTITUTE(SUBSTITUTE(SUBSTITUTE(INDEX(貼り付け!$A$1:$BZ$3001,1882,$C$1)&amp;"",",",""),"¥",""),"￥","")),0))</f>
        <v/>
      </c>
      <c r="D1883">
        <f>IF($D$1=0,0,IFERROR(VALUE(SUBSTITUTE(SUBSTITUTE(SUBSTITUTE(INDEX(貼り付け!$A$1:$BZ$3001,1882,$D$1)&amp;"",",",""),"¥",""),"￥","")),0))</f>
        <v/>
      </c>
      <c r="E1883">
        <f>IF($E$1=0,0,IFERROR(VALUE(SUBSTITUTE(SUBSTITUTE(SUBSTITUTE(INDEX(貼り付け!$A$1:$BZ$3001,1882,$E$1)&amp;"",",",""),"¥",""),"￥","")),0))</f>
        <v/>
      </c>
      <c r="F1883">
        <f>IF($F$1=0,0,IFERROR(VALUE(SUBSTITUTE(SUBSTITUTE(SUBSTITUTE(INDEX(貼り付け!$A$1:$BZ$3001,1882,$F$1)&amp;"",",",""),"¥",""),"￥","")),0))</f>
        <v/>
      </c>
      <c r="G1883">
        <f>IF(ISNUMBER(B1883),YEAR(B1883),"")</f>
        <v/>
      </c>
      <c r="H1883">
        <f>IF(ISNUMBER(B1883),MONTH(B1883),"")</f>
        <v/>
      </c>
      <c r="I1883">
        <f>IFERROR(IF($B$1=0,"",IF(ISNUMBER(INDEX(貼り付け!$A$1:$BZ$3001,1882,$B$1)),"",SUBSTITUTE(SUBSTITUTE(SUBSTITUTE(SUBSTITUTE(TRIM(LEFT(INDEX(貼り付け!$A$1:$BZ$3001,1882,$B$1)&amp;"",FIND(" ",TRIM(INDEX(貼り付け!$A$1:$BZ$3001,1882,$B$1)&amp;"")&amp;" ")-1)),"/","-"),"年","-"),"月","-"),"日",""))),"")</f>
        <v/>
      </c>
      <c r="J1883">
        <f>IFERROR(MID(I1883,FIND("-",I1883)+1,99),"")</f>
        <v/>
      </c>
    </row>
    <row r="1884">
      <c r="B1884">
        <f>IFERROR(IF($B$1=0,"",IF(INDEX(貼り付け!$A$1:$BZ$3001,1883,$B$1)="","",IF(ISNUMBER(INDEX(貼り付け!$A$1:$BZ$3001,1883,$B$1)),INT(INDEX(貼り付け!$A$1:$BZ$3001,1883,$B$1)),DATE(VALUE(LEFT(I1884,FIND("-",I1884)-1)),VALUE(LEFT(J1884,FIND("-",J1884)-1)),VALUE(MID(J1884,FIND("-",J1884)+1,99)))))),"")</f>
        <v/>
      </c>
      <c r="C1884">
        <f>IF($C$1=0,0,IFERROR(VALUE(SUBSTITUTE(SUBSTITUTE(SUBSTITUTE(INDEX(貼り付け!$A$1:$BZ$3001,1883,$C$1)&amp;"",",",""),"¥",""),"￥","")),0))</f>
        <v/>
      </c>
      <c r="D1884">
        <f>IF($D$1=0,0,IFERROR(VALUE(SUBSTITUTE(SUBSTITUTE(SUBSTITUTE(INDEX(貼り付け!$A$1:$BZ$3001,1883,$D$1)&amp;"",",",""),"¥",""),"￥","")),0))</f>
        <v/>
      </c>
      <c r="E1884">
        <f>IF($E$1=0,0,IFERROR(VALUE(SUBSTITUTE(SUBSTITUTE(SUBSTITUTE(INDEX(貼り付け!$A$1:$BZ$3001,1883,$E$1)&amp;"",",",""),"¥",""),"￥","")),0))</f>
        <v/>
      </c>
      <c r="F1884">
        <f>IF($F$1=0,0,IFERROR(VALUE(SUBSTITUTE(SUBSTITUTE(SUBSTITUTE(INDEX(貼り付け!$A$1:$BZ$3001,1883,$F$1)&amp;"",",",""),"¥",""),"￥","")),0))</f>
        <v/>
      </c>
      <c r="G1884">
        <f>IF(ISNUMBER(B1884),YEAR(B1884),"")</f>
        <v/>
      </c>
      <c r="H1884">
        <f>IF(ISNUMBER(B1884),MONTH(B1884),"")</f>
        <v/>
      </c>
      <c r="I1884">
        <f>IFERROR(IF($B$1=0,"",IF(ISNUMBER(INDEX(貼り付け!$A$1:$BZ$3001,1883,$B$1)),"",SUBSTITUTE(SUBSTITUTE(SUBSTITUTE(SUBSTITUTE(TRIM(LEFT(INDEX(貼り付け!$A$1:$BZ$3001,1883,$B$1)&amp;"",FIND(" ",TRIM(INDEX(貼り付け!$A$1:$BZ$3001,1883,$B$1)&amp;"")&amp;" ")-1)),"/","-"),"年","-"),"月","-"),"日",""))),"")</f>
        <v/>
      </c>
      <c r="J1884">
        <f>IFERROR(MID(I1884,FIND("-",I1884)+1,99),"")</f>
        <v/>
      </c>
    </row>
    <row r="1885">
      <c r="B1885">
        <f>IFERROR(IF($B$1=0,"",IF(INDEX(貼り付け!$A$1:$BZ$3001,1884,$B$1)="","",IF(ISNUMBER(INDEX(貼り付け!$A$1:$BZ$3001,1884,$B$1)),INT(INDEX(貼り付け!$A$1:$BZ$3001,1884,$B$1)),DATE(VALUE(LEFT(I1885,FIND("-",I1885)-1)),VALUE(LEFT(J1885,FIND("-",J1885)-1)),VALUE(MID(J1885,FIND("-",J1885)+1,99)))))),"")</f>
        <v/>
      </c>
      <c r="C1885">
        <f>IF($C$1=0,0,IFERROR(VALUE(SUBSTITUTE(SUBSTITUTE(SUBSTITUTE(INDEX(貼り付け!$A$1:$BZ$3001,1884,$C$1)&amp;"",",",""),"¥",""),"￥","")),0))</f>
        <v/>
      </c>
      <c r="D1885">
        <f>IF($D$1=0,0,IFERROR(VALUE(SUBSTITUTE(SUBSTITUTE(SUBSTITUTE(INDEX(貼り付け!$A$1:$BZ$3001,1884,$D$1)&amp;"",",",""),"¥",""),"￥","")),0))</f>
        <v/>
      </c>
      <c r="E1885">
        <f>IF($E$1=0,0,IFERROR(VALUE(SUBSTITUTE(SUBSTITUTE(SUBSTITUTE(INDEX(貼り付け!$A$1:$BZ$3001,1884,$E$1)&amp;"",",",""),"¥",""),"￥","")),0))</f>
        <v/>
      </c>
      <c r="F1885">
        <f>IF($F$1=0,0,IFERROR(VALUE(SUBSTITUTE(SUBSTITUTE(SUBSTITUTE(INDEX(貼り付け!$A$1:$BZ$3001,1884,$F$1)&amp;"",",",""),"¥",""),"￥","")),0))</f>
        <v/>
      </c>
      <c r="G1885">
        <f>IF(ISNUMBER(B1885),YEAR(B1885),"")</f>
        <v/>
      </c>
      <c r="H1885">
        <f>IF(ISNUMBER(B1885),MONTH(B1885),"")</f>
        <v/>
      </c>
      <c r="I1885">
        <f>IFERROR(IF($B$1=0,"",IF(ISNUMBER(INDEX(貼り付け!$A$1:$BZ$3001,1884,$B$1)),"",SUBSTITUTE(SUBSTITUTE(SUBSTITUTE(SUBSTITUTE(TRIM(LEFT(INDEX(貼り付け!$A$1:$BZ$3001,1884,$B$1)&amp;"",FIND(" ",TRIM(INDEX(貼り付け!$A$1:$BZ$3001,1884,$B$1)&amp;"")&amp;" ")-1)),"/","-"),"年","-"),"月","-"),"日",""))),"")</f>
        <v/>
      </c>
      <c r="J1885">
        <f>IFERROR(MID(I1885,FIND("-",I1885)+1,99),"")</f>
        <v/>
      </c>
    </row>
    <row r="1886">
      <c r="B1886">
        <f>IFERROR(IF($B$1=0,"",IF(INDEX(貼り付け!$A$1:$BZ$3001,1885,$B$1)="","",IF(ISNUMBER(INDEX(貼り付け!$A$1:$BZ$3001,1885,$B$1)),INT(INDEX(貼り付け!$A$1:$BZ$3001,1885,$B$1)),DATE(VALUE(LEFT(I1886,FIND("-",I1886)-1)),VALUE(LEFT(J1886,FIND("-",J1886)-1)),VALUE(MID(J1886,FIND("-",J1886)+1,99)))))),"")</f>
        <v/>
      </c>
      <c r="C1886">
        <f>IF($C$1=0,0,IFERROR(VALUE(SUBSTITUTE(SUBSTITUTE(SUBSTITUTE(INDEX(貼り付け!$A$1:$BZ$3001,1885,$C$1)&amp;"",",",""),"¥",""),"￥","")),0))</f>
        <v/>
      </c>
      <c r="D1886">
        <f>IF($D$1=0,0,IFERROR(VALUE(SUBSTITUTE(SUBSTITUTE(SUBSTITUTE(INDEX(貼り付け!$A$1:$BZ$3001,1885,$D$1)&amp;"",",",""),"¥",""),"￥","")),0))</f>
        <v/>
      </c>
      <c r="E1886">
        <f>IF($E$1=0,0,IFERROR(VALUE(SUBSTITUTE(SUBSTITUTE(SUBSTITUTE(INDEX(貼り付け!$A$1:$BZ$3001,1885,$E$1)&amp;"",",",""),"¥",""),"￥","")),0))</f>
        <v/>
      </c>
      <c r="F1886">
        <f>IF($F$1=0,0,IFERROR(VALUE(SUBSTITUTE(SUBSTITUTE(SUBSTITUTE(INDEX(貼り付け!$A$1:$BZ$3001,1885,$F$1)&amp;"",",",""),"¥",""),"￥","")),0))</f>
        <v/>
      </c>
      <c r="G1886">
        <f>IF(ISNUMBER(B1886),YEAR(B1886),"")</f>
        <v/>
      </c>
      <c r="H1886">
        <f>IF(ISNUMBER(B1886),MONTH(B1886),"")</f>
        <v/>
      </c>
      <c r="I1886">
        <f>IFERROR(IF($B$1=0,"",IF(ISNUMBER(INDEX(貼り付け!$A$1:$BZ$3001,1885,$B$1)),"",SUBSTITUTE(SUBSTITUTE(SUBSTITUTE(SUBSTITUTE(TRIM(LEFT(INDEX(貼り付け!$A$1:$BZ$3001,1885,$B$1)&amp;"",FIND(" ",TRIM(INDEX(貼り付け!$A$1:$BZ$3001,1885,$B$1)&amp;"")&amp;" ")-1)),"/","-"),"年","-"),"月","-"),"日",""))),"")</f>
        <v/>
      </c>
      <c r="J1886">
        <f>IFERROR(MID(I1886,FIND("-",I1886)+1,99),"")</f>
        <v/>
      </c>
    </row>
    <row r="1887">
      <c r="B1887">
        <f>IFERROR(IF($B$1=0,"",IF(INDEX(貼り付け!$A$1:$BZ$3001,1886,$B$1)="","",IF(ISNUMBER(INDEX(貼り付け!$A$1:$BZ$3001,1886,$B$1)),INT(INDEX(貼り付け!$A$1:$BZ$3001,1886,$B$1)),DATE(VALUE(LEFT(I1887,FIND("-",I1887)-1)),VALUE(LEFT(J1887,FIND("-",J1887)-1)),VALUE(MID(J1887,FIND("-",J1887)+1,99)))))),"")</f>
        <v/>
      </c>
      <c r="C1887">
        <f>IF($C$1=0,0,IFERROR(VALUE(SUBSTITUTE(SUBSTITUTE(SUBSTITUTE(INDEX(貼り付け!$A$1:$BZ$3001,1886,$C$1)&amp;"",",",""),"¥",""),"￥","")),0))</f>
        <v/>
      </c>
      <c r="D1887">
        <f>IF($D$1=0,0,IFERROR(VALUE(SUBSTITUTE(SUBSTITUTE(SUBSTITUTE(INDEX(貼り付け!$A$1:$BZ$3001,1886,$D$1)&amp;"",",",""),"¥",""),"￥","")),0))</f>
        <v/>
      </c>
      <c r="E1887">
        <f>IF($E$1=0,0,IFERROR(VALUE(SUBSTITUTE(SUBSTITUTE(SUBSTITUTE(INDEX(貼り付け!$A$1:$BZ$3001,1886,$E$1)&amp;"",",",""),"¥",""),"￥","")),0))</f>
        <v/>
      </c>
      <c r="F1887">
        <f>IF($F$1=0,0,IFERROR(VALUE(SUBSTITUTE(SUBSTITUTE(SUBSTITUTE(INDEX(貼り付け!$A$1:$BZ$3001,1886,$F$1)&amp;"",",",""),"¥",""),"￥","")),0))</f>
        <v/>
      </c>
      <c r="G1887">
        <f>IF(ISNUMBER(B1887),YEAR(B1887),"")</f>
        <v/>
      </c>
      <c r="H1887">
        <f>IF(ISNUMBER(B1887),MONTH(B1887),"")</f>
        <v/>
      </c>
      <c r="I1887">
        <f>IFERROR(IF($B$1=0,"",IF(ISNUMBER(INDEX(貼り付け!$A$1:$BZ$3001,1886,$B$1)),"",SUBSTITUTE(SUBSTITUTE(SUBSTITUTE(SUBSTITUTE(TRIM(LEFT(INDEX(貼り付け!$A$1:$BZ$3001,1886,$B$1)&amp;"",FIND(" ",TRIM(INDEX(貼り付け!$A$1:$BZ$3001,1886,$B$1)&amp;"")&amp;" ")-1)),"/","-"),"年","-"),"月","-"),"日",""))),"")</f>
        <v/>
      </c>
      <c r="J1887">
        <f>IFERROR(MID(I1887,FIND("-",I1887)+1,99),"")</f>
        <v/>
      </c>
    </row>
    <row r="1888">
      <c r="B1888">
        <f>IFERROR(IF($B$1=0,"",IF(INDEX(貼り付け!$A$1:$BZ$3001,1887,$B$1)="","",IF(ISNUMBER(INDEX(貼り付け!$A$1:$BZ$3001,1887,$B$1)),INT(INDEX(貼り付け!$A$1:$BZ$3001,1887,$B$1)),DATE(VALUE(LEFT(I1888,FIND("-",I1888)-1)),VALUE(LEFT(J1888,FIND("-",J1888)-1)),VALUE(MID(J1888,FIND("-",J1888)+1,99)))))),"")</f>
        <v/>
      </c>
      <c r="C1888">
        <f>IF($C$1=0,0,IFERROR(VALUE(SUBSTITUTE(SUBSTITUTE(SUBSTITUTE(INDEX(貼り付け!$A$1:$BZ$3001,1887,$C$1)&amp;"",",",""),"¥",""),"￥","")),0))</f>
        <v/>
      </c>
      <c r="D1888">
        <f>IF($D$1=0,0,IFERROR(VALUE(SUBSTITUTE(SUBSTITUTE(SUBSTITUTE(INDEX(貼り付け!$A$1:$BZ$3001,1887,$D$1)&amp;"",",",""),"¥",""),"￥","")),0))</f>
        <v/>
      </c>
      <c r="E1888">
        <f>IF($E$1=0,0,IFERROR(VALUE(SUBSTITUTE(SUBSTITUTE(SUBSTITUTE(INDEX(貼り付け!$A$1:$BZ$3001,1887,$E$1)&amp;"",",",""),"¥",""),"￥","")),0))</f>
        <v/>
      </c>
      <c r="F1888">
        <f>IF($F$1=0,0,IFERROR(VALUE(SUBSTITUTE(SUBSTITUTE(SUBSTITUTE(INDEX(貼り付け!$A$1:$BZ$3001,1887,$F$1)&amp;"",",",""),"¥",""),"￥","")),0))</f>
        <v/>
      </c>
      <c r="G1888">
        <f>IF(ISNUMBER(B1888),YEAR(B1888),"")</f>
        <v/>
      </c>
      <c r="H1888">
        <f>IF(ISNUMBER(B1888),MONTH(B1888),"")</f>
        <v/>
      </c>
      <c r="I1888">
        <f>IFERROR(IF($B$1=0,"",IF(ISNUMBER(INDEX(貼り付け!$A$1:$BZ$3001,1887,$B$1)),"",SUBSTITUTE(SUBSTITUTE(SUBSTITUTE(SUBSTITUTE(TRIM(LEFT(INDEX(貼り付け!$A$1:$BZ$3001,1887,$B$1)&amp;"",FIND(" ",TRIM(INDEX(貼り付け!$A$1:$BZ$3001,1887,$B$1)&amp;"")&amp;" ")-1)),"/","-"),"年","-"),"月","-"),"日",""))),"")</f>
        <v/>
      </c>
      <c r="J1888">
        <f>IFERROR(MID(I1888,FIND("-",I1888)+1,99),"")</f>
        <v/>
      </c>
    </row>
    <row r="1889">
      <c r="B1889">
        <f>IFERROR(IF($B$1=0,"",IF(INDEX(貼り付け!$A$1:$BZ$3001,1888,$B$1)="","",IF(ISNUMBER(INDEX(貼り付け!$A$1:$BZ$3001,1888,$B$1)),INT(INDEX(貼り付け!$A$1:$BZ$3001,1888,$B$1)),DATE(VALUE(LEFT(I1889,FIND("-",I1889)-1)),VALUE(LEFT(J1889,FIND("-",J1889)-1)),VALUE(MID(J1889,FIND("-",J1889)+1,99)))))),"")</f>
        <v/>
      </c>
      <c r="C1889">
        <f>IF($C$1=0,0,IFERROR(VALUE(SUBSTITUTE(SUBSTITUTE(SUBSTITUTE(INDEX(貼り付け!$A$1:$BZ$3001,1888,$C$1)&amp;"",",",""),"¥",""),"￥","")),0))</f>
        <v/>
      </c>
      <c r="D1889">
        <f>IF($D$1=0,0,IFERROR(VALUE(SUBSTITUTE(SUBSTITUTE(SUBSTITUTE(INDEX(貼り付け!$A$1:$BZ$3001,1888,$D$1)&amp;"",",",""),"¥",""),"￥","")),0))</f>
        <v/>
      </c>
      <c r="E1889">
        <f>IF($E$1=0,0,IFERROR(VALUE(SUBSTITUTE(SUBSTITUTE(SUBSTITUTE(INDEX(貼り付け!$A$1:$BZ$3001,1888,$E$1)&amp;"",",",""),"¥",""),"￥","")),0))</f>
        <v/>
      </c>
      <c r="F1889">
        <f>IF($F$1=0,0,IFERROR(VALUE(SUBSTITUTE(SUBSTITUTE(SUBSTITUTE(INDEX(貼り付け!$A$1:$BZ$3001,1888,$F$1)&amp;"",",",""),"¥",""),"￥","")),0))</f>
        <v/>
      </c>
      <c r="G1889">
        <f>IF(ISNUMBER(B1889),YEAR(B1889),"")</f>
        <v/>
      </c>
      <c r="H1889">
        <f>IF(ISNUMBER(B1889),MONTH(B1889),"")</f>
        <v/>
      </c>
      <c r="I1889">
        <f>IFERROR(IF($B$1=0,"",IF(ISNUMBER(INDEX(貼り付け!$A$1:$BZ$3001,1888,$B$1)),"",SUBSTITUTE(SUBSTITUTE(SUBSTITUTE(SUBSTITUTE(TRIM(LEFT(INDEX(貼り付け!$A$1:$BZ$3001,1888,$B$1)&amp;"",FIND(" ",TRIM(INDEX(貼り付け!$A$1:$BZ$3001,1888,$B$1)&amp;"")&amp;" ")-1)),"/","-"),"年","-"),"月","-"),"日",""))),"")</f>
        <v/>
      </c>
      <c r="J1889">
        <f>IFERROR(MID(I1889,FIND("-",I1889)+1,99),"")</f>
        <v/>
      </c>
    </row>
    <row r="1890">
      <c r="B1890">
        <f>IFERROR(IF($B$1=0,"",IF(INDEX(貼り付け!$A$1:$BZ$3001,1889,$B$1)="","",IF(ISNUMBER(INDEX(貼り付け!$A$1:$BZ$3001,1889,$B$1)),INT(INDEX(貼り付け!$A$1:$BZ$3001,1889,$B$1)),DATE(VALUE(LEFT(I1890,FIND("-",I1890)-1)),VALUE(LEFT(J1890,FIND("-",J1890)-1)),VALUE(MID(J1890,FIND("-",J1890)+1,99)))))),"")</f>
        <v/>
      </c>
      <c r="C1890">
        <f>IF($C$1=0,0,IFERROR(VALUE(SUBSTITUTE(SUBSTITUTE(SUBSTITUTE(INDEX(貼り付け!$A$1:$BZ$3001,1889,$C$1)&amp;"",",",""),"¥",""),"￥","")),0))</f>
        <v/>
      </c>
      <c r="D1890">
        <f>IF($D$1=0,0,IFERROR(VALUE(SUBSTITUTE(SUBSTITUTE(SUBSTITUTE(INDEX(貼り付け!$A$1:$BZ$3001,1889,$D$1)&amp;"",",",""),"¥",""),"￥","")),0))</f>
        <v/>
      </c>
      <c r="E1890">
        <f>IF($E$1=0,0,IFERROR(VALUE(SUBSTITUTE(SUBSTITUTE(SUBSTITUTE(INDEX(貼り付け!$A$1:$BZ$3001,1889,$E$1)&amp;"",",",""),"¥",""),"￥","")),0))</f>
        <v/>
      </c>
      <c r="F1890">
        <f>IF($F$1=0,0,IFERROR(VALUE(SUBSTITUTE(SUBSTITUTE(SUBSTITUTE(INDEX(貼り付け!$A$1:$BZ$3001,1889,$F$1)&amp;"",",",""),"¥",""),"￥","")),0))</f>
        <v/>
      </c>
      <c r="G1890">
        <f>IF(ISNUMBER(B1890),YEAR(B1890),"")</f>
        <v/>
      </c>
      <c r="H1890">
        <f>IF(ISNUMBER(B1890),MONTH(B1890),"")</f>
        <v/>
      </c>
      <c r="I1890">
        <f>IFERROR(IF($B$1=0,"",IF(ISNUMBER(INDEX(貼り付け!$A$1:$BZ$3001,1889,$B$1)),"",SUBSTITUTE(SUBSTITUTE(SUBSTITUTE(SUBSTITUTE(TRIM(LEFT(INDEX(貼り付け!$A$1:$BZ$3001,1889,$B$1)&amp;"",FIND(" ",TRIM(INDEX(貼り付け!$A$1:$BZ$3001,1889,$B$1)&amp;"")&amp;" ")-1)),"/","-"),"年","-"),"月","-"),"日",""))),"")</f>
        <v/>
      </c>
      <c r="J1890">
        <f>IFERROR(MID(I1890,FIND("-",I1890)+1,99),"")</f>
        <v/>
      </c>
    </row>
    <row r="1891">
      <c r="B1891">
        <f>IFERROR(IF($B$1=0,"",IF(INDEX(貼り付け!$A$1:$BZ$3001,1890,$B$1)="","",IF(ISNUMBER(INDEX(貼り付け!$A$1:$BZ$3001,1890,$B$1)),INT(INDEX(貼り付け!$A$1:$BZ$3001,1890,$B$1)),DATE(VALUE(LEFT(I1891,FIND("-",I1891)-1)),VALUE(LEFT(J1891,FIND("-",J1891)-1)),VALUE(MID(J1891,FIND("-",J1891)+1,99)))))),"")</f>
        <v/>
      </c>
      <c r="C1891">
        <f>IF($C$1=0,0,IFERROR(VALUE(SUBSTITUTE(SUBSTITUTE(SUBSTITUTE(INDEX(貼り付け!$A$1:$BZ$3001,1890,$C$1)&amp;"",",",""),"¥",""),"￥","")),0))</f>
        <v/>
      </c>
      <c r="D1891">
        <f>IF($D$1=0,0,IFERROR(VALUE(SUBSTITUTE(SUBSTITUTE(SUBSTITUTE(INDEX(貼り付け!$A$1:$BZ$3001,1890,$D$1)&amp;"",",",""),"¥",""),"￥","")),0))</f>
        <v/>
      </c>
      <c r="E1891">
        <f>IF($E$1=0,0,IFERROR(VALUE(SUBSTITUTE(SUBSTITUTE(SUBSTITUTE(INDEX(貼り付け!$A$1:$BZ$3001,1890,$E$1)&amp;"",",",""),"¥",""),"￥","")),0))</f>
        <v/>
      </c>
      <c r="F1891">
        <f>IF($F$1=0,0,IFERROR(VALUE(SUBSTITUTE(SUBSTITUTE(SUBSTITUTE(INDEX(貼り付け!$A$1:$BZ$3001,1890,$F$1)&amp;"",",",""),"¥",""),"￥","")),0))</f>
        <v/>
      </c>
      <c r="G1891">
        <f>IF(ISNUMBER(B1891),YEAR(B1891),"")</f>
        <v/>
      </c>
      <c r="H1891">
        <f>IF(ISNUMBER(B1891),MONTH(B1891),"")</f>
        <v/>
      </c>
      <c r="I1891">
        <f>IFERROR(IF($B$1=0,"",IF(ISNUMBER(INDEX(貼り付け!$A$1:$BZ$3001,1890,$B$1)),"",SUBSTITUTE(SUBSTITUTE(SUBSTITUTE(SUBSTITUTE(TRIM(LEFT(INDEX(貼り付け!$A$1:$BZ$3001,1890,$B$1)&amp;"",FIND(" ",TRIM(INDEX(貼り付け!$A$1:$BZ$3001,1890,$B$1)&amp;"")&amp;" ")-1)),"/","-"),"年","-"),"月","-"),"日",""))),"")</f>
        <v/>
      </c>
      <c r="J1891">
        <f>IFERROR(MID(I1891,FIND("-",I1891)+1,99),"")</f>
        <v/>
      </c>
    </row>
    <row r="1892">
      <c r="B1892">
        <f>IFERROR(IF($B$1=0,"",IF(INDEX(貼り付け!$A$1:$BZ$3001,1891,$B$1)="","",IF(ISNUMBER(INDEX(貼り付け!$A$1:$BZ$3001,1891,$B$1)),INT(INDEX(貼り付け!$A$1:$BZ$3001,1891,$B$1)),DATE(VALUE(LEFT(I1892,FIND("-",I1892)-1)),VALUE(LEFT(J1892,FIND("-",J1892)-1)),VALUE(MID(J1892,FIND("-",J1892)+1,99)))))),"")</f>
        <v/>
      </c>
      <c r="C1892">
        <f>IF($C$1=0,0,IFERROR(VALUE(SUBSTITUTE(SUBSTITUTE(SUBSTITUTE(INDEX(貼り付け!$A$1:$BZ$3001,1891,$C$1)&amp;"",",",""),"¥",""),"￥","")),0))</f>
        <v/>
      </c>
      <c r="D1892">
        <f>IF($D$1=0,0,IFERROR(VALUE(SUBSTITUTE(SUBSTITUTE(SUBSTITUTE(INDEX(貼り付け!$A$1:$BZ$3001,1891,$D$1)&amp;"",",",""),"¥",""),"￥","")),0))</f>
        <v/>
      </c>
      <c r="E1892">
        <f>IF($E$1=0,0,IFERROR(VALUE(SUBSTITUTE(SUBSTITUTE(SUBSTITUTE(INDEX(貼り付け!$A$1:$BZ$3001,1891,$E$1)&amp;"",",",""),"¥",""),"￥","")),0))</f>
        <v/>
      </c>
      <c r="F1892">
        <f>IF($F$1=0,0,IFERROR(VALUE(SUBSTITUTE(SUBSTITUTE(SUBSTITUTE(INDEX(貼り付け!$A$1:$BZ$3001,1891,$F$1)&amp;"",",",""),"¥",""),"￥","")),0))</f>
        <v/>
      </c>
      <c r="G1892">
        <f>IF(ISNUMBER(B1892),YEAR(B1892),"")</f>
        <v/>
      </c>
      <c r="H1892">
        <f>IF(ISNUMBER(B1892),MONTH(B1892),"")</f>
        <v/>
      </c>
      <c r="I1892">
        <f>IFERROR(IF($B$1=0,"",IF(ISNUMBER(INDEX(貼り付け!$A$1:$BZ$3001,1891,$B$1)),"",SUBSTITUTE(SUBSTITUTE(SUBSTITUTE(SUBSTITUTE(TRIM(LEFT(INDEX(貼り付け!$A$1:$BZ$3001,1891,$B$1)&amp;"",FIND(" ",TRIM(INDEX(貼り付け!$A$1:$BZ$3001,1891,$B$1)&amp;"")&amp;" ")-1)),"/","-"),"年","-"),"月","-"),"日",""))),"")</f>
        <v/>
      </c>
      <c r="J1892">
        <f>IFERROR(MID(I1892,FIND("-",I1892)+1,99),"")</f>
        <v/>
      </c>
    </row>
    <row r="1893">
      <c r="B1893">
        <f>IFERROR(IF($B$1=0,"",IF(INDEX(貼り付け!$A$1:$BZ$3001,1892,$B$1)="","",IF(ISNUMBER(INDEX(貼り付け!$A$1:$BZ$3001,1892,$B$1)),INT(INDEX(貼り付け!$A$1:$BZ$3001,1892,$B$1)),DATE(VALUE(LEFT(I1893,FIND("-",I1893)-1)),VALUE(LEFT(J1893,FIND("-",J1893)-1)),VALUE(MID(J1893,FIND("-",J1893)+1,99)))))),"")</f>
        <v/>
      </c>
      <c r="C1893">
        <f>IF($C$1=0,0,IFERROR(VALUE(SUBSTITUTE(SUBSTITUTE(SUBSTITUTE(INDEX(貼り付け!$A$1:$BZ$3001,1892,$C$1)&amp;"",",",""),"¥",""),"￥","")),0))</f>
        <v/>
      </c>
      <c r="D1893">
        <f>IF($D$1=0,0,IFERROR(VALUE(SUBSTITUTE(SUBSTITUTE(SUBSTITUTE(INDEX(貼り付け!$A$1:$BZ$3001,1892,$D$1)&amp;"",",",""),"¥",""),"￥","")),0))</f>
        <v/>
      </c>
      <c r="E1893">
        <f>IF($E$1=0,0,IFERROR(VALUE(SUBSTITUTE(SUBSTITUTE(SUBSTITUTE(INDEX(貼り付け!$A$1:$BZ$3001,1892,$E$1)&amp;"",",",""),"¥",""),"￥","")),0))</f>
        <v/>
      </c>
      <c r="F1893">
        <f>IF($F$1=0,0,IFERROR(VALUE(SUBSTITUTE(SUBSTITUTE(SUBSTITUTE(INDEX(貼り付け!$A$1:$BZ$3001,1892,$F$1)&amp;"",",",""),"¥",""),"￥","")),0))</f>
        <v/>
      </c>
      <c r="G1893">
        <f>IF(ISNUMBER(B1893),YEAR(B1893),"")</f>
        <v/>
      </c>
      <c r="H1893">
        <f>IF(ISNUMBER(B1893),MONTH(B1893),"")</f>
        <v/>
      </c>
      <c r="I1893">
        <f>IFERROR(IF($B$1=0,"",IF(ISNUMBER(INDEX(貼り付け!$A$1:$BZ$3001,1892,$B$1)),"",SUBSTITUTE(SUBSTITUTE(SUBSTITUTE(SUBSTITUTE(TRIM(LEFT(INDEX(貼り付け!$A$1:$BZ$3001,1892,$B$1)&amp;"",FIND(" ",TRIM(INDEX(貼り付け!$A$1:$BZ$3001,1892,$B$1)&amp;"")&amp;" ")-1)),"/","-"),"年","-"),"月","-"),"日",""))),"")</f>
        <v/>
      </c>
      <c r="J1893">
        <f>IFERROR(MID(I1893,FIND("-",I1893)+1,99),"")</f>
        <v/>
      </c>
    </row>
    <row r="1894">
      <c r="B1894">
        <f>IFERROR(IF($B$1=0,"",IF(INDEX(貼り付け!$A$1:$BZ$3001,1893,$B$1)="","",IF(ISNUMBER(INDEX(貼り付け!$A$1:$BZ$3001,1893,$B$1)),INT(INDEX(貼り付け!$A$1:$BZ$3001,1893,$B$1)),DATE(VALUE(LEFT(I1894,FIND("-",I1894)-1)),VALUE(LEFT(J1894,FIND("-",J1894)-1)),VALUE(MID(J1894,FIND("-",J1894)+1,99)))))),"")</f>
        <v/>
      </c>
      <c r="C1894">
        <f>IF($C$1=0,0,IFERROR(VALUE(SUBSTITUTE(SUBSTITUTE(SUBSTITUTE(INDEX(貼り付け!$A$1:$BZ$3001,1893,$C$1)&amp;"",",",""),"¥",""),"￥","")),0))</f>
        <v/>
      </c>
      <c r="D1894">
        <f>IF($D$1=0,0,IFERROR(VALUE(SUBSTITUTE(SUBSTITUTE(SUBSTITUTE(INDEX(貼り付け!$A$1:$BZ$3001,1893,$D$1)&amp;"",",",""),"¥",""),"￥","")),0))</f>
        <v/>
      </c>
      <c r="E1894">
        <f>IF($E$1=0,0,IFERROR(VALUE(SUBSTITUTE(SUBSTITUTE(SUBSTITUTE(INDEX(貼り付け!$A$1:$BZ$3001,1893,$E$1)&amp;"",",",""),"¥",""),"￥","")),0))</f>
        <v/>
      </c>
      <c r="F1894">
        <f>IF($F$1=0,0,IFERROR(VALUE(SUBSTITUTE(SUBSTITUTE(SUBSTITUTE(INDEX(貼り付け!$A$1:$BZ$3001,1893,$F$1)&amp;"",",",""),"¥",""),"￥","")),0))</f>
        <v/>
      </c>
      <c r="G1894">
        <f>IF(ISNUMBER(B1894),YEAR(B1894),"")</f>
        <v/>
      </c>
      <c r="H1894">
        <f>IF(ISNUMBER(B1894),MONTH(B1894),"")</f>
        <v/>
      </c>
      <c r="I1894">
        <f>IFERROR(IF($B$1=0,"",IF(ISNUMBER(INDEX(貼り付け!$A$1:$BZ$3001,1893,$B$1)),"",SUBSTITUTE(SUBSTITUTE(SUBSTITUTE(SUBSTITUTE(TRIM(LEFT(INDEX(貼り付け!$A$1:$BZ$3001,1893,$B$1)&amp;"",FIND(" ",TRIM(INDEX(貼り付け!$A$1:$BZ$3001,1893,$B$1)&amp;"")&amp;" ")-1)),"/","-"),"年","-"),"月","-"),"日",""))),"")</f>
        <v/>
      </c>
      <c r="J1894">
        <f>IFERROR(MID(I1894,FIND("-",I1894)+1,99),"")</f>
        <v/>
      </c>
    </row>
    <row r="1895">
      <c r="B1895">
        <f>IFERROR(IF($B$1=0,"",IF(INDEX(貼り付け!$A$1:$BZ$3001,1894,$B$1)="","",IF(ISNUMBER(INDEX(貼り付け!$A$1:$BZ$3001,1894,$B$1)),INT(INDEX(貼り付け!$A$1:$BZ$3001,1894,$B$1)),DATE(VALUE(LEFT(I1895,FIND("-",I1895)-1)),VALUE(LEFT(J1895,FIND("-",J1895)-1)),VALUE(MID(J1895,FIND("-",J1895)+1,99)))))),"")</f>
        <v/>
      </c>
      <c r="C1895">
        <f>IF($C$1=0,0,IFERROR(VALUE(SUBSTITUTE(SUBSTITUTE(SUBSTITUTE(INDEX(貼り付け!$A$1:$BZ$3001,1894,$C$1)&amp;"",",",""),"¥",""),"￥","")),0))</f>
        <v/>
      </c>
      <c r="D1895">
        <f>IF($D$1=0,0,IFERROR(VALUE(SUBSTITUTE(SUBSTITUTE(SUBSTITUTE(INDEX(貼り付け!$A$1:$BZ$3001,1894,$D$1)&amp;"",",",""),"¥",""),"￥","")),0))</f>
        <v/>
      </c>
      <c r="E1895">
        <f>IF($E$1=0,0,IFERROR(VALUE(SUBSTITUTE(SUBSTITUTE(SUBSTITUTE(INDEX(貼り付け!$A$1:$BZ$3001,1894,$E$1)&amp;"",",",""),"¥",""),"￥","")),0))</f>
        <v/>
      </c>
      <c r="F1895">
        <f>IF($F$1=0,0,IFERROR(VALUE(SUBSTITUTE(SUBSTITUTE(SUBSTITUTE(INDEX(貼り付け!$A$1:$BZ$3001,1894,$F$1)&amp;"",",",""),"¥",""),"￥","")),0))</f>
        <v/>
      </c>
      <c r="G1895">
        <f>IF(ISNUMBER(B1895),YEAR(B1895),"")</f>
        <v/>
      </c>
      <c r="H1895">
        <f>IF(ISNUMBER(B1895),MONTH(B1895),"")</f>
        <v/>
      </c>
      <c r="I1895">
        <f>IFERROR(IF($B$1=0,"",IF(ISNUMBER(INDEX(貼り付け!$A$1:$BZ$3001,1894,$B$1)),"",SUBSTITUTE(SUBSTITUTE(SUBSTITUTE(SUBSTITUTE(TRIM(LEFT(INDEX(貼り付け!$A$1:$BZ$3001,1894,$B$1)&amp;"",FIND(" ",TRIM(INDEX(貼り付け!$A$1:$BZ$3001,1894,$B$1)&amp;"")&amp;" ")-1)),"/","-"),"年","-"),"月","-"),"日",""))),"")</f>
        <v/>
      </c>
      <c r="J1895">
        <f>IFERROR(MID(I1895,FIND("-",I1895)+1,99),"")</f>
        <v/>
      </c>
    </row>
    <row r="1896">
      <c r="B1896">
        <f>IFERROR(IF($B$1=0,"",IF(INDEX(貼り付け!$A$1:$BZ$3001,1895,$B$1)="","",IF(ISNUMBER(INDEX(貼り付け!$A$1:$BZ$3001,1895,$B$1)),INT(INDEX(貼り付け!$A$1:$BZ$3001,1895,$B$1)),DATE(VALUE(LEFT(I1896,FIND("-",I1896)-1)),VALUE(LEFT(J1896,FIND("-",J1896)-1)),VALUE(MID(J1896,FIND("-",J1896)+1,99)))))),"")</f>
        <v/>
      </c>
      <c r="C1896">
        <f>IF($C$1=0,0,IFERROR(VALUE(SUBSTITUTE(SUBSTITUTE(SUBSTITUTE(INDEX(貼り付け!$A$1:$BZ$3001,1895,$C$1)&amp;"",",",""),"¥",""),"￥","")),0))</f>
        <v/>
      </c>
      <c r="D1896">
        <f>IF($D$1=0,0,IFERROR(VALUE(SUBSTITUTE(SUBSTITUTE(SUBSTITUTE(INDEX(貼り付け!$A$1:$BZ$3001,1895,$D$1)&amp;"",",",""),"¥",""),"￥","")),0))</f>
        <v/>
      </c>
      <c r="E1896">
        <f>IF($E$1=0,0,IFERROR(VALUE(SUBSTITUTE(SUBSTITUTE(SUBSTITUTE(INDEX(貼り付け!$A$1:$BZ$3001,1895,$E$1)&amp;"",",",""),"¥",""),"￥","")),0))</f>
        <v/>
      </c>
      <c r="F1896">
        <f>IF($F$1=0,0,IFERROR(VALUE(SUBSTITUTE(SUBSTITUTE(SUBSTITUTE(INDEX(貼り付け!$A$1:$BZ$3001,1895,$F$1)&amp;"",",",""),"¥",""),"￥","")),0))</f>
        <v/>
      </c>
      <c r="G1896">
        <f>IF(ISNUMBER(B1896),YEAR(B1896),"")</f>
        <v/>
      </c>
      <c r="H1896">
        <f>IF(ISNUMBER(B1896),MONTH(B1896),"")</f>
        <v/>
      </c>
      <c r="I1896">
        <f>IFERROR(IF($B$1=0,"",IF(ISNUMBER(INDEX(貼り付け!$A$1:$BZ$3001,1895,$B$1)),"",SUBSTITUTE(SUBSTITUTE(SUBSTITUTE(SUBSTITUTE(TRIM(LEFT(INDEX(貼り付け!$A$1:$BZ$3001,1895,$B$1)&amp;"",FIND(" ",TRIM(INDEX(貼り付け!$A$1:$BZ$3001,1895,$B$1)&amp;"")&amp;" ")-1)),"/","-"),"年","-"),"月","-"),"日",""))),"")</f>
        <v/>
      </c>
      <c r="J1896">
        <f>IFERROR(MID(I1896,FIND("-",I1896)+1,99),"")</f>
        <v/>
      </c>
    </row>
    <row r="1897">
      <c r="B1897">
        <f>IFERROR(IF($B$1=0,"",IF(INDEX(貼り付け!$A$1:$BZ$3001,1896,$B$1)="","",IF(ISNUMBER(INDEX(貼り付け!$A$1:$BZ$3001,1896,$B$1)),INT(INDEX(貼り付け!$A$1:$BZ$3001,1896,$B$1)),DATE(VALUE(LEFT(I1897,FIND("-",I1897)-1)),VALUE(LEFT(J1897,FIND("-",J1897)-1)),VALUE(MID(J1897,FIND("-",J1897)+1,99)))))),"")</f>
        <v/>
      </c>
      <c r="C1897">
        <f>IF($C$1=0,0,IFERROR(VALUE(SUBSTITUTE(SUBSTITUTE(SUBSTITUTE(INDEX(貼り付け!$A$1:$BZ$3001,1896,$C$1)&amp;"",",",""),"¥",""),"￥","")),0))</f>
        <v/>
      </c>
      <c r="D1897">
        <f>IF($D$1=0,0,IFERROR(VALUE(SUBSTITUTE(SUBSTITUTE(SUBSTITUTE(INDEX(貼り付け!$A$1:$BZ$3001,1896,$D$1)&amp;"",",",""),"¥",""),"￥","")),0))</f>
        <v/>
      </c>
      <c r="E1897">
        <f>IF($E$1=0,0,IFERROR(VALUE(SUBSTITUTE(SUBSTITUTE(SUBSTITUTE(INDEX(貼り付け!$A$1:$BZ$3001,1896,$E$1)&amp;"",",",""),"¥",""),"￥","")),0))</f>
        <v/>
      </c>
      <c r="F1897">
        <f>IF($F$1=0,0,IFERROR(VALUE(SUBSTITUTE(SUBSTITUTE(SUBSTITUTE(INDEX(貼り付け!$A$1:$BZ$3001,1896,$F$1)&amp;"",",",""),"¥",""),"￥","")),0))</f>
        <v/>
      </c>
      <c r="G1897">
        <f>IF(ISNUMBER(B1897),YEAR(B1897),"")</f>
        <v/>
      </c>
      <c r="H1897">
        <f>IF(ISNUMBER(B1897),MONTH(B1897),"")</f>
        <v/>
      </c>
      <c r="I1897">
        <f>IFERROR(IF($B$1=0,"",IF(ISNUMBER(INDEX(貼り付け!$A$1:$BZ$3001,1896,$B$1)),"",SUBSTITUTE(SUBSTITUTE(SUBSTITUTE(SUBSTITUTE(TRIM(LEFT(INDEX(貼り付け!$A$1:$BZ$3001,1896,$B$1)&amp;"",FIND(" ",TRIM(INDEX(貼り付け!$A$1:$BZ$3001,1896,$B$1)&amp;"")&amp;" ")-1)),"/","-"),"年","-"),"月","-"),"日",""))),"")</f>
        <v/>
      </c>
      <c r="J1897">
        <f>IFERROR(MID(I1897,FIND("-",I1897)+1,99),"")</f>
        <v/>
      </c>
    </row>
    <row r="1898">
      <c r="B1898">
        <f>IFERROR(IF($B$1=0,"",IF(INDEX(貼り付け!$A$1:$BZ$3001,1897,$B$1)="","",IF(ISNUMBER(INDEX(貼り付け!$A$1:$BZ$3001,1897,$B$1)),INT(INDEX(貼り付け!$A$1:$BZ$3001,1897,$B$1)),DATE(VALUE(LEFT(I1898,FIND("-",I1898)-1)),VALUE(LEFT(J1898,FIND("-",J1898)-1)),VALUE(MID(J1898,FIND("-",J1898)+1,99)))))),"")</f>
        <v/>
      </c>
      <c r="C1898">
        <f>IF($C$1=0,0,IFERROR(VALUE(SUBSTITUTE(SUBSTITUTE(SUBSTITUTE(INDEX(貼り付け!$A$1:$BZ$3001,1897,$C$1)&amp;"",",",""),"¥",""),"￥","")),0))</f>
        <v/>
      </c>
      <c r="D1898">
        <f>IF($D$1=0,0,IFERROR(VALUE(SUBSTITUTE(SUBSTITUTE(SUBSTITUTE(INDEX(貼り付け!$A$1:$BZ$3001,1897,$D$1)&amp;"",",",""),"¥",""),"￥","")),0))</f>
        <v/>
      </c>
      <c r="E1898">
        <f>IF($E$1=0,0,IFERROR(VALUE(SUBSTITUTE(SUBSTITUTE(SUBSTITUTE(INDEX(貼り付け!$A$1:$BZ$3001,1897,$E$1)&amp;"",",",""),"¥",""),"￥","")),0))</f>
        <v/>
      </c>
      <c r="F1898">
        <f>IF($F$1=0,0,IFERROR(VALUE(SUBSTITUTE(SUBSTITUTE(SUBSTITUTE(INDEX(貼り付け!$A$1:$BZ$3001,1897,$F$1)&amp;"",",",""),"¥",""),"￥","")),0))</f>
        <v/>
      </c>
      <c r="G1898">
        <f>IF(ISNUMBER(B1898),YEAR(B1898),"")</f>
        <v/>
      </c>
      <c r="H1898">
        <f>IF(ISNUMBER(B1898),MONTH(B1898),"")</f>
        <v/>
      </c>
      <c r="I1898">
        <f>IFERROR(IF($B$1=0,"",IF(ISNUMBER(INDEX(貼り付け!$A$1:$BZ$3001,1897,$B$1)),"",SUBSTITUTE(SUBSTITUTE(SUBSTITUTE(SUBSTITUTE(TRIM(LEFT(INDEX(貼り付け!$A$1:$BZ$3001,1897,$B$1)&amp;"",FIND(" ",TRIM(INDEX(貼り付け!$A$1:$BZ$3001,1897,$B$1)&amp;"")&amp;" ")-1)),"/","-"),"年","-"),"月","-"),"日",""))),"")</f>
        <v/>
      </c>
      <c r="J1898">
        <f>IFERROR(MID(I1898,FIND("-",I1898)+1,99),"")</f>
        <v/>
      </c>
    </row>
    <row r="1899">
      <c r="B1899">
        <f>IFERROR(IF($B$1=0,"",IF(INDEX(貼り付け!$A$1:$BZ$3001,1898,$B$1)="","",IF(ISNUMBER(INDEX(貼り付け!$A$1:$BZ$3001,1898,$B$1)),INT(INDEX(貼り付け!$A$1:$BZ$3001,1898,$B$1)),DATE(VALUE(LEFT(I1899,FIND("-",I1899)-1)),VALUE(LEFT(J1899,FIND("-",J1899)-1)),VALUE(MID(J1899,FIND("-",J1899)+1,99)))))),"")</f>
        <v/>
      </c>
      <c r="C1899">
        <f>IF($C$1=0,0,IFERROR(VALUE(SUBSTITUTE(SUBSTITUTE(SUBSTITUTE(INDEX(貼り付け!$A$1:$BZ$3001,1898,$C$1)&amp;"",",",""),"¥",""),"￥","")),0))</f>
        <v/>
      </c>
      <c r="D1899">
        <f>IF($D$1=0,0,IFERROR(VALUE(SUBSTITUTE(SUBSTITUTE(SUBSTITUTE(INDEX(貼り付け!$A$1:$BZ$3001,1898,$D$1)&amp;"",",",""),"¥",""),"￥","")),0))</f>
        <v/>
      </c>
      <c r="E1899">
        <f>IF($E$1=0,0,IFERROR(VALUE(SUBSTITUTE(SUBSTITUTE(SUBSTITUTE(INDEX(貼り付け!$A$1:$BZ$3001,1898,$E$1)&amp;"",",",""),"¥",""),"￥","")),0))</f>
        <v/>
      </c>
      <c r="F1899">
        <f>IF($F$1=0,0,IFERROR(VALUE(SUBSTITUTE(SUBSTITUTE(SUBSTITUTE(INDEX(貼り付け!$A$1:$BZ$3001,1898,$F$1)&amp;"",",",""),"¥",""),"￥","")),0))</f>
        <v/>
      </c>
      <c r="G1899">
        <f>IF(ISNUMBER(B1899),YEAR(B1899),"")</f>
        <v/>
      </c>
      <c r="H1899">
        <f>IF(ISNUMBER(B1899),MONTH(B1899),"")</f>
        <v/>
      </c>
      <c r="I1899">
        <f>IFERROR(IF($B$1=0,"",IF(ISNUMBER(INDEX(貼り付け!$A$1:$BZ$3001,1898,$B$1)),"",SUBSTITUTE(SUBSTITUTE(SUBSTITUTE(SUBSTITUTE(TRIM(LEFT(INDEX(貼り付け!$A$1:$BZ$3001,1898,$B$1)&amp;"",FIND(" ",TRIM(INDEX(貼り付け!$A$1:$BZ$3001,1898,$B$1)&amp;"")&amp;" ")-1)),"/","-"),"年","-"),"月","-"),"日",""))),"")</f>
        <v/>
      </c>
      <c r="J1899">
        <f>IFERROR(MID(I1899,FIND("-",I1899)+1,99),"")</f>
        <v/>
      </c>
    </row>
    <row r="1900">
      <c r="B1900">
        <f>IFERROR(IF($B$1=0,"",IF(INDEX(貼り付け!$A$1:$BZ$3001,1899,$B$1)="","",IF(ISNUMBER(INDEX(貼り付け!$A$1:$BZ$3001,1899,$B$1)),INT(INDEX(貼り付け!$A$1:$BZ$3001,1899,$B$1)),DATE(VALUE(LEFT(I1900,FIND("-",I1900)-1)),VALUE(LEFT(J1900,FIND("-",J1900)-1)),VALUE(MID(J1900,FIND("-",J1900)+1,99)))))),"")</f>
        <v/>
      </c>
      <c r="C1900">
        <f>IF($C$1=0,0,IFERROR(VALUE(SUBSTITUTE(SUBSTITUTE(SUBSTITUTE(INDEX(貼り付け!$A$1:$BZ$3001,1899,$C$1)&amp;"",",",""),"¥",""),"￥","")),0))</f>
        <v/>
      </c>
      <c r="D1900">
        <f>IF($D$1=0,0,IFERROR(VALUE(SUBSTITUTE(SUBSTITUTE(SUBSTITUTE(INDEX(貼り付け!$A$1:$BZ$3001,1899,$D$1)&amp;"",",",""),"¥",""),"￥","")),0))</f>
        <v/>
      </c>
      <c r="E1900">
        <f>IF($E$1=0,0,IFERROR(VALUE(SUBSTITUTE(SUBSTITUTE(SUBSTITUTE(INDEX(貼り付け!$A$1:$BZ$3001,1899,$E$1)&amp;"",",",""),"¥",""),"￥","")),0))</f>
        <v/>
      </c>
      <c r="F1900">
        <f>IF($F$1=0,0,IFERROR(VALUE(SUBSTITUTE(SUBSTITUTE(SUBSTITUTE(INDEX(貼り付け!$A$1:$BZ$3001,1899,$F$1)&amp;"",",",""),"¥",""),"￥","")),0))</f>
        <v/>
      </c>
      <c r="G1900">
        <f>IF(ISNUMBER(B1900),YEAR(B1900),"")</f>
        <v/>
      </c>
      <c r="H1900">
        <f>IF(ISNUMBER(B1900),MONTH(B1900),"")</f>
        <v/>
      </c>
      <c r="I1900">
        <f>IFERROR(IF($B$1=0,"",IF(ISNUMBER(INDEX(貼り付け!$A$1:$BZ$3001,1899,$B$1)),"",SUBSTITUTE(SUBSTITUTE(SUBSTITUTE(SUBSTITUTE(TRIM(LEFT(INDEX(貼り付け!$A$1:$BZ$3001,1899,$B$1)&amp;"",FIND(" ",TRIM(INDEX(貼り付け!$A$1:$BZ$3001,1899,$B$1)&amp;"")&amp;" ")-1)),"/","-"),"年","-"),"月","-"),"日",""))),"")</f>
        <v/>
      </c>
      <c r="J1900">
        <f>IFERROR(MID(I1900,FIND("-",I1900)+1,99),"")</f>
        <v/>
      </c>
    </row>
    <row r="1901">
      <c r="B1901">
        <f>IFERROR(IF($B$1=0,"",IF(INDEX(貼り付け!$A$1:$BZ$3001,1900,$B$1)="","",IF(ISNUMBER(INDEX(貼り付け!$A$1:$BZ$3001,1900,$B$1)),INT(INDEX(貼り付け!$A$1:$BZ$3001,1900,$B$1)),DATE(VALUE(LEFT(I1901,FIND("-",I1901)-1)),VALUE(LEFT(J1901,FIND("-",J1901)-1)),VALUE(MID(J1901,FIND("-",J1901)+1,99)))))),"")</f>
        <v/>
      </c>
      <c r="C1901">
        <f>IF($C$1=0,0,IFERROR(VALUE(SUBSTITUTE(SUBSTITUTE(SUBSTITUTE(INDEX(貼り付け!$A$1:$BZ$3001,1900,$C$1)&amp;"",",",""),"¥",""),"￥","")),0))</f>
        <v/>
      </c>
      <c r="D1901">
        <f>IF($D$1=0,0,IFERROR(VALUE(SUBSTITUTE(SUBSTITUTE(SUBSTITUTE(INDEX(貼り付け!$A$1:$BZ$3001,1900,$D$1)&amp;"",",",""),"¥",""),"￥","")),0))</f>
        <v/>
      </c>
      <c r="E1901">
        <f>IF($E$1=0,0,IFERROR(VALUE(SUBSTITUTE(SUBSTITUTE(SUBSTITUTE(INDEX(貼り付け!$A$1:$BZ$3001,1900,$E$1)&amp;"",",",""),"¥",""),"￥","")),0))</f>
        <v/>
      </c>
      <c r="F1901">
        <f>IF($F$1=0,0,IFERROR(VALUE(SUBSTITUTE(SUBSTITUTE(SUBSTITUTE(INDEX(貼り付け!$A$1:$BZ$3001,1900,$F$1)&amp;"",",",""),"¥",""),"￥","")),0))</f>
        <v/>
      </c>
      <c r="G1901">
        <f>IF(ISNUMBER(B1901),YEAR(B1901),"")</f>
        <v/>
      </c>
      <c r="H1901">
        <f>IF(ISNUMBER(B1901),MONTH(B1901),"")</f>
        <v/>
      </c>
      <c r="I1901">
        <f>IFERROR(IF($B$1=0,"",IF(ISNUMBER(INDEX(貼り付け!$A$1:$BZ$3001,1900,$B$1)),"",SUBSTITUTE(SUBSTITUTE(SUBSTITUTE(SUBSTITUTE(TRIM(LEFT(INDEX(貼り付け!$A$1:$BZ$3001,1900,$B$1)&amp;"",FIND(" ",TRIM(INDEX(貼り付け!$A$1:$BZ$3001,1900,$B$1)&amp;"")&amp;" ")-1)),"/","-"),"年","-"),"月","-"),"日",""))),"")</f>
        <v/>
      </c>
      <c r="J1901">
        <f>IFERROR(MID(I1901,FIND("-",I1901)+1,99),"")</f>
        <v/>
      </c>
    </row>
    <row r="1902">
      <c r="B1902">
        <f>IFERROR(IF($B$1=0,"",IF(INDEX(貼り付け!$A$1:$BZ$3001,1901,$B$1)="","",IF(ISNUMBER(INDEX(貼り付け!$A$1:$BZ$3001,1901,$B$1)),INT(INDEX(貼り付け!$A$1:$BZ$3001,1901,$B$1)),DATE(VALUE(LEFT(I1902,FIND("-",I1902)-1)),VALUE(LEFT(J1902,FIND("-",J1902)-1)),VALUE(MID(J1902,FIND("-",J1902)+1,99)))))),"")</f>
        <v/>
      </c>
      <c r="C1902">
        <f>IF($C$1=0,0,IFERROR(VALUE(SUBSTITUTE(SUBSTITUTE(SUBSTITUTE(INDEX(貼り付け!$A$1:$BZ$3001,1901,$C$1)&amp;"",",",""),"¥",""),"￥","")),0))</f>
        <v/>
      </c>
      <c r="D1902">
        <f>IF($D$1=0,0,IFERROR(VALUE(SUBSTITUTE(SUBSTITUTE(SUBSTITUTE(INDEX(貼り付け!$A$1:$BZ$3001,1901,$D$1)&amp;"",",",""),"¥",""),"￥","")),0))</f>
        <v/>
      </c>
      <c r="E1902">
        <f>IF($E$1=0,0,IFERROR(VALUE(SUBSTITUTE(SUBSTITUTE(SUBSTITUTE(INDEX(貼り付け!$A$1:$BZ$3001,1901,$E$1)&amp;"",",",""),"¥",""),"￥","")),0))</f>
        <v/>
      </c>
      <c r="F1902">
        <f>IF($F$1=0,0,IFERROR(VALUE(SUBSTITUTE(SUBSTITUTE(SUBSTITUTE(INDEX(貼り付け!$A$1:$BZ$3001,1901,$F$1)&amp;"",",",""),"¥",""),"￥","")),0))</f>
        <v/>
      </c>
      <c r="G1902">
        <f>IF(ISNUMBER(B1902),YEAR(B1902),"")</f>
        <v/>
      </c>
      <c r="H1902">
        <f>IF(ISNUMBER(B1902),MONTH(B1902),"")</f>
        <v/>
      </c>
      <c r="I1902">
        <f>IFERROR(IF($B$1=0,"",IF(ISNUMBER(INDEX(貼り付け!$A$1:$BZ$3001,1901,$B$1)),"",SUBSTITUTE(SUBSTITUTE(SUBSTITUTE(SUBSTITUTE(TRIM(LEFT(INDEX(貼り付け!$A$1:$BZ$3001,1901,$B$1)&amp;"",FIND(" ",TRIM(INDEX(貼り付け!$A$1:$BZ$3001,1901,$B$1)&amp;"")&amp;" ")-1)),"/","-"),"年","-"),"月","-"),"日",""))),"")</f>
        <v/>
      </c>
      <c r="J1902">
        <f>IFERROR(MID(I1902,FIND("-",I1902)+1,99),"")</f>
        <v/>
      </c>
    </row>
    <row r="1903">
      <c r="B1903">
        <f>IFERROR(IF($B$1=0,"",IF(INDEX(貼り付け!$A$1:$BZ$3001,1902,$B$1)="","",IF(ISNUMBER(INDEX(貼り付け!$A$1:$BZ$3001,1902,$B$1)),INT(INDEX(貼り付け!$A$1:$BZ$3001,1902,$B$1)),DATE(VALUE(LEFT(I1903,FIND("-",I1903)-1)),VALUE(LEFT(J1903,FIND("-",J1903)-1)),VALUE(MID(J1903,FIND("-",J1903)+1,99)))))),"")</f>
        <v/>
      </c>
      <c r="C1903">
        <f>IF($C$1=0,0,IFERROR(VALUE(SUBSTITUTE(SUBSTITUTE(SUBSTITUTE(INDEX(貼り付け!$A$1:$BZ$3001,1902,$C$1)&amp;"",",",""),"¥",""),"￥","")),0))</f>
        <v/>
      </c>
      <c r="D1903">
        <f>IF($D$1=0,0,IFERROR(VALUE(SUBSTITUTE(SUBSTITUTE(SUBSTITUTE(INDEX(貼り付け!$A$1:$BZ$3001,1902,$D$1)&amp;"",",",""),"¥",""),"￥","")),0))</f>
        <v/>
      </c>
      <c r="E1903">
        <f>IF($E$1=0,0,IFERROR(VALUE(SUBSTITUTE(SUBSTITUTE(SUBSTITUTE(INDEX(貼り付け!$A$1:$BZ$3001,1902,$E$1)&amp;"",",",""),"¥",""),"￥","")),0))</f>
        <v/>
      </c>
      <c r="F1903">
        <f>IF($F$1=0,0,IFERROR(VALUE(SUBSTITUTE(SUBSTITUTE(SUBSTITUTE(INDEX(貼り付け!$A$1:$BZ$3001,1902,$F$1)&amp;"",",",""),"¥",""),"￥","")),0))</f>
        <v/>
      </c>
      <c r="G1903">
        <f>IF(ISNUMBER(B1903),YEAR(B1903),"")</f>
        <v/>
      </c>
      <c r="H1903">
        <f>IF(ISNUMBER(B1903),MONTH(B1903),"")</f>
        <v/>
      </c>
      <c r="I1903">
        <f>IFERROR(IF($B$1=0,"",IF(ISNUMBER(INDEX(貼り付け!$A$1:$BZ$3001,1902,$B$1)),"",SUBSTITUTE(SUBSTITUTE(SUBSTITUTE(SUBSTITUTE(TRIM(LEFT(INDEX(貼り付け!$A$1:$BZ$3001,1902,$B$1)&amp;"",FIND(" ",TRIM(INDEX(貼り付け!$A$1:$BZ$3001,1902,$B$1)&amp;"")&amp;" ")-1)),"/","-"),"年","-"),"月","-"),"日",""))),"")</f>
        <v/>
      </c>
      <c r="J1903">
        <f>IFERROR(MID(I1903,FIND("-",I1903)+1,99),"")</f>
        <v/>
      </c>
    </row>
    <row r="1904">
      <c r="B1904">
        <f>IFERROR(IF($B$1=0,"",IF(INDEX(貼り付け!$A$1:$BZ$3001,1903,$B$1)="","",IF(ISNUMBER(INDEX(貼り付け!$A$1:$BZ$3001,1903,$B$1)),INT(INDEX(貼り付け!$A$1:$BZ$3001,1903,$B$1)),DATE(VALUE(LEFT(I1904,FIND("-",I1904)-1)),VALUE(LEFT(J1904,FIND("-",J1904)-1)),VALUE(MID(J1904,FIND("-",J1904)+1,99)))))),"")</f>
        <v/>
      </c>
      <c r="C1904">
        <f>IF($C$1=0,0,IFERROR(VALUE(SUBSTITUTE(SUBSTITUTE(SUBSTITUTE(INDEX(貼り付け!$A$1:$BZ$3001,1903,$C$1)&amp;"",",",""),"¥",""),"￥","")),0))</f>
        <v/>
      </c>
      <c r="D1904">
        <f>IF($D$1=0,0,IFERROR(VALUE(SUBSTITUTE(SUBSTITUTE(SUBSTITUTE(INDEX(貼り付け!$A$1:$BZ$3001,1903,$D$1)&amp;"",",",""),"¥",""),"￥","")),0))</f>
        <v/>
      </c>
      <c r="E1904">
        <f>IF($E$1=0,0,IFERROR(VALUE(SUBSTITUTE(SUBSTITUTE(SUBSTITUTE(INDEX(貼り付け!$A$1:$BZ$3001,1903,$E$1)&amp;"",",",""),"¥",""),"￥","")),0))</f>
        <v/>
      </c>
      <c r="F1904">
        <f>IF($F$1=0,0,IFERROR(VALUE(SUBSTITUTE(SUBSTITUTE(SUBSTITUTE(INDEX(貼り付け!$A$1:$BZ$3001,1903,$F$1)&amp;"",",",""),"¥",""),"￥","")),0))</f>
        <v/>
      </c>
      <c r="G1904">
        <f>IF(ISNUMBER(B1904),YEAR(B1904),"")</f>
        <v/>
      </c>
      <c r="H1904">
        <f>IF(ISNUMBER(B1904),MONTH(B1904),"")</f>
        <v/>
      </c>
      <c r="I1904">
        <f>IFERROR(IF($B$1=0,"",IF(ISNUMBER(INDEX(貼り付け!$A$1:$BZ$3001,1903,$B$1)),"",SUBSTITUTE(SUBSTITUTE(SUBSTITUTE(SUBSTITUTE(TRIM(LEFT(INDEX(貼り付け!$A$1:$BZ$3001,1903,$B$1)&amp;"",FIND(" ",TRIM(INDEX(貼り付け!$A$1:$BZ$3001,1903,$B$1)&amp;"")&amp;" ")-1)),"/","-"),"年","-"),"月","-"),"日",""))),"")</f>
        <v/>
      </c>
      <c r="J1904">
        <f>IFERROR(MID(I1904,FIND("-",I1904)+1,99),"")</f>
        <v/>
      </c>
    </row>
    <row r="1905">
      <c r="B1905">
        <f>IFERROR(IF($B$1=0,"",IF(INDEX(貼り付け!$A$1:$BZ$3001,1904,$B$1)="","",IF(ISNUMBER(INDEX(貼り付け!$A$1:$BZ$3001,1904,$B$1)),INT(INDEX(貼り付け!$A$1:$BZ$3001,1904,$B$1)),DATE(VALUE(LEFT(I1905,FIND("-",I1905)-1)),VALUE(LEFT(J1905,FIND("-",J1905)-1)),VALUE(MID(J1905,FIND("-",J1905)+1,99)))))),"")</f>
        <v/>
      </c>
      <c r="C1905">
        <f>IF($C$1=0,0,IFERROR(VALUE(SUBSTITUTE(SUBSTITUTE(SUBSTITUTE(INDEX(貼り付け!$A$1:$BZ$3001,1904,$C$1)&amp;"",",",""),"¥",""),"￥","")),0))</f>
        <v/>
      </c>
      <c r="D1905">
        <f>IF($D$1=0,0,IFERROR(VALUE(SUBSTITUTE(SUBSTITUTE(SUBSTITUTE(INDEX(貼り付け!$A$1:$BZ$3001,1904,$D$1)&amp;"",",",""),"¥",""),"￥","")),0))</f>
        <v/>
      </c>
      <c r="E1905">
        <f>IF($E$1=0,0,IFERROR(VALUE(SUBSTITUTE(SUBSTITUTE(SUBSTITUTE(INDEX(貼り付け!$A$1:$BZ$3001,1904,$E$1)&amp;"",",",""),"¥",""),"￥","")),0))</f>
        <v/>
      </c>
      <c r="F1905">
        <f>IF($F$1=0,0,IFERROR(VALUE(SUBSTITUTE(SUBSTITUTE(SUBSTITUTE(INDEX(貼り付け!$A$1:$BZ$3001,1904,$F$1)&amp;"",",",""),"¥",""),"￥","")),0))</f>
        <v/>
      </c>
      <c r="G1905">
        <f>IF(ISNUMBER(B1905),YEAR(B1905),"")</f>
        <v/>
      </c>
      <c r="H1905">
        <f>IF(ISNUMBER(B1905),MONTH(B1905),"")</f>
        <v/>
      </c>
      <c r="I1905">
        <f>IFERROR(IF($B$1=0,"",IF(ISNUMBER(INDEX(貼り付け!$A$1:$BZ$3001,1904,$B$1)),"",SUBSTITUTE(SUBSTITUTE(SUBSTITUTE(SUBSTITUTE(TRIM(LEFT(INDEX(貼り付け!$A$1:$BZ$3001,1904,$B$1)&amp;"",FIND(" ",TRIM(INDEX(貼り付け!$A$1:$BZ$3001,1904,$B$1)&amp;"")&amp;" ")-1)),"/","-"),"年","-"),"月","-"),"日",""))),"")</f>
        <v/>
      </c>
      <c r="J1905">
        <f>IFERROR(MID(I1905,FIND("-",I1905)+1,99),"")</f>
        <v/>
      </c>
    </row>
    <row r="1906">
      <c r="B1906">
        <f>IFERROR(IF($B$1=0,"",IF(INDEX(貼り付け!$A$1:$BZ$3001,1905,$B$1)="","",IF(ISNUMBER(INDEX(貼り付け!$A$1:$BZ$3001,1905,$B$1)),INT(INDEX(貼り付け!$A$1:$BZ$3001,1905,$B$1)),DATE(VALUE(LEFT(I1906,FIND("-",I1906)-1)),VALUE(LEFT(J1906,FIND("-",J1906)-1)),VALUE(MID(J1906,FIND("-",J1906)+1,99)))))),"")</f>
        <v/>
      </c>
      <c r="C1906">
        <f>IF($C$1=0,0,IFERROR(VALUE(SUBSTITUTE(SUBSTITUTE(SUBSTITUTE(INDEX(貼り付け!$A$1:$BZ$3001,1905,$C$1)&amp;"",",",""),"¥",""),"￥","")),0))</f>
        <v/>
      </c>
      <c r="D1906">
        <f>IF($D$1=0,0,IFERROR(VALUE(SUBSTITUTE(SUBSTITUTE(SUBSTITUTE(INDEX(貼り付け!$A$1:$BZ$3001,1905,$D$1)&amp;"",",",""),"¥",""),"￥","")),0))</f>
        <v/>
      </c>
      <c r="E1906">
        <f>IF($E$1=0,0,IFERROR(VALUE(SUBSTITUTE(SUBSTITUTE(SUBSTITUTE(INDEX(貼り付け!$A$1:$BZ$3001,1905,$E$1)&amp;"",",",""),"¥",""),"￥","")),0))</f>
        <v/>
      </c>
      <c r="F1906">
        <f>IF($F$1=0,0,IFERROR(VALUE(SUBSTITUTE(SUBSTITUTE(SUBSTITUTE(INDEX(貼り付け!$A$1:$BZ$3001,1905,$F$1)&amp;"",",",""),"¥",""),"￥","")),0))</f>
        <v/>
      </c>
      <c r="G1906">
        <f>IF(ISNUMBER(B1906),YEAR(B1906),"")</f>
        <v/>
      </c>
      <c r="H1906">
        <f>IF(ISNUMBER(B1906),MONTH(B1906),"")</f>
        <v/>
      </c>
      <c r="I1906">
        <f>IFERROR(IF($B$1=0,"",IF(ISNUMBER(INDEX(貼り付け!$A$1:$BZ$3001,1905,$B$1)),"",SUBSTITUTE(SUBSTITUTE(SUBSTITUTE(SUBSTITUTE(TRIM(LEFT(INDEX(貼り付け!$A$1:$BZ$3001,1905,$B$1)&amp;"",FIND(" ",TRIM(INDEX(貼り付け!$A$1:$BZ$3001,1905,$B$1)&amp;"")&amp;" ")-1)),"/","-"),"年","-"),"月","-"),"日",""))),"")</f>
        <v/>
      </c>
      <c r="J1906">
        <f>IFERROR(MID(I1906,FIND("-",I1906)+1,99),"")</f>
        <v/>
      </c>
    </row>
    <row r="1907">
      <c r="B1907">
        <f>IFERROR(IF($B$1=0,"",IF(INDEX(貼り付け!$A$1:$BZ$3001,1906,$B$1)="","",IF(ISNUMBER(INDEX(貼り付け!$A$1:$BZ$3001,1906,$B$1)),INT(INDEX(貼り付け!$A$1:$BZ$3001,1906,$B$1)),DATE(VALUE(LEFT(I1907,FIND("-",I1907)-1)),VALUE(LEFT(J1907,FIND("-",J1907)-1)),VALUE(MID(J1907,FIND("-",J1907)+1,99)))))),"")</f>
        <v/>
      </c>
      <c r="C1907">
        <f>IF($C$1=0,0,IFERROR(VALUE(SUBSTITUTE(SUBSTITUTE(SUBSTITUTE(INDEX(貼り付け!$A$1:$BZ$3001,1906,$C$1)&amp;"",",",""),"¥",""),"￥","")),0))</f>
        <v/>
      </c>
      <c r="D1907">
        <f>IF($D$1=0,0,IFERROR(VALUE(SUBSTITUTE(SUBSTITUTE(SUBSTITUTE(INDEX(貼り付け!$A$1:$BZ$3001,1906,$D$1)&amp;"",",",""),"¥",""),"￥","")),0))</f>
        <v/>
      </c>
      <c r="E1907">
        <f>IF($E$1=0,0,IFERROR(VALUE(SUBSTITUTE(SUBSTITUTE(SUBSTITUTE(INDEX(貼り付け!$A$1:$BZ$3001,1906,$E$1)&amp;"",",",""),"¥",""),"￥","")),0))</f>
        <v/>
      </c>
      <c r="F1907">
        <f>IF($F$1=0,0,IFERROR(VALUE(SUBSTITUTE(SUBSTITUTE(SUBSTITUTE(INDEX(貼り付け!$A$1:$BZ$3001,1906,$F$1)&amp;"",",",""),"¥",""),"￥","")),0))</f>
        <v/>
      </c>
      <c r="G1907">
        <f>IF(ISNUMBER(B1907),YEAR(B1907),"")</f>
        <v/>
      </c>
      <c r="H1907">
        <f>IF(ISNUMBER(B1907),MONTH(B1907),"")</f>
        <v/>
      </c>
      <c r="I1907">
        <f>IFERROR(IF($B$1=0,"",IF(ISNUMBER(INDEX(貼り付け!$A$1:$BZ$3001,1906,$B$1)),"",SUBSTITUTE(SUBSTITUTE(SUBSTITUTE(SUBSTITUTE(TRIM(LEFT(INDEX(貼り付け!$A$1:$BZ$3001,1906,$B$1)&amp;"",FIND(" ",TRIM(INDEX(貼り付け!$A$1:$BZ$3001,1906,$B$1)&amp;"")&amp;" ")-1)),"/","-"),"年","-"),"月","-"),"日",""))),"")</f>
        <v/>
      </c>
      <c r="J1907">
        <f>IFERROR(MID(I1907,FIND("-",I1907)+1,99),"")</f>
        <v/>
      </c>
    </row>
    <row r="1908">
      <c r="B1908">
        <f>IFERROR(IF($B$1=0,"",IF(INDEX(貼り付け!$A$1:$BZ$3001,1907,$B$1)="","",IF(ISNUMBER(INDEX(貼り付け!$A$1:$BZ$3001,1907,$B$1)),INT(INDEX(貼り付け!$A$1:$BZ$3001,1907,$B$1)),DATE(VALUE(LEFT(I1908,FIND("-",I1908)-1)),VALUE(LEFT(J1908,FIND("-",J1908)-1)),VALUE(MID(J1908,FIND("-",J1908)+1,99)))))),"")</f>
        <v/>
      </c>
      <c r="C1908">
        <f>IF($C$1=0,0,IFERROR(VALUE(SUBSTITUTE(SUBSTITUTE(SUBSTITUTE(INDEX(貼り付け!$A$1:$BZ$3001,1907,$C$1)&amp;"",",",""),"¥",""),"￥","")),0))</f>
        <v/>
      </c>
      <c r="D1908">
        <f>IF($D$1=0,0,IFERROR(VALUE(SUBSTITUTE(SUBSTITUTE(SUBSTITUTE(INDEX(貼り付け!$A$1:$BZ$3001,1907,$D$1)&amp;"",",",""),"¥",""),"￥","")),0))</f>
        <v/>
      </c>
      <c r="E1908">
        <f>IF($E$1=0,0,IFERROR(VALUE(SUBSTITUTE(SUBSTITUTE(SUBSTITUTE(INDEX(貼り付け!$A$1:$BZ$3001,1907,$E$1)&amp;"",",",""),"¥",""),"￥","")),0))</f>
        <v/>
      </c>
      <c r="F1908">
        <f>IF($F$1=0,0,IFERROR(VALUE(SUBSTITUTE(SUBSTITUTE(SUBSTITUTE(INDEX(貼り付け!$A$1:$BZ$3001,1907,$F$1)&amp;"",",",""),"¥",""),"￥","")),0))</f>
        <v/>
      </c>
      <c r="G1908">
        <f>IF(ISNUMBER(B1908),YEAR(B1908),"")</f>
        <v/>
      </c>
      <c r="H1908">
        <f>IF(ISNUMBER(B1908),MONTH(B1908),"")</f>
        <v/>
      </c>
      <c r="I1908">
        <f>IFERROR(IF($B$1=0,"",IF(ISNUMBER(INDEX(貼り付け!$A$1:$BZ$3001,1907,$B$1)),"",SUBSTITUTE(SUBSTITUTE(SUBSTITUTE(SUBSTITUTE(TRIM(LEFT(INDEX(貼り付け!$A$1:$BZ$3001,1907,$B$1)&amp;"",FIND(" ",TRIM(INDEX(貼り付け!$A$1:$BZ$3001,1907,$B$1)&amp;"")&amp;" ")-1)),"/","-"),"年","-"),"月","-"),"日",""))),"")</f>
        <v/>
      </c>
      <c r="J1908">
        <f>IFERROR(MID(I1908,FIND("-",I1908)+1,99),"")</f>
        <v/>
      </c>
    </row>
    <row r="1909">
      <c r="B1909">
        <f>IFERROR(IF($B$1=0,"",IF(INDEX(貼り付け!$A$1:$BZ$3001,1908,$B$1)="","",IF(ISNUMBER(INDEX(貼り付け!$A$1:$BZ$3001,1908,$B$1)),INT(INDEX(貼り付け!$A$1:$BZ$3001,1908,$B$1)),DATE(VALUE(LEFT(I1909,FIND("-",I1909)-1)),VALUE(LEFT(J1909,FIND("-",J1909)-1)),VALUE(MID(J1909,FIND("-",J1909)+1,99)))))),"")</f>
        <v/>
      </c>
      <c r="C1909">
        <f>IF($C$1=0,0,IFERROR(VALUE(SUBSTITUTE(SUBSTITUTE(SUBSTITUTE(INDEX(貼り付け!$A$1:$BZ$3001,1908,$C$1)&amp;"",",",""),"¥",""),"￥","")),0))</f>
        <v/>
      </c>
      <c r="D1909">
        <f>IF($D$1=0,0,IFERROR(VALUE(SUBSTITUTE(SUBSTITUTE(SUBSTITUTE(INDEX(貼り付け!$A$1:$BZ$3001,1908,$D$1)&amp;"",",",""),"¥",""),"￥","")),0))</f>
        <v/>
      </c>
      <c r="E1909">
        <f>IF($E$1=0,0,IFERROR(VALUE(SUBSTITUTE(SUBSTITUTE(SUBSTITUTE(INDEX(貼り付け!$A$1:$BZ$3001,1908,$E$1)&amp;"",",",""),"¥",""),"￥","")),0))</f>
        <v/>
      </c>
      <c r="F1909">
        <f>IF($F$1=0,0,IFERROR(VALUE(SUBSTITUTE(SUBSTITUTE(SUBSTITUTE(INDEX(貼り付け!$A$1:$BZ$3001,1908,$F$1)&amp;"",",",""),"¥",""),"￥","")),0))</f>
        <v/>
      </c>
      <c r="G1909">
        <f>IF(ISNUMBER(B1909),YEAR(B1909),"")</f>
        <v/>
      </c>
      <c r="H1909">
        <f>IF(ISNUMBER(B1909),MONTH(B1909),"")</f>
        <v/>
      </c>
      <c r="I1909">
        <f>IFERROR(IF($B$1=0,"",IF(ISNUMBER(INDEX(貼り付け!$A$1:$BZ$3001,1908,$B$1)),"",SUBSTITUTE(SUBSTITUTE(SUBSTITUTE(SUBSTITUTE(TRIM(LEFT(INDEX(貼り付け!$A$1:$BZ$3001,1908,$B$1)&amp;"",FIND(" ",TRIM(INDEX(貼り付け!$A$1:$BZ$3001,1908,$B$1)&amp;"")&amp;" ")-1)),"/","-"),"年","-"),"月","-"),"日",""))),"")</f>
        <v/>
      </c>
      <c r="J1909">
        <f>IFERROR(MID(I1909,FIND("-",I1909)+1,99),"")</f>
        <v/>
      </c>
    </row>
    <row r="1910">
      <c r="B1910">
        <f>IFERROR(IF($B$1=0,"",IF(INDEX(貼り付け!$A$1:$BZ$3001,1909,$B$1)="","",IF(ISNUMBER(INDEX(貼り付け!$A$1:$BZ$3001,1909,$B$1)),INT(INDEX(貼り付け!$A$1:$BZ$3001,1909,$B$1)),DATE(VALUE(LEFT(I1910,FIND("-",I1910)-1)),VALUE(LEFT(J1910,FIND("-",J1910)-1)),VALUE(MID(J1910,FIND("-",J1910)+1,99)))))),"")</f>
        <v/>
      </c>
      <c r="C1910">
        <f>IF($C$1=0,0,IFERROR(VALUE(SUBSTITUTE(SUBSTITUTE(SUBSTITUTE(INDEX(貼り付け!$A$1:$BZ$3001,1909,$C$1)&amp;"",",",""),"¥",""),"￥","")),0))</f>
        <v/>
      </c>
      <c r="D1910">
        <f>IF($D$1=0,0,IFERROR(VALUE(SUBSTITUTE(SUBSTITUTE(SUBSTITUTE(INDEX(貼り付け!$A$1:$BZ$3001,1909,$D$1)&amp;"",",",""),"¥",""),"￥","")),0))</f>
        <v/>
      </c>
      <c r="E1910">
        <f>IF($E$1=0,0,IFERROR(VALUE(SUBSTITUTE(SUBSTITUTE(SUBSTITUTE(INDEX(貼り付け!$A$1:$BZ$3001,1909,$E$1)&amp;"",",",""),"¥",""),"￥","")),0))</f>
        <v/>
      </c>
      <c r="F1910">
        <f>IF($F$1=0,0,IFERROR(VALUE(SUBSTITUTE(SUBSTITUTE(SUBSTITUTE(INDEX(貼り付け!$A$1:$BZ$3001,1909,$F$1)&amp;"",",",""),"¥",""),"￥","")),0))</f>
        <v/>
      </c>
      <c r="G1910">
        <f>IF(ISNUMBER(B1910),YEAR(B1910),"")</f>
        <v/>
      </c>
      <c r="H1910">
        <f>IF(ISNUMBER(B1910),MONTH(B1910),"")</f>
        <v/>
      </c>
      <c r="I1910">
        <f>IFERROR(IF($B$1=0,"",IF(ISNUMBER(INDEX(貼り付け!$A$1:$BZ$3001,1909,$B$1)),"",SUBSTITUTE(SUBSTITUTE(SUBSTITUTE(SUBSTITUTE(TRIM(LEFT(INDEX(貼り付け!$A$1:$BZ$3001,1909,$B$1)&amp;"",FIND(" ",TRIM(INDEX(貼り付け!$A$1:$BZ$3001,1909,$B$1)&amp;"")&amp;" ")-1)),"/","-"),"年","-"),"月","-"),"日",""))),"")</f>
        <v/>
      </c>
      <c r="J1910">
        <f>IFERROR(MID(I1910,FIND("-",I1910)+1,99),"")</f>
        <v/>
      </c>
    </row>
    <row r="1911">
      <c r="B1911">
        <f>IFERROR(IF($B$1=0,"",IF(INDEX(貼り付け!$A$1:$BZ$3001,1910,$B$1)="","",IF(ISNUMBER(INDEX(貼り付け!$A$1:$BZ$3001,1910,$B$1)),INT(INDEX(貼り付け!$A$1:$BZ$3001,1910,$B$1)),DATE(VALUE(LEFT(I1911,FIND("-",I1911)-1)),VALUE(LEFT(J1911,FIND("-",J1911)-1)),VALUE(MID(J1911,FIND("-",J1911)+1,99)))))),"")</f>
        <v/>
      </c>
      <c r="C1911">
        <f>IF($C$1=0,0,IFERROR(VALUE(SUBSTITUTE(SUBSTITUTE(SUBSTITUTE(INDEX(貼り付け!$A$1:$BZ$3001,1910,$C$1)&amp;"",",",""),"¥",""),"￥","")),0))</f>
        <v/>
      </c>
      <c r="D1911">
        <f>IF($D$1=0,0,IFERROR(VALUE(SUBSTITUTE(SUBSTITUTE(SUBSTITUTE(INDEX(貼り付け!$A$1:$BZ$3001,1910,$D$1)&amp;"",",",""),"¥",""),"￥","")),0))</f>
        <v/>
      </c>
      <c r="E1911">
        <f>IF($E$1=0,0,IFERROR(VALUE(SUBSTITUTE(SUBSTITUTE(SUBSTITUTE(INDEX(貼り付け!$A$1:$BZ$3001,1910,$E$1)&amp;"",",",""),"¥",""),"￥","")),0))</f>
        <v/>
      </c>
      <c r="F1911">
        <f>IF($F$1=0,0,IFERROR(VALUE(SUBSTITUTE(SUBSTITUTE(SUBSTITUTE(INDEX(貼り付け!$A$1:$BZ$3001,1910,$F$1)&amp;"",",",""),"¥",""),"￥","")),0))</f>
        <v/>
      </c>
      <c r="G1911">
        <f>IF(ISNUMBER(B1911),YEAR(B1911),"")</f>
        <v/>
      </c>
      <c r="H1911">
        <f>IF(ISNUMBER(B1911),MONTH(B1911),"")</f>
        <v/>
      </c>
      <c r="I1911">
        <f>IFERROR(IF($B$1=0,"",IF(ISNUMBER(INDEX(貼り付け!$A$1:$BZ$3001,1910,$B$1)),"",SUBSTITUTE(SUBSTITUTE(SUBSTITUTE(SUBSTITUTE(TRIM(LEFT(INDEX(貼り付け!$A$1:$BZ$3001,1910,$B$1)&amp;"",FIND(" ",TRIM(INDEX(貼り付け!$A$1:$BZ$3001,1910,$B$1)&amp;"")&amp;" ")-1)),"/","-"),"年","-"),"月","-"),"日",""))),"")</f>
        <v/>
      </c>
      <c r="J1911">
        <f>IFERROR(MID(I1911,FIND("-",I1911)+1,99),"")</f>
        <v/>
      </c>
    </row>
    <row r="1912">
      <c r="B1912">
        <f>IFERROR(IF($B$1=0,"",IF(INDEX(貼り付け!$A$1:$BZ$3001,1911,$B$1)="","",IF(ISNUMBER(INDEX(貼り付け!$A$1:$BZ$3001,1911,$B$1)),INT(INDEX(貼り付け!$A$1:$BZ$3001,1911,$B$1)),DATE(VALUE(LEFT(I1912,FIND("-",I1912)-1)),VALUE(LEFT(J1912,FIND("-",J1912)-1)),VALUE(MID(J1912,FIND("-",J1912)+1,99)))))),"")</f>
        <v/>
      </c>
      <c r="C1912">
        <f>IF($C$1=0,0,IFERROR(VALUE(SUBSTITUTE(SUBSTITUTE(SUBSTITUTE(INDEX(貼り付け!$A$1:$BZ$3001,1911,$C$1)&amp;"",",",""),"¥",""),"￥","")),0))</f>
        <v/>
      </c>
      <c r="D1912">
        <f>IF($D$1=0,0,IFERROR(VALUE(SUBSTITUTE(SUBSTITUTE(SUBSTITUTE(INDEX(貼り付け!$A$1:$BZ$3001,1911,$D$1)&amp;"",",",""),"¥",""),"￥","")),0))</f>
        <v/>
      </c>
      <c r="E1912">
        <f>IF($E$1=0,0,IFERROR(VALUE(SUBSTITUTE(SUBSTITUTE(SUBSTITUTE(INDEX(貼り付け!$A$1:$BZ$3001,1911,$E$1)&amp;"",",",""),"¥",""),"￥","")),0))</f>
        <v/>
      </c>
      <c r="F1912">
        <f>IF($F$1=0,0,IFERROR(VALUE(SUBSTITUTE(SUBSTITUTE(SUBSTITUTE(INDEX(貼り付け!$A$1:$BZ$3001,1911,$F$1)&amp;"",",",""),"¥",""),"￥","")),0))</f>
        <v/>
      </c>
      <c r="G1912">
        <f>IF(ISNUMBER(B1912),YEAR(B1912),"")</f>
        <v/>
      </c>
      <c r="H1912">
        <f>IF(ISNUMBER(B1912),MONTH(B1912),"")</f>
        <v/>
      </c>
      <c r="I1912">
        <f>IFERROR(IF($B$1=0,"",IF(ISNUMBER(INDEX(貼り付け!$A$1:$BZ$3001,1911,$B$1)),"",SUBSTITUTE(SUBSTITUTE(SUBSTITUTE(SUBSTITUTE(TRIM(LEFT(INDEX(貼り付け!$A$1:$BZ$3001,1911,$B$1)&amp;"",FIND(" ",TRIM(INDEX(貼り付け!$A$1:$BZ$3001,1911,$B$1)&amp;"")&amp;" ")-1)),"/","-"),"年","-"),"月","-"),"日",""))),"")</f>
        <v/>
      </c>
      <c r="J1912">
        <f>IFERROR(MID(I1912,FIND("-",I1912)+1,99),"")</f>
        <v/>
      </c>
    </row>
    <row r="1913">
      <c r="B1913">
        <f>IFERROR(IF($B$1=0,"",IF(INDEX(貼り付け!$A$1:$BZ$3001,1912,$B$1)="","",IF(ISNUMBER(INDEX(貼り付け!$A$1:$BZ$3001,1912,$B$1)),INT(INDEX(貼り付け!$A$1:$BZ$3001,1912,$B$1)),DATE(VALUE(LEFT(I1913,FIND("-",I1913)-1)),VALUE(LEFT(J1913,FIND("-",J1913)-1)),VALUE(MID(J1913,FIND("-",J1913)+1,99)))))),"")</f>
        <v/>
      </c>
      <c r="C1913">
        <f>IF($C$1=0,0,IFERROR(VALUE(SUBSTITUTE(SUBSTITUTE(SUBSTITUTE(INDEX(貼り付け!$A$1:$BZ$3001,1912,$C$1)&amp;"",",",""),"¥",""),"￥","")),0))</f>
        <v/>
      </c>
      <c r="D1913">
        <f>IF($D$1=0,0,IFERROR(VALUE(SUBSTITUTE(SUBSTITUTE(SUBSTITUTE(INDEX(貼り付け!$A$1:$BZ$3001,1912,$D$1)&amp;"",",",""),"¥",""),"￥","")),0))</f>
        <v/>
      </c>
      <c r="E1913">
        <f>IF($E$1=0,0,IFERROR(VALUE(SUBSTITUTE(SUBSTITUTE(SUBSTITUTE(INDEX(貼り付け!$A$1:$BZ$3001,1912,$E$1)&amp;"",",",""),"¥",""),"￥","")),0))</f>
        <v/>
      </c>
      <c r="F1913">
        <f>IF($F$1=0,0,IFERROR(VALUE(SUBSTITUTE(SUBSTITUTE(SUBSTITUTE(INDEX(貼り付け!$A$1:$BZ$3001,1912,$F$1)&amp;"",",",""),"¥",""),"￥","")),0))</f>
        <v/>
      </c>
      <c r="G1913">
        <f>IF(ISNUMBER(B1913),YEAR(B1913),"")</f>
        <v/>
      </c>
      <c r="H1913">
        <f>IF(ISNUMBER(B1913),MONTH(B1913),"")</f>
        <v/>
      </c>
      <c r="I1913">
        <f>IFERROR(IF($B$1=0,"",IF(ISNUMBER(INDEX(貼り付け!$A$1:$BZ$3001,1912,$B$1)),"",SUBSTITUTE(SUBSTITUTE(SUBSTITUTE(SUBSTITUTE(TRIM(LEFT(INDEX(貼り付け!$A$1:$BZ$3001,1912,$B$1)&amp;"",FIND(" ",TRIM(INDEX(貼り付け!$A$1:$BZ$3001,1912,$B$1)&amp;"")&amp;" ")-1)),"/","-"),"年","-"),"月","-"),"日",""))),"")</f>
        <v/>
      </c>
      <c r="J1913">
        <f>IFERROR(MID(I1913,FIND("-",I1913)+1,99),"")</f>
        <v/>
      </c>
    </row>
    <row r="1914">
      <c r="B1914">
        <f>IFERROR(IF($B$1=0,"",IF(INDEX(貼り付け!$A$1:$BZ$3001,1913,$B$1)="","",IF(ISNUMBER(INDEX(貼り付け!$A$1:$BZ$3001,1913,$B$1)),INT(INDEX(貼り付け!$A$1:$BZ$3001,1913,$B$1)),DATE(VALUE(LEFT(I1914,FIND("-",I1914)-1)),VALUE(LEFT(J1914,FIND("-",J1914)-1)),VALUE(MID(J1914,FIND("-",J1914)+1,99)))))),"")</f>
        <v/>
      </c>
      <c r="C1914">
        <f>IF($C$1=0,0,IFERROR(VALUE(SUBSTITUTE(SUBSTITUTE(SUBSTITUTE(INDEX(貼り付け!$A$1:$BZ$3001,1913,$C$1)&amp;"",",",""),"¥",""),"￥","")),0))</f>
        <v/>
      </c>
      <c r="D1914">
        <f>IF($D$1=0,0,IFERROR(VALUE(SUBSTITUTE(SUBSTITUTE(SUBSTITUTE(INDEX(貼り付け!$A$1:$BZ$3001,1913,$D$1)&amp;"",",",""),"¥",""),"￥","")),0))</f>
        <v/>
      </c>
      <c r="E1914">
        <f>IF($E$1=0,0,IFERROR(VALUE(SUBSTITUTE(SUBSTITUTE(SUBSTITUTE(INDEX(貼り付け!$A$1:$BZ$3001,1913,$E$1)&amp;"",",",""),"¥",""),"￥","")),0))</f>
        <v/>
      </c>
      <c r="F1914">
        <f>IF($F$1=0,0,IFERROR(VALUE(SUBSTITUTE(SUBSTITUTE(SUBSTITUTE(INDEX(貼り付け!$A$1:$BZ$3001,1913,$F$1)&amp;"",",",""),"¥",""),"￥","")),0))</f>
        <v/>
      </c>
      <c r="G1914">
        <f>IF(ISNUMBER(B1914),YEAR(B1914),"")</f>
        <v/>
      </c>
      <c r="H1914">
        <f>IF(ISNUMBER(B1914),MONTH(B1914),"")</f>
        <v/>
      </c>
      <c r="I1914">
        <f>IFERROR(IF($B$1=0,"",IF(ISNUMBER(INDEX(貼り付け!$A$1:$BZ$3001,1913,$B$1)),"",SUBSTITUTE(SUBSTITUTE(SUBSTITUTE(SUBSTITUTE(TRIM(LEFT(INDEX(貼り付け!$A$1:$BZ$3001,1913,$B$1)&amp;"",FIND(" ",TRIM(INDEX(貼り付け!$A$1:$BZ$3001,1913,$B$1)&amp;"")&amp;" ")-1)),"/","-"),"年","-"),"月","-"),"日",""))),"")</f>
        <v/>
      </c>
      <c r="J1914">
        <f>IFERROR(MID(I1914,FIND("-",I1914)+1,99),"")</f>
        <v/>
      </c>
    </row>
    <row r="1915">
      <c r="B1915">
        <f>IFERROR(IF($B$1=0,"",IF(INDEX(貼り付け!$A$1:$BZ$3001,1914,$B$1)="","",IF(ISNUMBER(INDEX(貼り付け!$A$1:$BZ$3001,1914,$B$1)),INT(INDEX(貼り付け!$A$1:$BZ$3001,1914,$B$1)),DATE(VALUE(LEFT(I1915,FIND("-",I1915)-1)),VALUE(LEFT(J1915,FIND("-",J1915)-1)),VALUE(MID(J1915,FIND("-",J1915)+1,99)))))),"")</f>
        <v/>
      </c>
      <c r="C1915">
        <f>IF($C$1=0,0,IFERROR(VALUE(SUBSTITUTE(SUBSTITUTE(SUBSTITUTE(INDEX(貼り付け!$A$1:$BZ$3001,1914,$C$1)&amp;"",",",""),"¥",""),"￥","")),0))</f>
        <v/>
      </c>
      <c r="D1915">
        <f>IF($D$1=0,0,IFERROR(VALUE(SUBSTITUTE(SUBSTITUTE(SUBSTITUTE(INDEX(貼り付け!$A$1:$BZ$3001,1914,$D$1)&amp;"",",",""),"¥",""),"￥","")),0))</f>
        <v/>
      </c>
      <c r="E1915">
        <f>IF($E$1=0,0,IFERROR(VALUE(SUBSTITUTE(SUBSTITUTE(SUBSTITUTE(INDEX(貼り付け!$A$1:$BZ$3001,1914,$E$1)&amp;"",",",""),"¥",""),"￥","")),0))</f>
        <v/>
      </c>
      <c r="F1915">
        <f>IF($F$1=0,0,IFERROR(VALUE(SUBSTITUTE(SUBSTITUTE(SUBSTITUTE(INDEX(貼り付け!$A$1:$BZ$3001,1914,$F$1)&amp;"",",",""),"¥",""),"￥","")),0))</f>
        <v/>
      </c>
      <c r="G1915">
        <f>IF(ISNUMBER(B1915),YEAR(B1915),"")</f>
        <v/>
      </c>
      <c r="H1915">
        <f>IF(ISNUMBER(B1915),MONTH(B1915),"")</f>
        <v/>
      </c>
      <c r="I1915">
        <f>IFERROR(IF($B$1=0,"",IF(ISNUMBER(INDEX(貼り付け!$A$1:$BZ$3001,1914,$B$1)),"",SUBSTITUTE(SUBSTITUTE(SUBSTITUTE(SUBSTITUTE(TRIM(LEFT(INDEX(貼り付け!$A$1:$BZ$3001,1914,$B$1)&amp;"",FIND(" ",TRIM(INDEX(貼り付け!$A$1:$BZ$3001,1914,$B$1)&amp;"")&amp;" ")-1)),"/","-"),"年","-"),"月","-"),"日",""))),"")</f>
        <v/>
      </c>
      <c r="J1915">
        <f>IFERROR(MID(I1915,FIND("-",I1915)+1,99),"")</f>
        <v/>
      </c>
    </row>
    <row r="1916">
      <c r="B1916">
        <f>IFERROR(IF($B$1=0,"",IF(INDEX(貼り付け!$A$1:$BZ$3001,1915,$B$1)="","",IF(ISNUMBER(INDEX(貼り付け!$A$1:$BZ$3001,1915,$B$1)),INT(INDEX(貼り付け!$A$1:$BZ$3001,1915,$B$1)),DATE(VALUE(LEFT(I1916,FIND("-",I1916)-1)),VALUE(LEFT(J1916,FIND("-",J1916)-1)),VALUE(MID(J1916,FIND("-",J1916)+1,99)))))),"")</f>
        <v/>
      </c>
      <c r="C1916">
        <f>IF($C$1=0,0,IFERROR(VALUE(SUBSTITUTE(SUBSTITUTE(SUBSTITUTE(INDEX(貼り付け!$A$1:$BZ$3001,1915,$C$1)&amp;"",",",""),"¥",""),"￥","")),0))</f>
        <v/>
      </c>
      <c r="D1916">
        <f>IF($D$1=0,0,IFERROR(VALUE(SUBSTITUTE(SUBSTITUTE(SUBSTITUTE(INDEX(貼り付け!$A$1:$BZ$3001,1915,$D$1)&amp;"",",",""),"¥",""),"￥","")),0))</f>
        <v/>
      </c>
      <c r="E1916">
        <f>IF($E$1=0,0,IFERROR(VALUE(SUBSTITUTE(SUBSTITUTE(SUBSTITUTE(INDEX(貼り付け!$A$1:$BZ$3001,1915,$E$1)&amp;"",",",""),"¥",""),"￥","")),0))</f>
        <v/>
      </c>
      <c r="F1916">
        <f>IF($F$1=0,0,IFERROR(VALUE(SUBSTITUTE(SUBSTITUTE(SUBSTITUTE(INDEX(貼り付け!$A$1:$BZ$3001,1915,$F$1)&amp;"",",",""),"¥",""),"￥","")),0))</f>
        <v/>
      </c>
      <c r="G1916">
        <f>IF(ISNUMBER(B1916),YEAR(B1916),"")</f>
        <v/>
      </c>
      <c r="H1916">
        <f>IF(ISNUMBER(B1916),MONTH(B1916),"")</f>
        <v/>
      </c>
      <c r="I1916">
        <f>IFERROR(IF($B$1=0,"",IF(ISNUMBER(INDEX(貼り付け!$A$1:$BZ$3001,1915,$B$1)),"",SUBSTITUTE(SUBSTITUTE(SUBSTITUTE(SUBSTITUTE(TRIM(LEFT(INDEX(貼り付け!$A$1:$BZ$3001,1915,$B$1)&amp;"",FIND(" ",TRIM(INDEX(貼り付け!$A$1:$BZ$3001,1915,$B$1)&amp;"")&amp;" ")-1)),"/","-"),"年","-"),"月","-"),"日",""))),"")</f>
        <v/>
      </c>
      <c r="J1916">
        <f>IFERROR(MID(I1916,FIND("-",I1916)+1,99),"")</f>
        <v/>
      </c>
    </row>
    <row r="1917">
      <c r="B1917">
        <f>IFERROR(IF($B$1=0,"",IF(INDEX(貼り付け!$A$1:$BZ$3001,1916,$B$1)="","",IF(ISNUMBER(INDEX(貼り付け!$A$1:$BZ$3001,1916,$B$1)),INT(INDEX(貼り付け!$A$1:$BZ$3001,1916,$B$1)),DATE(VALUE(LEFT(I1917,FIND("-",I1917)-1)),VALUE(LEFT(J1917,FIND("-",J1917)-1)),VALUE(MID(J1917,FIND("-",J1917)+1,99)))))),"")</f>
        <v/>
      </c>
      <c r="C1917">
        <f>IF($C$1=0,0,IFERROR(VALUE(SUBSTITUTE(SUBSTITUTE(SUBSTITUTE(INDEX(貼り付け!$A$1:$BZ$3001,1916,$C$1)&amp;"",",",""),"¥",""),"￥","")),0))</f>
        <v/>
      </c>
      <c r="D1917">
        <f>IF($D$1=0,0,IFERROR(VALUE(SUBSTITUTE(SUBSTITUTE(SUBSTITUTE(INDEX(貼り付け!$A$1:$BZ$3001,1916,$D$1)&amp;"",",",""),"¥",""),"￥","")),0))</f>
        <v/>
      </c>
      <c r="E1917">
        <f>IF($E$1=0,0,IFERROR(VALUE(SUBSTITUTE(SUBSTITUTE(SUBSTITUTE(INDEX(貼り付け!$A$1:$BZ$3001,1916,$E$1)&amp;"",",",""),"¥",""),"￥","")),0))</f>
        <v/>
      </c>
      <c r="F1917">
        <f>IF($F$1=0,0,IFERROR(VALUE(SUBSTITUTE(SUBSTITUTE(SUBSTITUTE(INDEX(貼り付け!$A$1:$BZ$3001,1916,$F$1)&amp;"",",",""),"¥",""),"￥","")),0))</f>
        <v/>
      </c>
      <c r="G1917">
        <f>IF(ISNUMBER(B1917),YEAR(B1917),"")</f>
        <v/>
      </c>
      <c r="H1917">
        <f>IF(ISNUMBER(B1917),MONTH(B1917),"")</f>
        <v/>
      </c>
      <c r="I1917">
        <f>IFERROR(IF($B$1=0,"",IF(ISNUMBER(INDEX(貼り付け!$A$1:$BZ$3001,1916,$B$1)),"",SUBSTITUTE(SUBSTITUTE(SUBSTITUTE(SUBSTITUTE(TRIM(LEFT(INDEX(貼り付け!$A$1:$BZ$3001,1916,$B$1)&amp;"",FIND(" ",TRIM(INDEX(貼り付け!$A$1:$BZ$3001,1916,$B$1)&amp;"")&amp;" ")-1)),"/","-"),"年","-"),"月","-"),"日",""))),"")</f>
        <v/>
      </c>
      <c r="J1917">
        <f>IFERROR(MID(I1917,FIND("-",I1917)+1,99),"")</f>
        <v/>
      </c>
    </row>
    <row r="1918">
      <c r="B1918">
        <f>IFERROR(IF($B$1=0,"",IF(INDEX(貼り付け!$A$1:$BZ$3001,1917,$B$1)="","",IF(ISNUMBER(INDEX(貼り付け!$A$1:$BZ$3001,1917,$B$1)),INT(INDEX(貼り付け!$A$1:$BZ$3001,1917,$B$1)),DATE(VALUE(LEFT(I1918,FIND("-",I1918)-1)),VALUE(LEFT(J1918,FIND("-",J1918)-1)),VALUE(MID(J1918,FIND("-",J1918)+1,99)))))),"")</f>
        <v/>
      </c>
      <c r="C1918">
        <f>IF($C$1=0,0,IFERROR(VALUE(SUBSTITUTE(SUBSTITUTE(SUBSTITUTE(INDEX(貼り付け!$A$1:$BZ$3001,1917,$C$1)&amp;"",",",""),"¥",""),"￥","")),0))</f>
        <v/>
      </c>
      <c r="D1918">
        <f>IF($D$1=0,0,IFERROR(VALUE(SUBSTITUTE(SUBSTITUTE(SUBSTITUTE(INDEX(貼り付け!$A$1:$BZ$3001,1917,$D$1)&amp;"",",",""),"¥",""),"￥","")),0))</f>
        <v/>
      </c>
      <c r="E1918">
        <f>IF($E$1=0,0,IFERROR(VALUE(SUBSTITUTE(SUBSTITUTE(SUBSTITUTE(INDEX(貼り付け!$A$1:$BZ$3001,1917,$E$1)&amp;"",",",""),"¥",""),"￥","")),0))</f>
        <v/>
      </c>
      <c r="F1918">
        <f>IF($F$1=0,0,IFERROR(VALUE(SUBSTITUTE(SUBSTITUTE(SUBSTITUTE(INDEX(貼り付け!$A$1:$BZ$3001,1917,$F$1)&amp;"",",",""),"¥",""),"￥","")),0))</f>
        <v/>
      </c>
      <c r="G1918">
        <f>IF(ISNUMBER(B1918),YEAR(B1918),"")</f>
        <v/>
      </c>
      <c r="H1918">
        <f>IF(ISNUMBER(B1918),MONTH(B1918),"")</f>
        <v/>
      </c>
      <c r="I1918">
        <f>IFERROR(IF($B$1=0,"",IF(ISNUMBER(INDEX(貼り付け!$A$1:$BZ$3001,1917,$B$1)),"",SUBSTITUTE(SUBSTITUTE(SUBSTITUTE(SUBSTITUTE(TRIM(LEFT(INDEX(貼り付け!$A$1:$BZ$3001,1917,$B$1)&amp;"",FIND(" ",TRIM(INDEX(貼り付け!$A$1:$BZ$3001,1917,$B$1)&amp;"")&amp;" ")-1)),"/","-"),"年","-"),"月","-"),"日",""))),"")</f>
        <v/>
      </c>
      <c r="J1918">
        <f>IFERROR(MID(I1918,FIND("-",I1918)+1,99),"")</f>
        <v/>
      </c>
    </row>
    <row r="1919">
      <c r="B1919">
        <f>IFERROR(IF($B$1=0,"",IF(INDEX(貼り付け!$A$1:$BZ$3001,1918,$B$1)="","",IF(ISNUMBER(INDEX(貼り付け!$A$1:$BZ$3001,1918,$B$1)),INT(INDEX(貼り付け!$A$1:$BZ$3001,1918,$B$1)),DATE(VALUE(LEFT(I1919,FIND("-",I1919)-1)),VALUE(LEFT(J1919,FIND("-",J1919)-1)),VALUE(MID(J1919,FIND("-",J1919)+1,99)))))),"")</f>
        <v/>
      </c>
      <c r="C1919">
        <f>IF($C$1=0,0,IFERROR(VALUE(SUBSTITUTE(SUBSTITUTE(SUBSTITUTE(INDEX(貼り付け!$A$1:$BZ$3001,1918,$C$1)&amp;"",",",""),"¥",""),"￥","")),0))</f>
        <v/>
      </c>
      <c r="D1919">
        <f>IF($D$1=0,0,IFERROR(VALUE(SUBSTITUTE(SUBSTITUTE(SUBSTITUTE(INDEX(貼り付け!$A$1:$BZ$3001,1918,$D$1)&amp;"",",",""),"¥",""),"￥","")),0))</f>
        <v/>
      </c>
      <c r="E1919">
        <f>IF($E$1=0,0,IFERROR(VALUE(SUBSTITUTE(SUBSTITUTE(SUBSTITUTE(INDEX(貼り付け!$A$1:$BZ$3001,1918,$E$1)&amp;"",",",""),"¥",""),"￥","")),0))</f>
        <v/>
      </c>
      <c r="F1919">
        <f>IF($F$1=0,0,IFERROR(VALUE(SUBSTITUTE(SUBSTITUTE(SUBSTITUTE(INDEX(貼り付け!$A$1:$BZ$3001,1918,$F$1)&amp;"",",",""),"¥",""),"￥","")),0))</f>
        <v/>
      </c>
      <c r="G1919">
        <f>IF(ISNUMBER(B1919),YEAR(B1919),"")</f>
        <v/>
      </c>
      <c r="H1919">
        <f>IF(ISNUMBER(B1919),MONTH(B1919),"")</f>
        <v/>
      </c>
      <c r="I1919">
        <f>IFERROR(IF($B$1=0,"",IF(ISNUMBER(INDEX(貼り付け!$A$1:$BZ$3001,1918,$B$1)),"",SUBSTITUTE(SUBSTITUTE(SUBSTITUTE(SUBSTITUTE(TRIM(LEFT(INDEX(貼り付け!$A$1:$BZ$3001,1918,$B$1)&amp;"",FIND(" ",TRIM(INDEX(貼り付け!$A$1:$BZ$3001,1918,$B$1)&amp;"")&amp;" ")-1)),"/","-"),"年","-"),"月","-"),"日",""))),"")</f>
        <v/>
      </c>
      <c r="J1919">
        <f>IFERROR(MID(I1919,FIND("-",I1919)+1,99),"")</f>
        <v/>
      </c>
    </row>
    <row r="1920">
      <c r="B1920">
        <f>IFERROR(IF($B$1=0,"",IF(INDEX(貼り付け!$A$1:$BZ$3001,1919,$B$1)="","",IF(ISNUMBER(INDEX(貼り付け!$A$1:$BZ$3001,1919,$B$1)),INT(INDEX(貼り付け!$A$1:$BZ$3001,1919,$B$1)),DATE(VALUE(LEFT(I1920,FIND("-",I1920)-1)),VALUE(LEFT(J1920,FIND("-",J1920)-1)),VALUE(MID(J1920,FIND("-",J1920)+1,99)))))),"")</f>
        <v/>
      </c>
      <c r="C1920">
        <f>IF($C$1=0,0,IFERROR(VALUE(SUBSTITUTE(SUBSTITUTE(SUBSTITUTE(INDEX(貼り付け!$A$1:$BZ$3001,1919,$C$1)&amp;"",",",""),"¥",""),"￥","")),0))</f>
        <v/>
      </c>
      <c r="D1920">
        <f>IF($D$1=0,0,IFERROR(VALUE(SUBSTITUTE(SUBSTITUTE(SUBSTITUTE(INDEX(貼り付け!$A$1:$BZ$3001,1919,$D$1)&amp;"",",",""),"¥",""),"￥","")),0))</f>
        <v/>
      </c>
      <c r="E1920">
        <f>IF($E$1=0,0,IFERROR(VALUE(SUBSTITUTE(SUBSTITUTE(SUBSTITUTE(INDEX(貼り付け!$A$1:$BZ$3001,1919,$E$1)&amp;"",",",""),"¥",""),"￥","")),0))</f>
        <v/>
      </c>
      <c r="F1920">
        <f>IF($F$1=0,0,IFERROR(VALUE(SUBSTITUTE(SUBSTITUTE(SUBSTITUTE(INDEX(貼り付け!$A$1:$BZ$3001,1919,$F$1)&amp;"",",",""),"¥",""),"￥","")),0))</f>
        <v/>
      </c>
      <c r="G1920">
        <f>IF(ISNUMBER(B1920),YEAR(B1920),"")</f>
        <v/>
      </c>
      <c r="H1920">
        <f>IF(ISNUMBER(B1920),MONTH(B1920),"")</f>
        <v/>
      </c>
      <c r="I1920">
        <f>IFERROR(IF($B$1=0,"",IF(ISNUMBER(INDEX(貼り付け!$A$1:$BZ$3001,1919,$B$1)),"",SUBSTITUTE(SUBSTITUTE(SUBSTITUTE(SUBSTITUTE(TRIM(LEFT(INDEX(貼り付け!$A$1:$BZ$3001,1919,$B$1)&amp;"",FIND(" ",TRIM(INDEX(貼り付け!$A$1:$BZ$3001,1919,$B$1)&amp;"")&amp;" ")-1)),"/","-"),"年","-"),"月","-"),"日",""))),"")</f>
        <v/>
      </c>
      <c r="J1920">
        <f>IFERROR(MID(I1920,FIND("-",I1920)+1,99),"")</f>
        <v/>
      </c>
    </row>
    <row r="1921">
      <c r="B1921">
        <f>IFERROR(IF($B$1=0,"",IF(INDEX(貼り付け!$A$1:$BZ$3001,1920,$B$1)="","",IF(ISNUMBER(INDEX(貼り付け!$A$1:$BZ$3001,1920,$B$1)),INT(INDEX(貼り付け!$A$1:$BZ$3001,1920,$B$1)),DATE(VALUE(LEFT(I1921,FIND("-",I1921)-1)),VALUE(LEFT(J1921,FIND("-",J1921)-1)),VALUE(MID(J1921,FIND("-",J1921)+1,99)))))),"")</f>
        <v/>
      </c>
      <c r="C1921">
        <f>IF($C$1=0,0,IFERROR(VALUE(SUBSTITUTE(SUBSTITUTE(SUBSTITUTE(INDEX(貼り付け!$A$1:$BZ$3001,1920,$C$1)&amp;"",",",""),"¥",""),"￥","")),0))</f>
        <v/>
      </c>
      <c r="D1921">
        <f>IF($D$1=0,0,IFERROR(VALUE(SUBSTITUTE(SUBSTITUTE(SUBSTITUTE(INDEX(貼り付け!$A$1:$BZ$3001,1920,$D$1)&amp;"",",",""),"¥",""),"￥","")),0))</f>
        <v/>
      </c>
      <c r="E1921">
        <f>IF($E$1=0,0,IFERROR(VALUE(SUBSTITUTE(SUBSTITUTE(SUBSTITUTE(INDEX(貼り付け!$A$1:$BZ$3001,1920,$E$1)&amp;"",",",""),"¥",""),"￥","")),0))</f>
        <v/>
      </c>
      <c r="F1921">
        <f>IF($F$1=0,0,IFERROR(VALUE(SUBSTITUTE(SUBSTITUTE(SUBSTITUTE(INDEX(貼り付け!$A$1:$BZ$3001,1920,$F$1)&amp;"",",",""),"¥",""),"￥","")),0))</f>
        <v/>
      </c>
      <c r="G1921">
        <f>IF(ISNUMBER(B1921),YEAR(B1921),"")</f>
        <v/>
      </c>
      <c r="H1921">
        <f>IF(ISNUMBER(B1921),MONTH(B1921),"")</f>
        <v/>
      </c>
      <c r="I1921">
        <f>IFERROR(IF($B$1=0,"",IF(ISNUMBER(INDEX(貼り付け!$A$1:$BZ$3001,1920,$B$1)),"",SUBSTITUTE(SUBSTITUTE(SUBSTITUTE(SUBSTITUTE(TRIM(LEFT(INDEX(貼り付け!$A$1:$BZ$3001,1920,$B$1)&amp;"",FIND(" ",TRIM(INDEX(貼り付け!$A$1:$BZ$3001,1920,$B$1)&amp;"")&amp;" ")-1)),"/","-"),"年","-"),"月","-"),"日",""))),"")</f>
        <v/>
      </c>
      <c r="J1921">
        <f>IFERROR(MID(I1921,FIND("-",I1921)+1,99),"")</f>
        <v/>
      </c>
    </row>
    <row r="1922">
      <c r="B1922">
        <f>IFERROR(IF($B$1=0,"",IF(INDEX(貼り付け!$A$1:$BZ$3001,1921,$B$1)="","",IF(ISNUMBER(INDEX(貼り付け!$A$1:$BZ$3001,1921,$B$1)),INT(INDEX(貼り付け!$A$1:$BZ$3001,1921,$B$1)),DATE(VALUE(LEFT(I1922,FIND("-",I1922)-1)),VALUE(LEFT(J1922,FIND("-",J1922)-1)),VALUE(MID(J1922,FIND("-",J1922)+1,99)))))),"")</f>
        <v/>
      </c>
      <c r="C1922">
        <f>IF($C$1=0,0,IFERROR(VALUE(SUBSTITUTE(SUBSTITUTE(SUBSTITUTE(INDEX(貼り付け!$A$1:$BZ$3001,1921,$C$1)&amp;"",",",""),"¥",""),"￥","")),0))</f>
        <v/>
      </c>
      <c r="D1922">
        <f>IF($D$1=0,0,IFERROR(VALUE(SUBSTITUTE(SUBSTITUTE(SUBSTITUTE(INDEX(貼り付け!$A$1:$BZ$3001,1921,$D$1)&amp;"",",",""),"¥",""),"￥","")),0))</f>
        <v/>
      </c>
      <c r="E1922">
        <f>IF($E$1=0,0,IFERROR(VALUE(SUBSTITUTE(SUBSTITUTE(SUBSTITUTE(INDEX(貼り付け!$A$1:$BZ$3001,1921,$E$1)&amp;"",",",""),"¥",""),"￥","")),0))</f>
        <v/>
      </c>
      <c r="F1922">
        <f>IF($F$1=0,0,IFERROR(VALUE(SUBSTITUTE(SUBSTITUTE(SUBSTITUTE(INDEX(貼り付け!$A$1:$BZ$3001,1921,$F$1)&amp;"",",",""),"¥",""),"￥","")),0))</f>
        <v/>
      </c>
      <c r="G1922">
        <f>IF(ISNUMBER(B1922),YEAR(B1922),"")</f>
        <v/>
      </c>
      <c r="H1922">
        <f>IF(ISNUMBER(B1922),MONTH(B1922),"")</f>
        <v/>
      </c>
      <c r="I1922">
        <f>IFERROR(IF($B$1=0,"",IF(ISNUMBER(INDEX(貼り付け!$A$1:$BZ$3001,1921,$B$1)),"",SUBSTITUTE(SUBSTITUTE(SUBSTITUTE(SUBSTITUTE(TRIM(LEFT(INDEX(貼り付け!$A$1:$BZ$3001,1921,$B$1)&amp;"",FIND(" ",TRIM(INDEX(貼り付け!$A$1:$BZ$3001,1921,$B$1)&amp;"")&amp;" ")-1)),"/","-"),"年","-"),"月","-"),"日",""))),"")</f>
        <v/>
      </c>
      <c r="J1922">
        <f>IFERROR(MID(I1922,FIND("-",I1922)+1,99),"")</f>
        <v/>
      </c>
    </row>
    <row r="1923">
      <c r="B1923">
        <f>IFERROR(IF($B$1=0,"",IF(INDEX(貼り付け!$A$1:$BZ$3001,1922,$B$1)="","",IF(ISNUMBER(INDEX(貼り付け!$A$1:$BZ$3001,1922,$B$1)),INT(INDEX(貼り付け!$A$1:$BZ$3001,1922,$B$1)),DATE(VALUE(LEFT(I1923,FIND("-",I1923)-1)),VALUE(LEFT(J1923,FIND("-",J1923)-1)),VALUE(MID(J1923,FIND("-",J1923)+1,99)))))),"")</f>
        <v/>
      </c>
      <c r="C1923">
        <f>IF($C$1=0,0,IFERROR(VALUE(SUBSTITUTE(SUBSTITUTE(SUBSTITUTE(INDEX(貼り付け!$A$1:$BZ$3001,1922,$C$1)&amp;"",",",""),"¥",""),"￥","")),0))</f>
        <v/>
      </c>
      <c r="D1923">
        <f>IF($D$1=0,0,IFERROR(VALUE(SUBSTITUTE(SUBSTITUTE(SUBSTITUTE(INDEX(貼り付け!$A$1:$BZ$3001,1922,$D$1)&amp;"",",",""),"¥",""),"￥","")),0))</f>
        <v/>
      </c>
      <c r="E1923">
        <f>IF($E$1=0,0,IFERROR(VALUE(SUBSTITUTE(SUBSTITUTE(SUBSTITUTE(INDEX(貼り付け!$A$1:$BZ$3001,1922,$E$1)&amp;"",",",""),"¥",""),"￥","")),0))</f>
        <v/>
      </c>
      <c r="F1923">
        <f>IF($F$1=0,0,IFERROR(VALUE(SUBSTITUTE(SUBSTITUTE(SUBSTITUTE(INDEX(貼り付け!$A$1:$BZ$3001,1922,$F$1)&amp;"",",",""),"¥",""),"￥","")),0))</f>
        <v/>
      </c>
      <c r="G1923">
        <f>IF(ISNUMBER(B1923),YEAR(B1923),"")</f>
        <v/>
      </c>
      <c r="H1923">
        <f>IF(ISNUMBER(B1923),MONTH(B1923),"")</f>
        <v/>
      </c>
      <c r="I1923">
        <f>IFERROR(IF($B$1=0,"",IF(ISNUMBER(INDEX(貼り付け!$A$1:$BZ$3001,1922,$B$1)),"",SUBSTITUTE(SUBSTITUTE(SUBSTITUTE(SUBSTITUTE(TRIM(LEFT(INDEX(貼り付け!$A$1:$BZ$3001,1922,$B$1)&amp;"",FIND(" ",TRIM(INDEX(貼り付け!$A$1:$BZ$3001,1922,$B$1)&amp;"")&amp;" ")-1)),"/","-"),"年","-"),"月","-"),"日",""))),"")</f>
        <v/>
      </c>
      <c r="J1923">
        <f>IFERROR(MID(I1923,FIND("-",I1923)+1,99),"")</f>
        <v/>
      </c>
    </row>
    <row r="1924">
      <c r="B1924">
        <f>IFERROR(IF($B$1=0,"",IF(INDEX(貼り付け!$A$1:$BZ$3001,1923,$B$1)="","",IF(ISNUMBER(INDEX(貼り付け!$A$1:$BZ$3001,1923,$B$1)),INT(INDEX(貼り付け!$A$1:$BZ$3001,1923,$B$1)),DATE(VALUE(LEFT(I1924,FIND("-",I1924)-1)),VALUE(LEFT(J1924,FIND("-",J1924)-1)),VALUE(MID(J1924,FIND("-",J1924)+1,99)))))),"")</f>
        <v/>
      </c>
      <c r="C1924">
        <f>IF($C$1=0,0,IFERROR(VALUE(SUBSTITUTE(SUBSTITUTE(SUBSTITUTE(INDEX(貼り付け!$A$1:$BZ$3001,1923,$C$1)&amp;"",",",""),"¥",""),"￥","")),0))</f>
        <v/>
      </c>
      <c r="D1924">
        <f>IF($D$1=0,0,IFERROR(VALUE(SUBSTITUTE(SUBSTITUTE(SUBSTITUTE(INDEX(貼り付け!$A$1:$BZ$3001,1923,$D$1)&amp;"",",",""),"¥",""),"￥","")),0))</f>
        <v/>
      </c>
      <c r="E1924">
        <f>IF($E$1=0,0,IFERROR(VALUE(SUBSTITUTE(SUBSTITUTE(SUBSTITUTE(INDEX(貼り付け!$A$1:$BZ$3001,1923,$E$1)&amp;"",",",""),"¥",""),"￥","")),0))</f>
        <v/>
      </c>
      <c r="F1924">
        <f>IF($F$1=0,0,IFERROR(VALUE(SUBSTITUTE(SUBSTITUTE(SUBSTITUTE(INDEX(貼り付け!$A$1:$BZ$3001,1923,$F$1)&amp;"",",",""),"¥",""),"￥","")),0))</f>
        <v/>
      </c>
      <c r="G1924">
        <f>IF(ISNUMBER(B1924),YEAR(B1924),"")</f>
        <v/>
      </c>
      <c r="H1924">
        <f>IF(ISNUMBER(B1924),MONTH(B1924),"")</f>
        <v/>
      </c>
      <c r="I1924">
        <f>IFERROR(IF($B$1=0,"",IF(ISNUMBER(INDEX(貼り付け!$A$1:$BZ$3001,1923,$B$1)),"",SUBSTITUTE(SUBSTITUTE(SUBSTITUTE(SUBSTITUTE(TRIM(LEFT(INDEX(貼り付け!$A$1:$BZ$3001,1923,$B$1)&amp;"",FIND(" ",TRIM(INDEX(貼り付け!$A$1:$BZ$3001,1923,$B$1)&amp;"")&amp;" ")-1)),"/","-"),"年","-"),"月","-"),"日",""))),"")</f>
        <v/>
      </c>
      <c r="J1924">
        <f>IFERROR(MID(I1924,FIND("-",I1924)+1,99),"")</f>
        <v/>
      </c>
    </row>
    <row r="1925">
      <c r="B1925">
        <f>IFERROR(IF($B$1=0,"",IF(INDEX(貼り付け!$A$1:$BZ$3001,1924,$B$1)="","",IF(ISNUMBER(INDEX(貼り付け!$A$1:$BZ$3001,1924,$B$1)),INT(INDEX(貼り付け!$A$1:$BZ$3001,1924,$B$1)),DATE(VALUE(LEFT(I1925,FIND("-",I1925)-1)),VALUE(LEFT(J1925,FIND("-",J1925)-1)),VALUE(MID(J1925,FIND("-",J1925)+1,99)))))),"")</f>
        <v/>
      </c>
      <c r="C1925">
        <f>IF($C$1=0,0,IFERROR(VALUE(SUBSTITUTE(SUBSTITUTE(SUBSTITUTE(INDEX(貼り付け!$A$1:$BZ$3001,1924,$C$1)&amp;"",",",""),"¥",""),"￥","")),0))</f>
        <v/>
      </c>
      <c r="D1925">
        <f>IF($D$1=0,0,IFERROR(VALUE(SUBSTITUTE(SUBSTITUTE(SUBSTITUTE(INDEX(貼り付け!$A$1:$BZ$3001,1924,$D$1)&amp;"",",",""),"¥",""),"￥","")),0))</f>
        <v/>
      </c>
      <c r="E1925">
        <f>IF($E$1=0,0,IFERROR(VALUE(SUBSTITUTE(SUBSTITUTE(SUBSTITUTE(INDEX(貼り付け!$A$1:$BZ$3001,1924,$E$1)&amp;"",",",""),"¥",""),"￥","")),0))</f>
        <v/>
      </c>
      <c r="F1925">
        <f>IF($F$1=0,0,IFERROR(VALUE(SUBSTITUTE(SUBSTITUTE(SUBSTITUTE(INDEX(貼り付け!$A$1:$BZ$3001,1924,$F$1)&amp;"",",",""),"¥",""),"￥","")),0))</f>
        <v/>
      </c>
      <c r="G1925">
        <f>IF(ISNUMBER(B1925),YEAR(B1925),"")</f>
        <v/>
      </c>
      <c r="H1925">
        <f>IF(ISNUMBER(B1925),MONTH(B1925),"")</f>
        <v/>
      </c>
      <c r="I1925">
        <f>IFERROR(IF($B$1=0,"",IF(ISNUMBER(INDEX(貼り付け!$A$1:$BZ$3001,1924,$B$1)),"",SUBSTITUTE(SUBSTITUTE(SUBSTITUTE(SUBSTITUTE(TRIM(LEFT(INDEX(貼り付け!$A$1:$BZ$3001,1924,$B$1)&amp;"",FIND(" ",TRIM(INDEX(貼り付け!$A$1:$BZ$3001,1924,$B$1)&amp;"")&amp;" ")-1)),"/","-"),"年","-"),"月","-"),"日",""))),"")</f>
        <v/>
      </c>
      <c r="J1925">
        <f>IFERROR(MID(I1925,FIND("-",I1925)+1,99),"")</f>
        <v/>
      </c>
    </row>
    <row r="1926">
      <c r="B1926">
        <f>IFERROR(IF($B$1=0,"",IF(INDEX(貼り付け!$A$1:$BZ$3001,1925,$B$1)="","",IF(ISNUMBER(INDEX(貼り付け!$A$1:$BZ$3001,1925,$B$1)),INT(INDEX(貼り付け!$A$1:$BZ$3001,1925,$B$1)),DATE(VALUE(LEFT(I1926,FIND("-",I1926)-1)),VALUE(LEFT(J1926,FIND("-",J1926)-1)),VALUE(MID(J1926,FIND("-",J1926)+1,99)))))),"")</f>
        <v/>
      </c>
      <c r="C1926">
        <f>IF($C$1=0,0,IFERROR(VALUE(SUBSTITUTE(SUBSTITUTE(SUBSTITUTE(INDEX(貼り付け!$A$1:$BZ$3001,1925,$C$1)&amp;"",",",""),"¥",""),"￥","")),0))</f>
        <v/>
      </c>
      <c r="D1926">
        <f>IF($D$1=0,0,IFERROR(VALUE(SUBSTITUTE(SUBSTITUTE(SUBSTITUTE(INDEX(貼り付け!$A$1:$BZ$3001,1925,$D$1)&amp;"",",",""),"¥",""),"￥","")),0))</f>
        <v/>
      </c>
      <c r="E1926">
        <f>IF($E$1=0,0,IFERROR(VALUE(SUBSTITUTE(SUBSTITUTE(SUBSTITUTE(INDEX(貼り付け!$A$1:$BZ$3001,1925,$E$1)&amp;"",",",""),"¥",""),"￥","")),0))</f>
        <v/>
      </c>
      <c r="F1926">
        <f>IF($F$1=0,0,IFERROR(VALUE(SUBSTITUTE(SUBSTITUTE(SUBSTITUTE(INDEX(貼り付け!$A$1:$BZ$3001,1925,$F$1)&amp;"",",",""),"¥",""),"￥","")),0))</f>
        <v/>
      </c>
      <c r="G1926">
        <f>IF(ISNUMBER(B1926),YEAR(B1926),"")</f>
        <v/>
      </c>
      <c r="H1926">
        <f>IF(ISNUMBER(B1926),MONTH(B1926),"")</f>
        <v/>
      </c>
      <c r="I1926">
        <f>IFERROR(IF($B$1=0,"",IF(ISNUMBER(INDEX(貼り付け!$A$1:$BZ$3001,1925,$B$1)),"",SUBSTITUTE(SUBSTITUTE(SUBSTITUTE(SUBSTITUTE(TRIM(LEFT(INDEX(貼り付け!$A$1:$BZ$3001,1925,$B$1)&amp;"",FIND(" ",TRIM(INDEX(貼り付け!$A$1:$BZ$3001,1925,$B$1)&amp;"")&amp;" ")-1)),"/","-"),"年","-"),"月","-"),"日",""))),"")</f>
        <v/>
      </c>
      <c r="J1926">
        <f>IFERROR(MID(I1926,FIND("-",I1926)+1,99),"")</f>
        <v/>
      </c>
    </row>
    <row r="1927">
      <c r="B1927">
        <f>IFERROR(IF($B$1=0,"",IF(INDEX(貼り付け!$A$1:$BZ$3001,1926,$B$1)="","",IF(ISNUMBER(INDEX(貼り付け!$A$1:$BZ$3001,1926,$B$1)),INT(INDEX(貼り付け!$A$1:$BZ$3001,1926,$B$1)),DATE(VALUE(LEFT(I1927,FIND("-",I1927)-1)),VALUE(LEFT(J1927,FIND("-",J1927)-1)),VALUE(MID(J1927,FIND("-",J1927)+1,99)))))),"")</f>
        <v/>
      </c>
      <c r="C1927">
        <f>IF($C$1=0,0,IFERROR(VALUE(SUBSTITUTE(SUBSTITUTE(SUBSTITUTE(INDEX(貼り付け!$A$1:$BZ$3001,1926,$C$1)&amp;"",",",""),"¥",""),"￥","")),0))</f>
        <v/>
      </c>
      <c r="D1927">
        <f>IF($D$1=0,0,IFERROR(VALUE(SUBSTITUTE(SUBSTITUTE(SUBSTITUTE(INDEX(貼り付け!$A$1:$BZ$3001,1926,$D$1)&amp;"",",",""),"¥",""),"￥","")),0))</f>
        <v/>
      </c>
      <c r="E1927">
        <f>IF($E$1=0,0,IFERROR(VALUE(SUBSTITUTE(SUBSTITUTE(SUBSTITUTE(INDEX(貼り付け!$A$1:$BZ$3001,1926,$E$1)&amp;"",",",""),"¥",""),"￥","")),0))</f>
        <v/>
      </c>
      <c r="F1927">
        <f>IF($F$1=0,0,IFERROR(VALUE(SUBSTITUTE(SUBSTITUTE(SUBSTITUTE(INDEX(貼り付け!$A$1:$BZ$3001,1926,$F$1)&amp;"",",",""),"¥",""),"￥","")),0))</f>
        <v/>
      </c>
      <c r="G1927">
        <f>IF(ISNUMBER(B1927),YEAR(B1927),"")</f>
        <v/>
      </c>
      <c r="H1927">
        <f>IF(ISNUMBER(B1927),MONTH(B1927),"")</f>
        <v/>
      </c>
      <c r="I1927">
        <f>IFERROR(IF($B$1=0,"",IF(ISNUMBER(INDEX(貼り付け!$A$1:$BZ$3001,1926,$B$1)),"",SUBSTITUTE(SUBSTITUTE(SUBSTITUTE(SUBSTITUTE(TRIM(LEFT(INDEX(貼り付け!$A$1:$BZ$3001,1926,$B$1)&amp;"",FIND(" ",TRIM(INDEX(貼り付け!$A$1:$BZ$3001,1926,$B$1)&amp;"")&amp;" ")-1)),"/","-"),"年","-"),"月","-"),"日",""))),"")</f>
        <v/>
      </c>
      <c r="J1927">
        <f>IFERROR(MID(I1927,FIND("-",I1927)+1,99),"")</f>
        <v/>
      </c>
    </row>
    <row r="1928">
      <c r="B1928">
        <f>IFERROR(IF($B$1=0,"",IF(INDEX(貼り付け!$A$1:$BZ$3001,1927,$B$1)="","",IF(ISNUMBER(INDEX(貼り付け!$A$1:$BZ$3001,1927,$B$1)),INT(INDEX(貼り付け!$A$1:$BZ$3001,1927,$B$1)),DATE(VALUE(LEFT(I1928,FIND("-",I1928)-1)),VALUE(LEFT(J1928,FIND("-",J1928)-1)),VALUE(MID(J1928,FIND("-",J1928)+1,99)))))),"")</f>
        <v/>
      </c>
      <c r="C1928">
        <f>IF($C$1=0,0,IFERROR(VALUE(SUBSTITUTE(SUBSTITUTE(SUBSTITUTE(INDEX(貼り付け!$A$1:$BZ$3001,1927,$C$1)&amp;"",",",""),"¥",""),"￥","")),0))</f>
        <v/>
      </c>
      <c r="D1928">
        <f>IF($D$1=0,0,IFERROR(VALUE(SUBSTITUTE(SUBSTITUTE(SUBSTITUTE(INDEX(貼り付け!$A$1:$BZ$3001,1927,$D$1)&amp;"",",",""),"¥",""),"￥","")),0))</f>
        <v/>
      </c>
      <c r="E1928">
        <f>IF($E$1=0,0,IFERROR(VALUE(SUBSTITUTE(SUBSTITUTE(SUBSTITUTE(INDEX(貼り付け!$A$1:$BZ$3001,1927,$E$1)&amp;"",",",""),"¥",""),"￥","")),0))</f>
        <v/>
      </c>
      <c r="F1928">
        <f>IF($F$1=0,0,IFERROR(VALUE(SUBSTITUTE(SUBSTITUTE(SUBSTITUTE(INDEX(貼り付け!$A$1:$BZ$3001,1927,$F$1)&amp;"",",",""),"¥",""),"￥","")),0))</f>
        <v/>
      </c>
      <c r="G1928">
        <f>IF(ISNUMBER(B1928),YEAR(B1928),"")</f>
        <v/>
      </c>
      <c r="H1928">
        <f>IF(ISNUMBER(B1928),MONTH(B1928),"")</f>
        <v/>
      </c>
      <c r="I1928">
        <f>IFERROR(IF($B$1=0,"",IF(ISNUMBER(INDEX(貼り付け!$A$1:$BZ$3001,1927,$B$1)),"",SUBSTITUTE(SUBSTITUTE(SUBSTITUTE(SUBSTITUTE(TRIM(LEFT(INDEX(貼り付け!$A$1:$BZ$3001,1927,$B$1)&amp;"",FIND(" ",TRIM(INDEX(貼り付け!$A$1:$BZ$3001,1927,$B$1)&amp;"")&amp;" ")-1)),"/","-"),"年","-"),"月","-"),"日",""))),"")</f>
        <v/>
      </c>
      <c r="J1928">
        <f>IFERROR(MID(I1928,FIND("-",I1928)+1,99),"")</f>
        <v/>
      </c>
    </row>
    <row r="1929">
      <c r="B1929">
        <f>IFERROR(IF($B$1=0,"",IF(INDEX(貼り付け!$A$1:$BZ$3001,1928,$B$1)="","",IF(ISNUMBER(INDEX(貼り付け!$A$1:$BZ$3001,1928,$B$1)),INT(INDEX(貼り付け!$A$1:$BZ$3001,1928,$B$1)),DATE(VALUE(LEFT(I1929,FIND("-",I1929)-1)),VALUE(LEFT(J1929,FIND("-",J1929)-1)),VALUE(MID(J1929,FIND("-",J1929)+1,99)))))),"")</f>
        <v/>
      </c>
      <c r="C1929">
        <f>IF($C$1=0,0,IFERROR(VALUE(SUBSTITUTE(SUBSTITUTE(SUBSTITUTE(INDEX(貼り付け!$A$1:$BZ$3001,1928,$C$1)&amp;"",",",""),"¥",""),"￥","")),0))</f>
        <v/>
      </c>
      <c r="D1929">
        <f>IF($D$1=0,0,IFERROR(VALUE(SUBSTITUTE(SUBSTITUTE(SUBSTITUTE(INDEX(貼り付け!$A$1:$BZ$3001,1928,$D$1)&amp;"",",",""),"¥",""),"￥","")),0))</f>
        <v/>
      </c>
      <c r="E1929">
        <f>IF($E$1=0,0,IFERROR(VALUE(SUBSTITUTE(SUBSTITUTE(SUBSTITUTE(INDEX(貼り付け!$A$1:$BZ$3001,1928,$E$1)&amp;"",",",""),"¥",""),"￥","")),0))</f>
        <v/>
      </c>
      <c r="F1929">
        <f>IF($F$1=0,0,IFERROR(VALUE(SUBSTITUTE(SUBSTITUTE(SUBSTITUTE(INDEX(貼り付け!$A$1:$BZ$3001,1928,$F$1)&amp;"",",",""),"¥",""),"￥","")),0))</f>
        <v/>
      </c>
      <c r="G1929">
        <f>IF(ISNUMBER(B1929),YEAR(B1929),"")</f>
        <v/>
      </c>
      <c r="H1929">
        <f>IF(ISNUMBER(B1929),MONTH(B1929),"")</f>
        <v/>
      </c>
      <c r="I1929">
        <f>IFERROR(IF($B$1=0,"",IF(ISNUMBER(INDEX(貼り付け!$A$1:$BZ$3001,1928,$B$1)),"",SUBSTITUTE(SUBSTITUTE(SUBSTITUTE(SUBSTITUTE(TRIM(LEFT(INDEX(貼り付け!$A$1:$BZ$3001,1928,$B$1)&amp;"",FIND(" ",TRIM(INDEX(貼り付け!$A$1:$BZ$3001,1928,$B$1)&amp;"")&amp;" ")-1)),"/","-"),"年","-"),"月","-"),"日",""))),"")</f>
        <v/>
      </c>
      <c r="J1929">
        <f>IFERROR(MID(I1929,FIND("-",I1929)+1,99),"")</f>
        <v/>
      </c>
    </row>
    <row r="1930">
      <c r="B1930">
        <f>IFERROR(IF($B$1=0,"",IF(INDEX(貼り付け!$A$1:$BZ$3001,1929,$B$1)="","",IF(ISNUMBER(INDEX(貼り付け!$A$1:$BZ$3001,1929,$B$1)),INT(INDEX(貼り付け!$A$1:$BZ$3001,1929,$B$1)),DATE(VALUE(LEFT(I1930,FIND("-",I1930)-1)),VALUE(LEFT(J1930,FIND("-",J1930)-1)),VALUE(MID(J1930,FIND("-",J1930)+1,99)))))),"")</f>
        <v/>
      </c>
      <c r="C1930">
        <f>IF($C$1=0,0,IFERROR(VALUE(SUBSTITUTE(SUBSTITUTE(SUBSTITUTE(INDEX(貼り付け!$A$1:$BZ$3001,1929,$C$1)&amp;"",",",""),"¥",""),"￥","")),0))</f>
        <v/>
      </c>
      <c r="D1930">
        <f>IF($D$1=0,0,IFERROR(VALUE(SUBSTITUTE(SUBSTITUTE(SUBSTITUTE(INDEX(貼り付け!$A$1:$BZ$3001,1929,$D$1)&amp;"",",",""),"¥",""),"￥","")),0))</f>
        <v/>
      </c>
      <c r="E1930">
        <f>IF($E$1=0,0,IFERROR(VALUE(SUBSTITUTE(SUBSTITUTE(SUBSTITUTE(INDEX(貼り付け!$A$1:$BZ$3001,1929,$E$1)&amp;"",",",""),"¥",""),"￥","")),0))</f>
        <v/>
      </c>
      <c r="F1930">
        <f>IF($F$1=0,0,IFERROR(VALUE(SUBSTITUTE(SUBSTITUTE(SUBSTITUTE(INDEX(貼り付け!$A$1:$BZ$3001,1929,$F$1)&amp;"",",",""),"¥",""),"￥","")),0))</f>
        <v/>
      </c>
      <c r="G1930">
        <f>IF(ISNUMBER(B1930),YEAR(B1930),"")</f>
        <v/>
      </c>
      <c r="H1930">
        <f>IF(ISNUMBER(B1930),MONTH(B1930),"")</f>
        <v/>
      </c>
      <c r="I1930">
        <f>IFERROR(IF($B$1=0,"",IF(ISNUMBER(INDEX(貼り付け!$A$1:$BZ$3001,1929,$B$1)),"",SUBSTITUTE(SUBSTITUTE(SUBSTITUTE(SUBSTITUTE(TRIM(LEFT(INDEX(貼り付け!$A$1:$BZ$3001,1929,$B$1)&amp;"",FIND(" ",TRIM(INDEX(貼り付け!$A$1:$BZ$3001,1929,$B$1)&amp;"")&amp;" ")-1)),"/","-"),"年","-"),"月","-"),"日",""))),"")</f>
        <v/>
      </c>
      <c r="J1930">
        <f>IFERROR(MID(I1930,FIND("-",I1930)+1,99),"")</f>
        <v/>
      </c>
    </row>
    <row r="1931">
      <c r="B1931">
        <f>IFERROR(IF($B$1=0,"",IF(INDEX(貼り付け!$A$1:$BZ$3001,1930,$B$1)="","",IF(ISNUMBER(INDEX(貼り付け!$A$1:$BZ$3001,1930,$B$1)),INT(INDEX(貼り付け!$A$1:$BZ$3001,1930,$B$1)),DATE(VALUE(LEFT(I1931,FIND("-",I1931)-1)),VALUE(LEFT(J1931,FIND("-",J1931)-1)),VALUE(MID(J1931,FIND("-",J1931)+1,99)))))),"")</f>
        <v/>
      </c>
      <c r="C1931">
        <f>IF($C$1=0,0,IFERROR(VALUE(SUBSTITUTE(SUBSTITUTE(SUBSTITUTE(INDEX(貼り付け!$A$1:$BZ$3001,1930,$C$1)&amp;"",",",""),"¥",""),"￥","")),0))</f>
        <v/>
      </c>
      <c r="D1931">
        <f>IF($D$1=0,0,IFERROR(VALUE(SUBSTITUTE(SUBSTITUTE(SUBSTITUTE(INDEX(貼り付け!$A$1:$BZ$3001,1930,$D$1)&amp;"",",",""),"¥",""),"￥","")),0))</f>
        <v/>
      </c>
      <c r="E1931">
        <f>IF($E$1=0,0,IFERROR(VALUE(SUBSTITUTE(SUBSTITUTE(SUBSTITUTE(INDEX(貼り付け!$A$1:$BZ$3001,1930,$E$1)&amp;"",",",""),"¥",""),"￥","")),0))</f>
        <v/>
      </c>
      <c r="F1931">
        <f>IF($F$1=0,0,IFERROR(VALUE(SUBSTITUTE(SUBSTITUTE(SUBSTITUTE(INDEX(貼り付け!$A$1:$BZ$3001,1930,$F$1)&amp;"",",",""),"¥",""),"￥","")),0))</f>
        <v/>
      </c>
      <c r="G1931">
        <f>IF(ISNUMBER(B1931),YEAR(B1931),"")</f>
        <v/>
      </c>
      <c r="H1931">
        <f>IF(ISNUMBER(B1931),MONTH(B1931),"")</f>
        <v/>
      </c>
      <c r="I1931">
        <f>IFERROR(IF($B$1=0,"",IF(ISNUMBER(INDEX(貼り付け!$A$1:$BZ$3001,1930,$B$1)),"",SUBSTITUTE(SUBSTITUTE(SUBSTITUTE(SUBSTITUTE(TRIM(LEFT(INDEX(貼り付け!$A$1:$BZ$3001,1930,$B$1)&amp;"",FIND(" ",TRIM(INDEX(貼り付け!$A$1:$BZ$3001,1930,$B$1)&amp;"")&amp;" ")-1)),"/","-"),"年","-"),"月","-"),"日",""))),"")</f>
        <v/>
      </c>
      <c r="J1931">
        <f>IFERROR(MID(I1931,FIND("-",I1931)+1,99),"")</f>
        <v/>
      </c>
    </row>
    <row r="1932">
      <c r="B1932">
        <f>IFERROR(IF($B$1=0,"",IF(INDEX(貼り付け!$A$1:$BZ$3001,1931,$B$1)="","",IF(ISNUMBER(INDEX(貼り付け!$A$1:$BZ$3001,1931,$B$1)),INT(INDEX(貼り付け!$A$1:$BZ$3001,1931,$B$1)),DATE(VALUE(LEFT(I1932,FIND("-",I1932)-1)),VALUE(LEFT(J1932,FIND("-",J1932)-1)),VALUE(MID(J1932,FIND("-",J1932)+1,99)))))),"")</f>
        <v/>
      </c>
      <c r="C1932">
        <f>IF($C$1=0,0,IFERROR(VALUE(SUBSTITUTE(SUBSTITUTE(SUBSTITUTE(INDEX(貼り付け!$A$1:$BZ$3001,1931,$C$1)&amp;"",",",""),"¥",""),"￥","")),0))</f>
        <v/>
      </c>
      <c r="D1932">
        <f>IF($D$1=0,0,IFERROR(VALUE(SUBSTITUTE(SUBSTITUTE(SUBSTITUTE(INDEX(貼り付け!$A$1:$BZ$3001,1931,$D$1)&amp;"",",",""),"¥",""),"￥","")),0))</f>
        <v/>
      </c>
      <c r="E1932">
        <f>IF($E$1=0,0,IFERROR(VALUE(SUBSTITUTE(SUBSTITUTE(SUBSTITUTE(INDEX(貼り付け!$A$1:$BZ$3001,1931,$E$1)&amp;"",",",""),"¥",""),"￥","")),0))</f>
        <v/>
      </c>
      <c r="F1932">
        <f>IF($F$1=0,0,IFERROR(VALUE(SUBSTITUTE(SUBSTITUTE(SUBSTITUTE(INDEX(貼り付け!$A$1:$BZ$3001,1931,$F$1)&amp;"",",",""),"¥",""),"￥","")),0))</f>
        <v/>
      </c>
      <c r="G1932">
        <f>IF(ISNUMBER(B1932),YEAR(B1932),"")</f>
        <v/>
      </c>
      <c r="H1932">
        <f>IF(ISNUMBER(B1932),MONTH(B1932),"")</f>
        <v/>
      </c>
      <c r="I1932">
        <f>IFERROR(IF($B$1=0,"",IF(ISNUMBER(INDEX(貼り付け!$A$1:$BZ$3001,1931,$B$1)),"",SUBSTITUTE(SUBSTITUTE(SUBSTITUTE(SUBSTITUTE(TRIM(LEFT(INDEX(貼り付け!$A$1:$BZ$3001,1931,$B$1)&amp;"",FIND(" ",TRIM(INDEX(貼り付け!$A$1:$BZ$3001,1931,$B$1)&amp;"")&amp;" ")-1)),"/","-"),"年","-"),"月","-"),"日",""))),"")</f>
        <v/>
      </c>
      <c r="J1932">
        <f>IFERROR(MID(I1932,FIND("-",I1932)+1,99),"")</f>
        <v/>
      </c>
    </row>
    <row r="1933">
      <c r="B1933">
        <f>IFERROR(IF($B$1=0,"",IF(INDEX(貼り付け!$A$1:$BZ$3001,1932,$B$1)="","",IF(ISNUMBER(INDEX(貼り付け!$A$1:$BZ$3001,1932,$B$1)),INT(INDEX(貼り付け!$A$1:$BZ$3001,1932,$B$1)),DATE(VALUE(LEFT(I1933,FIND("-",I1933)-1)),VALUE(LEFT(J1933,FIND("-",J1933)-1)),VALUE(MID(J1933,FIND("-",J1933)+1,99)))))),"")</f>
        <v/>
      </c>
      <c r="C1933">
        <f>IF($C$1=0,0,IFERROR(VALUE(SUBSTITUTE(SUBSTITUTE(SUBSTITUTE(INDEX(貼り付け!$A$1:$BZ$3001,1932,$C$1)&amp;"",",",""),"¥",""),"￥","")),0))</f>
        <v/>
      </c>
      <c r="D1933">
        <f>IF($D$1=0,0,IFERROR(VALUE(SUBSTITUTE(SUBSTITUTE(SUBSTITUTE(INDEX(貼り付け!$A$1:$BZ$3001,1932,$D$1)&amp;"",",",""),"¥",""),"￥","")),0))</f>
        <v/>
      </c>
      <c r="E1933">
        <f>IF($E$1=0,0,IFERROR(VALUE(SUBSTITUTE(SUBSTITUTE(SUBSTITUTE(INDEX(貼り付け!$A$1:$BZ$3001,1932,$E$1)&amp;"",",",""),"¥",""),"￥","")),0))</f>
        <v/>
      </c>
      <c r="F1933">
        <f>IF($F$1=0,0,IFERROR(VALUE(SUBSTITUTE(SUBSTITUTE(SUBSTITUTE(INDEX(貼り付け!$A$1:$BZ$3001,1932,$F$1)&amp;"",",",""),"¥",""),"￥","")),0))</f>
        <v/>
      </c>
      <c r="G1933">
        <f>IF(ISNUMBER(B1933),YEAR(B1933),"")</f>
        <v/>
      </c>
      <c r="H1933">
        <f>IF(ISNUMBER(B1933),MONTH(B1933),"")</f>
        <v/>
      </c>
      <c r="I1933">
        <f>IFERROR(IF($B$1=0,"",IF(ISNUMBER(INDEX(貼り付け!$A$1:$BZ$3001,1932,$B$1)),"",SUBSTITUTE(SUBSTITUTE(SUBSTITUTE(SUBSTITUTE(TRIM(LEFT(INDEX(貼り付け!$A$1:$BZ$3001,1932,$B$1)&amp;"",FIND(" ",TRIM(INDEX(貼り付け!$A$1:$BZ$3001,1932,$B$1)&amp;"")&amp;" ")-1)),"/","-"),"年","-"),"月","-"),"日",""))),"")</f>
        <v/>
      </c>
      <c r="J1933">
        <f>IFERROR(MID(I1933,FIND("-",I1933)+1,99),"")</f>
        <v/>
      </c>
    </row>
    <row r="1934">
      <c r="B1934">
        <f>IFERROR(IF($B$1=0,"",IF(INDEX(貼り付け!$A$1:$BZ$3001,1933,$B$1)="","",IF(ISNUMBER(INDEX(貼り付け!$A$1:$BZ$3001,1933,$B$1)),INT(INDEX(貼り付け!$A$1:$BZ$3001,1933,$B$1)),DATE(VALUE(LEFT(I1934,FIND("-",I1934)-1)),VALUE(LEFT(J1934,FIND("-",J1934)-1)),VALUE(MID(J1934,FIND("-",J1934)+1,99)))))),"")</f>
        <v/>
      </c>
      <c r="C1934">
        <f>IF($C$1=0,0,IFERROR(VALUE(SUBSTITUTE(SUBSTITUTE(SUBSTITUTE(INDEX(貼り付け!$A$1:$BZ$3001,1933,$C$1)&amp;"",",",""),"¥",""),"￥","")),0))</f>
        <v/>
      </c>
      <c r="D1934">
        <f>IF($D$1=0,0,IFERROR(VALUE(SUBSTITUTE(SUBSTITUTE(SUBSTITUTE(INDEX(貼り付け!$A$1:$BZ$3001,1933,$D$1)&amp;"",",",""),"¥",""),"￥","")),0))</f>
        <v/>
      </c>
      <c r="E1934">
        <f>IF($E$1=0,0,IFERROR(VALUE(SUBSTITUTE(SUBSTITUTE(SUBSTITUTE(INDEX(貼り付け!$A$1:$BZ$3001,1933,$E$1)&amp;"",",",""),"¥",""),"￥","")),0))</f>
        <v/>
      </c>
      <c r="F1934">
        <f>IF($F$1=0,0,IFERROR(VALUE(SUBSTITUTE(SUBSTITUTE(SUBSTITUTE(INDEX(貼り付け!$A$1:$BZ$3001,1933,$F$1)&amp;"",",",""),"¥",""),"￥","")),0))</f>
        <v/>
      </c>
      <c r="G1934">
        <f>IF(ISNUMBER(B1934),YEAR(B1934),"")</f>
        <v/>
      </c>
      <c r="H1934">
        <f>IF(ISNUMBER(B1934),MONTH(B1934),"")</f>
        <v/>
      </c>
      <c r="I1934">
        <f>IFERROR(IF($B$1=0,"",IF(ISNUMBER(INDEX(貼り付け!$A$1:$BZ$3001,1933,$B$1)),"",SUBSTITUTE(SUBSTITUTE(SUBSTITUTE(SUBSTITUTE(TRIM(LEFT(INDEX(貼り付け!$A$1:$BZ$3001,1933,$B$1)&amp;"",FIND(" ",TRIM(INDEX(貼り付け!$A$1:$BZ$3001,1933,$B$1)&amp;"")&amp;" ")-1)),"/","-"),"年","-"),"月","-"),"日",""))),"")</f>
        <v/>
      </c>
      <c r="J1934">
        <f>IFERROR(MID(I1934,FIND("-",I1934)+1,99),"")</f>
        <v/>
      </c>
    </row>
    <row r="1935">
      <c r="B1935">
        <f>IFERROR(IF($B$1=0,"",IF(INDEX(貼り付け!$A$1:$BZ$3001,1934,$B$1)="","",IF(ISNUMBER(INDEX(貼り付け!$A$1:$BZ$3001,1934,$B$1)),INT(INDEX(貼り付け!$A$1:$BZ$3001,1934,$B$1)),DATE(VALUE(LEFT(I1935,FIND("-",I1935)-1)),VALUE(LEFT(J1935,FIND("-",J1935)-1)),VALUE(MID(J1935,FIND("-",J1935)+1,99)))))),"")</f>
        <v/>
      </c>
      <c r="C1935">
        <f>IF($C$1=0,0,IFERROR(VALUE(SUBSTITUTE(SUBSTITUTE(SUBSTITUTE(INDEX(貼り付け!$A$1:$BZ$3001,1934,$C$1)&amp;"",",",""),"¥",""),"￥","")),0))</f>
        <v/>
      </c>
      <c r="D1935">
        <f>IF($D$1=0,0,IFERROR(VALUE(SUBSTITUTE(SUBSTITUTE(SUBSTITUTE(INDEX(貼り付け!$A$1:$BZ$3001,1934,$D$1)&amp;"",",",""),"¥",""),"￥","")),0))</f>
        <v/>
      </c>
      <c r="E1935">
        <f>IF($E$1=0,0,IFERROR(VALUE(SUBSTITUTE(SUBSTITUTE(SUBSTITUTE(INDEX(貼り付け!$A$1:$BZ$3001,1934,$E$1)&amp;"",",",""),"¥",""),"￥","")),0))</f>
        <v/>
      </c>
      <c r="F1935">
        <f>IF($F$1=0,0,IFERROR(VALUE(SUBSTITUTE(SUBSTITUTE(SUBSTITUTE(INDEX(貼り付け!$A$1:$BZ$3001,1934,$F$1)&amp;"",",",""),"¥",""),"￥","")),0))</f>
        <v/>
      </c>
      <c r="G1935">
        <f>IF(ISNUMBER(B1935),YEAR(B1935),"")</f>
        <v/>
      </c>
      <c r="H1935">
        <f>IF(ISNUMBER(B1935),MONTH(B1935),"")</f>
        <v/>
      </c>
      <c r="I1935">
        <f>IFERROR(IF($B$1=0,"",IF(ISNUMBER(INDEX(貼り付け!$A$1:$BZ$3001,1934,$B$1)),"",SUBSTITUTE(SUBSTITUTE(SUBSTITUTE(SUBSTITUTE(TRIM(LEFT(INDEX(貼り付け!$A$1:$BZ$3001,1934,$B$1)&amp;"",FIND(" ",TRIM(INDEX(貼り付け!$A$1:$BZ$3001,1934,$B$1)&amp;"")&amp;" ")-1)),"/","-"),"年","-"),"月","-"),"日",""))),"")</f>
        <v/>
      </c>
      <c r="J1935">
        <f>IFERROR(MID(I1935,FIND("-",I1935)+1,99),"")</f>
        <v/>
      </c>
    </row>
    <row r="1936">
      <c r="B1936">
        <f>IFERROR(IF($B$1=0,"",IF(INDEX(貼り付け!$A$1:$BZ$3001,1935,$B$1)="","",IF(ISNUMBER(INDEX(貼り付け!$A$1:$BZ$3001,1935,$B$1)),INT(INDEX(貼り付け!$A$1:$BZ$3001,1935,$B$1)),DATE(VALUE(LEFT(I1936,FIND("-",I1936)-1)),VALUE(LEFT(J1936,FIND("-",J1936)-1)),VALUE(MID(J1936,FIND("-",J1936)+1,99)))))),"")</f>
        <v/>
      </c>
      <c r="C1936">
        <f>IF($C$1=0,0,IFERROR(VALUE(SUBSTITUTE(SUBSTITUTE(SUBSTITUTE(INDEX(貼り付け!$A$1:$BZ$3001,1935,$C$1)&amp;"",",",""),"¥",""),"￥","")),0))</f>
        <v/>
      </c>
      <c r="D1936">
        <f>IF($D$1=0,0,IFERROR(VALUE(SUBSTITUTE(SUBSTITUTE(SUBSTITUTE(INDEX(貼り付け!$A$1:$BZ$3001,1935,$D$1)&amp;"",",",""),"¥",""),"￥","")),0))</f>
        <v/>
      </c>
      <c r="E1936">
        <f>IF($E$1=0,0,IFERROR(VALUE(SUBSTITUTE(SUBSTITUTE(SUBSTITUTE(INDEX(貼り付け!$A$1:$BZ$3001,1935,$E$1)&amp;"",",",""),"¥",""),"￥","")),0))</f>
        <v/>
      </c>
      <c r="F1936">
        <f>IF($F$1=0,0,IFERROR(VALUE(SUBSTITUTE(SUBSTITUTE(SUBSTITUTE(INDEX(貼り付け!$A$1:$BZ$3001,1935,$F$1)&amp;"",",",""),"¥",""),"￥","")),0))</f>
        <v/>
      </c>
      <c r="G1936">
        <f>IF(ISNUMBER(B1936),YEAR(B1936),"")</f>
        <v/>
      </c>
      <c r="H1936">
        <f>IF(ISNUMBER(B1936),MONTH(B1936),"")</f>
        <v/>
      </c>
      <c r="I1936">
        <f>IFERROR(IF($B$1=0,"",IF(ISNUMBER(INDEX(貼り付け!$A$1:$BZ$3001,1935,$B$1)),"",SUBSTITUTE(SUBSTITUTE(SUBSTITUTE(SUBSTITUTE(TRIM(LEFT(INDEX(貼り付け!$A$1:$BZ$3001,1935,$B$1)&amp;"",FIND(" ",TRIM(INDEX(貼り付け!$A$1:$BZ$3001,1935,$B$1)&amp;"")&amp;" ")-1)),"/","-"),"年","-"),"月","-"),"日",""))),"")</f>
        <v/>
      </c>
      <c r="J1936">
        <f>IFERROR(MID(I1936,FIND("-",I1936)+1,99),"")</f>
        <v/>
      </c>
    </row>
    <row r="1937">
      <c r="B1937">
        <f>IFERROR(IF($B$1=0,"",IF(INDEX(貼り付け!$A$1:$BZ$3001,1936,$B$1)="","",IF(ISNUMBER(INDEX(貼り付け!$A$1:$BZ$3001,1936,$B$1)),INT(INDEX(貼り付け!$A$1:$BZ$3001,1936,$B$1)),DATE(VALUE(LEFT(I1937,FIND("-",I1937)-1)),VALUE(LEFT(J1937,FIND("-",J1937)-1)),VALUE(MID(J1937,FIND("-",J1937)+1,99)))))),"")</f>
        <v/>
      </c>
      <c r="C1937">
        <f>IF($C$1=0,0,IFERROR(VALUE(SUBSTITUTE(SUBSTITUTE(SUBSTITUTE(INDEX(貼り付け!$A$1:$BZ$3001,1936,$C$1)&amp;"",",",""),"¥",""),"￥","")),0))</f>
        <v/>
      </c>
      <c r="D1937">
        <f>IF($D$1=0,0,IFERROR(VALUE(SUBSTITUTE(SUBSTITUTE(SUBSTITUTE(INDEX(貼り付け!$A$1:$BZ$3001,1936,$D$1)&amp;"",",",""),"¥",""),"￥","")),0))</f>
        <v/>
      </c>
      <c r="E1937">
        <f>IF($E$1=0,0,IFERROR(VALUE(SUBSTITUTE(SUBSTITUTE(SUBSTITUTE(INDEX(貼り付け!$A$1:$BZ$3001,1936,$E$1)&amp;"",",",""),"¥",""),"￥","")),0))</f>
        <v/>
      </c>
      <c r="F1937">
        <f>IF($F$1=0,0,IFERROR(VALUE(SUBSTITUTE(SUBSTITUTE(SUBSTITUTE(INDEX(貼り付け!$A$1:$BZ$3001,1936,$F$1)&amp;"",",",""),"¥",""),"￥","")),0))</f>
        <v/>
      </c>
      <c r="G1937">
        <f>IF(ISNUMBER(B1937),YEAR(B1937),"")</f>
        <v/>
      </c>
      <c r="H1937">
        <f>IF(ISNUMBER(B1937),MONTH(B1937),"")</f>
        <v/>
      </c>
      <c r="I1937">
        <f>IFERROR(IF($B$1=0,"",IF(ISNUMBER(INDEX(貼り付け!$A$1:$BZ$3001,1936,$B$1)),"",SUBSTITUTE(SUBSTITUTE(SUBSTITUTE(SUBSTITUTE(TRIM(LEFT(INDEX(貼り付け!$A$1:$BZ$3001,1936,$B$1)&amp;"",FIND(" ",TRIM(INDEX(貼り付け!$A$1:$BZ$3001,1936,$B$1)&amp;"")&amp;" ")-1)),"/","-"),"年","-"),"月","-"),"日",""))),"")</f>
        <v/>
      </c>
      <c r="J1937">
        <f>IFERROR(MID(I1937,FIND("-",I1937)+1,99),"")</f>
        <v/>
      </c>
    </row>
    <row r="1938">
      <c r="B1938">
        <f>IFERROR(IF($B$1=0,"",IF(INDEX(貼り付け!$A$1:$BZ$3001,1937,$B$1)="","",IF(ISNUMBER(INDEX(貼り付け!$A$1:$BZ$3001,1937,$B$1)),INT(INDEX(貼り付け!$A$1:$BZ$3001,1937,$B$1)),DATE(VALUE(LEFT(I1938,FIND("-",I1938)-1)),VALUE(LEFT(J1938,FIND("-",J1938)-1)),VALUE(MID(J1938,FIND("-",J1938)+1,99)))))),"")</f>
        <v/>
      </c>
      <c r="C1938">
        <f>IF($C$1=0,0,IFERROR(VALUE(SUBSTITUTE(SUBSTITUTE(SUBSTITUTE(INDEX(貼り付け!$A$1:$BZ$3001,1937,$C$1)&amp;"",",",""),"¥",""),"￥","")),0))</f>
        <v/>
      </c>
      <c r="D1938">
        <f>IF($D$1=0,0,IFERROR(VALUE(SUBSTITUTE(SUBSTITUTE(SUBSTITUTE(INDEX(貼り付け!$A$1:$BZ$3001,1937,$D$1)&amp;"",",",""),"¥",""),"￥","")),0))</f>
        <v/>
      </c>
      <c r="E1938">
        <f>IF($E$1=0,0,IFERROR(VALUE(SUBSTITUTE(SUBSTITUTE(SUBSTITUTE(INDEX(貼り付け!$A$1:$BZ$3001,1937,$E$1)&amp;"",",",""),"¥",""),"￥","")),0))</f>
        <v/>
      </c>
      <c r="F1938">
        <f>IF($F$1=0,0,IFERROR(VALUE(SUBSTITUTE(SUBSTITUTE(SUBSTITUTE(INDEX(貼り付け!$A$1:$BZ$3001,1937,$F$1)&amp;"",",",""),"¥",""),"￥","")),0))</f>
        <v/>
      </c>
      <c r="G1938">
        <f>IF(ISNUMBER(B1938),YEAR(B1938),"")</f>
        <v/>
      </c>
      <c r="H1938">
        <f>IF(ISNUMBER(B1938),MONTH(B1938),"")</f>
        <v/>
      </c>
      <c r="I1938">
        <f>IFERROR(IF($B$1=0,"",IF(ISNUMBER(INDEX(貼り付け!$A$1:$BZ$3001,1937,$B$1)),"",SUBSTITUTE(SUBSTITUTE(SUBSTITUTE(SUBSTITUTE(TRIM(LEFT(INDEX(貼り付け!$A$1:$BZ$3001,1937,$B$1)&amp;"",FIND(" ",TRIM(INDEX(貼り付け!$A$1:$BZ$3001,1937,$B$1)&amp;"")&amp;" ")-1)),"/","-"),"年","-"),"月","-"),"日",""))),"")</f>
        <v/>
      </c>
      <c r="J1938">
        <f>IFERROR(MID(I1938,FIND("-",I1938)+1,99),"")</f>
        <v/>
      </c>
    </row>
    <row r="1939">
      <c r="B1939">
        <f>IFERROR(IF($B$1=0,"",IF(INDEX(貼り付け!$A$1:$BZ$3001,1938,$B$1)="","",IF(ISNUMBER(INDEX(貼り付け!$A$1:$BZ$3001,1938,$B$1)),INT(INDEX(貼り付け!$A$1:$BZ$3001,1938,$B$1)),DATE(VALUE(LEFT(I1939,FIND("-",I1939)-1)),VALUE(LEFT(J1939,FIND("-",J1939)-1)),VALUE(MID(J1939,FIND("-",J1939)+1,99)))))),"")</f>
        <v/>
      </c>
      <c r="C1939">
        <f>IF($C$1=0,0,IFERROR(VALUE(SUBSTITUTE(SUBSTITUTE(SUBSTITUTE(INDEX(貼り付け!$A$1:$BZ$3001,1938,$C$1)&amp;"",",",""),"¥",""),"￥","")),0))</f>
        <v/>
      </c>
      <c r="D1939">
        <f>IF($D$1=0,0,IFERROR(VALUE(SUBSTITUTE(SUBSTITUTE(SUBSTITUTE(INDEX(貼り付け!$A$1:$BZ$3001,1938,$D$1)&amp;"",",",""),"¥",""),"￥","")),0))</f>
        <v/>
      </c>
      <c r="E1939">
        <f>IF($E$1=0,0,IFERROR(VALUE(SUBSTITUTE(SUBSTITUTE(SUBSTITUTE(INDEX(貼り付け!$A$1:$BZ$3001,1938,$E$1)&amp;"",",",""),"¥",""),"￥","")),0))</f>
        <v/>
      </c>
      <c r="F1939">
        <f>IF($F$1=0,0,IFERROR(VALUE(SUBSTITUTE(SUBSTITUTE(SUBSTITUTE(INDEX(貼り付け!$A$1:$BZ$3001,1938,$F$1)&amp;"",",",""),"¥",""),"￥","")),0))</f>
        <v/>
      </c>
      <c r="G1939">
        <f>IF(ISNUMBER(B1939),YEAR(B1939),"")</f>
        <v/>
      </c>
      <c r="H1939">
        <f>IF(ISNUMBER(B1939),MONTH(B1939),"")</f>
        <v/>
      </c>
      <c r="I1939">
        <f>IFERROR(IF($B$1=0,"",IF(ISNUMBER(INDEX(貼り付け!$A$1:$BZ$3001,1938,$B$1)),"",SUBSTITUTE(SUBSTITUTE(SUBSTITUTE(SUBSTITUTE(TRIM(LEFT(INDEX(貼り付け!$A$1:$BZ$3001,1938,$B$1)&amp;"",FIND(" ",TRIM(INDEX(貼り付け!$A$1:$BZ$3001,1938,$B$1)&amp;"")&amp;" ")-1)),"/","-"),"年","-"),"月","-"),"日",""))),"")</f>
        <v/>
      </c>
      <c r="J1939">
        <f>IFERROR(MID(I1939,FIND("-",I1939)+1,99),"")</f>
        <v/>
      </c>
    </row>
    <row r="1940">
      <c r="B1940">
        <f>IFERROR(IF($B$1=0,"",IF(INDEX(貼り付け!$A$1:$BZ$3001,1939,$B$1)="","",IF(ISNUMBER(INDEX(貼り付け!$A$1:$BZ$3001,1939,$B$1)),INT(INDEX(貼り付け!$A$1:$BZ$3001,1939,$B$1)),DATE(VALUE(LEFT(I1940,FIND("-",I1940)-1)),VALUE(LEFT(J1940,FIND("-",J1940)-1)),VALUE(MID(J1940,FIND("-",J1940)+1,99)))))),"")</f>
        <v/>
      </c>
      <c r="C1940">
        <f>IF($C$1=0,0,IFERROR(VALUE(SUBSTITUTE(SUBSTITUTE(SUBSTITUTE(INDEX(貼り付け!$A$1:$BZ$3001,1939,$C$1)&amp;"",",",""),"¥",""),"￥","")),0))</f>
        <v/>
      </c>
      <c r="D1940">
        <f>IF($D$1=0,0,IFERROR(VALUE(SUBSTITUTE(SUBSTITUTE(SUBSTITUTE(INDEX(貼り付け!$A$1:$BZ$3001,1939,$D$1)&amp;"",",",""),"¥",""),"￥","")),0))</f>
        <v/>
      </c>
      <c r="E1940">
        <f>IF($E$1=0,0,IFERROR(VALUE(SUBSTITUTE(SUBSTITUTE(SUBSTITUTE(INDEX(貼り付け!$A$1:$BZ$3001,1939,$E$1)&amp;"",",",""),"¥",""),"￥","")),0))</f>
        <v/>
      </c>
      <c r="F1940">
        <f>IF($F$1=0,0,IFERROR(VALUE(SUBSTITUTE(SUBSTITUTE(SUBSTITUTE(INDEX(貼り付け!$A$1:$BZ$3001,1939,$F$1)&amp;"",",",""),"¥",""),"￥","")),0))</f>
        <v/>
      </c>
      <c r="G1940">
        <f>IF(ISNUMBER(B1940),YEAR(B1940),"")</f>
        <v/>
      </c>
      <c r="H1940">
        <f>IF(ISNUMBER(B1940),MONTH(B1940),"")</f>
        <v/>
      </c>
      <c r="I1940">
        <f>IFERROR(IF($B$1=0,"",IF(ISNUMBER(INDEX(貼り付け!$A$1:$BZ$3001,1939,$B$1)),"",SUBSTITUTE(SUBSTITUTE(SUBSTITUTE(SUBSTITUTE(TRIM(LEFT(INDEX(貼り付け!$A$1:$BZ$3001,1939,$B$1)&amp;"",FIND(" ",TRIM(INDEX(貼り付け!$A$1:$BZ$3001,1939,$B$1)&amp;"")&amp;" ")-1)),"/","-"),"年","-"),"月","-"),"日",""))),"")</f>
        <v/>
      </c>
      <c r="J1940">
        <f>IFERROR(MID(I1940,FIND("-",I1940)+1,99),"")</f>
        <v/>
      </c>
    </row>
    <row r="1941">
      <c r="B1941">
        <f>IFERROR(IF($B$1=0,"",IF(INDEX(貼り付け!$A$1:$BZ$3001,1940,$B$1)="","",IF(ISNUMBER(INDEX(貼り付け!$A$1:$BZ$3001,1940,$B$1)),INT(INDEX(貼り付け!$A$1:$BZ$3001,1940,$B$1)),DATE(VALUE(LEFT(I1941,FIND("-",I1941)-1)),VALUE(LEFT(J1941,FIND("-",J1941)-1)),VALUE(MID(J1941,FIND("-",J1941)+1,99)))))),"")</f>
        <v/>
      </c>
      <c r="C1941">
        <f>IF($C$1=0,0,IFERROR(VALUE(SUBSTITUTE(SUBSTITUTE(SUBSTITUTE(INDEX(貼り付け!$A$1:$BZ$3001,1940,$C$1)&amp;"",",",""),"¥",""),"￥","")),0))</f>
        <v/>
      </c>
      <c r="D1941">
        <f>IF($D$1=0,0,IFERROR(VALUE(SUBSTITUTE(SUBSTITUTE(SUBSTITUTE(INDEX(貼り付け!$A$1:$BZ$3001,1940,$D$1)&amp;"",",",""),"¥",""),"￥","")),0))</f>
        <v/>
      </c>
      <c r="E1941">
        <f>IF($E$1=0,0,IFERROR(VALUE(SUBSTITUTE(SUBSTITUTE(SUBSTITUTE(INDEX(貼り付け!$A$1:$BZ$3001,1940,$E$1)&amp;"",",",""),"¥",""),"￥","")),0))</f>
        <v/>
      </c>
      <c r="F1941">
        <f>IF($F$1=0,0,IFERROR(VALUE(SUBSTITUTE(SUBSTITUTE(SUBSTITUTE(INDEX(貼り付け!$A$1:$BZ$3001,1940,$F$1)&amp;"",",",""),"¥",""),"￥","")),0))</f>
        <v/>
      </c>
      <c r="G1941">
        <f>IF(ISNUMBER(B1941),YEAR(B1941),"")</f>
        <v/>
      </c>
      <c r="H1941">
        <f>IF(ISNUMBER(B1941),MONTH(B1941),"")</f>
        <v/>
      </c>
      <c r="I1941">
        <f>IFERROR(IF($B$1=0,"",IF(ISNUMBER(INDEX(貼り付け!$A$1:$BZ$3001,1940,$B$1)),"",SUBSTITUTE(SUBSTITUTE(SUBSTITUTE(SUBSTITUTE(TRIM(LEFT(INDEX(貼り付け!$A$1:$BZ$3001,1940,$B$1)&amp;"",FIND(" ",TRIM(INDEX(貼り付け!$A$1:$BZ$3001,1940,$B$1)&amp;"")&amp;" ")-1)),"/","-"),"年","-"),"月","-"),"日",""))),"")</f>
        <v/>
      </c>
      <c r="J1941">
        <f>IFERROR(MID(I1941,FIND("-",I1941)+1,99),"")</f>
        <v/>
      </c>
    </row>
    <row r="1942">
      <c r="B1942">
        <f>IFERROR(IF($B$1=0,"",IF(INDEX(貼り付け!$A$1:$BZ$3001,1941,$B$1)="","",IF(ISNUMBER(INDEX(貼り付け!$A$1:$BZ$3001,1941,$B$1)),INT(INDEX(貼り付け!$A$1:$BZ$3001,1941,$B$1)),DATE(VALUE(LEFT(I1942,FIND("-",I1942)-1)),VALUE(LEFT(J1942,FIND("-",J1942)-1)),VALUE(MID(J1942,FIND("-",J1942)+1,99)))))),"")</f>
        <v/>
      </c>
      <c r="C1942">
        <f>IF($C$1=0,0,IFERROR(VALUE(SUBSTITUTE(SUBSTITUTE(SUBSTITUTE(INDEX(貼り付け!$A$1:$BZ$3001,1941,$C$1)&amp;"",",",""),"¥",""),"￥","")),0))</f>
        <v/>
      </c>
      <c r="D1942">
        <f>IF($D$1=0,0,IFERROR(VALUE(SUBSTITUTE(SUBSTITUTE(SUBSTITUTE(INDEX(貼り付け!$A$1:$BZ$3001,1941,$D$1)&amp;"",",",""),"¥",""),"￥","")),0))</f>
        <v/>
      </c>
      <c r="E1942">
        <f>IF($E$1=0,0,IFERROR(VALUE(SUBSTITUTE(SUBSTITUTE(SUBSTITUTE(INDEX(貼り付け!$A$1:$BZ$3001,1941,$E$1)&amp;"",",",""),"¥",""),"￥","")),0))</f>
        <v/>
      </c>
      <c r="F1942">
        <f>IF($F$1=0,0,IFERROR(VALUE(SUBSTITUTE(SUBSTITUTE(SUBSTITUTE(INDEX(貼り付け!$A$1:$BZ$3001,1941,$F$1)&amp;"",",",""),"¥",""),"￥","")),0))</f>
        <v/>
      </c>
      <c r="G1942">
        <f>IF(ISNUMBER(B1942),YEAR(B1942),"")</f>
        <v/>
      </c>
      <c r="H1942">
        <f>IF(ISNUMBER(B1942),MONTH(B1942),"")</f>
        <v/>
      </c>
      <c r="I1942">
        <f>IFERROR(IF($B$1=0,"",IF(ISNUMBER(INDEX(貼り付け!$A$1:$BZ$3001,1941,$B$1)),"",SUBSTITUTE(SUBSTITUTE(SUBSTITUTE(SUBSTITUTE(TRIM(LEFT(INDEX(貼り付け!$A$1:$BZ$3001,1941,$B$1)&amp;"",FIND(" ",TRIM(INDEX(貼り付け!$A$1:$BZ$3001,1941,$B$1)&amp;"")&amp;" ")-1)),"/","-"),"年","-"),"月","-"),"日",""))),"")</f>
        <v/>
      </c>
      <c r="J1942">
        <f>IFERROR(MID(I1942,FIND("-",I1942)+1,99),"")</f>
        <v/>
      </c>
    </row>
    <row r="1943">
      <c r="B1943">
        <f>IFERROR(IF($B$1=0,"",IF(INDEX(貼り付け!$A$1:$BZ$3001,1942,$B$1)="","",IF(ISNUMBER(INDEX(貼り付け!$A$1:$BZ$3001,1942,$B$1)),INT(INDEX(貼り付け!$A$1:$BZ$3001,1942,$B$1)),DATE(VALUE(LEFT(I1943,FIND("-",I1943)-1)),VALUE(LEFT(J1943,FIND("-",J1943)-1)),VALUE(MID(J1943,FIND("-",J1943)+1,99)))))),"")</f>
        <v/>
      </c>
      <c r="C1943">
        <f>IF($C$1=0,0,IFERROR(VALUE(SUBSTITUTE(SUBSTITUTE(SUBSTITUTE(INDEX(貼り付け!$A$1:$BZ$3001,1942,$C$1)&amp;"",",",""),"¥",""),"￥","")),0))</f>
        <v/>
      </c>
      <c r="D1943">
        <f>IF($D$1=0,0,IFERROR(VALUE(SUBSTITUTE(SUBSTITUTE(SUBSTITUTE(INDEX(貼り付け!$A$1:$BZ$3001,1942,$D$1)&amp;"",",",""),"¥",""),"￥","")),0))</f>
        <v/>
      </c>
      <c r="E1943">
        <f>IF($E$1=0,0,IFERROR(VALUE(SUBSTITUTE(SUBSTITUTE(SUBSTITUTE(INDEX(貼り付け!$A$1:$BZ$3001,1942,$E$1)&amp;"",",",""),"¥",""),"￥","")),0))</f>
        <v/>
      </c>
      <c r="F1943">
        <f>IF($F$1=0,0,IFERROR(VALUE(SUBSTITUTE(SUBSTITUTE(SUBSTITUTE(INDEX(貼り付け!$A$1:$BZ$3001,1942,$F$1)&amp;"",",",""),"¥",""),"￥","")),0))</f>
        <v/>
      </c>
      <c r="G1943">
        <f>IF(ISNUMBER(B1943),YEAR(B1943),"")</f>
        <v/>
      </c>
      <c r="H1943">
        <f>IF(ISNUMBER(B1943),MONTH(B1943),"")</f>
        <v/>
      </c>
      <c r="I1943">
        <f>IFERROR(IF($B$1=0,"",IF(ISNUMBER(INDEX(貼り付け!$A$1:$BZ$3001,1942,$B$1)),"",SUBSTITUTE(SUBSTITUTE(SUBSTITUTE(SUBSTITUTE(TRIM(LEFT(INDEX(貼り付け!$A$1:$BZ$3001,1942,$B$1)&amp;"",FIND(" ",TRIM(INDEX(貼り付け!$A$1:$BZ$3001,1942,$B$1)&amp;"")&amp;" ")-1)),"/","-"),"年","-"),"月","-"),"日",""))),"")</f>
        <v/>
      </c>
      <c r="J1943">
        <f>IFERROR(MID(I1943,FIND("-",I1943)+1,99),"")</f>
        <v/>
      </c>
    </row>
    <row r="1944">
      <c r="B1944">
        <f>IFERROR(IF($B$1=0,"",IF(INDEX(貼り付け!$A$1:$BZ$3001,1943,$B$1)="","",IF(ISNUMBER(INDEX(貼り付け!$A$1:$BZ$3001,1943,$B$1)),INT(INDEX(貼り付け!$A$1:$BZ$3001,1943,$B$1)),DATE(VALUE(LEFT(I1944,FIND("-",I1944)-1)),VALUE(LEFT(J1944,FIND("-",J1944)-1)),VALUE(MID(J1944,FIND("-",J1944)+1,99)))))),"")</f>
        <v/>
      </c>
      <c r="C1944">
        <f>IF($C$1=0,0,IFERROR(VALUE(SUBSTITUTE(SUBSTITUTE(SUBSTITUTE(INDEX(貼り付け!$A$1:$BZ$3001,1943,$C$1)&amp;"",",",""),"¥",""),"￥","")),0))</f>
        <v/>
      </c>
      <c r="D1944">
        <f>IF($D$1=0,0,IFERROR(VALUE(SUBSTITUTE(SUBSTITUTE(SUBSTITUTE(INDEX(貼り付け!$A$1:$BZ$3001,1943,$D$1)&amp;"",",",""),"¥",""),"￥","")),0))</f>
        <v/>
      </c>
      <c r="E1944">
        <f>IF($E$1=0,0,IFERROR(VALUE(SUBSTITUTE(SUBSTITUTE(SUBSTITUTE(INDEX(貼り付け!$A$1:$BZ$3001,1943,$E$1)&amp;"",",",""),"¥",""),"￥","")),0))</f>
        <v/>
      </c>
      <c r="F1944">
        <f>IF($F$1=0,0,IFERROR(VALUE(SUBSTITUTE(SUBSTITUTE(SUBSTITUTE(INDEX(貼り付け!$A$1:$BZ$3001,1943,$F$1)&amp;"",",",""),"¥",""),"￥","")),0))</f>
        <v/>
      </c>
      <c r="G1944">
        <f>IF(ISNUMBER(B1944),YEAR(B1944),"")</f>
        <v/>
      </c>
      <c r="H1944">
        <f>IF(ISNUMBER(B1944),MONTH(B1944),"")</f>
        <v/>
      </c>
      <c r="I1944">
        <f>IFERROR(IF($B$1=0,"",IF(ISNUMBER(INDEX(貼り付け!$A$1:$BZ$3001,1943,$B$1)),"",SUBSTITUTE(SUBSTITUTE(SUBSTITUTE(SUBSTITUTE(TRIM(LEFT(INDEX(貼り付け!$A$1:$BZ$3001,1943,$B$1)&amp;"",FIND(" ",TRIM(INDEX(貼り付け!$A$1:$BZ$3001,1943,$B$1)&amp;"")&amp;" ")-1)),"/","-"),"年","-"),"月","-"),"日",""))),"")</f>
        <v/>
      </c>
      <c r="J1944">
        <f>IFERROR(MID(I1944,FIND("-",I1944)+1,99),"")</f>
        <v/>
      </c>
    </row>
    <row r="1945">
      <c r="B1945">
        <f>IFERROR(IF($B$1=0,"",IF(INDEX(貼り付け!$A$1:$BZ$3001,1944,$B$1)="","",IF(ISNUMBER(INDEX(貼り付け!$A$1:$BZ$3001,1944,$B$1)),INT(INDEX(貼り付け!$A$1:$BZ$3001,1944,$B$1)),DATE(VALUE(LEFT(I1945,FIND("-",I1945)-1)),VALUE(LEFT(J1945,FIND("-",J1945)-1)),VALUE(MID(J1945,FIND("-",J1945)+1,99)))))),"")</f>
        <v/>
      </c>
      <c r="C1945">
        <f>IF($C$1=0,0,IFERROR(VALUE(SUBSTITUTE(SUBSTITUTE(SUBSTITUTE(INDEX(貼り付け!$A$1:$BZ$3001,1944,$C$1)&amp;"",",",""),"¥",""),"￥","")),0))</f>
        <v/>
      </c>
      <c r="D1945">
        <f>IF($D$1=0,0,IFERROR(VALUE(SUBSTITUTE(SUBSTITUTE(SUBSTITUTE(INDEX(貼り付け!$A$1:$BZ$3001,1944,$D$1)&amp;"",",",""),"¥",""),"￥","")),0))</f>
        <v/>
      </c>
      <c r="E1945">
        <f>IF($E$1=0,0,IFERROR(VALUE(SUBSTITUTE(SUBSTITUTE(SUBSTITUTE(INDEX(貼り付け!$A$1:$BZ$3001,1944,$E$1)&amp;"",",",""),"¥",""),"￥","")),0))</f>
        <v/>
      </c>
      <c r="F1945">
        <f>IF($F$1=0,0,IFERROR(VALUE(SUBSTITUTE(SUBSTITUTE(SUBSTITUTE(INDEX(貼り付け!$A$1:$BZ$3001,1944,$F$1)&amp;"",",",""),"¥",""),"￥","")),0))</f>
        <v/>
      </c>
      <c r="G1945">
        <f>IF(ISNUMBER(B1945),YEAR(B1945),"")</f>
        <v/>
      </c>
      <c r="H1945">
        <f>IF(ISNUMBER(B1945),MONTH(B1945),"")</f>
        <v/>
      </c>
      <c r="I1945">
        <f>IFERROR(IF($B$1=0,"",IF(ISNUMBER(INDEX(貼り付け!$A$1:$BZ$3001,1944,$B$1)),"",SUBSTITUTE(SUBSTITUTE(SUBSTITUTE(SUBSTITUTE(TRIM(LEFT(INDEX(貼り付け!$A$1:$BZ$3001,1944,$B$1)&amp;"",FIND(" ",TRIM(INDEX(貼り付け!$A$1:$BZ$3001,1944,$B$1)&amp;"")&amp;" ")-1)),"/","-"),"年","-"),"月","-"),"日",""))),"")</f>
        <v/>
      </c>
      <c r="J1945">
        <f>IFERROR(MID(I1945,FIND("-",I1945)+1,99),"")</f>
        <v/>
      </c>
    </row>
    <row r="1946">
      <c r="B1946">
        <f>IFERROR(IF($B$1=0,"",IF(INDEX(貼り付け!$A$1:$BZ$3001,1945,$B$1)="","",IF(ISNUMBER(INDEX(貼り付け!$A$1:$BZ$3001,1945,$B$1)),INT(INDEX(貼り付け!$A$1:$BZ$3001,1945,$B$1)),DATE(VALUE(LEFT(I1946,FIND("-",I1946)-1)),VALUE(LEFT(J1946,FIND("-",J1946)-1)),VALUE(MID(J1946,FIND("-",J1946)+1,99)))))),"")</f>
        <v/>
      </c>
      <c r="C1946">
        <f>IF($C$1=0,0,IFERROR(VALUE(SUBSTITUTE(SUBSTITUTE(SUBSTITUTE(INDEX(貼り付け!$A$1:$BZ$3001,1945,$C$1)&amp;"",",",""),"¥",""),"￥","")),0))</f>
        <v/>
      </c>
      <c r="D1946">
        <f>IF($D$1=0,0,IFERROR(VALUE(SUBSTITUTE(SUBSTITUTE(SUBSTITUTE(INDEX(貼り付け!$A$1:$BZ$3001,1945,$D$1)&amp;"",",",""),"¥",""),"￥","")),0))</f>
        <v/>
      </c>
      <c r="E1946">
        <f>IF($E$1=0,0,IFERROR(VALUE(SUBSTITUTE(SUBSTITUTE(SUBSTITUTE(INDEX(貼り付け!$A$1:$BZ$3001,1945,$E$1)&amp;"",",",""),"¥",""),"￥","")),0))</f>
        <v/>
      </c>
      <c r="F1946">
        <f>IF($F$1=0,0,IFERROR(VALUE(SUBSTITUTE(SUBSTITUTE(SUBSTITUTE(INDEX(貼り付け!$A$1:$BZ$3001,1945,$F$1)&amp;"",",",""),"¥",""),"￥","")),0))</f>
        <v/>
      </c>
      <c r="G1946">
        <f>IF(ISNUMBER(B1946),YEAR(B1946),"")</f>
        <v/>
      </c>
      <c r="H1946">
        <f>IF(ISNUMBER(B1946),MONTH(B1946),"")</f>
        <v/>
      </c>
      <c r="I1946">
        <f>IFERROR(IF($B$1=0,"",IF(ISNUMBER(INDEX(貼り付け!$A$1:$BZ$3001,1945,$B$1)),"",SUBSTITUTE(SUBSTITUTE(SUBSTITUTE(SUBSTITUTE(TRIM(LEFT(INDEX(貼り付け!$A$1:$BZ$3001,1945,$B$1)&amp;"",FIND(" ",TRIM(INDEX(貼り付け!$A$1:$BZ$3001,1945,$B$1)&amp;"")&amp;" ")-1)),"/","-"),"年","-"),"月","-"),"日",""))),"")</f>
        <v/>
      </c>
      <c r="J1946">
        <f>IFERROR(MID(I1946,FIND("-",I1946)+1,99),"")</f>
        <v/>
      </c>
    </row>
    <row r="1947">
      <c r="B1947">
        <f>IFERROR(IF($B$1=0,"",IF(INDEX(貼り付け!$A$1:$BZ$3001,1946,$B$1)="","",IF(ISNUMBER(INDEX(貼り付け!$A$1:$BZ$3001,1946,$B$1)),INT(INDEX(貼り付け!$A$1:$BZ$3001,1946,$B$1)),DATE(VALUE(LEFT(I1947,FIND("-",I1947)-1)),VALUE(LEFT(J1947,FIND("-",J1947)-1)),VALUE(MID(J1947,FIND("-",J1947)+1,99)))))),"")</f>
        <v/>
      </c>
      <c r="C1947">
        <f>IF($C$1=0,0,IFERROR(VALUE(SUBSTITUTE(SUBSTITUTE(SUBSTITUTE(INDEX(貼り付け!$A$1:$BZ$3001,1946,$C$1)&amp;"",",",""),"¥",""),"￥","")),0))</f>
        <v/>
      </c>
      <c r="D1947">
        <f>IF($D$1=0,0,IFERROR(VALUE(SUBSTITUTE(SUBSTITUTE(SUBSTITUTE(INDEX(貼り付け!$A$1:$BZ$3001,1946,$D$1)&amp;"",",",""),"¥",""),"￥","")),0))</f>
        <v/>
      </c>
      <c r="E1947">
        <f>IF($E$1=0,0,IFERROR(VALUE(SUBSTITUTE(SUBSTITUTE(SUBSTITUTE(INDEX(貼り付け!$A$1:$BZ$3001,1946,$E$1)&amp;"",",",""),"¥",""),"￥","")),0))</f>
        <v/>
      </c>
      <c r="F1947">
        <f>IF($F$1=0,0,IFERROR(VALUE(SUBSTITUTE(SUBSTITUTE(SUBSTITUTE(INDEX(貼り付け!$A$1:$BZ$3001,1946,$F$1)&amp;"",",",""),"¥",""),"￥","")),0))</f>
        <v/>
      </c>
      <c r="G1947">
        <f>IF(ISNUMBER(B1947),YEAR(B1947),"")</f>
        <v/>
      </c>
      <c r="H1947">
        <f>IF(ISNUMBER(B1947),MONTH(B1947),"")</f>
        <v/>
      </c>
      <c r="I1947">
        <f>IFERROR(IF($B$1=0,"",IF(ISNUMBER(INDEX(貼り付け!$A$1:$BZ$3001,1946,$B$1)),"",SUBSTITUTE(SUBSTITUTE(SUBSTITUTE(SUBSTITUTE(TRIM(LEFT(INDEX(貼り付け!$A$1:$BZ$3001,1946,$B$1)&amp;"",FIND(" ",TRIM(INDEX(貼り付け!$A$1:$BZ$3001,1946,$B$1)&amp;"")&amp;" ")-1)),"/","-"),"年","-"),"月","-"),"日",""))),"")</f>
        <v/>
      </c>
      <c r="J1947">
        <f>IFERROR(MID(I1947,FIND("-",I1947)+1,99),"")</f>
        <v/>
      </c>
    </row>
    <row r="1948">
      <c r="B1948">
        <f>IFERROR(IF($B$1=0,"",IF(INDEX(貼り付け!$A$1:$BZ$3001,1947,$B$1)="","",IF(ISNUMBER(INDEX(貼り付け!$A$1:$BZ$3001,1947,$B$1)),INT(INDEX(貼り付け!$A$1:$BZ$3001,1947,$B$1)),DATE(VALUE(LEFT(I1948,FIND("-",I1948)-1)),VALUE(LEFT(J1948,FIND("-",J1948)-1)),VALUE(MID(J1948,FIND("-",J1948)+1,99)))))),"")</f>
        <v/>
      </c>
      <c r="C1948">
        <f>IF($C$1=0,0,IFERROR(VALUE(SUBSTITUTE(SUBSTITUTE(SUBSTITUTE(INDEX(貼り付け!$A$1:$BZ$3001,1947,$C$1)&amp;"",",",""),"¥",""),"￥","")),0))</f>
        <v/>
      </c>
      <c r="D1948">
        <f>IF($D$1=0,0,IFERROR(VALUE(SUBSTITUTE(SUBSTITUTE(SUBSTITUTE(INDEX(貼り付け!$A$1:$BZ$3001,1947,$D$1)&amp;"",",",""),"¥",""),"￥","")),0))</f>
        <v/>
      </c>
      <c r="E1948">
        <f>IF($E$1=0,0,IFERROR(VALUE(SUBSTITUTE(SUBSTITUTE(SUBSTITUTE(INDEX(貼り付け!$A$1:$BZ$3001,1947,$E$1)&amp;"",",",""),"¥",""),"￥","")),0))</f>
        <v/>
      </c>
      <c r="F1948">
        <f>IF($F$1=0,0,IFERROR(VALUE(SUBSTITUTE(SUBSTITUTE(SUBSTITUTE(INDEX(貼り付け!$A$1:$BZ$3001,1947,$F$1)&amp;"",",",""),"¥",""),"￥","")),0))</f>
        <v/>
      </c>
      <c r="G1948">
        <f>IF(ISNUMBER(B1948),YEAR(B1948),"")</f>
        <v/>
      </c>
      <c r="H1948">
        <f>IF(ISNUMBER(B1948),MONTH(B1948),"")</f>
        <v/>
      </c>
      <c r="I1948">
        <f>IFERROR(IF($B$1=0,"",IF(ISNUMBER(INDEX(貼り付け!$A$1:$BZ$3001,1947,$B$1)),"",SUBSTITUTE(SUBSTITUTE(SUBSTITUTE(SUBSTITUTE(TRIM(LEFT(INDEX(貼り付け!$A$1:$BZ$3001,1947,$B$1)&amp;"",FIND(" ",TRIM(INDEX(貼り付け!$A$1:$BZ$3001,1947,$B$1)&amp;"")&amp;" ")-1)),"/","-"),"年","-"),"月","-"),"日",""))),"")</f>
        <v/>
      </c>
      <c r="J1948">
        <f>IFERROR(MID(I1948,FIND("-",I1948)+1,99),"")</f>
        <v/>
      </c>
    </row>
    <row r="1949">
      <c r="B1949">
        <f>IFERROR(IF($B$1=0,"",IF(INDEX(貼り付け!$A$1:$BZ$3001,1948,$B$1)="","",IF(ISNUMBER(INDEX(貼り付け!$A$1:$BZ$3001,1948,$B$1)),INT(INDEX(貼り付け!$A$1:$BZ$3001,1948,$B$1)),DATE(VALUE(LEFT(I1949,FIND("-",I1949)-1)),VALUE(LEFT(J1949,FIND("-",J1949)-1)),VALUE(MID(J1949,FIND("-",J1949)+1,99)))))),"")</f>
        <v/>
      </c>
      <c r="C1949">
        <f>IF($C$1=0,0,IFERROR(VALUE(SUBSTITUTE(SUBSTITUTE(SUBSTITUTE(INDEX(貼り付け!$A$1:$BZ$3001,1948,$C$1)&amp;"",",",""),"¥",""),"￥","")),0))</f>
        <v/>
      </c>
      <c r="D1949">
        <f>IF($D$1=0,0,IFERROR(VALUE(SUBSTITUTE(SUBSTITUTE(SUBSTITUTE(INDEX(貼り付け!$A$1:$BZ$3001,1948,$D$1)&amp;"",",",""),"¥",""),"￥","")),0))</f>
        <v/>
      </c>
      <c r="E1949">
        <f>IF($E$1=0,0,IFERROR(VALUE(SUBSTITUTE(SUBSTITUTE(SUBSTITUTE(INDEX(貼り付け!$A$1:$BZ$3001,1948,$E$1)&amp;"",",",""),"¥",""),"￥","")),0))</f>
        <v/>
      </c>
      <c r="F1949">
        <f>IF($F$1=0,0,IFERROR(VALUE(SUBSTITUTE(SUBSTITUTE(SUBSTITUTE(INDEX(貼り付け!$A$1:$BZ$3001,1948,$F$1)&amp;"",",",""),"¥",""),"￥","")),0))</f>
        <v/>
      </c>
      <c r="G1949">
        <f>IF(ISNUMBER(B1949),YEAR(B1949),"")</f>
        <v/>
      </c>
      <c r="H1949">
        <f>IF(ISNUMBER(B1949),MONTH(B1949),"")</f>
        <v/>
      </c>
      <c r="I1949">
        <f>IFERROR(IF($B$1=0,"",IF(ISNUMBER(INDEX(貼り付け!$A$1:$BZ$3001,1948,$B$1)),"",SUBSTITUTE(SUBSTITUTE(SUBSTITUTE(SUBSTITUTE(TRIM(LEFT(INDEX(貼り付け!$A$1:$BZ$3001,1948,$B$1)&amp;"",FIND(" ",TRIM(INDEX(貼り付け!$A$1:$BZ$3001,1948,$B$1)&amp;"")&amp;" ")-1)),"/","-"),"年","-"),"月","-"),"日",""))),"")</f>
        <v/>
      </c>
      <c r="J1949">
        <f>IFERROR(MID(I1949,FIND("-",I1949)+1,99),"")</f>
        <v/>
      </c>
    </row>
    <row r="1950">
      <c r="B1950">
        <f>IFERROR(IF($B$1=0,"",IF(INDEX(貼り付け!$A$1:$BZ$3001,1949,$B$1)="","",IF(ISNUMBER(INDEX(貼り付け!$A$1:$BZ$3001,1949,$B$1)),INT(INDEX(貼り付け!$A$1:$BZ$3001,1949,$B$1)),DATE(VALUE(LEFT(I1950,FIND("-",I1950)-1)),VALUE(LEFT(J1950,FIND("-",J1950)-1)),VALUE(MID(J1950,FIND("-",J1950)+1,99)))))),"")</f>
        <v/>
      </c>
      <c r="C1950">
        <f>IF($C$1=0,0,IFERROR(VALUE(SUBSTITUTE(SUBSTITUTE(SUBSTITUTE(INDEX(貼り付け!$A$1:$BZ$3001,1949,$C$1)&amp;"",",",""),"¥",""),"￥","")),0))</f>
        <v/>
      </c>
      <c r="D1950">
        <f>IF($D$1=0,0,IFERROR(VALUE(SUBSTITUTE(SUBSTITUTE(SUBSTITUTE(INDEX(貼り付け!$A$1:$BZ$3001,1949,$D$1)&amp;"",",",""),"¥",""),"￥","")),0))</f>
        <v/>
      </c>
      <c r="E1950">
        <f>IF($E$1=0,0,IFERROR(VALUE(SUBSTITUTE(SUBSTITUTE(SUBSTITUTE(INDEX(貼り付け!$A$1:$BZ$3001,1949,$E$1)&amp;"",",",""),"¥",""),"￥","")),0))</f>
        <v/>
      </c>
      <c r="F1950">
        <f>IF($F$1=0,0,IFERROR(VALUE(SUBSTITUTE(SUBSTITUTE(SUBSTITUTE(INDEX(貼り付け!$A$1:$BZ$3001,1949,$F$1)&amp;"",",",""),"¥",""),"￥","")),0))</f>
        <v/>
      </c>
      <c r="G1950">
        <f>IF(ISNUMBER(B1950),YEAR(B1950),"")</f>
        <v/>
      </c>
      <c r="H1950">
        <f>IF(ISNUMBER(B1950),MONTH(B1950),"")</f>
        <v/>
      </c>
      <c r="I1950">
        <f>IFERROR(IF($B$1=0,"",IF(ISNUMBER(INDEX(貼り付け!$A$1:$BZ$3001,1949,$B$1)),"",SUBSTITUTE(SUBSTITUTE(SUBSTITUTE(SUBSTITUTE(TRIM(LEFT(INDEX(貼り付け!$A$1:$BZ$3001,1949,$B$1)&amp;"",FIND(" ",TRIM(INDEX(貼り付け!$A$1:$BZ$3001,1949,$B$1)&amp;"")&amp;" ")-1)),"/","-"),"年","-"),"月","-"),"日",""))),"")</f>
        <v/>
      </c>
      <c r="J1950">
        <f>IFERROR(MID(I1950,FIND("-",I1950)+1,99),"")</f>
        <v/>
      </c>
    </row>
    <row r="1951">
      <c r="B1951">
        <f>IFERROR(IF($B$1=0,"",IF(INDEX(貼り付け!$A$1:$BZ$3001,1950,$B$1)="","",IF(ISNUMBER(INDEX(貼り付け!$A$1:$BZ$3001,1950,$B$1)),INT(INDEX(貼り付け!$A$1:$BZ$3001,1950,$B$1)),DATE(VALUE(LEFT(I1951,FIND("-",I1951)-1)),VALUE(LEFT(J1951,FIND("-",J1951)-1)),VALUE(MID(J1951,FIND("-",J1951)+1,99)))))),"")</f>
        <v/>
      </c>
      <c r="C1951">
        <f>IF($C$1=0,0,IFERROR(VALUE(SUBSTITUTE(SUBSTITUTE(SUBSTITUTE(INDEX(貼り付け!$A$1:$BZ$3001,1950,$C$1)&amp;"",",",""),"¥",""),"￥","")),0))</f>
        <v/>
      </c>
      <c r="D1951">
        <f>IF($D$1=0,0,IFERROR(VALUE(SUBSTITUTE(SUBSTITUTE(SUBSTITUTE(INDEX(貼り付け!$A$1:$BZ$3001,1950,$D$1)&amp;"",",",""),"¥",""),"￥","")),0))</f>
        <v/>
      </c>
      <c r="E1951">
        <f>IF($E$1=0,0,IFERROR(VALUE(SUBSTITUTE(SUBSTITUTE(SUBSTITUTE(INDEX(貼り付け!$A$1:$BZ$3001,1950,$E$1)&amp;"",",",""),"¥",""),"￥","")),0))</f>
        <v/>
      </c>
      <c r="F1951">
        <f>IF($F$1=0,0,IFERROR(VALUE(SUBSTITUTE(SUBSTITUTE(SUBSTITUTE(INDEX(貼り付け!$A$1:$BZ$3001,1950,$F$1)&amp;"",",",""),"¥",""),"￥","")),0))</f>
        <v/>
      </c>
      <c r="G1951">
        <f>IF(ISNUMBER(B1951),YEAR(B1951),"")</f>
        <v/>
      </c>
      <c r="H1951">
        <f>IF(ISNUMBER(B1951),MONTH(B1951),"")</f>
        <v/>
      </c>
      <c r="I1951">
        <f>IFERROR(IF($B$1=0,"",IF(ISNUMBER(INDEX(貼り付け!$A$1:$BZ$3001,1950,$B$1)),"",SUBSTITUTE(SUBSTITUTE(SUBSTITUTE(SUBSTITUTE(TRIM(LEFT(INDEX(貼り付け!$A$1:$BZ$3001,1950,$B$1)&amp;"",FIND(" ",TRIM(INDEX(貼り付け!$A$1:$BZ$3001,1950,$B$1)&amp;"")&amp;" ")-1)),"/","-"),"年","-"),"月","-"),"日",""))),"")</f>
        <v/>
      </c>
      <c r="J1951">
        <f>IFERROR(MID(I1951,FIND("-",I1951)+1,99),"")</f>
        <v/>
      </c>
    </row>
    <row r="1952">
      <c r="B1952">
        <f>IFERROR(IF($B$1=0,"",IF(INDEX(貼り付け!$A$1:$BZ$3001,1951,$B$1)="","",IF(ISNUMBER(INDEX(貼り付け!$A$1:$BZ$3001,1951,$B$1)),INT(INDEX(貼り付け!$A$1:$BZ$3001,1951,$B$1)),DATE(VALUE(LEFT(I1952,FIND("-",I1952)-1)),VALUE(LEFT(J1952,FIND("-",J1952)-1)),VALUE(MID(J1952,FIND("-",J1952)+1,99)))))),"")</f>
        <v/>
      </c>
      <c r="C1952">
        <f>IF($C$1=0,0,IFERROR(VALUE(SUBSTITUTE(SUBSTITUTE(SUBSTITUTE(INDEX(貼り付け!$A$1:$BZ$3001,1951,$C$1)&amp;"",",",""),"¥",""),"￥","")),0))</f>
        <v/>
      </c>
      <c r="D1952">
        <f>IF($D$1=0,0,IFERROR(VALUE(SUBSTITUTE(SUBSTITUTE(SUBSTITUTE(INDEX(貼り付け!$A$1:$BZ$3001,1951,$D$1)&amp;"",",",""),"¥",""),"￥","")),0))</f>
        <v/>
      </c>
      <c r="E1952">
        <f>IF($E$1=0,0,IFERROR(VALUE(SUBSTITUTE(SUBSTITUTE(SUBSTITUTE(INDEX(貼り付け!$A$1:$BZ$3001,1951,$E$1)&amp;"",",",""),"¥",""),"￥","")),0))</f>
        <v/>
      </c>
      <c r="F1952">
        <f>IF($F$1=0,0,IFERROR(VALUE(SUBSTITUTE(SUBSTITUTE(SUBSTITUTE(INDEX(貼り付け!$A$1:$BZ$3001,1951,$F$1)&amp;"",",",""),"¥",""),"￥","")),0))</f>
        <v/>
      </c>
      <c r="G1952">
        <f>IF(ISNUMBER(B1952),YEAR(B1952),"")</f>
        <v/>
      </c>
      <c r="H1952">
        <f>IF(ISNUMBER(B1952),MONTH(B1952),"")</f>
        <v/>
      </c>
      <c r="I1952">
        <f>IFERROR(IF($B$1=0,"",IF(ISNUMBER(INDEX(貼り付け!$A$1:$BZ$3001,1951,$B$1)),"",SUBSTITUTE(SUBSTITUTE(SUBSTITUTE(SUBSTITUTE(TRIM(LEFT(INDEX(貼り付け!$A$1:$BZ$3001,1951,$B$1)&amp;"",FIND(" ",TRIM(INDEX(貼り付け!$A$1:$BZ$3001,1951,$B$1)&amp;"")&amp;" ")-1)),"/","-"),"年","-"),"月","-"),"日",""))),"")</f>
        <v/>
      </c>
      <c r="J1952">
        <f>IFERROR(MID(I1952,FIND("-",I1952)+1,99),"")</f>
        <v/>
      </c>
    </row>
    <row r="1953">
      <c r="B1953">
        <f>IFERROR(IF($B$1=0,"",IF(INDEX(貼り付け!$A$1:$BZ$3001,1952,$B$1)="","",IF(ISNUMBER(INDEX(貼り付け!$A$1:$BZ$3001,1952,$B$1)),INT(INDEX(貼り付け!$A$1:$BZ$3001,1952,$B$1)),DATE(VALUE(LEFT(I1953,FIND("-",I1953)-1)),VALUE(LEFT(J1953,FIND("-",J1953)-1)),VALUE(MID(J1953,FIND("-",J1953)+1,99)))))),"")</f>
        <v/>
      </c>
      <c r="C1953">
        <f>IF($C$1=0,0,IFERROR(VALUE(SUBSTITUTE(SUBSTITUTE(SUBSTITUTE(INDEX(貼り付け!$A$1:$BZ$3001,1952,$C$1)&amp;"",",",""),"¥",""),"￥","")),0))</f>
        <v/>
      </c>
      <c r="D1953">
        <f>IF($D$1=0,0,IFERROR(VALUE(SUBSTITUTE(SUBSTITUTE(SUBSTITUTE(INDEX(貼り付け!$A$1:$BZ$3001,1952,$D$1)&amp;"",",",""),"¥",""),"￥","")),0))</f>
        <v/>
      </c>
      <c r="E1953">
        <f>IF($E$1=0,0,IFERROR(VALUE(SUBSTITUTE(SUBSTITUTE(SUBSTITUTE(INDEX(貼り付け!$A$1:$BZ$3001,1952,$E$1)&amp;"",",",""),"¥",""),"￥","")),0))</f>
        <v/>
      </c>
      <c r="F1953">
        <f>IF($F$1=0,0,IFERROR(VALUE(SUBSTITUTE(SUBSTITUTE(SUBSTITUTE(INDEX(貼り付け!$A$1:$BZ$3001,1952,$F$1)&amp;"",",",""),"¥",""),"￥","")),0))</f>
        <v/>
      </c>
      <c r="G1953">
        <f>IF(ISNUMBER(B1953),YEAR(B1953),"")</f>
        <v/>
      </c>
      <c r="H1953">
        <f>IF(ISNUMBER(B1953),MONTH(B1953),"")</f>
        <v/>
      </c>
      <c r="I1953">
        <f>IFERROR(IF($B$1=0,"",IF(ISNUMBER(INDEX(貼り付け!$A$1:$BZ$3001,1952,$B$1)),"",SUBSTITUTE(SUBSTITUTE(SUBSTITUTE(SUBSTITUTE(TRIM(LEFT(INDEX(貼り付け!$A$1:$BZ$3001,1952,$B$1)&amp;"",FIND(" ",TRIM(INDEX(貼り付け!$A$1:$BZ$3001,1952,$B$1)&amp;"")&amp;" ")-1)),"/","-"),"年","-"),"月","-"),"日",""))),"")</f>
        <v/>
      </c>
      <c r="J1953">
        <f>IFERROR(MID(I1953,FIND("-",I1953)+1,99),"")</f>
        <v/>
      </c>
    </row>
    <row r="1954">
      <c r="B1954">
        <f>IFERROR(IF($B$1=0,"",IF(INDEX(貼り付け!$A$1:$BZ$3001,1953,$B$1)="","",IF(ISNUMBER(INDEX(貼り付け!$A$1:$BZ$3001,1953,$B$1)),INT(INDEX(貼り付け!$A$1:$BZ$3001,1953,$B$1)),DATE(VALUE(LEFT(I1954,FIND("-",I1954)-1)),VALUE(LEFT(J1954,FIND("-",J1954)-1)),VALUE(MID(J1954,FIND("-",J1954)+1,99)))))),"")</f>
        <v/>
      </c>
      <c r="C1954">
        <f>IF($C$1=0,0,IFERROR(VALUE(SUBSTITUTE(SUBSTITUTE(SUBSTITUTE(INDEX(貼り付け!$A$1:$BZ$3001,1953,$C$1)&amp;"",",",""),"¥",""),"￥","")),0))</f>
        <v/>
      </c>
      <c r="D1954">
        <f>IF($D$1=0,0,IFERROR(VALUE(SUBSTITUTE(SUBSTITUTE(SUBSTITUTE(INDEX(貼り付け!$A$1:$BZ$3001,1953,$D$1)&amp;"",",",""),"¥",""),"￥","")),0))</f>
        <v/>
      </c>
      <c r="E1954">
        <f>IF($E$1=0,0,IFERROR(VALUE(SUBSTITUTE(SUBSTITUTE(SUBSTITUTE(INDEX(貼り付け!$A$1:$BZ$3001,1953,$E$1)&amp;"",",",""),"¥",""),"￥","")),0))</f>
        <v/>
      </c>
      <c r="F1954">
        <f>IF($F$1=0,0,IFERROR(VALUE(SUBSTITUTE(SUBSTITUTE(SUBSTITUTE(INDEX(貼り付け!$A$1:$BZ$3001,1953,$F$1)&amp;"",",",""),"¥",""),"￥","")),0))</f>
        <v/>
      </c>
      <c r="G1954">
        <f>IF(ISNUMBER(B1954),YEAR(B1954),"")</f>
        <v/>
      </c>
      <c r="H1954">
        <f>IF(ISNUMBER(B1954),MONTH(B1954),"")</f>
        <v/>
      </c>
      <c r="I1954">
        <f>IFERROR(IF($B$1=0,"",IF(ISNUMBER(INDEX(貼り付け!$A$1:$BZ$3001,1953,$B$1)),"",SUBSTITUTE(SUBSTITUTE(SUBSTITUTE(SUBSTITUTE(TRIM(LEFT(INDEX(貼り付け!$A$1:$BZ$3001,1953,$B$1)&amp;"",FIND(" ",TRIM(INDEX(貼り付け!$A$1:$BZ$3001,1953,$B$1)&amp;"")&amp;" ")-1)),"/","-"),"年","-"),"月","-"),"日",""))),"")</f>
        <v/>
      </c>
      <c r="J1954">
        <f>IFERROR(MID(I1954,FIND("-",I1954)+1,99),"")</f>
        <v/>
      </c>
    </row>
    <row r="1955">
      <c r="B1955">
        <f>IFERROR(IF($B$1=0,"",IF(INDEX(貼り付け!$A$1:$BZ$3001,1954,$B$1)="","",IF(ISNUMBER(INDEX(貼り付け!$A$1:$BZ$3001,1954,$B$1)),INT(INDEX(貼り付け!$A$1:$BZ$3001,1954,$B$1)),DATE(VALUE(LEFT(I1955,FIND("-",I1955)-1)),VALUE(LEFT(J1955,FIND("-",J1955)-1)),VALUE(MID(J1955,FIND("-",J1955)+1,99)))))),"")</f>
        <v/>
      </c>
      <c r="C1955">
        <f>IF($C$1=0,0,IFERROR(VALUE(SUBSTITUTE(SUBSTITUTE(SUBSTITUTE(INDEX(貼り付け!$A$1:$BZ$3001,1954,$C$1)&amp;"",",",""),"¥",""),"￥","")),0))</f>
        <v/>
      </c>
      <c r="D1955">
        <f>IF($D$1=0,0,IFERROR(VALUE(SUBSTITUTE(SUBSTITUTE(SUBSTITUTE(INDEX(貼り付け!$A$1:$BZ$3001,1954,$D$1)&amp;"",",",""),"¥",""),"￥","")),0))</f>
        <v/>
      </c>
      <c r="E1955">
        <f>IF($E$1=0,0,IFERROR(VALUE(SUBSTITUTE(SUBSTITUTE(SUBSTITUTE(INDEX(貼り付け!$A$1:$BZ$3001,1954,$E$1)&amp;"",",",""),"¥",""),"￥","")),0))</f>
        <v/>
      </c>
      <c r="F1955">
        <f>IF($F$1=0,0,IFERROR(VALUE(SUBSTITUTE(SUBSTITUTE(SUBSTITUTE(INDEX(貼り付け!$A$1:$BZ$3001,1954,$F$1)&amp;"",",",""),"¥",""),"￥","")),0))</f>
        <v/>
      </c>
      <c r="G1955">
        <f>IF(ISNUMBER(B1955),YEAR(B1955),"")</f>
        <v/>
      </c>
      <c r="H1955">
        <f>IF(ISNUMBER(B1955),MONTH(B1955),"")</f>
        <v/>
      </c>
      <c r="I1955">
        <f>IFERROR(IF($B$1=0,"",IF(ISNUMBER(INDEX(貼り付け!$A$1:$BZ$3001,1954,$B$1)),"",SUBSTITUTE(SUBSTITUTE(SUBSTITUTE(SUBSTITUTE(TRIM(LEFT(INDEX(貼り付け!$A$1:$BZ$3001,1954,$B$1)&amp;"",FIND(" ",TRIM(INDEX(貼り付け!$A$1:$BZ$3001,1954,$B$1)&amp;"")&amp;" ")-1)),"/","-"),"年","-"),"月","-"),"日",""))),"")</f>
        <v/>
      </c>
      <c r="J1955">
        <f>IFERROR(MID(I1955,FIND("-",I1955)+1,99),"")</f>
        <v/>
      </c>
    </row>
    <row r="1956">
      <c r="B1956">
        <f>IFERROR(IF($B$1=0,"",IF(INDEX(貼り付け!$A$1:$BZ$3001,1955,$B$1)="","",IF(ISNUMBER(INDEX(貼り付け!$A$1:$BZ$3001,1955,$B$1)),INT(INDEX(貼り付け!$A$1:$BZ$3001,1955,$B$1)),DATE(VALUE(LEFT(I1956,FIND("-",I1956)-1)),VALUE(LEFT(J1956,FIND("-",J1956)-1)),VALUE(MID(J1956,FIND("-",J1956)+1,99)))))),"")</f>
        <v/>
      </c>
      <c r="C1956">
        <f>IF($C$1=0,0,IFERROR(VALUE(SUBSTITUTE(SUBSTITUTE(SUBSTITUTE(INDEX(貼り付け!$A$1:$BZ$3001,1955,$C$1)&amp;"",",",""),"¥",""),"￥","")),0))</f>
        <v/>
      </c>
      <c r="D1956">
        <f>IF($D$1=0,0,IFERROR(VALUE(SUBSTITUTE(SUBSTITUTE(SUBSTITUTE(INDEX(貼り付け!$A$1:$BZ$3001,1955,$D$1)&amp;"",",",""),"¥",""),"￥","")),0))</f>
        <v/>
      </c>
      <c r="E1956">
        <f>IF($E$1=0,0,IFERROR(VALUE(SUBSTITUTE(SUBSTITUTE(SUBSTITUTE(INDEX(貼り付け!$A$1:$BZ$3001,1955,$E$1)&amp;"",",",""),"¥",""),"￥","")),0))</f>
        <v/>
      </c>
      <c r="F1956">
        <f>IF($F$1=0,0,IFERROR(VALUE(SUBSTITUTE(SUBSTITUTE(SUBSTITUTE(INDEX(貼り付け!$A$1:$BZ$3001,1955,$F$1)&amp;"",",",""),"¥",""),"￥","")),0))</f>
        <v/>
      </c>
      <c r="G1956">
        <f>IF(ISNUMBER(B1956),YEAR(B1956),"")</f>
        <v/>
      </c>
      <c r="H1956">
        <f>IF(ISNUMBER(B1956),MONTH(B1956),"")</f>
        <v/>
      </c>
      <c r="I1956">
        <f>IFERROR(IF($B$1=0,"",IF(ISNUMBER(INDEX(貼り付け!$A$1:$BZ$3001,1955,$B$1)),"",SUBSTITUTE(SUBSTITUTE(SUBSTITUTE(SUBSTITUTE(TRIM(LEFT(INDEX(貼り付け!$A$1:$BZ$3001,1955,$B$1)&amp;"",FIND(" ",TRIM(INDEX(貼り付け!$A$1:$BZ$3001,1955,$B$1)&amp;"")&amp;" ")-1)),"/","-"),"年","-"),"月","-"),"日",""))),"")</f>
        <v/>
      </c>
      <c r="J1956">
        <f>IFERROR(MID(I1956,FIND("-",I1956)+1,99),"")</f>
        <v/>
      </c>
    </row>
    <row r="1957">
      <c r="B1957">
        <f>IFERROR(IF($B$1=0,"",IF(INDEX(貼り付け!$A$1:$BZ$3001,1956,$B$1)="","",IF(ISNUMBER(INDEX(貼り付け!$A$1:$BZ$3001,1956,$B$1)),INT(INDEX(貼り付け!$A$1:$BZ$3001,1956,$B$1)),DATE(VALUE(LEFT(I1957,FIND("-",I1957)-1)),VALUE(LEFT(J1957,FIND("-",J1957)-1)),VALUE(MID(J1957,FIND("-",J1957)+1,99)))))),"")</f>
        <v/>
      </c>
      <c r="C1957">
        <f>IF($C$1=0,0,IFERROR(VALUE(SUBSTITUTE(SUBSTITUTE(SUBSTITUTE(INDEX(貼り付け!$A$1:$BZ$3001,1956,$C$1)&amp;"",",",""),"¥",""),"￥","")),0))</f>
        <v/>
      </c>
      <c r="D1957">
        <f>IF($D$1=0,0,IFERROR(VALUE(SUBSTITUTE(SUBSTITUTE(SUBSTITUTE(INDEX(貼り付け!$A$1:$BZ$3001,1956,$D$1)&amp;"",",",""),"¥",""),"￥","")),0))</f>
        <v/>
      </c>
      <c r="E1957">
        <f>IF($E$1=0,0,IFERROR(VALUE(SUBSTITUTE(SUBSTITUTE(SUBSTITUTE(INDEX(貼り付け!$A$1:$BZ$3001,1956,$E$1)&amp;"",",",""),"¥",""),"￥","")),0))</f>
        <v/>
      </c>
      <c r="F1957">
        <f>IF($F$1=0,0,IFERROR(VALUE(SUBSTITUTE(SUBSTITUTE(SUBSTITUTE(INDEX(貼り付け!$A$1:$BZ$3001,1956,$F$1)&amp;"",",",""),"¥",""),"￥","")),0))</f>
        <v/>
      </c>
      <c r="G1957">
        <f>IF(ISNUMBER(B1957),YEAR(B1957),"")</f>
        <v/>
      </c>
      <c r="H1957">
        <f>IF(ISNUMBER(B1957),MONTH(B1957),"")</f>
        <v/>
      </c>
      <c r="I1957">
        <f>IFERROR(IF($B$1=0,"",IF(ISNUMBER(INDEX(貼り付け!$A$1:$BZ$3001,1956,$B$1)),"",SUBSTITUTE(SUBSTITUTE(SUBSTITUTE(SUBSTITUTE(TRIM(LEFT(INDEX(貼り付け!$A$1:$BZ$3001,1956,$B$1)&amp;"",FIND(" ",TRIM(INDEX(貼り付け!$A$1:$BZ$3001,1956,$B$1)&amp;"")&amp;" ")-1)),"/","-"),"年","-"),"月","-"),"日",""))),"")</f>
        <v/>
      </c>
      <c r="J1957">
        <f>IFERROR(MID(I1957,FIND("-",I1957)+1,99),"")</f>
        <v/>
      </c>
    </row>
    <row r="1958">
      <c r="B1958">
        <f>IFERROR(IF($B$1=0,"",IF(INDEX(貼り付け!$A$1:$BZ$3001,1957,$B$1)="","",IF(ISNUMBER(INDEX(貼り付け!$A$1:$BZ$3001,1957,$B$1)),INT(INDEX(貼り付け!$A$1:$BZ$3001,1957,$B$1)),DATE(VALUE(LEFT(I1958,FIND("-",I1958)-1)),VALUE(LEFT(J1958,FIND("-",J1958)-1)),VALUE(MID(J1958,FIND("-",J1958)+1,99)))))),"")</f>
        <v/>
      </c>
      <c r="C1958">
        <f>IF($C$1=0,0,IFERROR(VALUE(SUBSTITUTE(SUBSTITUTE(SUBSTITUTE(INDEX(貼り付け!$A$1:$BZ$3001,1957,$C$1)&amp;"",",",""),"¥",""),"￥","")),0))</f>
        <v/>
      </c>
      <c r="D1958">
        <f>IF($D$1=0,0,IFERROR(VALUE(SUBSTITUTE(SUBSTITUTE(SUBSTITUTE(INDEX(貼り付け!$A$1:$BZ$3001,1957,$D$1)&amp;"",",",""),"¥",""),"￥","")),0))</f>
        <v/>
      </c>
      <c r="E1958">
        <f>IF($E$1=0,0,IFERROR(VALUE(SUBSTITUTE(SUBSTITUTE(SUBSTITUTE(INDEX(貼り付け!$A$1:$BZ$3001,1957,$E$1)&amp;"",",",""),"¥",""),"￥","")),0))</f>
        <v/>
      </c>
      <c r="F1958">
        <f>IF($F$1=0,0,IFERROR(VALUE(SUBSTITUTE(SUBSTITUTE(SUBSTITUTE(INDEX(貼り付け!$A$1:$BZ$3001,1957,$F$1)&amp;"",",",""),"¥",""),"￥","")),0))</f>
        <v/>
      </c>
      <c r="G1958">
        <f>IF(ISNUMBER(B1958),YEAR(B1958),"")</f>
        <v/>
      </c>
      <c r="H1958">
        <f>IF(ISNUMBER(B1958),MONTH(B1958),"")</f>
        <v/>
      </c>
      <c r="I1958">
        <f>IFERROR(IF($B$1=0,"",IF(ISNUMBER(INDEX(貼り付け!$A$1:$BZ$3001,1957,$B$1)),"",SUBSTITUTE(SUBSTITUTE(SUBSTITUTE(SUBSTITUTE(TRIM(LEFT(INDEX(貼り付け!$A$1:$BZ$3001,1957,$B$1)&amp;"",FIND(" ",TRIM(INDEX(貼り付け!$A$1:$BZ$3001,1957,$B$1)&amp;"")&amp;" ")-1)),"/","-"),"年","-"),"月","-"),"日",""))),"")</f>
        <v/>
      </c>
      <c r="J1958">
        <f>IFERROR(MID(I1958,FIND("-",I1958)+1,99),"")</f>
        <v/>
      </c>
    </row>
    <row r="1959">
      <c r="B1959">
        <f>IFERROR(IF($B$1=0,"",IF(INDEX(貼り付け!$A$1:$BZ$3001,1958,$B$1)="","",IF(ISNUMBER(INDEX(貼り付け!$A$1:$BZ$3001,1958,$B$1)),INT(INDEX(貼り付け!$A$1:$BZ$3001,1958,$B$1)),DATE(VALUE(LEFT(I1959,FIND("-",I1959)-1)),VALUE(LEFT(J1959,FIND("-",J1959)-1)),VALUE(MID(J1959,FIND("-",J1959)+1,99)))))),"")</f>
        <v/>
      </c>
      <c r="C1959">
        <f>IF($C$1=0,0,IFERROR(VALUE(SUBSTITUTE(SUBSTITUTE(SUBSTITUTE(INDEX(貼り付け!$A$1:$BZ$3001,1958,$C$1)&amp;"",",",""),"¥",""),"￥","")),0))</f>
        <v/>
      </c>
      <c r="D1959">
        <f>IF($D$1=0,0,IFERROR(VALUE(SUBSTITUTE(SUBSTITUTE(SUBSTITUTE(INDEX(貼り付け!$A$1:$BZ$3001,1958,$D$1)&amp;"",",",""),"¥",""),"￥","")),0))</f>
        <v/>
      </c>
      <c r="E1959">
        <f>IF($E$1=0,0,IFERROR(VALUE(SUBSTITUTE(SUBSTITUTE(SUBSTITUTE(INDEX(貼り付け!$A$1:$BZ$3001,1958,$E$1)&amp;"",",",""),"¥",""),"￥","")),0))</f>
        <v/>
      </c>
      <c r="F1959">
        <f>IF($F$1=0,0,IFERROR(VALUE(SUBSTITUTE(SUBSTITUTE(SUBSTITUTE(INDEX(貼り付け!$A$1:$BZ$3001,1958,$F$1)&amp;"",",",""),"¥",""),"￥","")),0))</f>
        <v/>
      </c>
      <c r="G1959">
        <f>IF(ISNUMBER(B1959),YEAR(B1959),"")</f>
        <v/>
      </c>
      <c r="H1959">
        <f>IF(ISNUMBER(B1959),MONTH(B1959),"")</f>
        <v/>
      </c>
      <c r="I1959">
        <f>IFERROR(IF($B$1=0,"",IF(ISNUMBER(INDEX(貼り付け!$A$1:$BZ$3001,1958,$B$1)),"",SUBSTITUTE(SUBSTITUTE(SUBSTITUTE(SUBSTITUTE(TRIM(LEFT(INDEX(貼り付け!$A$1:$BZ$3001,1958,$B$1)&amp;"",FIND(" ",TRIM(INDEX(貼り付け!$A$1:$BZ$3001,1958,$B$1)&amp;"")&amp;" ")-1)),"/","-"),"年","-"),"月","-"),"日",""))),"")</f>
        <v/>
      </c>
      <c r="J1959">
        <f>IFERROR(MID(I1959,FIND("-",I1959)+1,99),"")</f>
        <v/>
      </c>
    </row>
    <row r="1960">
      <c r="B1960">
        <f>IFERROR(IF($B$1=0,"",IF(INDEX(貼り付け!$A$1:$BZ$3001,1959,$B$1)="","",IF(ISNUMBER(INDEX(貼り付け!$A$1:$BZ$3001,1959,$B$1)),INT(INDEX(貼り付け!$A$1:$BZ$3001,1959,$B$1)),DATE(VALUE(LEFT(I1960,FIND("-",I1960)-1)),VALUE(LEFT(J1960,FIND("-",J1960)-1)),VALUE(MID(J1960,FIND("-",J1960)+1,99)))))),"")</f>
        <v/>
      </c>
      <c r="C1960">
        <f>IF($C$1=0,0,IFERROR(VALUE(SUBSTITUTE(SUBSTITUTE(SUBSTITUTE(INDEX(貼り付け!$A$1:$BZ$3001,1959,$C$1)&amp;"",",",""),"¥",""),"￥","")),0))</f>
        <v/>
      </c>
      <c r="D1960">
        <f>IF($D$1=0,0,IFERROR(VALUE(SUBSTITUTE(SUBSTITUTE(SUBSTITUTE(INDEX(貼り付け!$A$1:$BZ$3001,1959,$D$1)&amp;"",",",""),"¥",""),"￥","")),0))</f>
        <v/>
      </c>
      <c r="E1960">
        <f>IF($E$1=0,0,IFERROR(VALUE(SUBSTITUTE(SUBSTITUTE(SUBSTITUTE(INDEX(貼り付け!$A$1:$BZ$3001,1959,$E$1)&amp;"",",",""),"¥",""),"￥","")),0))</f>
        <v/>
      </c>
      <c r="F1960">
        <f>IF($F$1=0,0,IFERROR(VALUE(SUBSTITUTE(SUBSTITUTE(SUBSTITUTE(INDEX(貼り付け!$A$1:$BZ$3001,1959,$F$1)&amp;"",",",""),"¥",""),"￥","")),0))</f>
        <v/>
      </c>
      <c r="G1960">
        <f>IF(ISNUMBER(B1960),YEAR(B1960),"")</f>
        <v/>
      </c>
      <c r="H1960">
        <f>IF(ISNUMBER(B1960),MONTH(B1960),"")</f>
        <v/>
      </c>
      <c r="I1960">
        <f>IFERROR(IF($B$1=0,"",IF(ISNUMBER(INDEX(貼り付け!$A$1:$BZ$3001,1959,$B$1)),"",SUBSTITUTE(SUBSTITUTE(SUBSTITUTE(SUBSTITUTE(TRIM(LEFT(INDEX(貼り付け!$A$1:$BZ$3001,1959,$B$1)&amp;"",FIND(" ",TRIM(INDEX(貼り付け!$A$1:$BZ$3001,1959,$B$1)&amp;"")&amp;" ")-1)),"/","-"),"年","-"),"月","-"),"日",""))),"")</f>
        <v/>
      </c>
      <c r="J1960">
        <f>IFERROR(MID(I1960,FIND("-",I1960)+1,99),"")</f>
        <v/>
      </c>
    </row>
    <row r="1961">
      <c r="B1961">
        <f>IFERROR(IF($B$1=0,"",IF(INDEX(貼り付け!$A$1:$BZ$3001,1960,$B$1)="","",IF(ISNUMBER(INDEX(貼り付け!$A$1:$BZ$3001,1960,$B$1)),INT(INDEX(貼り付け!$A$1:$BZ$3001,1960,$B$1)),DATE(VALUE(LEFT(I1961,FIND("-",I1961)-1)),VALUE(LEFT(J1961,FIND("-",J1961)-1)),VALUE(MID(J1961,FIND("-",J1961)+1,99)))))),"")</f>
        <v/>
      </c>
      <c r="C1961">
        <f>IF($C$1=0,0,IFERROR(VALUE(SUBSTITUTE(SUBSTITUTE(SUBSTITUTE(INDEX(貼り付け!$A$1:$BZ$3001,1960,$C$1)&amp;"",",",""),"¥",""),"￥","")),0))</f>
        <v/>
      </c>
      <c r="D1961">
        <f>IF($D$1=0,0,IFERROR(VALUE(SUBSTITUTE(SUBSTITUTE(SUBSTITUTE(INDEX(貼り付け!$A$1:$BZ$3001,1960,$D$1)&amp;"",",",""),"¥",""),"￥","")),0))</f>
        <v/>
      </c>
      <c r="E1961">
        <f>IF($E$1=0,0,IFERROR(VALUE(SUBSTITUTE(SUBSTITUTE(SUBSTITUTE(INDEX(貼り付け!$A$1:$BZ$3001,1960,$E$1)&amp;"",",",""),"¥",""),"￥","")),0))</f>
        <v/>
      </c>
      <c r="F1961">
        <f>IF($F$1=0,0,IFERROR(VALUE(SUBSTITUTE(SUBSTITUTE(SUBSTITUTE(INDEX(貼り付け!$A$1:$BZ$3001,1960,$F$1)&amp;"",",",""),"¥",""),"￥","")),0))</f>
        <v/>
      </c>
      <c r="G1961">
        <f>IF(ISNUMBER(B1961),YEAR(B1961),"")</f>
        <v/>
      </c>
      <c r="H1961">
        <f>IF(ISNUMBER(B1961),MONTH(B1961),"")</f>
        <v/>
      </c>
      <c r="I1961">
        <f>IFERROR(IF($B$1=0,"",IF(ISNUMBER(INDEX(貼り付け!$A$1:$BZ$3001,1960,$B$1)),"",SUBSTITUTE(SUBSTITUTE(SUBSTITUTE(SUBSTITUTE(TRIM(LEFT(INDEX(貼り付け!$A$1:$BZ$3001,1960,$B$1)&amp;"",FIND(" ",TRIM(INDEX(貼り付け!$A$1:$BZ$3001,1960,$B$1)&amp;"")&amp;" ")-1)),"/","-"),"年","-"),"月","-"),"日",""))),"")</f>
        <v/>
      </c>
      <c r="J1961">
        <f>IFERROR(MID(I1961,FIND("-",I1961)+1,99),"")</f>
        <v/>
      </c>
    </row>
    <row r="1962">
      <c r="B1962">
        <f>IFERROR(IF($B$1=0,"",IF(INDEX(貼り付け!$A$1:$BZ$3001,1961,$B$1)="","",IF(ISNUMBER(INDEX(貼り付け!$A$1:$BZ$3001,1961,$B$1)),INT(INDEX(貼り付け!$A$1:$BZ$3001,1961,$B$1)),DATE(VALUE(LEFT(I1962,FIND("-",I1962)-1)),VALUE(LEFT(J1962,FIND("-",J1962)-1)),VALUE(MID(J1962,FIND("-",J1962)+1,99)))))),"")</f>
        <v/>
      </c>
      <c r="C1962">
        <f>IF($C$1=0,0,IFERROR(VALUE(SUBSTITUTE(SUBSTITUTE(SUBSTITUTE(INDEX(貼り付け!$A$1:$BZ$3001,1961,$C$1)&amp;"",",",""),"¥",""),"￥","")),0))</f>
        <v/>
      </c>
      <c r="D1962">
        <f>IF($D$1=0,0,IFERROR(VALUE(SUBSTITUTE(SUBSTITUTE(SUBSTITUTE(INDEX(貼り付け!$A$1:$BZ$3001,1961,$D$1)&amp;"",",",""),"¥",""),"￥","")),0))</f>
        <v/>
      </c>
      <c r="E1962">
        <f>IF($E$1=0,0,IFERROR(VALUE(SUBSTITUTE(SUBSTITUTE(SUBSTITUTE(INDEX(貼り付け!$A$1:$BZ$3001,1961,$E$1)&amp;"",",",""),"¥",""),"￥","")),0))</f>
        <v/>
      </c>
      <c r="F1962">
        <f>IF($F$1=0,0,IFERROR(VALUE(SUBSTITUTE(SUBSTITUTE(SUBSTITUTE(INDEX(貼り付け!$A$1:$BZ$3001,1961,$F$1)&amp;"",",",""),"¥",""),"￥","")),0))</f>
        <v/>
      </c>
      <c r="G1962">
        <f>IF(ISNUMBER(B1962),YEAR(B1962),"")</f>
        <v/>
      </c>
      <c r="H1962">
        <f>IF(ISNUMBER(B1962),MONTH(B1962),"")</f>
        <v/>
      </c>
      <c r="I1962">
        <f>IFERROR(IF($B$1=0,"",IF(ISNUMBER(INDEX(貼り付け!$A$1:$BZ$3001,1961,$B$1)),"",SUBSTITUTE(SUBSTITUTE(SUBSTITUTE(SUBSTITUTE(TRIM(LEFT(INDEX(貼り付け!$A$1:$BZ$3001,1961,$B$1)&amp;"",FIND(" ",TRIM(INDEX(貼り付け!$A$1:$BZ$3001,1961,$B$1)&amp;"")&amp;" ")-1)),"/","-"),"年","-"),"月","-"),"日",""))),"")</f>
        <v/>
      </c>
      <c r="J1962">
        <f>IFERROR(MID(I1962,FIND("-",I1962)+1,99),"")</f>
        <v/>
      </c>
    </row>
    <row r="1963">
      <c r="B1963">
        <f>IFERROR(IF($B$1=0,"",IF(INDEX(貼り付け!$A$1:$BZ$3001,1962,$B$1)="","",IF(ISNUMBER(INDEX(貼り付け!$A$1:$BZ$3001,1962,$B$1)),INT(INDEX(貼り付け!$A$1:$BZ$3001,1962,$B$1)),DATE(VALUE(LEFT(I1963,FIND("-",I1963)-1)),VALUE(LEFT(J1963,FIND("-",J1963)-1)),VALUE(MID(J1963,FIND("-",J1963)+1,99)))))),"")</f>
        <v/>
      </c>
      <c r="C1963">
        <f>IF($C$1=0,0,IFERROR(VALUE(SUBSTITUTE(SUBSTITUTE(SUBSTITUTE(INDEX(貼り付け!$A$1:$BZ$3001,1962,$C$1)&amp;"",",",""),"¥",""),"￥","")),0))</f>
        <v/>
      </c>
      <c r="D1963">
        <f>IF($D$1=0,0,IFERROR(VALUE(SUBSTITUTE(SUBSTITUTE(SUBSTITUTE(INDEX(貼り付け!$A$1:$BZ$3001,1962,$D$1)&amp;"",",",""),"¥",""),"￥","")),0))</f>
        <v/>
      </c>
      <c r="E1963">
        <f>IF($E$1=0,0,IFERROR(VALUE(SUBSTITUTE(SUBSTITUTE(SUBSTITUTE(INDEX(貼り付け!$A$1:$BZ$3001,1962,$E$1)&amp;"",",",""),"¥",""),"￥","")),0))</f>
        <v/>
      </c>
      <c r="F1963">
        <f>IF($F$1=0,0,IFERROR(VALUE(SUBSTITUTE(SUBSTITUTE(SUBSTITUTE(INDEX(貼り付け!$A$1:$BZ$3001,1962,$F$1)&amp;"",",",""),"¥",""),"￥","")),0))</f>
        <v/>
      </c>
      <c r="G1963">
        <f>IF(ISNUMBER(B1963),YEAR(B1963),"")</f>
        <v/>
      </c>
      <c r="H1963">
        <f>IF(ISNUMBER(B1963),MONTH(B1963),"")</f>
        <v/>
      </c>
      <c r="I1963">
        <f>IFERROR(IF($B$1=0,"",IF(ISNUMBER(INDEX(貼り付け!$A$1:$BZ$3001,1962,$B$1)),"",SUBSTITUTE(SUBSTITUTE(SUBSTITUTE(SUBSTITUTE(TRIM(LEFT(INDEX(貼り付け!$A$1:$BZ$3001,1962,$B$1)&amp;"",FIND(" ",TRIM(INDEX(貼り付け!$A$1:$BZ$3001,1962,$B$1)&amp;"")&amp;" ")-1)),"/","-"),"年","-"),"月","-"),"日",""))),"")</f>
        <v/>
      </c>
      <c r="J1963">
        <f>IFERROR(MID(I1963,FIND("-",I1963)+1,99),"")</f>
        <v/>
      </c>
    </row>
    <row r="1964">
      <c r="B1964">
        <f>IFERROR(IF($B$1=0,"",IF(INDEX(貼り付け!$A$1:$BZ$3001,1963,$B$1)="","",IF(ISNUMBER(INDEX(貼り付け!$A$1:$BZ$3001,1963,$B$1)),INT(INDEX(貼り付け!$A$1:$BZ$3001,1963,$B$1)),DATE(VALUE(LEFT(I1964,FIND("-",I1964)-1)),VALUE(LEFT(J1964,FIND("-",J1964)-1)),VALUE(MID(J1964,FIND("-",J1964)+1,99)))))),"")</f>
        <v/>
      </c>
      <c r="C1964">
        <f>IF($C$1=0,0,IFERROR(VALUE(SUBSTITUTE(SUBSTITUTE(SUBSTITUTE(INDEX(貼り付け!$A$1:$BZ$3001,1963,$C$1)&amp;"",",",""),"¥",""),"￥","")),0))</f>
        <v/>
      </c>
      <c r="D1964">
        <f>IF($D$1=0,0,IFERROR(VALUE(SUBSTITUTE(SUBSTITUTE(SUBSTITUTE(INDEX(貼り付け!$A$1:$BZ$3001,1963,$D$1)&amp;"",",",""),"¥",""),"￥","")),0))</f>
        <v/>
      </c>
      <c r="E1964">
        <f>IF($E$1=0,0,IFERROR(VALUE(SUBSTITUTE(SUBSTITUTE(SUBSTITUTE(INDEX(貼り付け!$A$1:$BZ$3001,1963,$E$1)&amp;"",",",""),"¥",""),"￥","")),0))</f>
        <v/>
      </c>
      <c r="F1964">
        <f>IF($F$1=0,0,IFERROR(VALUE(SUBSTITUTE(SUBSTITUTE(SUBSTITUTE(INDEX(貼り付け!$A$1:$BZ$3001,1963,$F$1)&amp;"",",",""),"¥",""),"￥","")),0))</f>
        <v/>
      </c>
      <c r="G1964">
        <f>IF(ISNUMBER(B1964),YEAR(B1964),"")</f>
        <v/>
      </c>
      <c r="H1964">
        <f>IF(ISNUMBER(B1964),MONTH(B1964),"")</f>
        <v/>
      </c>
      <c r="I1964">
        <f>IFERROR(IF($B$1=0,"",IF(ISNUMBER(INDEX(貼り付け!$A$1:$BZ$3001,1963,$B$1)),"",SUBSTITUTE(SUBSTITUTE(SUBSTITUTE(SUBSTITUTE(TRIM(LEFT(INDEX(貼り付け!$A$1:$BZ$3001,1963,$B$1)&amp;"",FIND(" ",TRIM(INDEX(貼り付け!$A$1:$BZ$3001,1963,$B$1)&amp;"")&amp;" ")-1)),"/","-"),"年","-"),"月","-"),"日",""))),"")</f>
        <v/>
      </c>
      <c r="J1964">
        <f>IFERROR(MID(I1964,FIND("-",I1964)+1,99),"")</f>
        <v/>
      </c>
    </row>
    <row r="1965">
      <c r="B1965">
        <f>IFERROR(IF($B$1=0,"",IF(INDEX(貼り付け!$A$1:$BZ$3001,1964,$B$1)="","",IF(ISNUMBER(INDEX(貼り付け!$A$1:$BZ$3001,1964,$B$1)),INT(INDEX(貼り付け!$A$1:$BZ$3001,1964,$B$1)),DATE(VALUE(LEFT(I1965,FIND("-",I1965)-1)),VALUE(LEFT(J1965,FIND("-",J1965)-1)),VALUE(MID(J1965,FIND("-",J1965)+1,99)))))),"")</f>
        <v/>
      </c>
      <c r="C1965">
        <f>IF($C$1=0,0,IFERROR(VALUE(SUBSTITUTE(SUBSTITUTE(SUBSTITUTE(INDEX(貼り付け!$A$1:$BZ$3001,1964,$C$1)&amp;"",",",""),"¥",""),"￥","")),0))</f>
        <v/>
      </c>
      <c r="D1965">
        <f>IF($D$1=0,0,IFERROR(VALUE(SUBSTITUTE(SUBSTITUTE(SUBSTITUTE(INDEX(貼り付け!$A$1:$BZ$3001,1964,$D$1)&amp;"",",",""),"¥",""),"￥","")),0))</f>
        <v/>
      </c>
      <c r="E1965">
        <f>IF($E$1=0,0,IFERROR(VALUE(SUBSTITUTE(SUBSTITUTE(SUBSTITUTE(INDEX(貼り付け!$A$1:$BZ$3001,1964,$E$1)&amp;"",",",""),"¥",""),"￥","")),0))</f>
        <v/>
      </c>
      <c r="F1965">
        <f>IF($F$1=0,0,IFERROR(VALUE(SUBSTITUTE(SUBSTITUTE(SUBSTITUTE(INDEX(貼り付け!$A$1:$BZ$3001,1964,$F$1)&amp;"",",",""),"¥",""),"￥","")),0))</f>
        <v/>
      </c>
      <c r="G1965">
        <f>IF(ISNUMBER(B1965),YEAR(B1965),"")</f>
        <v/>
      </c>
      <c r="H1965">
        <f>IF(ISNUMBER(B1965),MONTH(B1965),"")</f>
        <v/>
      </c>
      <c r="I1965">
        <f>IFERROR(IF($B$1=0,"",IF(ISNUMBER(INDEX(貼り付け!$A$1:$BZ$3001,1964,$B$1)),"",SUBSTITUTE(SUBSTITUTE(SUBSTITUTE(SUBSTITUTE(TRIM(LEFT(INDEX(貼り付け!$A$1:$BZ$3001,1964,$B$1)&amp;"",FIND(" ",TRIM(INDEX(貼り付け!$A$1:$BZ$3001,1964,$B$1)&amp;"")&amp;" ")-1)),"/","-"),"年","-"),"月","-"),"日",""))),"")</f>
        <v/>
      </c>
      <c r="J1965">
        <f>IFERROR(MID(I1965,FIND("-",I1965)+1,99),"")</f>
        <v/>
      </c>
    </row>
    <row r="1966">
      <c r="B1966">
        <f>IFERROR(IF($B$1=0,"",IF(INDEX(貼り付け!$A$1:$BZ$3001,1965,$B$1)="","",IF(ISNUMBER(INDEX(貼り付け!$A$1:$BZ$3001,1965,$B$1)),INT(INDEX(貼り付け!$A$1:$BZ$3001,1965,$B$1)),DATE(VALUE(LEFT(I1966,FIND("-",I1966)-1)),VALUE(LEFT(J1966,FIND("-",J1966)-1)),VALUE(MID(J1966,FIND("-",J1966)+1,99)))))),"")</f>
        <v/>
      </c>
      <c r="C1966">
        <f>IF($C$1=0,0,IFERROR(VALUE(SUBSTITUTE(SUBSTITUTE(SUBSTITUTE(INDEX(貼り付け!$A$1:$BZ$3001,1965,$C$1)&amp;"",",",""),"¥",""),"￥","")),0))</f>
        <v/>
      </c>
      <c r="D1966">
        <f>IF($D$1=0,0,IFERROR(VALUE(SUBSTITUTE(SUBSTITUTE(SUBSTITUTE(INDEX(貼り付け!$A$1:$BZ$3001,1965,$D$1)&amp;"",",",""),"¥",""),"￥","")),0))</f>
        <v/>
      </c>
      <c r="E1966">
        <f>IF($E$1=0,0,IFERROR(VALUE(SUBSTITUTE(SUBSTITUTE(SUBSTITUTE(INDEX(貼り付け!$A$1:$BZ$3001,1965,$E$1)&amp;"",",",""),"¥",""),"￥","")),0))</f>
        <v/>
      </c>
      <c r="F1966">
        <f>IF($F$1=0,0,IFERROR(VALUE(SUBSTITUTE(SUBSTITUTE(SUBSTITUTE(INDEX(貼り付け!$A$1:$BZ$3001,1965,$F$1)&amp;"",",",""),"¥",""),"￥","")),0))</f>
        <v/>
      </c>
      <c r="G1966">
        <f>IF(ISNUMBER(B1966),YEAR(B1966),"")</f>
        <v/>
      </c>
      <c r="H1966">
        <f>IF(ISNUMBER(B1966),MONTH(B1966),"")</f>
        <v/>
      </c>
      <c r="I1966">
        <f>IFERROR(IF($B$1=0,"",IF(ISNUMBER(INDEX(貼り付け!$A$1:$BZ$3001,1965,$B$1)),"",SUBSTITUTE(SUBSTITUTE(SUBSTITUTE(SUBSTITUTE(TRIM(LEFT(INDEX(貼り付け!$A$1:$BZ$3001,1965,$B$1)&amp;"",FIND(" ",TRIM(INDEX(貼り付け!$A$1:$BZ$3001,1965,$B$1)&amp;"")&amp;" ")-1)),"/","-"),"年","-"),"月","-"),"日",""))),"")</f>
        <v/>
      </c>
      <c r="J1966">
        <f>IFERROR(MID(I1966,FIND("-",I1966)+1,99),"")</f>
        <v/>
      </c>
    </row>
    <row r="1967">
      <c r="B1967">
        <f>IFERROR(IF($B$1=0,"",IF(INDEX(貼り付け!$A$1:$BZ$3001,1966,$B$1)="","",IF(ISNUMBER(INDEX(貼り付け!$A$1:$BZ$3001,1966,$B$1)),INT(INDEX(貼り付け!$A$1:$BZ$3001,1966,$B$1)),DATE(VALUE(LEFT(I1967,FIND("-",I1967)-1)),VALUE(LEFT(J1967,FIND("-",J1967)-1)),VALUE(MID(J1967,FIND("-",J1967)+1,99)))))),"")</f>
        <v/>
      </c>
      <c r="C1967">
        <f>IF($C$1=0,0,IFERROR(VALUE(SUBSTITUTE(SUBSTITUTE(SUBSTITUTE(INDEX(貼り付け!$A$1:$BZ$3001,1966,$C$1)&amp;"",",",""),"¥",""),"￥","")),0))</f>
        <v/>
      </c>
      <c r="D1967">
        <f>IF($D$1=0,0,IFERROR(VALUE(SUBSTITUTE(SUBSTITUTE(SUBSTITUTE(INDEX(貼り付け!$A$1:$BZ$3001,1966,$D$1)&amp;"",",",""),"¥",""),"￥","")),0))</f>
        <v/>
      </c>
      <c r="E1967">
        <f>IF($E$1=0,0,IFERROR(VALUE(SUBSTITUTE(SUBSTITUTE(SUBSTITUTE(INDEX(貼り付け!$A$1:$BZ$3001,1966,$E$1)&amp;"",",",""),"¥",""),"￥","")),0))</f>
        <v/>
      </c>
      <c r="F1967">
        <f>IF($F$1=0,0,IFERROR(VALUE(SUBSTITUTE(SUBSTITUTE(SUBSTITUTE(INDEX(貼り付け!$A$1:$BZ$3001,1966,$F$1)&amp;"",",",""),"¥",""),"￥","")),0))</f>
        <v/>
      </c>
      <c r="G1967">
        <f>IF(ISNUMBER(B1967),YEAR(B1967),"")</f>
        <v/>
      </c>
      <c r="H1967">
        <f>IF(ISNUMBER(B1967),MONTH(B1967),"")</f>
        <v/>
      </c>
      <c r="I1967">
        <f>IFERROR(IF($B$1=0,"",IF(ISNUMBER(INDEX(貼り付け!$A$1:$BZ$3001,1966,$B$1)),"",SUBSTITUTE(SUBSTITUTE(SUBSTITUTE(SUBSTITUTE(TRIM(LEFT(INDEX(貼り付け!$A$1:$BZ$3001,1966,$B$1)&amp;"",FIND(" ",TRIM(INDEX(貼り付け!$A$1:$BZ$3001,1966,$B$1)&amp;"")&amp;" ")-1)),"/","-"),"年","-"),"月","-"),"日",""))),"")</f>
        <v/>
      </c>
      <c r="J1967">
        <f>IFERROR(MID(I1967,FIND("-",I1967)+1,99),"")</f>
        <v/>
      </c>
    </row>
    <row r="1968">
      <c r="B1968">
        <f>IFERROR(IF($B$1=0,"",IF(INDEX(貼り付け!$A$1:$BZ$3001,1967,$B$1)="","",IF(ISNUMBER(INDEX(貼り付け!$A$1:$BZ$3001,1967,$B$1)),INT(INDEX(貼り付け!$A$1:$BZ$3001,1967,$B$1)),DATE(VALUE(LEFT(I1968,FIND("-",I1968)-1)),VALUE(LEFT(J1968,FIND("-",J1968)-1)),VALUE(MID(J1968,FIND("-",J1968)+1,99)))))),"")</f>
        <v/>
      </c>
      <c r="C1968">
        <f>IF($C$1=0,0,IFERROR(VALUE(SUBSTITUTE(SUBSTITUTE(SUBSTITUTE(INDEX(貼り付け!$A$1:$BZ$3001,1967,$C$1)&amp;"",",",""),"¥",""),"￥","")),0))</f>
        <v/>
      </c>
      <c r="D1968">
        <f>IF($D$1=0,0,IFERROR(VALUE(SUBSTITUTE(SUBSTITUTE(SUBSTITUTE(INDEX(貼り付け!$A$1:$BZ$3001,1967,$D$1)&amp;"",",",""),"¥",""),"￥","")),0))</f>
        <v/>
      </c>
      <c r="E1968">
        <f>IF($E$1=0,0,IFERROR(VALUE(SUBSTITUTE(SUBSTITUTE(SUBSTITUTE(INDEX(貼り付け!$A$1:$BZ$3001,1967,$E$1)&amp;"",",",""),"¥",""),"￥","")),0))</f>
        <v/>
      </c>
      <c r="F1968">
        <f>IF($F$1=0,0,IFERROR(VALUE(SUBSTITUTE(SUBSTITUTE(SUBSTITUTE(INDEX(貼り付け!$A$1:$BZ$3001,1967,$F$1)&amp;"",",",""),"¥",""),"￥","")),0))</f>
        <v/>
      </c>
      <c r="G1968">
        <f>IF(ISNUMBER(B1968),YEAR(B1968),"")</f>
        <v/>
      </c>
      <c r="H1968">
        <f>IF(ISNUMBER(B1968),MONTH(B1968),"")</f>
        <v/>
      </c>
      <c r="I1968">
        <f>IFERROR(IF($B$1=0,"",IF(ISNUMBER(INDEX(貼り付け!$A$1:$BZ$3001,1967,$B$1)),"",SUBSTITUTE(SUBSTITUTE(SUBSTITUTE(SUBSTITUTE(TRIM(LEFT(INDEX(貼り付け!$A$1:$BZ$3001,1967,$B$1)&amp;"",FIND(" ",TRIM(INDEX(貼り付け!$A$1:$BZ$3001,1967,$B$1)&amp;"")&amp;" ")-1)),"/","-"),"年","-"),"月","-"),"日",""))),"")</f>
        <v/>
      </c>
      <c r="J1968">
        <f>IFERROR(MID(I1968,FIND("-",I1968)+1,99),"")</f>
        <v/>
      </c>
    </row>
    <row r="1969">
      <c r="B1969">
        <f>IFERROR(IF($B$1=0,"",IF(INDEX(貼り付け!$A$1:$BZ$3001,1968,$B$1)="","",IF(ISNUMBER(INDEX(貼り付け!$A$1:$BZ$3001,1968,$B$1)),INT(INDEX(貼り付け!$A$1:$BZ$3001,1968,$B$1)),DATE(VALUE(LEFT(I1969,FIND("-",I1969)-1)),VALUE(LEFT(J1969,FIND("-",J1969)-1)),VALUE(MID(J1969,FIND("-",J1969)+1,99)))))),"")</f>
        <v/>
      </c>
      <c r="C1969">
        <f>IF($C$1=0,0,IFERROR(VALUE(SUBSTITUTE(SUBSTITUTE(SUBSTITUTE(INDEX(貼り付け!$A$1:$BZ$3001,1968,$C$1)&amp;"",",",""),"¥",""),"￥","")),0))</f>
        <v/>
      </c>
      <c r="D1969">
        <f>IF($D$1=0,0,IFERROR(VALUE(SUBSTITUTE(SUBSTITUTE(SUBSTITUTE(INDEX(貼り付け!$A$1:$BZ$3001,1968,$D$1)&amp;"",",",""),"¥",""),"￥","")),0))</f>
        <v/>
      </c>
      <c r="E1969">
        <f>IF($E$1=0,0,IFERROR(VALUE(SUBSTITUTE(SUBSTITUTE(SUBSTITUTE(INDEX(貼り付け!$A$1:$BZ$3001,1968,$E$1)&amp;"",",",""),"¥",""),"￥","")),0))</f>
        <v/>
      </c>
      <c r="F1969">
        <f>IF($F$1=0,0,IFERROR(VALUE(SUBSTITUTE(SUBSTITUTE(SUBSTITUTE(INDEX(貼り付け!$A$1:$BZ$3001,1968,$F$1)&amp;"",",",""),"¥",""),"￥","")),0))</f>
        <v/>
      </c>
      <c r="G1969">
        <f>IF(ISNUMBER(B1969),YEAR(B1969),"")</f>
        <v/>
      </c>
      <c r="H1969">
        <f>IF(ISNUMBER(B1969),MONTH(B1969),"")</f>
        <v/>
      </c>
      <c r="I1969">
        <f>IFERROR(IF($B$1=0,"",IF(ISNUMBER(INDEX(貼り付け!$A$1:$BZ$3001,1968,$B$1)),"",SUBSTITUTE(SUBSTITUTE(SUBSTITUTE(SUBSTITUTE(TRIM(LEFT(INDEX(貼り付け!$A$1:$BZ$3001,1968,$B$1)&amp;"",FIND(" ",TRIM(INDEX(貼り付け!$A$1:$BZ$3001,1968,$B$1)&amp;"")&amp;" ")-1)),"/","-"),"年","-"),"月","-"),"日",""))),"")</f>
        <v/>
      </c>
      <c r="J1969">
        <f>IFERROR(MID(I1969,FIND("-",I1969)+1,99),"")</f>
        <v/>
      </c>
    </row>
    <row r="1970">
      <c r="B1970">
        <f>IFERROR(IF($B$1=0,"",IF(INDEX(貼り付け!$A$1:$BZ$3001,1969,$B$1)="","",IF(ISNUMBER(INDEX(貼り付け!$A$1:$BZ$3001,1969,$B$1)),INT(INDEX(貼り付け!$A$1:$BZ$3001,1969,$B$1)),DATE(VALUE(LEFT(I1970,FIND("-",I1970)-1)),VALUE(LEFT(J1970,FIND("-",J1970)-1)),VALUE(MID(J1970,FIND("-",J1970)+1,99)))))),"")</f>
        <v/>
      </c>
      <c r="C1970">
        <f>IF($C$1=0,0,IFERROR(VALUE(SUBSTITUTE(SUBSTITUTE(SUBSTITUTE(INDEX(貼り付け!$A$1:$BZ$3001,1969,$C$1)&amp;"",",",""),"¥",""),"￥","")),0))</f>
        <v/>
      </c>
      <c r="D1970">
        <f>IF($D$1=0,0,IFERROR(VALUE(SUBSTITUTE(SUBSTITUTE(SUBSTITUTE(INDEX(貼り付け!$A$1:$BZ$3001,1969,$D$1)&amp;"",",",""),"¥",""),"￥","")),0))</f>
        <v/>
      </c>
      <c r="E1970">
        <f>IF($E$1=0,0,IFERROR(VALUE(SUBSTITUTE(SUBSTITUTE(SUBSTITUTE(INDEX(貼り付け!$A$1:$BZ$3001,1969,$E$1)&amp;"",",",""),"¥",""),"￥","")),0))</f>
        <v/>
      </c>
      <c r="F1970">
        <f>IF($F$1=0,0,IFERROR(VALUE(SUBSTITUTE(SUBSTITUTE(SUBSTITUTE(INDEX(貼り付け!$A$1:$BZ$3001,1969,$F$1)&amp;"",",",""),"¥",""),"￥","")),0))</f>
        <v/>
      </c>
      <c r="G1970">
        <f>IF(ISNUMBER(B1970),YEAR(B1970),"")</f>
        <v/>
      </c>
      <c r="H1970">
        <f>IF(ISNUMBER(B1970),MONTH(B1970),"")</f>
        <v/>
      </c>
      <c r="I1970">
        <f>IFERROR(IF($B$1=0,"",IF(ISNUMBER(INDEX(貼り付け!$A$1:$BZ$3001,1969,$B$1)),"",SUBSTITUTE(SUBSTITUTE(SUBSTITUTE(SUBSTITUTE(TRIM(LEFT(INDEX(貼り付け!$A$1:$BZ$3001,1969,$B$1)&amp;"",FIND(" ",TRIM(INDEX(貼り付け!$A$1:$BZ$3001,1969,$B$1)&amp;"")&amp;" ")-1)),"/","-"),"年","-"),"月","-"),"日",""))),"")</f>
        <v/>
      </c>
      <c r="J1970">
        <f>IFERROR(MID(I1970,FIND("-",I1970)+1,99),"")</f>
        <v/>
      </c>
    </row>
    <row r="1971">
      <c r="B1971">
        <f>IFERROR(IF($B$1=0,"",IF(INDEX(貼り付け!$A$1:$BZ$3001,1970,$B$1)="","",IF(ISNUMBER(INDEX(貼り付け!$A$1:$BZ$3001,1970,$B$1)),INT(INDEX(貼り付け!$A$1:$BZ$3001,1970,$B$1)),DATE(VALUE(LEFT(I1971,FIND("-",I1971)-1)),VALUE(LEFT(J1971,FIND("-",J1971)-1)),VALUE(MID(J1971,FIND("-",J1971)+1,99)))))),"")</f>
        <v/>
      </c>
      <c r="C1971">
        <f>IF($C$1=0,0,IFERROR(VALUE(SUBSTITUTE(SUBSTITUTE(SUBSTITUTE(INDEX(貼り付け!$A$1:$BZ$3001,1970,$C$1)&amp;"",",",""),"¥",""),"￥","")),0))</f>
        <v/>
      </c>
      <c r="D1971">
        <f>IF($D$1=0,0,IFERROR(VALUE(SUBSTITUTE(SUBSTITUTE(SUBSTITUTE(INDEX(貼り付け!$A$1:$BZ$3001,1970,$D$1)&amp;"",",",""),"¥",""),"￥","")),0))</f>
        <v/>
      </c>
      <c r="E1971">
        <f>IF($E$1=0,0,IFERROR(VALUE(SUBSTITUTE(SUBSTITUTE(SUBSTITUTE(INDEX(貼り付け!$A$1:$BZ$3001,1970,$E$1)&amp;"",",",""),"¥",""),"￥","")),0))</f>
        <v/>
      </c>
      <c r="F1971">
        <f>IF($F$1=0,0,IFERROR(VALUE(SUBSTITUTE(SUBSTITUTE(SUBSTITUTE(INDEX(貼り付け!$A$1:$BZ$3001,1970,$F$1)&amp;"",",",""),"¥",""),"￥","")),0))</f>
        <v/>
      </c>
      <c r="G1971">
        <f>IF(ISNUMBER(B1971),YEAR(B1971),"")</f>
        <v/>
      </c>
      <c r="H1971">
        <f>IF(ISNUMBER(B1971),MONTH(B1971),"")</f>
        <v/>
      </c>
      <c r="I1971">
        <f>IFERROR(IF($B$1=0,"",IF(ISNUMBER(INDEX(貼り付け!$A$1:$BZ$3001,1970,$B$1)),"",SUBSTITUTE(SUBSTITUTE(SUBSTITUTE(SUBSTITUTE(TRIM(LEFT(INDEX(貼り付け!$A$1:$BZ$3001,1970,$B$1)&amp;"",FIND(" ",TRIM(INDEX(貼り付け!$A$1:$BZ$3001,1970,$B$1)&amp;"")&amp;" ")-1)),"/","-"),"年","-"),"月","-"),"日",""))),"")</f>
        <v/>
      </c>
      <c r="J1971">
        <f>IFERROR(MID(I1971,FIND("-",I1971)+1,99),"")</f>
        <v/>
      </c>
    </row>
    <row r="1972">
      <c r="B1972">
        <f>IFERROR(IF($B$1=0,"",IF(INDEX(貼り付け!$A$1:$BZ$3001,1971,$B$1)="","",IF(ISNUMBER(INDEX(貼り付け!$A$1:$BZ$3001,1971,$B$1)),INT(INDEX(貼り付け!$A$1:$BZ$3001,1971,$B$1)),DATE(VALUE(LEFT(I1972,FIND("-",I1972)-1)),VALUE(LEFT(J1972,FIND("-",J1972)-1)),VALUE(MID(J1972,FIND("-",J1972)+1,99)))))),"")</f>
        <v/>
      </c>
      <c r="C1972">
        <f>IF($C$1=0,0,IFERROR(VALUE(SUBSTITUTE(SUBSTITUTE(SUBSTITUTE(INDEX(貼り付け!$A$1:$BZ$3001,1971,$C$1)&amp;"",",",""),"¥",""),"￥","")),0))</f>
        <v/>
      </c>
      <c r="D1972">
        <f>IF($D$1=0,0,IFERROR(VALUE(SUBSTITUTE(SUBSTITUTE(SUBSTITUTE(INDEX(貼り付け!$A$1:$BZ$3001,1971,$D$1)&amp;"",",",""),"¥",""),"￥","")),0))</f>
        <v/>
      </c>
      <c r="E1972">
        <f>IF($E$1=0,0,IFERROR(VALUE(SUBSTITUTE(SUBSTITUTE(SUBSTITUTE(INDEX(貼り付け!$A$1:$BZ$3001,1971,$E$1)&amp;"",",",""),"¥",""),"￥","")),0))</f>
        <v/>
      </c>
      <c r="F1972">
        <f>IF($F$1=0,0,IFERROR(VALUE(SUBSTITUTE(SUBSTITUTE(SUBSTITUTE(INDEX(貼り付け!$A$1:$BZ$3001,1971,$F$1)&amp;"",",",""),"¥",""),"￥","")),0))</f>
        <v/>
      </c>
      <c r="G1972">
        <f>IF(ISNUMBER(B1972),YEAR(B1972),"")</f>
        <v/>
      </c>
      <c r="H1972">
        <f>IF(ISNUMBER(B1972),MONTH(B1972),"")</f>
        <v/>
      </c>
      <c r="I1972">
        <f>IFERROR(IF($B$1=0,"",IF(ISNUMBER(INDEX(貼り付け!$A$1:$BZ$3001,1971,$B$1)),"",SUBSTITUTE(SUBSTITUTE(SUBSTITUTE(SUBSTITUTE(TRIM(LEFT(INDEX(貼り付け!$A$1:$BZ$3001,1971,$B$1)&amp;"",FIND(" ",TRIM(INDEX(貼り付け!$A$1:$BZ$3001,1971,$B$1)&amp;"")&amp;" ")-1)),"/","-"),"年","-"),"月","-"),"日",""))),"")</f>
        <v/>
      </c>
      <c r="J1972">
        <f>IFERROR(MID(I1972,FIND("-",I1972)+1,99),"")</f>
        <v/>
      </c>
    </row>
    <row r="1973">
      <c r="B1973">
        <f>IFERROR(IF($B$1=0,"",IF(INDEX(貼り付け!$A$1:$BZ$3001,1972,$B$1)="","",IF(ISNUMBER(INDEX(貼り付け!$A$1:$BZ$3001,1972,$B$1)),INT(INDEX(貼り付け!$A$1:$BZ$3001,1972,$B$1)),DATE(VALUE(LEFT(I1973,FIND("-",I1973)-1)),VALUE(LEFT(J1973,FIND("-",J1973)-1)),VALUE(MID(J1973,FIND("-",J1973)+1,99)))))),"")</f>
        <v/>
      </c>
      <c r="C1973">
        <f>IF($C$1=0,0,IFERROR(VALUE(SUBSTITUTE(SUBSTITUTE(SUBSTITUTE(INDEX(貼り付け!$A$1:$BZ$3001,1972,$C$1)&amp;"",",",""),"¥",""),"￥","")),0))</f>
        <v/>
      </c>
      <c r="D1973">
        <f>IF($D$1=0,0,IFERROR(VALUE(SUBSTITUTE(SUBSTITUTE(SUBSTITUTE(INDEX(貼り付け!$A$1:$BZ$3001,1972,$D$1)&amp;"",",",""),"¥",""),"￥","")),0))</f>
        <v/>
      </c>
      <c r="E1973">
        <f>IF($E$1=0,0,IFERROR(VALUE(SUBSTITUTE(SUBSTITUTE(SUBSTITUTE(INDEX(貼り付け!$A$1:$BZ$3001,1972,$E$1)&amp;"",",",""),"¥",""),"￥","")),0))</f>
        <v/>
      </c>
      <c r="F1973">
        <f>IF($F$1=0,0,IFERROR(VALUE(SUBSTITUTE(SUBSTITUTE(SUBSTITUTE(INDEX(貼り付け!$A$1:$BZ$3001,1972,$F$1)&amp;"",",",""),"¥",""),"￥","")),0))</f>
        <v/>
      </c>
      <c r="G1973">
        <f>IF(ISNUMBER(B1973),YEAR(B1973),"")</f>
        <v/>
      </c>
      <c r="H1973">
        <f>IF(ISNUMBER(B1973),MONTH(B1973),"")</f>
        <v/>
      </c>
      <c r="I1973">
        <f>IFERROR(IF($B$1=0,"",IF(ISNUMBER(INDEX(貼り付け!$A$1:$BZ$3001,1972,$B$1)),"",SUBSTITUTE(SUBSTITUTE(SUBSTITUTE(SUBSTITUTE(TRIM(LEFT(INDEX(貼り付け!$A$1:$BZ$3001,1972,$B$1)&amp;"",FIND(" ",TRIM(INDEX(貼り付け!$A$1:$BZ$3001,1972,$B$1)&amp;"")&amp;" ")-1)),"/","-"),"年","-"),"月","-"),"日",""))),"")</f>
        <v/>
      </c>
      <c r="J1973">
        <f>IFERROR(MID(I1973,FIND("-",I1973)+1,99),"")</f>
        <v/>
      </c>
    </row>
    <row r="1974">
      <c r="B1974">
        <f>IFERROR(IF($B$1=0,"",IF(INDEX(貼り付け!$A$1:$BZ$3001,1973,$B$1)="","",IF(ISNUMBER(INDEX(貼り付け!$A$1:$BZ$3001,1973,$B$1)),INT(INDEX(貼り付け!$A$1:$BZ$3001,1973,$B$1)),DATE(VALUE(LEFT(I1974,FIND("-",I1974)-1)),VALUE(LEFT(J1974,FIND("-",J1974)-1)),VALUE(MID(J1974,FIND("-",J1974)+1,99)))))),"")</f>
        <v/>
      </c>
      <c r="C1974">
        <f>IF($C$1=0,0,IFERROR(VALUE(SUBSTITUTE(SUBSTITUTE(SUBSTITUTE(INDEX(貼り付け!$A$1:$BZ$3001,1973,$C$1)&amp;"",",",""),"¥",""),"￥","")),0))</f>
        <v/>
      </c>
      <c r="D1974">
        <f>IF($D$1=0,0,IFERROR(VALUE(SUBSTITUTE(SUBSTITUTE(SUBSTITUTE(INDEX(貼り付け!$A$1:$BZ$3001,1973,$D$1)&amp;"",",",""),"¥",""),"￥","")),0))</f>
        <v/>
      </c>
      <c r="E1974">
        <f>IF($E$1=0,0,IFERROR(VALUE(SUBSTITUTE(SUBSTITUTE(SUBSTITUTE(INDEX(貼り付け!$A$1:$BZ$3001,1973,$E$1)&amp;"",",",""),"¥",""),"￥","")),0))</f>
        <v/>
      </c>
      <c r="F1974">
        <f>IF($F$1=0,0,IFERROR(VALUE(SUBSTITUTE(SUBSTITUTE(SUBSTITUTE(INDEX(貼り付け!$A$1:$BZ$3001,1973,$F$1)&amp;"",",",""),"¥",""),"￥","")),0))</f>
        <v/>
      </c>
      <c r="G1974">
        <f>IF(ISNUMBER(B1974),YEAR(B1974),"")</f>
        <v/>
      </c>
      <c r="H1974">
        <f>IF(ISNUMBER(B1974),MONTH(B1974),"")</f>
        <v/>
      </c>
      <c r="I1974">
        <f>IFERROR(IF($B$1=0,"",IF(ISNUMBER(INDEX(貼り付け!$A$1:$BZ$3001,1973,$B$1)),"",SUBSTITUTE(SUBSTITUTE(SUBSTITUTE(SUBSTITUTE(TRIM(LEFT(INDEX(貼り付け!$A$1:$BZ$3001,1973,$B$1)&amp;"",FIND(" ",TRIM(INDEX(貼り付け!$A$1:$BZ$3001,1973,$B$1)&amp;"")&amp;" ")-1)),"/","-"),"年","-"),"月","-"),"日",""))),"")</f>
        <v/>
      </c>
      <c r="J1974">
        <f>IFERROR(MID(I1974,FIND("-",I1974)+1,99),"")</f>
        <v/>
      </c>
    </row>
    <row r="1975">
      <c r="B1975">
        <f>IFERROR(IF($B$1=0,"",IF(INDEX(貼り付け!$A$1:$BZ$3001,1974,$B$1)="","",IF(ISNUMBER(INDEX(貼り付け!$A$1:$BZ$3001,1974,$B$1)),INT(INDEX(貼り付け!$A$1:$BZ$3001,1974,$B$1)),DATE(VALUE(LEFT(I1975,FIND("-",I1975)-1)),VALUE(LEFT(J1975,FIND("-",J1975)-1)),VALUE(MID(J1975,FIND("-",J1975)+1,99)))))),"")</f>
        <v/>
      </c>
      <c r="C1975">
        <f>IF($C$1=0,0,IFERROR(VALUE(SUBSTITUTE(SUBSTITUTE(SUBSTITUTE(INDEX(貼り付け!$A$1:$BZ$3001,1974,$C$1)&amp;"",",",""),"¥",""),"￥","")),0))</f>
        <v/>
      </c>
      <c r="D1975">
        <f>IF($D$1=0,0,IFERROR(VALUE(SUBSTITUTE(SUBSTITUTE(SUBSTITUTE(INDEX(貼り付け!$A$1:$BZ$3001,1974,$D$1)&amp;"",",",""),"¥",""),"￥","")),0))</f>
        <v/>
      </c>
      <c r="E1975">
        <f>IF($E$1=0,0,IFERROR(VALUE(SUBSTITUTE(SUBSTITUTE(SUBSTITUTE(INDEX(貼り付け!$A$1:$BZ$3001,1974,$E$1)&amp;"",",",""),"¥",""),"￥","")),0))</f>
        <v/>
      </c>
      <c r="F1975">
        <f>IF($F$1=0,0,IFERROR(VALUE(SUBSTITUTE(SUBSTITUTE(SUBSTITUTE(INDEX(貼り付け!$A$1:$BZ$3001,1974,$F$1)&amp;"",",",""),"¥",""),"￥","")),0))</f>
        <v/>
      </c>
      <c r="G1975">
        <f>IF(ISNUMBER(B1975),YEAR(B1975),"")</f>
        <v/>
      </c>
      <c r="H1975">
        <f>IF(ISNUMBER(B1975),MONTH(B1975),"")</f>
        <v/>
      </c>
      <c r="I1975">
        <f>IFERROR(IF($B$1=0,"",IF(ISNUMBER(INDEX(貼り付け!$A$1:$BZ$3001,1974,$B$1)),"",SUBSTITUTE(SUBSTITUTE(SUBSTITUTE(SUBSTITUTE(TRIM(LEFT(INDEX(貼り付け!$A$1:$BZ$3001,1974,$B$1)&amp;"",FIND(" ",TRIM(INDEX(貼り付け!$A$1:$BZ$3001,1974,$B$1)&amp;"")&amp;" ")-1)),"/","-"),"年","-"),"月","-"),"日",""))),"")</f>
        <v/>
      </c>
      <c r="J1975">
        <f>IFERROR(MID(I1975,FIND("-",I1975)+1,99),"")</f>
        <v/>
      </c>
    </row>
    <row r="1976">
      <c r="B1976">
        <f>IFERROR(IF($B$1=0,"",IF(INDEX(貼り付け!$A$1:$BZ$3001,1975,$B$1)="","",IF(ISNUMBER(INDEX(貼り付け!$A$1:$BZ$3001,1975,$B$1)),INT(INDEX(貼り付け!$A$1:$BZ$3001,1975,$B$1)),DATE(VALUE(LEFT(I1976,FIND("-",I1976)-1)),VALUE(LEFT(J1976,FIND("-",J1976)-1)),VALUE(MID(J1976,FIND("-",J1976)+1,99)))))),"")</f>
        <v/>
      </c>
      <c r="C1976">
        <f>IF($C$1=0,0,IFERROR(VALUE(SUBSTITUTE(SUBSTITUTE(SUBSTITUTE(INDEX(貼り付け!$A$1:$BZ$3001,1975,$C$1)&amp;"",",",""),"¥",""),"￥","")),0))</f>
        <v/>
      </c>
      <c r="D1976">
        <f>IF($D$1=0,0,IFERROR(VALUE(SUBSTITUTE(SUBSTITUTE(SUBSTITUTE(INDEX(貼り付け!$A$1:$BZ$3001,1975,$D$1)&amp;"",",",""),"¥",""),"￥","")),0))</f>
        <v/>
      </c>
      <c r="E1976">
        <f>IF($E$1=0,0,IFERROR(VALUE(SUBSTITUTE(SUBSTITUTE(SUBSTITUTE(INDEX(貼り付け!$A$1:$BZ$3001,1975,$E$1)&amp;"",",",""),"¥",""),"￥","")),0))</f>
        <v/>
      </c>
      <c r="F1976">
        <f>IF($F$1=0,0,IFERROR(VALUE(SUBSTITUTE(SUBSTITUTE(SUBSTITUTE(INDEX(貼り付け!$A$1:$BZ$3001,1975,$F$1)&amp;"",",",""),"¥",""),"￥","")),0))</f>
        <v/>
      </c>
      <c r="G1976">
        <f>IF(ISNUMBER(B1976),YEAR(B1976),"")</f>
        <v/>
      </c>
      <c r="H1976">
        <f>IF(ISNUMBER(B1976),MONTH(B1976),"")</f>
        <v/>
      </c>
      <c r="I1976">
        <f>IFERROR(IF($B$1=0,"",IF(ISNUMBER(INDEX(貼り付け!$A$1:$BZ$3001,1975,$B$1)),"",SUBSTITUTE(SUBSTITUTE(SUBSTITUTE(SUBSTITUTE(TRIM(LEFT(INDEX(貼り付け!$A$1:$BZ$3001,1975,$B$1)&amp;"",FIND(" ",TRIM(INDEX(貼り付け!$A$1:$BZ$3001,1975,$B$1)&amp;"")&amp;" ")-1)),"/","-"),"年","-"),"月","-"),"日",""))),"")</f>
        <v/>
      </c>
      <c r="J1976">
        <f>IFERROR(MID(I1976,FIND("-",I1976)+1,99),"")</f>
        <v/>
      </c>
    </row>
    <row r="1977">
      <c r="B1977">
        <f>IFERROR(IF($B$1=0,"",IF(INDEX(貼り付け!$A$1:$BZ$3001,1976,$B$1)="","",IF(ISNUMBER(INDEX(貼り付け!$A$1:$BZ$3001,1976,$B$1)),INT(INDEX(貼り付け!$A$1:$BZ$3001,1976,$B$1)),DATE(VALUE(LEFT(I1977,FIND("-",I1977)-1)),VALUE(LEFT(J1977,FIND("-",J1977)-1)),VALUE(MID(J1977,FIND("-",J1977)+1,99)))))),"")</f>
        <v/>
      </c>
      <c r="C1977">
        <f>IF($C$1=0,0,IFERROR(VALUE(SUBSTITUTE(SUBSTITUTE(SUBSTITUTE(INDEX(貼り付け!$A$1:$BZ$3001,1976,$C$1)&amp;"",",",""),"¥",""),"￥","")),0))</f>
        <v/>
      </c>
      <c r="D1977">
        <f>IF($D$1=0,0,IFERROR(VALUE(SUBSTITUTE(SUBSTITUTE(SUBSTITUTE(INDEX(貼り付け!$A$1:$BZ$3001,1976,$D$1)&amp;"",",",""),"¥",""),"￥","")),0))</f>
        <v/>
      </c>
      <c r="E1977">
        <f>IF($E$1=0,0,IFERROR(VALUE(SUBSTITUTE(SUBSTITUTE(SUBSTITUTE(INDEX(貼り付け!$A$1:$BZ$3001,1976,$E$1)&amp;"",",",""),"¥",""),"￥","")),0))</f>
        <v/>
      </c>
      <c r="F1977">
        <f>IF($F$1=0,0,IFERROR(VALUE(SUBSTITUTE(SUBSTITUTE(SUBSTITUTE(INDEX(貼り付け!$A$1:$BZ$3001,1976,$F$1)&amp;"",",",""),"¥",""),"￥","")),0))</f>
        <v/>
      </c>
      <c r="G1977">
        <f>IF(ISNUMBER(B1977),YEAR(B1977),"")</f>
        <v/>
      </c>
      <c r="H1977">
        <f>IF(ISNUMBER(B1977),MONTH(B1977),"")</f>
        <v/>
      </c>
      <c r="I1977">
        <f>IFERROR(IF($B$1=0,"",IF(ISNUMBER(INDEX(貼り付け!$A$1:$BZ$3001,1976,$B$1)),"",SUBSTITUTE(SUBSTITUTE(SUBSTITUTE(SUBSTITUTE(TRIM(LEFT(INDEX(貼り付け!$A$1:$BZ$3001,1976,$B$1)&amp;"",FIND(" ",TRIM(INDEX(貼り付け!$A$1:$BZ$3001,1976,$B$1)&amp;"")&amp;" ")-1)),"/","-"),"年","-"),"月","-"),"日",""))),"")</f>
        <v/>
      </c>
      <c r="J1977">
        <f>IFERROR(MID(I1977,FIND("-",I1977)+1,99),"")</f>
        <v/>
      </c>
    </row>
    <row r="1978">
      <c r="B1978">
        <f>IFERROR(IF($B$1=0,"",IF(INDEX(貼り付け!$A$1:$BZ$3001,1977,$B$1)="","",IF(ISNUMBER(INDEX(貼り付け!$A$1:$BZ$3001,1977,$B$1)),INT(INDEX(貼り付け!$A$1:$BZ$3001,1977,$B$1)),DATE(VALUE(LEFT(I1978,FIND("-",I1978)-1)),VALUE(LEFT(J1978,FIND("-",J1978)-1)),VALUE(MID(J1978,FIND("-",J1978)+1,99)))))),"")</f>
        <v/>
      </c>
      <c r="C1978">
        <f>IF($C$1=0,0,IFERROR(VALUE(SUBSTITUTE(SUBSTITUTE(SUBSTITUTE(INDEX(貼り付け!$A$1:$BZ$3001,1977,$C$1)&amp;"",",",""),"¥",""),"￥","")),0))</f>
        <v/>
      </c>
      <c r="D1978">
        <f>IF($D$1=0,0,IFERROR(VALUE(SUBSTITUTE(SUBSTITUTE(SUBSTITUTE(INDEX(貼り付け!$A$1:$BZ$3001,1977,$D$1)&amp;"",",",""),"¥",""),"￥","")),0))</f>
        <v/>
      </c>
      <c r="E1978">
        <f>IF($E$1=0,0,IFERROR(VALUE(SUBSTITUTE(SUBSTITUTE(SUBSTITUTE(INDEX(貼り付け!$A$1:$BZ$3001,1977,$E$1)&amp;"",",",""),"¥",""),"￥","")),0))</f>
        <v/>
      </c>
      <c r="F1978">
        <f>IF($F$1=0,0,IFERROR(VALUE(SUBSTITUTE(SUBSTITUTE(SUBSTITUTE(INDEX(貼り付け!$A$1:$BZ$3001,1977,$F$1)&amp;"",",",""),"¥",""),"￥","")),0))</f>
        <v/>
      </c>
      <c r="G1978">
        <f>IF(ISNUMBER(B1978),YEAR(B1978),"")</f>
        <v/>
      </c>
      <c r="H1978">
        <f>IF(ISNUMBER(B1978),MONTH(B1978),"")</f>
        <v/>
      </c>
      <c r="I1978">
        <f>IFERROR(IF($B$1=0,"",IF(ISNUMBER(INDEX(貼り付け!$A$1:$BZ$3001,1977,$B$1)),"",SUBSTITUTE(SUBSTITUTE(SUBSTITUTE(SUBSTITUTE(TRIM(LEFT(INDEX(貼り付け!$A$1:$BZ$3001,1977,$B$1)&amp;"",FIND(" ",TRIM(INDEX(貼り付け!$A$1:$BZ$3001,1977,$B$1)&amp;"")&amp;" ")-1)),"/","-"),"年","-"),"月","-"),"日",""))),"")</f>
        <v/>
      </c>
      <c r="J1978">
        <f>IFERROR(MID(I1978,FIND("-",I1978)+1,99),"")</f>
        <v/>
      </c>
    </row>
    <row r="1979">
      <c r="B1979">
        <f>IFERROR(IF($B$1=0,"",IF(INDEX(貼り付け!$A$1:$BZ$3001,1978,$B$1)="","",IF(ISNUMBER(INDEX(貼り付け!$A$1:$BZ$3001,1978,$B$1)),INT(INDEX(貼り付け!$A$1:$BZ$3001,1978,$B$1)),DATE(VALUE(LEFT(I1979,FIND("-",I1979)-1)),VALUE(LEFT(J1979,FIND("-",J1979)-1)),VALUE(MID(J1979,FIND("-",J1979)+1,99)))))),"")</f>
        <v/>
      </c>
      <c r="C1979">
        <f>IF($C$1=0,0,IFERROR(VALUE(SUBSTITUTE(SUBSTITUTE(SUBSTITUTE(INDEX(貼り付け!$A$1:$BZ$3001,1978,$C$1)&amp;"",",",""),"¥",""),"￥","")),0))</f>
        <v/>
      </c>
      <c r="D1979">
        <f>IF($D$1=0,0,IFERROR(VALUE(SUBSTITUTE(SUBSTITUTE(SUBSTITUTE(INDEX(貼り付け!$A$1:$BZ$3001,1978,$D$1)&amp;"",",",""),"¥",""),"￥","")),0))</f>
        <v/>
      </c>
      <c r="E1979">
        <f>IF($E$1=0,0,IFERROR(VALUE(SUBSTITUTE(SUBSTITUTE(SUBSTITUTE(INDEX(貼り付け!$A$1:$BZ$3001,1978,$E$1)&amp;"",",",""),"¥",""),"￥","")),0))</f>
        <v/>
      </c>
      <c r="F1979">
        <f>IF($F$1=0,0,IFERROR(VALUE(SUBSTITUTE(SUBSTITUTE(SUBSTITUTE(INDEX(貼り付け!$A$1:$BZ$3001,1978,$F$1)&amp;"",",",""),"¥",""),"￥","")),0))</f>
        <v/>
      </c>
      <c r="G1979">
        <f>IF(ISNUMBER(B1979),YEAR(B1979),"")</f>
        <v/>
      </c>
      <c r="H1979">
        <f>IF(ISNUMBER(B1979),MONTH(B1979),"")</f>
        <v/>
      </c>
      <c r="I1979">
        <f>IFERROR(IF($B$1=0,"",IF(ISNUMBER(INDEX(貼り付け!$A$1:$BZ$3001,1978,$B$1)),"",SUBSTITUTE(SUBSTITUTE(SUBSTITUTE(SUBSTITUTE(TRIM(LEFT(INDEX(貼り付け!$A$1:$BZ$3001,1978,$B$1)&amp;"",FIND(" ",TRIM(INDEX(貼り付け!$A$1:$BZ$3001,1978,$B$1)&amp;"")&amp;" ")-1)),"/","-"),"年","-"),"月","-"),"日",""))),"")</f>
        <v/>
      </c>
      <c r="J1979">
        <f>IFERROR(MID(I1979,FIND("-",I1979)+1,99),"")</f>
        <v/>
      </c>
    </row>
    <row r="1980">
      <c r="B1980">
        <f>IFERROR(IF($B$1=0,"",IF(INDEX(貼り付け!$A$1:$BZ$3001,1979,$B$1)="","",IF(ISNUMBER(INDEX(貼り付け!$A$1:$BZ$3001,1979,$B$1)),INT(INDEX(貼り付け!$A$1:$BZ$3001,1979,$B$1)),DATE(VALUE(LEFT(I1980,FIND("-",I1980)-1)),VALUE(LEFT(J1980,FIND("-",J1980)-1)),VALUE(MID(J1980,FIND("-",J1980)+1,99)))))),"")</f>
        <v/>
      </c>
      <c r="C1980">
        <f>IF($C$1=0,0,IFERROR(VALUE(SUBSTITUTE(SUBSTITUTE(SUBSTITUTE(INDEX(貼り付け!$A$1:$BZ$3001,1979,$C$1)&amp;"",",",""),"¥",""),"￥","")),0))</f>
        <v/>
      </c>
      <c r="D1980">
        <f>IF($D$1=0,0,IFERROR(VALUE(SUBSTITUTE(SUBSTITUTE(SUBSTITUTE(INDEX(貼り付け!$A$1:$BZ$3001,1979,$D$1)&amp;"",",",""),"¥",""),"￥","")),0))</f>
        <v/>
      </c>
      <c r="E1980">
        <f>IF($E$1=0,0,IFERROR(VALUE(SUBSTITUTE(SUBSTITUTE(SUBSTITUTE(INDEX(貼り付け!$A$1:$BZ$3001,1979,$E$1)&amp;"",",",""),"¥",""),"￥","")),0))</f>
        <v/>
      </c>
      <c r="F1980">
        <f>IF($F$1=0,0,IFERROR(VALUE(SUBSTITUTE(SUBSTITUTE(SUBSTITUTE(INDEX(貼り付け!$A$1:$BZ$3001,1979,$F$1)&amp;"",",",""),"¥",""),"￥","")),0))</f>
        <v/>
      </c>
      <c r="G1980">
        <f>IF(ISNUMBER(B1980),YEAR(B1980),"")</f>
        <v/>
      </c>
      <c r="H1980">
        <f>IF(ISNUMBER(B1980),MONTH(B1980),"")</f>
        <v/>
      </c>
      <c r="I1980">
        <f>IFERROR(IF($B$1=0,"",IF(ISNUMBER(INDEX(貼り付け!$A$1:$BZ$3001,1979,$B$1)),"",SUBSTITUTE(SUBSTITUTE(SUBSTITUTE(SUBSTITUTE(TRIM(LEFT(INDEX(貼り付け!$A$1:$BZ$3001,1979,$B$1)&amp;"",FIND(" ",TRIM(INDEX(貼り付け!$A$1:$BZ$3001,1979,$B$1)&amp;"")&amp;" ")-1)),"/","-"),"年","-"),"月","-"),"日",""))),"")</f>
        <v/>
      </c>
      <c r="J1980">
        <f>IFERROR(MID(I1980,FIND("-",I1980)+1,99),"")</f>
        <v/>
      </c>
    </row>
    <row r="1981">
      <c r="B1981">
        <f>IFERROR(IF($B$1=0,"",IF(INDEX(貼り付け!$A$1:$BZ$3001,1980,$B$1)="","",IF(ISNUMBER(INDEX(貼り付け!$A$1:$BZ$3001,1980,$B$1)),INT(INDEX(貼り付け!$A$1:$BZ$3001,1980,$B$1)),DATE(VALUE(LEFT(I1981,FIND("-",I1981)-1)),VALUE(LEFT(J1981,FIND("-",J1981)-1)),VALUE(MID(J1981,FIND("-",J1981)+1,99)))))),"")</f>
        <v/>
      </c>
      <c r="C1981">
        <f>IF($C$1=0,0,IFERROR(VALUE(SUBSTITUTE(SUBSTITUTE(SUBSTITUTE(INDEX(貼り付け!$A$1:$BZ$3001,1980,$C$1)&amp;"",",",""),"¥",""),"￥","")),0))</f>
        <v/>
      </c>
      <c r="D1981">
        <f>IF($D$1=0,0,IFERROR(VALUE(SUBSTITUTE(SUBSTITUTE(SUBSTITUTE(INDEX(貼り付け!$A$1:$BZ$3001,1980,$D$1)&amp;"",",",""),"¥",""),"￥","")),0))</f>
        <v/>
      </c>
      <c r="E1981">
        <f>IF($E$1=0,0,IFERROR(VALUE(SUBSTITUTE(SUBSTITUTE(SUBSTITUTE(INDEX(貼り付け!$A$1:$BZ$3001,1980,$E$1)&amp;"",",",""),"¥",""),"￥","")),0))</f>
        <v/>
      </c>
      <c r="F1981">
        <f>IF($F$1=0,0,IFERROR(VALUE(SUBSTITUTE(SUBSTITUTE(SUBSTITUTE(INDEX(貼り付け!$A$1:$BZ$3001,1980,$F$1)&amp;"",",",""),"¥",""),"￥","")),0))</f>
        <v/>
      </c>
      <c r="G1981">
        <f>IF(ISNUMBER(B1981),YEAR(B1981),"")</f>
        <v/>
      </c>
      <c r="H1981">
        <f>IF(ISNUMBER(B1981),MONTH(B1981),"")</f>
        <v/>
      </c>
      <c r="I1981">
        <f>IFERROR(IF($B$1=0,"",IF(ISNUMBER(INDEX(貼り付け!$A$1:$BZ$3001,1980,$B$1)),"",SUBSTITUTE(SUBSTITUTE(SUBSTITUTE(SUBSTITUTE(TRIM(LEFT(INDEX(貼り付け!$A$1:$BZ$3001,1980,$B$1)&amp;"",FIND(" ",TRIM(INDEX(貼り付け!$A$1:$BZ$3001,1980,$B$1)&amp;"")&amp;" ")-1)),"/","-"),"年","-"),"月","-"),"日",""))),"")</f>
        <v/>
      </c>
      <c r="J1981">
        <f>IFERROR(MID(I1981,FIND("-",I1981)+1,99),"")</f>
        <v/>
      </c>
    </row>
    <row r="1982">
      <c r="B1982">
        <f>IFERROR(IF($B$1=0,"",IF(INDEX(貼り付け!$A$1:$BZ$3001,1981,$B$1)="","",IF(ISNUMBER(INDEX(貼り付け!$A$1:$BZ$3001,1981,$B$1)),INT(INDEX(貼り付け!$A$1:$BZ$3001,1981,$B$1)),DATE(VALUE(LEFT(I1982,FIND("-",I1982)-1)),VALUE(LEFT(J1982,FIND("-",J1982)-1)),VALUE(MID(J1982,FIND("-",J1982)+1,99)))))),"")</f>
        <v/>
      </c>
      <c r="C1982">
        <f>IF($C$1=0,0,IFERROR(VALUE(SUBSTITUTE(SUBSTITUTE(SUBSTITUTE(INDEX(貼り付け!$A$1:$BZ$3001,1981,$C$1)&amp;"",",",""),"¥",""),"￥","")),0))</f>
        <v/>
      </c>
      <c r="D1982">
        <f>IF($D$1=0,0,IFERROR(VALUE(SUBSTITUTE(SUBSTITUTE(SUBSTITUTE(INDEX(貼り付け!$A$1:$BZ$3001,1981,$D$1)&amp;"",",",""),"¥",""),"￥","")),0))</f>
        <v/>
      </c>
      <c r="E1982">
        <f>IF($E$1=0,0,IFERROR(VALUE(SUBSTITUTE(SUBSTITUTE(SUBSTITUTE(INDEX(貼り付け!$A$1:$BZ$3001,1981,$E$1)&amp;"",",",""),"¥",""),"￥","")),0))</f>
        <v/>
      </c>
      <c r="F1982">
        <f>IF($F$1=0,0,IFERROR(VALUE(SUBSTITUTE(SUBSTITUTE(SUBSTITUTE(INDEX(貼り付け!$A$1:$BZ$3001,1981,$F$1)&amp;"",",",""),"¥",""),"￥","")),0))</f>
        <v/>
      </c>
      <c r="G1982">
        <f>IF(ISNUMBER(B1982),YEAR(B1982),"")</f>
        <v/>
      </c>
      <c r="H1982">
        <f>IF(ISNUMBER(B1982),MONTH(B1982),"")</f>
        <v/>
      </c>
      <c r="I1982">
        <f>IFERROR(IF($B$1=0,"",IF(ISNUMBER(INDEX(貼り付け!$A$1:$BZ$3001,1981,$B$1)),"",SUBSTITUTE(SUBSTITUTE(SUBSTITUTE(SUBSTITUTE(TRIM(LEFT(INDEX(貼り付け!$A$1:$BZ$3001,1981,$B$1)&amp;"",FIND(" ",TRIM(INDEX(貼り付け!$A$1:$BZ$3001,1981,$B$1)&amp;"")&amp;" ")-1)),"/","-"),"年","-"),"月","-"),"日",""))),"")</f>
        <v/>
      </c>
      <c r="J1982">
        <f>IFERROR(MID(I1982,FIND("-",I1982)+1,99),"")</f>
        <v/>
      </c>
    </row>
    <row r="1983">
      <c r="B1983">
        <f>IFERROR(IF($B$1=0,"",IF(INDEX(貼り付け!$A$1:$BZ$3001,1982,$B$1)="","",IF(ISNUMBER(INDEX(貼り付け!$A$1:$BZ$3001,1982,$B$1)),INT(INDEX(貼り付け!$A$1:$BZ$3001,1982,$B$1)),DATE(VALUE(LEFT(I1983,FIND("-",I1983)-1)),VALUE(LEFT(J1983,FIND("-",J1983)-1)),VALUE(MID(J1983,FIND("-",J1983)+1,99)))))),"")</f>
        <v/>
      </c>
      <c r="C1983">
        <f>IF($C$1=0,0,IFERROR(VALUE(SUBSTITUTE(SUBSTITUTE(SUBSTITUTE(INDEX(貼り付け!$A$1:$BZ$3001,1982,$C$1)&amp;"",",",""),"¥",""),"￥","")),0))</f>
        <v/>
      </c>
      <c r="D1983">
        <f>IF($D$1=0,0,IFERROR(VALUE(SUBSTITUTE(SUBSTITUTE(SUBSTITUTE(INDEX(貼り付け!$A$1:$BZ$3001,1982,$D$1)&amp;"",",",""),"¥",""),"￥","")),0))</f>
        <v/>
      </c>
      <c r="E1983">
        <f>IF($E$1=0,0,IFERROR(VALUE(SUBSTITUTE(SUBSTITUTE(SUBSTITUTE(INDEX(貼り付け!$A$1:$BZ$3001,1982,$E$1)&amp;"",",",""),"¥",""),"￥","")),0))</f>
        <v/>
      </c>
      <c r="F1983">
        <f>IF($F$1=0,0,IFERROR(VALUE(SUBSTITUTE(SUBSTITUTE(SUBSTITUTE(INDEX(貼り付け!$A$1:$BZ$3001,1982,$F$1)&amp;"",",",""),"¥",""),"￥","")),0))</f>
        <v/>
      </c>
      <c r="G1983">
        <f>IF(ISNUMBER(B1983),YEAR(B1983),"")</f>
        <v/>
      </c>
      <c r="H1983">
        <f>IF(ISNUMBER(B1983),MONTH(B1983),"")</f>
        <v/>
      </c>
      <c r="I1983">
        <f>IFERROR(IF($B$1=0,"",IF(ISNUMBER(INDEX(貼り付け!$A$1:$BZ$3001,1982,$B$1)),"",SUBSTITUTE(SUBSTITUTE(SUBSTITUTE(SUBSTITUTE(TRIM(LEFT(INDEX(貼り付け!$A$1:$BZ$3001,1982,$B$1)&amp;"",FIND(" ",TRIM(INDEX(貼り付け!$A$1:$BZ$3001,1982,$B$1)&amp;"")&amp;" ")-1)),"/","-"),"年","-"),"月","-"),"日",""))),"")</f>
        <v/>
      </c>
      <c r="J1983">
        <f>IFERROR(MID(I1983,FIND("-",I1983)+1,99),"")</f>
        <v/>
      </c>
    </row>
    <row r="1984">
      <c r="B1984">
        <f>IFERROR(IF($B$1=0,"",IF(INDEX(貼り付け!$A$1:$BZ$3001,1983,$B$1)="","",IF(ISNUMBER(INDEX(貼り付け!$A$1:$BZ$3001,1983,$B$1)),INT(INDEX(貼り付け!$A$1:$BZ$3001,1983,$B$1)),DATE(VALUE(LEFT(I1984,FIND("-",I1984)-1)),VALUE(LEFT(J1984,FIND("-",J1984)-1)),VALUE(MID(J1984,FIND("-",J1984)+1,99)))))),"")</f>
        <v/>
      </c>
      <c r="C1984">
        <f>IF($C$1=0,0,IFERROR(VALUE(SUBSTITUTE(SUBSTITUTE(SUBSTITUTE(INDEX(貼り付け!$A$1:$BZ$3001,1983,$C$1)&amp;"",",",""),"¥",""),"￥","")),0))</f>
        <v/>
      </c>
      <c r="D1984">
        <f>IF($D$1=0,0,IFERROR(VALUE(SUBSTITUTE(SUBSTITUTE(SUBSTITUTE(INDEX(貼り付け!$A$1:$BZ$3001,1983,$D$1)&amp;"",",",""),"¥",""),"￥","")),0))</f>
        <v/>
      </c>
      <c r="E1984">
        <f>IF($E$1=0,0,IFERROR(VALUE(SUBSTITUTE(SUBSTITUTE(SUBSTITUTE(INDEX(貼り付け!$A$1:$BZ$3001,1983,$E$1)&amp;"",",",""),"¥",""),"￥","")),0))</f>
        <v/>
      </c>
      <c r="F1984">
        <f>IF($F$1=0,0,IFERROR(VALUE(SUBSTITUTE(SUBSTITUTE(SUBSTITUTE(INDEX(貼り付け!$A$1:$BZ$3001,1983,$F$1)&amp;"",",",""),"¥",""),"￥","")),0))</f>
        <v/>
      </c>
      <c r="G1984">
        <f>IF(ISNUMBER(B1984),YEAR(B1984),"")</f>
        <v/>
      </c>
      <c r="H1984">
        <f>IF(ISNUMBER(B1984),MONTH(B1984),"")</f>
        <v/>
      </c>
      <c r="I1984">
        <f>IFERROR(IF($B$1=0,"",IF(ISNUMBER(INDEX(貼り付け!$A$1:$BZ$3001,1983,$B$1)),"",SUBSTITUTE(SUBSTITUTE(SUBSTITUTE(SUBSTITUTE(TRIM(LEFT(INDEX(貼り付け!$A$1:$BZ$3001,1983,$B$1)&amp;"",FIND(" ",TRIM(INDEX(貼り付け!$A$1:$BZ$3001,1983,$B$1)&amp;"")&amp;" ")-1)),"/","-"),"年","-"),"月","-"),"日",""))),"")</f>
        <v/>
      </c>
      <c r="J1984">
        <f>IFERROR(MID(I1984,FIND("-",I1984)+1,99),"")</f>
        <v/>
      </c>
    </row>
    <row r="1985">
      <c r="B1985">
        <f>IFERROR(IF($B$1=0,"",IF(INDEX(貼り付け!$A$1:$BZ$3001,1984,$B$1)="","",IF(ISNUMBER(INDEX(貼り付け!$A$1:$BZ$3001,1984,$B$1)),INT(INDEX(貼り付け!$A$1:$BZ$3001,1984,$B$1)),DATE(VALUE(LEFT(I1985,FIND("-",I1985)-1)),VALUE(LEFT(J1985,FIND("-",J1985)-1)),VALUE(MID(J1985,FIND("-",J1985)+1,99)))))),"")</f>
        <v/>
      </c>
      <c r="C1985">
        <f>IF($C$1=0,0,IFERROR(VALUE(SUBSTITUTE(SUBSTITUTE(SUBSTITUTE(INDEX(貼り付け!$A$1:$BZ$3001,1984,$C$1)&amp;"",",",""),"¥",""),"￥","")),0))</f>
        <v/>
      </c>
      <c r="D1985">
        <f>IF($D$1=0,0,IFERROR(VALUE(SUBSTITUTE(SUBSTITUTE(SUBSTITUTE(INDEX(貼り付け!$A$1:$BZ$3001,1984,$D$1)&amp;"",",",""),"¥",""),"￥","")),0))</f>
        <v/>
      </c>
      <c r="E1985">
        <f>IF($E$1=0,0,IFERROR(VALUE(SUBSTITUTE(SUBSTITUTE(SUBSTITUTE(INDEX(貼り付け!$A$1:$BZ$3001,1984,$E$1)&amp;"",",",""),"¥",""),"￥","")),0))</f>
        <v/>
      </c>
      <c r="F1985">
        <f>IF($F$1=0,0,IFERROR(VALUE(SUBSTITUTE(SUBSTITUTE(SUBSTITUTE(INDEX(貼り付け!$A$1:$BZ$3001,1984,$F$1)&amp;"",",",""),"¥",""),"￥","")),0))</f>
        <v/>
      </c>
      <c r="G1985">
        <f>IF(ISNUMBER(B1985),YEAR(B1985),"")</f>
        <v/>
      </c>
      <c r="H1985">
        <f>IF(ISNUMBER(B1985),MONTH(B1985),"")</f>
        <v/>
      </c>
      <c r="I1985">
        <f>IFERROR(IF($B$1=0,"",IF(ISNUMBER(INDEX(貼り付け!$A$1:$BZ$3001,1984,$B$1)),"",SUBSTITUTE(SUBSTITUTE(SUBSTITUTE(SUBSTITUTE(TRIM(LEFT(INDEX(貼り付け!$A$1:$BZ$3001,1984,$B$1)&amp;"",FIND(" ",TRIM(INDEX(貼り付け!$A$1:$BZ$3001,1984,$B$1)&amp;"")&amp;" ")-1)),"/","-"),"年","-"),"月","-"),"日",""))),"")</f>
        <v/>
      </c>
      <c r="J1985">
        <f>IFERROR(MID(I1985,FIND("-",I1985)+1,99),"")</f>
        <v/>
      </c>
    </row>
    <row r="1986">
      <c r="B1986">
        <f>IFERROR(IF($B$1=0,"",IF(INDEX(貼り付け!$A$1:$BZ$3001,1985,$B$1)="","",IF(ISNUMBER(INDEX(貼り付け!$A$1:$BZ$3001,1985,$B$1)),INT(INDEX(貼り付け!$A$1:$BZ$3001,1985,$B$1)),DATE(VALUE(LEFT(I1986,FIND("-",I1986)-1)),VALUE(LEFT(J1986,FIND("-",J1986)-1)),VALUE(MID(J1986,FIND("-",J1986)+1,99)))))),"")</f>
        <v/>
      </c>
      <c r="C1986">
        <f>IF($C$1=0,0,IFERROR(VALUE(SUBSTITUTE(SUBSTITUTE(SUBSTITUTE(INDEX(貼り付け!$A$1:$BZ$3001,1985,$C$1)&amp;"",",",""),"¥",""),"￥","")),0))</f>
        <v/>
      </c>
      <c r="D1986">
        <f>IF($D$1=0,0,IFERROR(VALUE(SUBSTITUTE(SUBSTITUTE(SUBSTITUTE(INDEX(貼り付け!$A$1:$BZ$3001,1985,$D$1)&amp;"",",",""),"¥",""),"￥","")),0))</f>
        <v/>
      </c>
      <c r="E1986">
        <f>IF($E$1=0,0,IFERROR(VALUE(SUBSTITUTE(SUBSTITUTE(SUBSTITUTE(INDEX(貼り付け!$A$1:$BZ$3001,1985,$E$1)&amp;"",",",""),"¥",""),"￥","")),0))</f>
        <v/>
      </c>
      <c r="F1986">
        <f>IF($F$1=0,0,IFERROR(VALUE(SUBSTITUTE(SUBSTITUTE(SUBSTITUTE(INDEX(貼り付け!$A$1:$BZ$3001,1985,$F$1)&amp;"",",",""),"¥",""),"￥","")),0))</f>
        <v/>
      </c>
      <c r="G1986">
        <f>IF(ISNUMBER(B1986),YEAR(B1986),"")</f>
        <v/>
      </c>
      <c r="H1986">
        <f>IF(ISNUMBER(B1986),MONTH(B1986),"")</f>
        <v/>
      </c>
      <c r="I1986">
        <f>IFERROR(IF($B$1=0,"",IF(ISNUMBER(INDEX(貼り付け!$A$1:$BZ$3001,1985,$B$1)),"",SUBSTITUTE(SUBSTITUTE(SUBSTITUTE(SUBSTITUTE(TRIM(LEFT(INDEX(貼り付け!$A$1:$BZ$3001,1985,$B$1)&amp;"",FIND(" ",TRIM(INDEX(貼り付け!$A$1:$BZ$3001,1985,$B$1)&amp;"")&amp;" ")-1)),"/","-"),"年","-"),"月","-"),"日",""))),"")</f>
        <v/>
      </c>
      <c r="J1986">
        <f>IFERROR(MID(I1986,FIND("-",I1986)+1,99),"")</f>
        <v/>
      </c>
    </row>
    <row r="1987">
      <c r="B1987">
        <f>IFERROR(IF($B$1=0,"",IF(INDEX(貼り付け!$A$1:$BZ$3001,1986,$B$1)="","",IF(ISNUMBER(INDEX(貼り付け!$A$1:$BZ$3001,1986,$B$1)),INT(INDEX(貼り付け!$A$1:$BZ$3001,1986,$B$1)),DATE(VALUE(LEFT(I1987,FIND("-",I1987)-1)),VALUE(LEFT(J1987,FIND("-",J1987)-1)),VALUE(MID(J1987,FIND("-",J1987)+1,99)))))),"")</f>
        <v/>
      </c>
      <c r="C1987">
        <f>IF($C$1=0,0,IFERROR(VALUE(SUBSTITUTE(SUBSTITUTE(SUBSTITUTE(INDEX(貼り付け!$A$1:$BZ$3001,1986,$C$1)&amp;"",",",""),"¥",""),"￥","")),0))</f>
        <v/>
      </c>
      <c r="D1987">
        <f>IF($D$1=0,0,IFERROR(VALUE(SUBSTITUTE(SUBSTITUTE(SUBSTITUTE(INDEX(貼り付け!$A$1:$BZ$3001,1986,$D$1)&amp;"",",",""),"¥",""),"￥","")),0))</f>
        <v/>
      </c>
      <c r="E1987">
        <f>IF($E$1=0,0,IFERROR(VALUE(SUBSTITUTE(SUBSTITUTE(SUBSTITUTE(INDEX(貼り付け!$A$1:$BZ$3001,1986,$E$1)&amp;"",",",""),"¥",""),"￥","")),0))</f>
        <v/>
      </c>
      <c r="F1987">
        <f>IF($F$1=0,0,IFERROR(VALUE(SUBSTITUTE(SUBSTITUTE(SUBSTITUTE(INDEX(貼り付け!$A$1:$BZ$3001,1986,$F$1)&amp;"",",",""),"¥",""),"￥","")),0))</f>
        <v/>
      </c>
      <c r="G1987">
        <f>IF(ISNUMBER(B1987),YEAR(B1987),"")</f>
        <v/>
      </c>
      <c r="H1987">
        <f>IF(ISNUMBER(B1987),MONTH(B1987),"")</f>
        <v/>
      </c>
      <c r="I1987">
        <f>IFERROR(IF($B$1=0,"",IF(ISNUMBER(INDEX(貼り付け!$A$1:$BZ$3001,1986,$B$1)),"",SUBSTITUTE(SUBSTITUTE(SUBSTITUTE(SUBSTITUTE(TRIM(LEFT(INDEX(貼り付け!$A$1:$BZ$3001,1986,$B$1)&amp;"",FIND(" ",TRIM(INDEX(貼り付け!$A$1:$BZ$3001,1986,$B$1)&amp;"")&amp;" ")-1)),"/","-"),"年","-"),"月","-"),"日",""))),"")</f>
        <v/>
      </c>
      <c r="J1987">
        <f>IFERROR(MID(I1987,FIND("-",I1987)+1,99),"")</f>
        <v/>
      </c>
    </row>
    <row r="1988">
      <c r="B1988">
        <f>IFERROR(IF($B$1=0,"",IF(INDEX(貼り付け!$A$1:$BZ$3001,1987,$B$1)="","",IF(ISNUMBER(INDEX(貼り付け!$A$1:$BZ$3001,1987,$B$1)),INT(INDEX(貼り付け!$A$1:$BZ$3001,1987,$B$1)),DATE(VALUE(LEFT(I1988,FIND("-",I1988)-1)),VALUE(LEFT(J1988,FIND("-",J1988)-1)),VALUE(MID(J1988,FIND("-",J1988)+1,99)))))),"")</f>
        <v/>
      </c>
      <c r="C1988">
        <f>IF($C$1=0,0,IFERROR(VALUE(SUBSTITUTE(SUBSTITUTE(SUBSTITUTE(INDEX(貼り付け!$A$1:$BZ$3001,1987,$C$1)&amp;"",",",""),"¥",""),"￥","")),0))</f>
        <v/>
      </c>
      <c r="D1988">
        <f>IF($D$1=0,0,IFERROR(VALUE(SUBSTITUTE(SUBSTITUTE(SUBSTITUTE(INDEX(貼り付け!$A$1:$BZ$3001,1987,$D$1)&amp;"",",",""),"¥",""),"￥","")),0))</f>
        <v/>
      </c>
      <c r="E1988">
        <f>IF($E$1=0,0,IFERROR(VALUE(SUBSTITUTE(SUBSTITUTE(SUBSTITUTE(INDEX(貼り付け!$A$1:$BZ$3001,1987,$E$1)&amp;"",",",""),"¥",""),"￥","")),0))</f>
        <v/>
      </c>
      <c r="F1988">
        <f>IF($F$1=0,0,IFERROR(VALUE(SUBSTITUTE(SUBSTITUTE(SUBSTITUTE(INDEX(貼り付け!$A$1:$BZ$3001,1987,$F$1)&amp;"",",",""),"¥",""),"￥","")),0))</f>
        <v/>
      </c>
      <c r="G1988">
        <f>IF(ISNUMBER(B1988),YEAR(B1988),"")</f>
        <v/>
      </c>
      <c r="H1988">
        <f>IF(ISNUMBER(B1988),MONTH(B1988),"")</f>
        <v/>
      </c>
      <c r="I1988">
        <f>IFERROR(IF($B$1=0,"",IF(ISNUMBER(INDEX(貼り付け!$A$1:$BZ$3001,1987,$B$1)),"",SUBSTITUTE(SUBSTITUTE(SUBSTITUTE(SUBSTITUTE(TRIM(LEFT(INDEX(貼り付け!$A$1:$BZ$3001,1987,$B$1)&amp;"",FIND(" ",TRIM(INDEX(貼り付け!$A$1:$BZ$3001,1987,$B$1)&amp;"")&amp;" ")-1)),"/","-"),"年","-"),"月","-"),"日",""))),"")</f>
        <v/>
      </c>
      <c r="J1988">
        <f>IFERROR(MID(I1988,FIND("-",I1988)+1,99),"")</f>
        <v/>
      </c>
    </row>
    <row r="1989">
      <c r="B1989">
        <f>IFERROR(IF($B$1=0,"",IF(INDEX(貼り付け!$A$1:$BZ$3001,1988,$B$1)="","",IF(ISNUMBER(INDEX(貼り付け!$A$1:$BZ$3001,1988,$B$1)),INT(INDEX(貼り付け!$A$1:$BZ$3001,1988,$B$1)),DATE(VALUE(LEFT(I1989,FIND("-",I1989)-1)),VALUE(LEFT(J1989,FIND("-",J1989)-1)),VALUE(MID(J1989,FIND("-",J1989)+1,99)))))),"")</f>
        <v/>
      </c>
      <c r="C1989">
        <f>IF($C$1=0,0,IFERROR(VALUE(SUBSTITUTE(SUBSTITUTE(SUBSTITUTE(INDEX(貼り付け!$A$1:$BZ$3001,1988,$C$1)&amp;"",",",""),"¥",""),"￥","")),0))</f>
        <v/>
      </c>
      <c r="D1989">
        <f>IF($D$1=0,0,IFERROR(VALUE(SUBSTITUTE(SUBSTITUTE(SUBSTITUTE(INDEX(貼り付け!$A$1:$BZ$3001,1988,$D$1)&amp;"",",",""),"¥",""),"￥","")),0))</f>
        <v/>
      </c>
      <c r="E1989">
        <f>IF($E$1=0,0,IFERROR(VALUE(SUBSTITUTE(SUBSTITUTE(SUBSTITUTE(INDEX(貼り付け!$A$1:$BZ$3001,1988,$E$1)&amp;"",",",""),"¥",""),"￥","")),0))</f>
        <v/>
      </c>
      <c r="F1989">
        <f>IF($F$1=0,0,IFERROR(VALUE(SUBSTITUTE(SUBSTITUTE(SUBSTITUTE(INDEX(貼り付け!$A$1:$BZ$3001,1988,$F$1)&amp;"",",",""),"¥",""),"￥","")),0))</f>
        <v/>
      </c>
      <c r="G1989">
        <f>IF(ISNUMBER(B1989),YEAR(B1989),"")</f>
        <v/>
      </c>
      <c r="H1989">
        <f>IF(ISNUMBER(B1989),MONTH(B1989),"")</f>
        <v/>
      </c>
      <c r="I1989">
        <f>IFERROR(IF($B$1=0,"",IF(ISNUMBER(INDEX(貼り付け!$A$1:$BZ$3001,1988,$B$1)),"",SUBSTITUTE(SUBSTITUTE(SUBSTITUTE(SUBSTITUTE(TRIM(LEFT(INDEX(貼り付け!$A$1:$BZ$3001,1988,$B$1)&amp;"",FIND(" ",TRIM(INDEX(貼り付け!$A$1:$BZ$3001,1988,$B$1)&amp;"")&amp;" ")-1)),"/","-"),"年","-"),"月","-"),"日",""))),"")</f>
        <v/>
      </c>
      <c r="J1989">
        <f>IFERROR(MID(I1989,FIND("-",I1989)+1,99),"")</f>
        <v/>
      </c>
    </row>
    <row r="1990">
      <c r="B1990">
        <f>IFERROR(IF($B$1=0,"",IF(INDEX(貼り付け!$A$1:$BZ$3001,1989,$B$1)="","",IF(ISNUMBER(INDEX(貼り付け!$A$1:$BZ$3001,1989,$B$1)),INT(INDEX(貼り付け!$A$1:$BZ$3001,1989,$B$1)),DATE(VALUE(LEFT(I1990,FIND("-",I1990)-1)),VALUE(LEFT(J1990,FIND("-",J1990)-1)),VALUE(MID(J1990,FIND("-",J1990)+1,99)))))),"")</f>
        <v/>
      </c>
      <c r="C1990">
        <f>IF($C$1=0,0,IFERROR(VALUE(SUBSTITUTE(SUBSTITUTE(SUBSTITUTE(INDEX(貼り付け!$A$1:$BZ$3001,1989,$C$1)&amp;"",",",""),"¥",""),"￥","")),0))</f>
        <v/>
      </c>
      <c r="D1990">
        <f>IF($D$1=0,0,IFERROR(VALUE(SUBSTITUTE(SUBSTITUTE(SUBSTITUTE(INDEX(貼り付け!$A$1:$BZ$3001,1989,$D$1)&amp;"",",",""),"¥",""),"￥","")),0))</f>
        <v/>
      </c>
      <c r="E1990">
        <f>IF($E$1=0,0,IFERROR(VALUE(SUBSTITUTE(SUBSTITUTE(SUBSTITUTE(INDEX(貼り付け!$A$1:$BZ$3001,1989,$E$1)&amp;"",",",""),"¥",""),"￥","")),0))</f>
        <v/>
      </c>
      <c r="F1990">
        <f>IF($F$1=0,0,IFERROR(VALUE(SUBSTITUTE(SUBSTITUTE(SUBSTITUTE(INDEX(貼り付け!$A$1:$BZ$3001,1989,$F$1)&amp;"",",",""),"¥",""),"￥","")),0))</f>
        <v/>
      </c>
      <c r="G1990">
        <f>IF(ISNUMBER(B1990),YEAR(B1990),"")</f>
        <v/>
      </c>
      <c r="H1990">
        <f>IF(ISNUMBER(B1990),MONTH(B1990),"")</f>
        <v/>
      </c>
      <c r="I1990">
        <f>IFERROR(IF($B$1=0,"",IF(ISNUMBER(INDEX(貼り付け!$A$1:$BZ$3001,1989,$B$1)),"",SUBSTITUTE(SUBSTITUTE(SUBSTITUTE(SUBSTITUTE(TRIM(LEFT(INDEX(貼り付け!$A$1:$BZ$3001,1989,$B$1)&amp;"",FIND(" ",TRIM(INDEX(貼り付け!$A$1:$BZ$3001,1989,$B$1)&amp;"")&amp;" ")-1)),"/","-"),"年","-"),"月","-"),"日",""))),"")</f>
        <v/>
      </c>
      <c r="J1990">
        <f>IFERROR(MID(I1990,FIND("-",I1990)+1,99),"")</f>
        <v/>
      </c>
    </row>
    <row r="1991">
      <c r="B1991">
        <f>IFERROR(IF($B$1=0,"",IF(INDEX(貼り付け!$A$1:$BZ$3001,1990,$B$1)="","",IF(ISNUMBER(INDEX(貼り付け!$A$1:$BZ$3001,1990,$B$1)),INT(INDEX(貼り付け!$A$1:$BZ$3001,1990,$B$1)),DATE(VALUE(LEFT(I1991,FIND("-",I1991)-1)),VALUE(LEFT(J1991,FIND("-",J1991)-1)),VALUE(MID(J1991,FIND("-",J1991)+1,99)))))),"")</f>
        <v/>
      </c>
      <c r="C1991">
        <f>IF($C$1=0,0,IFERROR(VALUE(SUBSTITUTE(SUBSTITUTE(SUBSTITUTE(INDEX(貼り付け!$A$1:$BZ$3001,1990,$C$1)&amp;"",",",""),"¥",""),"￥","")),0))</f>
        <v/>
      </c>
      <c r="D1991">
        <f>IF($D$1=0,0,IFERROR(VALUE(SUBSTITUTE(SUBSTITUTE(SUBSTITUTE(INDEX(貼り付け!$A$1:$BZ$3001,1990,$D$1)&amp;"",",",""),"¥",""),"￥","")),0))</f>
        <v/>
      </c>
      <c r="E1991">
        <f>IF($E$1=0,0,IFERROR(VALUE(SUBSTITUTE(SUBSTITUTE(SUBSTITUTE(INDEX(貼り付け!$A$1:$BZ$3001,1990,$E$1)&amp;"",",",""),"¥",""),"￥","")),0))</f>
        <v/>
      </c>
      <c r="F1991">
        <f>IF($F$1=0,0,IFERROR(VALUE(SUBSTITUTE(SUBSTITUTE(SUBSTITUTE(INDEX(貼り付け!$A$1:$BZ$3001,1990,$F$1)&amp;"",",",""),"¥",""),"￥","")),0))</f>
        <v/>
      </c>
      <c r="G1991">
        <f>IF(ISNUMBER(B1991),YEAR(B1991),"")</f>
        <v/>
      </c>
      <c r="H1991">
        <f>IF(ISNUMBER(B1991),MONTH(B1991),"")</f>
        <v/>
      </c>
      <c r="I1991">
        <f>IFERROR(IF($B$1=0,"",IF(ISNUMBER(INDEX(貼り付け!$A$1:$BZ$3001,1990,$B$1)),"",SUBSTITUTE(SUBSTITUTE(SUBSTITUTE(SUBSTITUTE(TRIM(LEFT(INDEX(貼り付け!$A$1:$BZ$3001,1990,$B$1)&amp;"",FIND(" ",TRIM(INDEX(貼り付け!$A$1:$BZ$3001,1990,$B$1)&amp;"")&amp;" ")-1)),"/","-"),"年","-"),"月","-"),"日",""))),"")</f>
        <v/>
      </c>
      <c r="J1991">
        <f>IFERROR(MID(I1991,FIND("-",I1991)+1,99),"")</f>
        <v/>
      </c>
    </row>
    <row r="1992">
      <c r="B1992">
        <f>IFERROR(IF($B$1=0,"",IF(INDEX(貼り付け!$A$1:$BZ$3001,1991,$B$1)="","",IF(ISNUMBER(INDEX(貼り付け!$A$1:$BZ$3001,1991,$B$1)),INT(INDEX(貼り付け!$A$1:$BZ$3001,1991,$B$1)),DATE(VALUE(LEFT(I1992,FIND("-",I1992)-1)),VALUE(LEFT(J1992,FIND("-",J1992)-1)),VALUE(MID(J1992,FIND("-",J1992)+1,99)))))),"")</f>
        <v/>
      </c>
      <c r="C1992">
        <f>IF($C$1=0,0,IFERROR(VALUE(SUBSTITUTE(SUBSTITUTE(SUBSTITUTE(INDEX(貼り付け!$A$1:$BZ$3001,1991,$C$1)&amp;"",",",""),"¥",""),"￥","")),0))</f>
        <v/>
      </c>
      <c r="D1992">
        <f>IF($D$1=0,0,IFERROR(VALUE(SUBSTITUTE(SUBSTITUTE(SUBSTITUTE(INDEX(貼り付け!$A$1:$BZ$3001,1991,$D$1)&amp;"",",",""),"¥",""),"￥","")),0))</f>
        <v/>
      </c>
      <c r="E1992">
        <f>IF($E$1=0,0,IFERROR(VALUE(SUBSTITUTE(SUBSTITUTE(SUBSTITUTE(INDEX(貼り付け!$A$1:$BZ$3001,1991,$E$1)&amp;"",",",""),"¥",""),"￥","")),0))</f>
        <v/>
      </c>
      <c r="F1992">
        <f>IF($F$1=0,0,IFERROR(VALUE(SUBSTITUTE(SUBSTITUTE(SUBSTITUTE(INDEX(貼り付け!$A$1:$BZ$3001,1991,$F$1)&amp;"",",",""),"¥",""),"￥","")),0))</f>
        <v/>
      </c>
      <c r="G1992">
        <f>IF(ISNUMBER(B1992),YEAR(B1992),"")</f>
        <v/>
      </c>
      <c r="H1992">
        <f>IF(ISNUMBER(B1992),MONTH(B1992),"")</f>
        <v/>
      </c>
      <c r="I1992">
        <f>IFERROR(IF($B$1=0,"",IF(ISNUMBER(INDEX(貼り付け!$A$1:$BZ$3001,1991,$B$1)),"",SUBSTITUTE(SUBSTITUTE(SUBSTITUTE(SUBSTITUTE(TRIM(LEFT(INDEX(貼り付け!$A$1:$BZ$3001,1991,$B$1)&amp;"",FIND(" ",TRIM(INDEX(貼り付け!$A$1:$BZ$3001,1991,$B$1)&amp;"")&amp;" ")-1)),"/","-"),"年","-"),"月","-"),"日",""))),"")</f>
        <v/>
      </c>
      <c r="J1992">
        <f>IFERROR(MID(I1992,FIND("-",I1992)+1,99),"")</f>
        <v/>
      </c>
    </row>
    <row r="1993">
      <c r="B1993">
        <f>IFERROR(IF($B$1=0,"",IF(INDEX(貼り付け!$A$1:$BZ$3001,1992,$B$1)="","",IF(ISNUMBER(INDEX(貼り付け!$A$1:$BZ$3001,1992,$B$1)),INT(INDEX(貼り付け!$A$1:$BZ$3001,1992,$B$1)),DATE(VALUE(LEFT(I1993,FIND("-",I1993)-1)),VALUE(LEFT(J1993,FIND("-",J1993)-1)),VALUE(MID(J1993,FIND("-",J1993)+1,99)))))),"")</f>
        <v/>
      </c>
      <c r="C1993">
        <f>IF($C$1=0,0,IFERROR(VALUE(SUBSTITUTE(SUBSTITUTE(SUBSTITUTE(INDEX(貼り付け!$A$1:$BZ$3001,1992,$C$1)&amp;"",",",""),"¥",""),"￥","")),0))</f>
        <v/>
      </c>
      <c r="D1993">
        <f>IF($D$1=0,0,IFERROR(VALUE(SUBSTITUTE(SUBSTITUTE(SUBSTITUTE(INDEX(貼り付け!$A$1:$BZ$3001,1992,$D$1)&amp;"",",",""),"¥",""),"￥","")),0))</f>
        <v/>
      </c>
      <c r="E1993">
        <f>IF($E$1=0,0,IFERROR(VALUE(SUBSTITUTE(SUBSTITUTE(SUBSTITUTE(INDEX(貼り付け!$A$1:$BZ$3001,1992,$E$1)&amp;"",",",""),"¥",""),"￥","")),0))</f>
        <v/>
      </c>
      <c r="F1993">
        <f>IF($F$1=0,0,IFERROR(VALUE(SUBSTITUTE(SUBSTITUTE(SUBSTITUTE(INDEX(貼り付け!$A$1:$BZ$3001,1992,$F$1)&amp;"",",",""),"¥",""),"￥","")),0))</f>
        <v/>
      </c>
      <c r="G1993">
        <f>IF(ISNUMBER(B1993),YEAR(B1993),"")</f>
        <v/>
      </c>
      <c r="H1993">
        <f>IF(ISNUMBER(B1993),MONTH(B1993),"")</f>
        <v/>
      </c>
      <c r="I1993">
        <f>IFERROR(IF($B$1=0,"",IF(ISNUMBER(INDEX(貼り付け!$A$1:$BZ$3001,1992,$B$1)),"",SUBSTITUTE(SUBSTITUTE(SUBSTITUTE(SUBSTITUTE(TRIM(LEFT(INDEX(貼り付け!$A$1:$BZ$3001,1992,$B$1)&amp;"",FIND(" ",TRIM(INDEX(貼り付け!$A$1:$BZ$3001,1992,$B$1)&amp;"")&amp;" ")-1)),"/","-"),"年","-"),"月","-"),"日",""))),"")</f>
        <v/>
      </c>
      <c r="J1993">
        <f>IFERROR(MID(I1993,FIND("-",I1993)+1,99),"")</f>
        <v/>
      </c>
    </row>
    <row r="1994">
      <c r="B1994">
        <f>IFERROR(IF($B$1=0,"",IF(INDEX(貼り付け!$A$1:$BZ$3001,1993,$B$1)="","",IF(ISNUMBER(INDEX(貼り付け!$A$1:$BZ$3001,1993,$B$1)),INT(INDEX(貼り付け!$A$1:$BZ$3001,1993,$B$1)),DATE(VALUE(LEFT(I1994,FIND("-",I1994)-1)),VALUE(LEFT(J1994,FIND("-",J1994)-1)),VALUE(MID(J1994,FIND("-",J1994)+1,99)))))),"")</f>
        <v/>
      </c>
      <c r="C1994">
        <f>IF($C$1=0,0,IFERROR(VALUE(SUBSTITUTE(SUBSTITUTE(SUBSTITUTE(INDEX(貼り付け!$A$1:$BZ$3001,1993,$C$1)&amp;"",",",""),"¥",""),"￥","")),0))</f>
        <v/>
      </c>
      <c r="D1994">
        <f>IF($D$1=0,0,IFERROR(VALUE(SUBSTITUTE(SUBSTITUTE(SUBSTITUTE(INDEX(貼り付け!$A$1:$BZ$3001,1993,$D$1)&amp;"",",",""),"¥",""),"￥","")),0))</f>
        <v/>
      </c>
      <c r="E1994">
        <f>IF($E$1=0,0,IFERROR(VALUE(SUBSTITUTE(SUBSTITUTE(SUBSTITUTE(INDEX(貼り付け!$A$1:$BZ$3001,1993,$E$1)&amp;"",",",""),"¥",""),"￥","")),0))</f>
        <v/>
      </c>
      <c r="F1994">
        <f>IF($F$1=0,0,IFERROR(VALUE(SUBSTITUTE(SUBSTITUTE(SUBSTITUTE(INDEX(貼り付け!$A$1:$BZ$3001,1993,$F$1)&amp;"",",",""),"¥",""),"￥","")),0))</f>
        <v/>
      </c>
      <c r="G1994">
        <f>IF(ISNUMBER(B1994),YEAR(B1994),"")</f>
        <v/>
      </c>
      <c r="H1994">
        <f>IF(ISNUMBER(B1994),MONTH(B1994),"")</f>
        <v/>
      </c>
      <c r="I1994">
        <f>IFERROR(IF($B$1=0,"",IF(ISNUMBER(INDEX(貼り付け!$A$1:$BZ$3001,1993,$B$1)),"",SUBSTITUTE(SUBSTITUTE(SUBSTITUTE(SUBSTITUTE(TRIM(LEFT(INDEX(貼り付け!$A$1:$BZ$3001,1993,$B$1)&amp;"",FIND(" ",TRIM(INDEX(貼り付け!$A$1:$BZ$3001,1993,$B$1)&amp;"")&amp;" ")-1)),"/","-"),"年","-"),"月","-"),"日",""))),"")</f>
        <v/>
      </c>
      <c r="J1994">
        <f>IFERROR(MID(I1994,FIND("-",I1994)+1,99),"")</f>
        <v/>
      </c>
    </row>
    <row r="1995">
      <c r="B1995">
        <f>IFERROR(IF($B$1=0,"",IF(INDEX(貼り付け!$A$1:$BZ$3001,1994,$B$1)="","",IF(ISNUMBER(INDEX(貼り付け!$A$1:$BZ$3001,1994,$B$1)),INT(INDEX(貼り付け!$A$1:$BZ$3001,1994,$B$1)),DATE(VALUE(LEFT(I1995,FIND("-",I1995)-1)),VALUE(LEFT(J1995,FIND("-",J1995)-1)),VALUE(MID(J1995,FIND("-",J1995)+1,99)))))),"")</f>
        <v/>
      </c>
      <c r="C1995">
        <f>IF($C$1=0,0,IFERROR(VALUE(SUBSTITUTE(SUBSTITUTE(SUBSTITUTE(INDEX(貼り付け!$A$1:$BZ$3001,1994,$C$1)&amp;"",",",""),"¥",""),"￥","")),0))</f>
        <v/>
      </c>
      <c r="D1995">
        <f>IF($D$1=0,0,IFERROR(VALUE(SUBSTITUTE(SUBSTITUTE(SUBSTITUTE(INDEX(貼り付け!$A$1:$BZ$3001,1994,$D$1)&amp;"",",",""),"¥",""),"￥","")),0))</f>
        <v/>
      </c>
      <c r="E1995">
        <f>IF($E$1=0,0,IFERROR(VALUE(SUBSTITUTE(SUBSTITUTE(SUBSTITUTE(INDEX(貼り付け!$A$1:$BZ$3001,1994,$E$1)&amp;"",",",""),"¥",""),"￥","")),0))</f>
        <v/>
      </c>
      <c r="F1995">
        <f>IF($F$1=0,0,IFERROR(VALUE(SUBSTITUTE(SUBSTITUTE(SUBSTITUTE(INDEX(貼り付け!$A$1:$BZ$3001,1994,$F$1)&amp;"",",",""),"¥",""),"￥","")),0))</f>
        <v/>
      </c>
      <c r="G1995">
        <f>IF(ISNUMBER(B1995),YEAR(B1995),"")</f>
        <v/>
      </c>
      <c r="H1995">
        <f>IF(ISNUMBER(B1995),MONTH(B1995),"")</f>
        <v/>
      </c>
      <c r="I1995">
        <f>IFERROR(IF($B$1=0,"",IF(ISNUMBER(INDEX(貼り付け!$A$1:$BZ$3001,1994,$B$1)),"",SUBSTITUTE(SUBSTITUTE(SUBSTITUTE(SUBSTITUTE(TRIM(LEFT(INDEX(貼り付け!$A$1:$BZ$3001,1994,$B$1)&amp;"",FIND(" ",TRIM(INDEX(貼り付け!$A$1:$BZ$3001,1994,$B$1)&amp;"")&amp;" ")-1)),"/","-"),"年","-"),"月","-"),"日",""))),"")</f>
        <v/>
      </c>
      <c r="J1995">
        <f>IFERROR(MID(I1995,FIND("-",I1995)+1,99),"")</f>
        <v/>
      </c>
    </row>
    <row r="1996">
      <c r="B1996">
        <f>IFERROR(IF($B$1=0,"",IF(INDEX(貼り付け!$A$1:$BZ$3001,1995,$B$1)="","",IF(ISNUMBER(INDEX(貼り付け!$A$1:$BZ$3001,1995,$B$1)),INT(INDEX(貼り付け!$A$1:$BZ$3001,1995,$B$1)),DATE(VALUE(LEFT(I1996,FIND("-",I1996)-1)),VALUE(LEFT(J1996,FIND("-",J1996)-1)),VALUE(MID(J1996,FIND("-",J1996)+1,99)))))),"")</f>
        <v/>
      </c>
      <c r="C1996">
        <f>IF($C$1=0,0,IFERROR(VALUE(SUBSTITUTE(SUBSTITUTE(SUBSTITUTE(INDEX(貼り付け!$A$1:$BZ$3001,1995,$C$1)&amp;"",",",""),"¥",""),"￥","")),0))</f>
        <v/>
      </c>
      <c r="D1996">
        <f>IF($D$1=0,0,IFERROR(VALUE(SUBSTITUTE(SUBSTITUTE(SUBSTITUTE(INDEX(貼り付け!$A$1:$BZ$3001,1995,$D$1)&amp;"",",",""),"¥",""),"￥","")),0))</f>
        <v/>
      </c>
      <c r="E1996">
        <f>IF($E$1=0,0,IFERROR(VALUE(SUBSTITUTE(SUBSTITUTE(SUBSTITUTE(INDEX(貼り付け!$A$1:$BZ$3001,1995,$E$1)&amp;"",",",""),"¥",""),"￥","")),0))</f>
        <v/>
      </c>
      <c r="F1996">
        <f>IF($F$1=0,0,IFERROR(VALUE(SUBSTITUTE(SUBSTITUTE(SUBSTITUTE(INDEX(貼り付け!$A$1:$BZ$3001,1995,$F$1)&amp;"",",",""),"¥",""),"￥","")),0))</f>
        <v/>
      </c>
      <c r="G1996">
        <f>IF(ISNUMBER(B1996),YEAR(B1996),"")</f>
        <v/>
      </c>
      <c r="H1996">
        <f>IF(ISNUMBER(B1996),MONTH(B1996),"")</f>
        <v/>
      </c>
      <c r="I1996">
        <f>IFERROR(IF($B$1=0,"",IF(ISNUMBER(INDEX(貼り付け!$A$1:$BZ$3001,1995,$B$1)),"",SUBSTITUTE(SUBSTITUTE(SUBSTITUTE(SUBSTITUTE(TRIM(LEFT(INDEX(貼り付け!$A$1:$BZ$3001,1995,$B$1)&amp;"",FIND(" ",TRIM(INDEX(貼り付け!$A$1:$BZ$3001,1995,$B$1)&amp;"")&amp;" ")-1)),"/","-"),"年","-"),"月","-"),"日",""))),"")</f>
        <v/>
      </c>
      <c r="J1996">
        <f>IFERROR(MID(I1996,FIND("-",I1996)+1,99),"")</f>
        <v/>
      </c>
    </row>
    <row r="1997">
      <c r="B1997">
        <f>IFERROR(IF($B$1=0,"",IF(INDEX(貼り付け!$A$1:$BZ$3001,1996,$B$1)="","",IF(ISNUMBER(INDEX(貼り付け!$A$1:$BZ$3001,1996,$B$1)),INT(INDEX(貼り付け!$A$1:$BZ$3001,1996,$B$1)),DATE(VALUE(LEFT(I1997,FIND("-",I1997)-1)),VALUE(LEFT(J1997,FIND("-",J1997)-1)),VALUE(MID(J1997,FIND("-",J1997)+1,99)))))),"")</f>
        <v/>
      </c>
      <c r="C1997">
        <f>IF($C$1=0,0,IFERROR(VALUE(SUBSTITUTE(SUBSTITUTE(SUBSTITUTE(INDEX(貼り付け!$A$1:$BZ$3001,1996,$C$1)&amp;"",",",""),"¥",""),"￥","")),0))</f>
        <v/>
      </c>
      <c r="D1997">
        <f>IF($D$1=0,0,IFERROR(VALUE(SUBSTITUTE(SUBSTITUTE(SUBSTITUTE(INDEX(貼り付け!$A$1:$BZ$3001,1996,$D$1)&amp;"",",",""),"¥",""),"￥","")),0))</f>
        <v/>
      </c>
      <c r="E1997">
        <f>IF($E$1=0,0,IFERROR(VALUE(SUBSTITUTE(SUBSTITUTE(SUBSTITUTE(INDEX(貼り付け!$A$1:$BZ$3001,1996,$E$1)&amp;"",",",""),"¥",""),"￥","")),0))</f>
        <v/>
      </c>
      <c r="F1997">
        <f>IF($F$1=0,0,IFERROR(VALUE(SUBSTITUTE(SUBSTITUTE(SUBSTITUTE(INDEX(貼り付け!$A$1:$BZ$3001,1996,$F$1)&amp;"",",",""),"¥",""),"￥","")),0))</f>
        <v/>
      </c>
      <c r="G1997">
        <f>IF(ISNUMBER(B1997),YEAR(B1997),"")</f>
        <v/>
      </c>
      <c r="H1997">
        <f>IF(ISNUMBER(B1997),MONTH(B1997),"")</f>
        <v/>
      </c>
      <c r="I1997">
        <f>IFERROR(IF($B$1=0,"",IF(ISNUMBER(INDEX(貼り付け!$A$1:$BZ$3001,1996,$B$1)),"",SUBSTITUTE(SUBSTITUTE(SUBSTITUTE(SUBSTITUTE(TRIM(LEFT(INDEX(貼り付け!$A$1:$BZ$3001,1996,$B$1)&amp;"",FIND(" ",TRIM(INDEX(貼り付け!$A$1:$BZ$3001,1996,$B$1)&amp;"")&amp;" ")-1)),"/","-"),"年","-"),"月","-"),"日",""))),"")</f>
        <v/>
      </c>
      <c r="J1997">
        <f>IFERROR(MID(I1997,FIND("-",I1997)+1,99),"")</f>
        <v/>
      </c>
    </row>
    <row r="1998">
      <c r="B1998">
        <f>IFERROR(IF($B$1=0,"",IF(INDEX(貼り付け!$A$1:$BZ$3001,1997,$B$1)="","",IF(ISNUMBER(INDEX(貼り付け!$A$1:$BZ$3001,1997,$B$1)),INT(INDEX(貼り付け!$A$1:$BZ$3001,1997,$B$1)),DATE(VALUE(LEFT(I1998,FIND("-",I1998)-1)),VALUE(LEFT(J1998,FIND("-",J1998)-1)),VALUE(MID(J1998,FIND("-",J1998)+1,99)))))),"")</f>
        <v/>
      </c>
      <c r="C1998">
        <f>IF($C$1=0,0,IFERROR(VALUE(SUBSTITUTE(SUBSTITUTE(SUBSTITUTE(INDEX(貼り付け!$A$1:$BZ$3001,1997,$C$1)&amp;"",",",""),"¥",""),"￥","")),0))</f>
        <v/>
      </c>
      <c r="D1998">
        <f>IF($D$1=0,0,IFERROR(VALUE(SUBSTITUTE(SUBSTITUTE(SUBSTITUTE(INDEX(貼り付け!$A$1:$BZ$3001,1997,$D$1)&amp;"",",",""),"¥",""),"￥","")),0))</f>
        <v/>
      </c>
      <c r="E1998">
        <f>IF($E$1=0,0,IFERROR(VALUE(SUBSTITUTE(SUBSTITUTE(SUBSTITUTE(INDEX(貼り付け!$A$1:$BZ$3001,1997,$E$1)&amp;"",",",""),"¥",""),"￥","")),0))</f>
        <v/>
      </c>
      <c r="F1998">
        <f>IF($F$1=0,0,IFERROR(VALUE(SUBSTITUTE(SUBSTITUTE(SUBSTITUTE(INDEX(貼り付け!$A$1:$BZ$3001,1997,$F$1)&amp;"",",",""),"¥",""),"￥","")),0))</f>
        <v/>
      </c>
      <c r="G1998">
        <f>IF(ISNUMBER(B1998),YEAR(B1998),"")</f>
        <v/>
      </c>
      <c r="H1998">
        <f>IF(ISNUMBER(B1998),MONTH(B1998),"")</f>
        <v/>
      </c>
      <c r="I1998">
        <f>IFERROR(IF($B$1=0,"",IF(ISNUMBER(INDEX(貼り付け!$A$1:$BZ$3001,1997,$B$1)),"",SUBSTITUTE(SUBSTITUTE(SUBSTITUTE(SUBSTITUTE(TRIM(LEFT(INDEX(貼り付け!$A$1:$BZ$3001,1997,$B$1)&amp;"",FIND(" ",TRIM(INDEX(貼り付け!$A$1:$BZ$3001,1997,$B$1)&amp;"")&amp;" ")-1)),"/","-"),"年","-"),"月","-"),"日",""))),"")</f>
        <v/>
      </c>
      <c r="J1998">
        <f>IFERROR(MID(I1998,FIND("-",I1998)+1,99),"")</f>
        <v/>
      </c>
    </row>
    <row r="1999">
      <c r="B1999">
        <f>IFERROR(IF($B$1=0,"",IF(INDEX(貼り付け!$A$1:$BZ$3001,1998,$B$1)="","",IF(ISNUMBER(INDEX(貼り付け!$A$1:$BZ$3001,1998,$B$1)),INT(INDEX(貼り付け!$A$1:$BZ$3001,1998,$B$1)),DATE(VALUE(LEFT(I1999,FIND("-",I1999)-1)),VALUE(LEFT(J1999,FIND("-",J1999)-1)),VALUE(MID(J1999,FIND("-",J1999)+1,99)))))),"")</f>
        <v/>
      </c>
      <c r="C1999">
        <f>IF($C$1=0,0,IFERROR(VALUE(SUBSTITUTE(SUBSTITUTE(SUBSTITUTE(INDEX(貼り付け!$A$1:$BZ$3001,1998,$C$1)&amp;"",",",""),"¥",""),"￥","")),0))</f>
        <v/>
      </c>
      <c r="D1999">
        <f>IF($D$1=0,0,IFERROR(VALUE(SUBSTITUTE(SUBSTITUTE(SUBSTITUTE(INDEX(貼り付け!$A$1:$BZ$3001,1998,$D$1)&amp;"",",",""),"¥",""),"￥","")),0))</f>
        <v/>
      </c>
      <c r="E1999">
        <f>IF($E$1=0,0,IFERROR(VALUE(SUBSTITUTE(SUBSTITUTE(SUBSTITUTE(INDEX(貼り付け!$A$1:$BZ$3001,1998,$E$1)&amp;"",",",""),"¥",""),"￥","")),0))</f>
        <v/>
      </c>
      <c r="F1999">
        <f>IF($F$1=0,0,IFERROR(VALUE(SUBSTITUTE(SUBSTITUTE(SUBSTITUTE(INDEX(貼り付け!$A$1:$BZ$3001,1998,$F$1)&amp;"",",",""),"¥",""),"￥","")),0))</f>
        <v/>
      </c>
      <c r="G1999">
        <f>IF(ISNUMBER(B1999),YEAR(B1999),"")</f>
        <v/>
      </c>
      <c r="H1999">
        <f>IF(ISNUMBER(B1999),MONTH(B1999),"")</f>
        <v/>
      </c>
      <c r="I1999">
        <f>IFERROR(IF($B$1=0,"",IF(ISNUMBER(INDEX(貼り付け!$A$1:$BZ$3001,1998,$B$1)),"",SUBSTITUTE(SUBSTITUTE(SUBSTITUTE(SUBSTITUTE(TRIM(LEFT(INDEX(貼り付け!$A$1:$BZ$3001,1998,$B$1)&amp;"",FIND(" ",TRIM(INDEX(貼り付け!$A$1:$BZ$3001,1998,$B$1)&amp;"")&amp;" ")-1)),"/","-"),"年","-"),"月","-"),"日",""))),"")</f>
        <v/>
      </c>
      <c r="J1999">
        <f>IFERROR(MID(I1999,FIND("-",I1999)+1,99),"")</f>
        <v/>
      </c>
    </row>
    <row r="2000">
      <c r="B2000">
        <f>IFERROR(IF($B$1=0,"",IF(INDEX(貼り付け!$A$1:$BZ$3001,1999,$B$1)="","",IF(ISNUMBER(INDEX(貼り付け!$A$1:$BZ$3001,1999,$B$1)),INT(INDEX(貼り付け!$A$1:$BZ$3001,1999,$B$1)),DATE(VALUE(LEFT(I2000,FIND("-",I2000)-1)),VALUE(LEFT(J2000,FIND("-",J2000)-1)),VALUE(MID(J2000,FIND("-",J2000)+1,99)))))),"")</f>
        <v/>
      </c>
      <c r="C2000">
        <f>IF($C$1=0,0,IFERROR(VALUE(SUBSTITUTE(SUBSTITUTE(SUBSTITUTE(INDEX(貼り付け!$A$1:$BZ$3001,1999,$C$1)&amp;"",",",""),"¥",""),"￥","")),0))</f>
        <v/>
      </c>
      <c r="D2000">
        <f>IF($D$1=0,0,IFERROR(VALUE(SUBSTITUTE(SUBSTITUTE(SUBSTITUTE(INDEX(貼り付け!$A$1:$BZ$3001,1999,$D$1)&amp;"",",",""),"¥",""),"￥","")),0))</f>
        <v/>
      </c>
      <c r="E2000">
        <f>IF($E$1=0,0,IFERROR(VALUE(SUBSTITUTE(SUBSTITUTE(SUBSTITUTE(INDEX(貼り付け!$A$1:$BZ$3001,1999,$E$1)&amp;"",",",""),"¥",""),"￥","")),0))</f>
        <v/>
      </c>
      <c r="F2000">
        <f>IF($F$1=0,0,IFERROR(VALUE(SUBSTITUTE(SUBSTITUTE(SUBSTITUTE(INDEX(貼り付け!$A$1:$BZ$3001,1999,$F$1)&amp;"",",",""),"¥",""),"￥","")),0))</f>
        <v/>
      </c>
      <c r="G2000">
        <f>IF(ISNUMBER(B2000),YEAR(B2000),"")</f>
        <v/>
      </c>
      <c r="H2000">
        <f>IF(ISNUMBER(B2000),MONTH(B2000),"")</f>
        <v/>
      </c>
      <c r="I2000">
        <f>IFERROR(IF($B$1=0,"",IF(ISNUMBER(INDEX(貼り付け!$A$1:$BZ$3001,1999,$B$1)),"",SUBSTITUTE(SUBSTITUTE(SUBSTITUTE(SUBSTITUTE(TRIM(LEFT(INDEX(貼り付け!$A$1:$BZ$3001,1999,$B$1)&amp;"",FIND(" ",TRIM(INDEX(貼り付け!$A$1:$BZ$3001,1999,$B$1)&amp;"")&amp;" ")-1)),"/","-"),"年","-"),"月","-"),"日",""))),"")</f>
        <v/>
      </c>
      <c r="J2000">
        <f>IFERROR(MID(I2000,FIND("-",I2000)+1,99),"")</f>
        <v/>
      </c>
    </row>
    <row r="2001">
      <c r="B2001">
        <f>IFERROR(IF($B$1=0,"",IF(INDEX(貼り付け!$A$1:$BZ$3001,2000,$B$1)="","",IF(ISNUMBER(INDEX(貼り付け!$A$1:$BZ$3001,2000,$B$1)),INT(INDEX(貼り付け!$A$1:$BZ$3001,2000,$B$1)),DATE(VALUE(LEFT(I2001,FIND("-",I2001)-1)),VALUE(LEFT(J2001,FIND("-",J2001)-1)),VALUE(MID(J2001,FIND("-",J2001)+1,99)))))),"")</f>
        <v/>
      </c>
      <c r="C2001">
        <f>IF($C$1=0,0,IFERROR(VALUE(SUBSTITUTE(SUBSTITUTE(SUBSTITUTE(INDEX(貼り付け!$A$1:$BZ$3001,2000,$C$1)&amp;"",",",""),"¥",""),"￥","")),0))</f>
        <v/>
      </c>
      <c r="D2001">
        <f>IF($D$1=0,0,IFERROR(VALUE(SUBSTITUTE(SUBSTITUTE(SUBSTITUTE(INDEX(貼り付け!$A$1:$BZ$3001,2000,$D$1)&amp;"",",",""),"¥",""),"￥","")),0))</f>
        <v/>
      </c>
      <c r="E2001">
        <f>IF($E$1=0,0,IFERROR(VALUE(SUBSTITUTE(SUBSTITUTE(SUBSTITUTE(INDEX(貼り付け!$A$1:$BZ$3001,2000,$E$1)&amp;"",",",""),"¥",""),"￥","")),0))</f>
        <v/>
      </c>
      <c r="F2001">
        <f>IF($F$1=0,0,IFERROR(VALUE(SUBSTITUTE(SUBSTITUTE(SUBSTITUTE(INDEX(貼り付け!$A$1:$BZ$3001,2000,$F$1)&amp;"",",",""),"¥",""),"￥","")),0))</f>
        <v/>
      </c>
      <c r="G2001">
        <f>IF(ISNUMBER(B2001),YEAR(B2001),"")</f>
        <v/>
      </c>
      <c r="H2001">
        <f>IF(ISNUMBER(B2001),MONTH(B2001),"")</f>
        <v/>
      </c>
      <c r="I2001">
        <f>IFERROR(IF($B$1=0,"",IF(ISNUMBER(INDEX(貼り付け!$A$1:$BZ$3001,2000,$B$1)),"",SUBSTITUTE(SUBSTITUTE(SUBSTITUTE(SUBSTITUTE(TRIM(LEFT(INDEX(貼り付け!$A$1:$BZ$3001,2000,$B$1)&amp;"",FIND(" ",TRIM(INDEX(貼り付け!$A$1:$BZ$3001,2000,$B$1)&amp;"")&amp;" ")-1)),"/","-"),"年","-"),"月","-"),"日",""))),"")</f>
        <v/>
      </c>
      <c r="J2001">
        <f>IFERROR(MID(I2001,FIND("-",I2001)+1,99),"")</f>
        <v/>
      </c>
    </row>
    <row r="2002">
      <c r="B2002">
        <f>IFERROR(IF($B$1=0,"",IF(INDEX(貼り付け!$A$1:$BZ$3001,2001,$B$1)="","",IF(ISNUMBER(INDEX(貼り付け!$A$1:$BZ$3001,2001,$B$1)),INT(INDEX(貼り付け!$A$1:$BZ$3001,2001,$B$1)),DATE(VALUE(LEFT(I2002,FIND("-",I2002)-1)),VALUE(LEFT(J2002,FIND("-",J2002)-1)),VALUE(MID(J2002,FIND("-",J2002)+1,99)))))),"")</f>
        <v/>
      </c>
      <c r="C2002">
        <f>IF($C$1=0,0,IFERROR(VALUE(SUBSTITUTE(SUBSTITUTE(SUBSTITUTE(INDEX(貼り付け!$A$1:$BZ$3001,2001,$C$1)&amp;"",",",""),"¥",""),"￥","")),0))</f>
        <v/>
      </c>
      <c r="D2002">
        <f>IF($D$1=0,0,IFERROR(VALUE(SUBSTITUTE(SUBSTITUTE(SUBSTITUTE(INDEX(貼り付け!$A$1:$BZ$3001,2001,$D$1)&amp;"",",",""),"¥",""),"￥","")),0))</f>
        <v/>
      </c>
      <c r="E2002">
        <f>IF($E$1=0,0,IFERROR(VALUE(SUBSTITUTE(SUBSTITUTE(SUBSTITUTE(INDEX(貼り付け!$A$1:$BZ$3001,2001,$E$1)&amp;"",",",""),"¥",""),"￥","")),0))</f>
        <v/>
      </c>
      <c r="F2002">
        <f>IF($F$1=0,0,IFERROR(VALUE(SUBSTITUTE(SUBSTITUTE(SUBSTITUTE(INDEX(貼り付け!$A$1:$BZ$3001,2001,$F$1)&amp;"",",",""),"¥",""),"￥","")),0))</f>
        <v/>
      </c>
      <c r="G2002">
        <f>IF(ISNUMBER(B2002),YEAR(B2002),"")</f>
        <v/>
      </c>
      <c r="H2002">
        <f>IF(ISNUMBER(B2002),MONTH(B2002),"")</f>
        <v/>
      </c>
      <c r="I2002">
        <f>IFERROR(IF($B$1=0,"",IF(ISNUMBER(INDEX(貼り付け!$A$1:$BZ$3001,2001,$B$1)),"",SUBSTITUTE(SUBSTITUTE(SUBSTITUTE(SUBSTITUTE(TRIM(LEFT(INDEX(貼り付け!$A$1:$BZ$3001,2001,$B$1)&amp;"",FIND(" ",TRIM(INDEX(貼り付け!$A$1:$BZ$3001,2001,$B$1)&amp;"")&amp;" ")-1)),"/","-"),"年","-"),"月","-"),"日",""))),"")</f>
        <v/>
      </c>
      <c r="J2002">
        <f>IFERROR(MID(I2002,FIND("-",I2002)+1,99),"")</f>
        <v/>
      </c>
    </row>
    <row r="2003">
      <c r="B2003">
        <f>IFERROR(IF($B$1=0,"",IF(INDEX(貼り付け!$A$1:$BZ$3001,2002,$B$1)="","",IF(ISNUMBER(INDEX(貼り付け!$A$1:$BZ$3001,2002,$B$1)),INT(INDEX(貼り付け!$A$1:$BZ$3001,2002,$B$1)),DATE(VALUE(LEFT(I2003,FIND("-",I2003)-1)),VALUE(LEFT(J2003,FIND("-",J2003)-1)),VALUE(MID(J2003,FIND("-",J2003)+1,99)))))),"")</f>
        <v/>
      </c>
      <c r="C2003">
        <f>IF($C$1=0,0,IFERROR(VALUE(SUBSTITUTE(SUBSTITUTE(SUBSTITUTE(INDEX(貼り付け!$A$1:$BZ$3001,2002,$C$1)&amp;"",",",""),"¥",""),"￥","")),0))</f>
        <v/>
      </c>
      <c r="D2003">
        <f>IF($D$1=0,0,IFERROR(VALUE(SUBSTITUTE(SUBSTITUTE(SUBSTITUTE(INDEX(貼り付け!$A$1:$BZ$3001,2002,$D$1)&amp;"",",",""),"¥",""),"￥","")),0))</f>
        <v/>
      </c>
      <c r="E2003">
        <f>IF($E$1=0,0,IFERROR(VALUE(SUBSTITUTE(SUBSTITUTE(SUBSTITUTE(INDEX(貼り付け!$A$1:$BZ$3001,2002,$E$1)&amp;"",",",""),"¥",""),"￥","")),0))</f>
        <v/>
      </c>
      <c r="F2003">
        <f>IF($F$1=0,0,IFERROR(VALUE(SUBSTITUTE(SUBSTITUTE(SUBSTITUTE(INDEX(貼り付け!$A$1:$BZ$3001,2002,$F$1)&amp;"",",",""),"¥",""),"￥","")),0))</f>
        <v/>
      </c>
      <c r="G2003">
        <f>IF(ISNUMBER(B2003),YEAR(B2003),"")</f>
        <v/>
      </c>
      <c r="H2003">
        <f>IF(ISNUMBER(B2003),MONTH(B2003),"")</f>
        <v/>
      </c>
      <c r="I2003">
        <f>IFERROR(IF($B$1=0,"",IF(ISNUMBER(INDEX(貼り付け!$A$1:$BZ$3001,2002,$B$1)),"",SUBSTITUTE(SUBSTITUTE(SUBSTITUTE(SUBSTITUTE(TRIM(LEFT(INDEX(貼り付け!$A$1:$BZ$3001,2002,$B$1)&amp;"",FIND(" ",TRIM(INDEX(貼り付け!$A$1:$BZ$3001,2002,$B$1)&amp;"")&amp;" ")-1)),"/","-"),"年","-"),"月","-"),"日",""))),"")</f>
        <v/>
      </c>
      <c r="J2003">
        <f>IFERROR(MID(I2003,FIND("-",I2003)+1,99),"")</f>
        <v/>
      </c>
    </row>
    <row r="2004">
      <c r="B2004">
        <f>IFERROR(IF($B$1=0,"",IF(INDEX(貼り付け!$A$1:$BZ$3001,2003,$B$1)="","",IF(ISNUMBER(INDEX(貼り付け!$A$1:$BZ$3001,2003,$B$1)),INT(INDEX(貼り付け!$A$1:$BZ$3001,2003,$B$1)),DATE(VALUE(LEFT(I2004,FIND("-",I2004)-1)),VALUE(LEFT(J2004,FIND("-",J2004)-1)),VALUE(MID(J2004,FIND("-",J2004)+1,99)))))),"")</f>
        <v/>
      </c>
      <c r="C2004">
        <f>IF($C$1=0,0,IFERROR(VALUE(SUBSTITUTE(SUBSTITUTE(SUBSTITUTE(INDEX(貼り付け!$A$1:$BZ$3001,2003,$C$1)&amp;"",",",""),"¥",""),"￥","")),0))</f>
        <v/>
      </c>
      <c r="D2004">
        <f>IF($D$1=0,0,IFERROR(VALUE(SUBSTITUTE(SUBSTITUTE(SUBSTITUTE(INDEX(貼り付け!$A$1:$BZ$3001,2003,$D$1)&amp;"",",",""),"¥",""),"￥","")),0))</f>
        <v/>
      </c>
      <c r="E2004">
        <f>IF($E$1=0,0,IFERROR(VALUE(SUBSTITUTE(SUBSTITUTE(SUBSTITUTE(INDEX(貼り付け!$A$1:$BZ$3001,2003,$E$1)&amp;"",",",""),"¥",""),"￥","")),0))</f>
        <v/>
      </c>
      <c r="F2004">
        <f>IF($F$1=0,0,IFERROR(VALUE(SUBSTITUTE(SUBSTITUTE(SUBSTITUTE(INDEX(貼り付け!$A$1:$BZ$3001,2003,$F$1)&amp;"",",",""),"¥",""),"￥","")),0))</f>
        <v/>
      </c>
      <c r="G2004">
        <f>IF(ISNUMBER(B2004),YEAR(B2004),"")</f>
        <v/>
      </c>
      <c r="H2004">
        <f>IF(ISNUMBER(B2004),MONTH(B2004),"")</f>
        <v/>
      </c>
      <c r="I2004">
        <f>IFERROR(IF($B$1=0,"",IF(ISNUMBER(INDEX(貼り付け!$A$1:$BZ$3001,2003,$B$1)),"",SUBSTITUTE(SUBSTITUTE(SUBSTITUTE(SUBSTITUTE(TRIM(LEFT(INDEX(貼り付け!$A$1:$BZ$3001,2003,$B$1)&amp;"",FIND(" ",TRIM(INDEX(貼り付け!$A$1:$BZ$3001,2003,$B$1)&amp;"")&amp;" ")-1)),"/","-"),"年","-"),"月","-"),"日",""))),"")</f>
        <v/>
      </c>
      <c r="J2004">
        <f>IFERROR(MID(I2004,FIND("-",I2004)+1,99),"")</f>
        <v/>
      </c>
    </row>
    <row r="2005">
      <c r="B2005">
        <f>IFERROR(IF($B$1=0,"",IF(INDEX(貼り付け!$A$1:$BZ$3001,2004,$B$1)="","",IF(ISNUMBER(INDEX(貼り付け!$A$1:$BZ$3001,2004,$B$1)),INT(INDEX(貼り付け!$A$1:$BZ$3001,2004,$B$1)),DATE(VALUE(LEFT(I2005,FIND("-",I2005)-1)),VALUE(LEFT(J2005,FIND("-",J2005)-1)),VALUE(MID(J2005,FIND("-",J2005)+1,99)))))),"")</f>
        <v/>
      </c>
      <c r="C2005">
        <f>IF($C$1=0,0,IFERROR(VALUE(SUBSTITUTE(SUBSTITUTE(SUBSTITUTE(INDEX(貼り付け!$A$1:$BZ$3001,2004,$C$1)&amp;"",",",""),"¥",""),"￥","")),0))</f>
        <v/>
      </c>
      <c r="D2005">
        <f>IF($D$1=0,0,IFERROR(VALUE(SUBSTITUTE(SUBSTITUTE(SUBSTITUTE(INDEX(貼り付け!$A$1:$BZ$3001,2004,$D$1)&amp;"",",",""),"¥",""),"￥","")),0))</f>
        <v/>
      </c>
      <c r="E2005">
        <f>IF($E$1=0,0,IFERROR(VALUE(SUBSTITUTE(SUBSTITUTE(SUBSTITUTE(INDEX(貼り付け!$A$1:$BZ$3001,2004,$E$1)&amp;"",",",""),"¥",""),"￥","")),0))</f>
        <v/>
      </c>
      <c r="F2005">
        <f>IF($F$1=0,0,IFERROR(VALUE(SUBSTITUTE(SUBSTITUTE(SUBSTITUTE(INDEX(貼り付け!$A$1:$BZ$3001,2004,$F$1)&amp;"",",",""),"¥",""),"￥","")),0))</f>
        <v/>
      </c>
      <c r="G2005">
        <f>IF(ISNUMBER(B2005),YEAR(B2005),"")</f>
        <v/>
      </c>
      <c r="H2005">
        <f>IF(ISNUMBER(B2005),MONTH(B2005),"")</f>
        <v/>
      </c>
      <c r="I2005">
        <f>IFERROR(IF($B$1=0,"",IF(ISNUMBER(INDEX(貼り付け!$A$1:$BZ$3001,2004,$B$1)),"",SUBSTITUTE(SUBSTITUTE(SUBSTITUTE(SUBSTITUTE(TRIM(LEFT(INDEX(貼り付け!$A$1:$BZ$3001,2004,$B$1)&amp;"",FIND(" ",TRIM(INDEX(貼り付け!$A$1:$BZ$3001,2004,$B$1)&amp;"")&amp;" ")-1)),"/","-"),"年","-"),"月","-"),"日",""))),"")</f>
        <v/>
      </c>
      <c r="J2005">
        <f>IFERROR(MID(I2005,FIND("-",I2005)+1,99),"")</f>
        <v/>
      </c>
    </row>
    <row r="2006">
      <c r="B2006">
        <f>IFERROR(IF($B$1=0,"",IF(INDEX(貼り付け!$A$1:$BZ$3001,2005,$B$1)="","",IF(ISNUMBER(INDEX(貼り付け!$A$1:$BZ$3001,2005,$B$1)),INT(INDEX(貼り付け!$A$1:$BZ$3001,2005,$B$1)),DATE(VALUE(LEFT(I2006,FIND("-",I2006)-1)),VALUE(LEFT(J2006,FIND("-",J2006)-1)),VALUE(MID(J2006,FIND("-",J2006)+1,99)))))),"")</f>
        <v/>
      </c>
      <c r="C2006">
        <f>IF($C$1=0,0,IFERROR(VALUE(SUBSTITUTE(SUBSTITUTE(SUBSTITUTE(INDEX(貼り付け!$A$1:$BZ$3001,2005,$C$1)&amp;"",",",""),"¥",""),"￥","")),0))</f>
        <v/>
      </c>
      <c r="D2006">
        <f>IF($D$1=0,0,IFERROR(VALUE(SUBSTITUTE(SUBSTITUTE(SUBSTITUTE(INDEX(貼り付け!$A$1:$BZ$3001,2005,$D$1)&amp;"",",",""),"¥",""),"￥","")),0))</f>
        <v/>
      </c>
      <c r="E2006">
        <f>IF($E$1=0,0,IFERROR(VALUE(SUBSTITUTE(SUBSTITUTE(SUBSTITUTE(INDEX(貼り付け!$A$1:$BZ$3001,2005,$E$1)&amp;"",",",""),"¥",""),"￥","")),0))</f>
        <v/>
      </c>
      <c r="F2006">
        <f>IF($F$1=0,0,IFERROR(VALUE(SUBSTITUTE(SUBSTITUTE(SUBSTITUTE(INDEX(貼り付け!$A$1:$BZ$3001,2005,$F$1)&amp;"",",",""),"¥",""),"￥","")),0))</f>
        <v/>
      </c>
      <c r="G2006">
        <f>IF(ISNUMBER(B2006),YEAR(B2006),"")</f>
        <v/>
      </c>
      <c r="H2006">
        <f>IF(ISNUMBER(B2006),MONTH(B2006),"")</f>
        <v/>
      </c>
      <c r="I2006">
        <f>IFERROR(IF($B$1=0,"",IF(ISNUMBER(INDEX(貼り付け!$A$1:$BZ$3001,2005,$B$1)),"",SUBSTITUTE(SUBSTITUTE(SUBSTITUTE(SUBSTITUTE(TRIM(LEFT(INDEX(貼り付け!$A$1:$BZ$3001,2005,$B$1)&amp;"",FIND(" ",TRIM(INDEX(貼り付け!$A$1:$BZ$3001,2005,$B$1)&amp;"")&amp;" ")-1)),"/","-"),"年","-"),"月","-"),"日",""))),"")</f>
        <v/>
      </c>
      <c r="J2006">
        <f>IFERROR(MID(I2006,FIND("-",I2006)+1,99),"")</f>
        <v/>
      </c>
    </row>
    <row r="2007">
      <c r="B2007">
        <f>IFERROR(IF($B$1=0,"",IF(INDEX(貼り付け!$A$1:$BZ$3001,2006,$B$1)="","",IF(ISNUMBER(INDEX(貼り付け!$A$1:$BZ$3001,2006,$B$1)),INT(INDEX(貼り付け!$A$1:$BZ$3001,2006,$B$1)),DATE(VALUE(LEFT(I2007,FIND("-",I2007)-1)),VALUE(LEFT(J2007,FIND("-",J2007)-1)),VALUE(MID(J2007,FIND("-",J2007)+1,99)))))),"")</f>
        <v/>
      </c>
      <c r="C2007">
        <f>IF($C$1=0,0,IFERROR(VALUE(SUBSTITUTE(SUBSTITUTE(SUBSTITUTE(INDEX(貼り付け!$A$1:$BZ$3001,2006,$C$1)&amp;"",",",""),"¥",""),"￥","")),0))</f>
        <v/>
      </c>
      <c r="D2007">
        <f>IF($D$1=0,0,IFERROR(VALUE(SUBSTITUTE(SUBSTITUTE(SUBSTITUTE(INDEX(貼り付け!$A$1:$BZ$3001,2006,$D$1)&amp;"",",",""),"¥",""),"￥","")),0))</f>
        <v/>
      </c>
      <c r="E2007">
        <f>IF($E$1=0,0,IFERROR(VALUE(SUBSTITUTE(SUBSTITUTE(SUBSTITUTE(INDEX(貼り付け!$A$1:$BZ$3001,2006,$E$1)&amp;"",",",""),"¥",""),"￥","")),0))</f>
        <v/>
      </c>
      <c r="F2007">
        <f>IF($F$1=0,0,IFERROR(VALUE(SUBSTITUTE(SUBSTITUTE(SUBSTITUTE(INDEX(貼り付け!$A$1:$BZ$3001,2006,$F$1)&amp;"",",",""),"¥",""),"￥","")),0))</f>
        <v/>
      </c>
      <c r="G2007">
        <f>IF(ISNUMBER(B2007),YEAR(B2007),"")</f>
        <v/>
      </c>
      <c r="H2007">
        <f>IF(ISNUMBER(B2007),MONTH(B2007),"")</f>
        <v/>
      </c>
      <c r="I2007">
        <f>IFERROR(IF($B$1=0,"",IF(ISNUMBER(INDEX(貼り付け!$A$1:$BZ$3001,2006,$B$1)),"",SUBSTITUTE(SUBSTITUTE(SUBSTITUTE(SUBSTITUTE(TRIM(LEFT(INDEX(貼り付け!$A$1:$BZ$3001,2006,$B$1)&amp;"",FIND(" ",TRIM(INDEX(貼り付け!$A$1:$BZ$3001,2006,$B$1)&amp;"")&amp;" ")-1)),"/","-"),"年","-"),"月","-"),"日",""))),"")</f>
        <v/>
      </c>
      <c r="J2007">
        <f>IFERROR(MID(I2007,FIND("-",I2007)+1,99),"")</f>
        <v/>
      </c>
    </row>
    <row r="2008">
      <c r="B2008">
        <f>IFERROR(IF($B$1=0,"",IF(INDEX(貼り付け!$A$1:$BZ$3001,2007,$B$1)="","",IF(ISNUMBER(INDEX(貼り付け!$A$1:$BZ$3001,2007,$B$1)),INT(INDEX(貼り付け!$A$1:$BZ$3001,2007,$B$1)),DATE(VALUE(LEFT(I2008,FIND("-",I2008)-1)),VALUE(LEFT(J2008,FIND("-",J2008)-1)),VALUE(MID(J2008,FIND("-",J2008)+1,99)))))),"")</f>
        <v/>
      </c>
      <c r="C2008">
        <f>IF($C$1=0,0,IFERROR(VALUE(SUBSTITUTE(SUBSTITUTE(SUBSTITUTE(INDEX(貼り付け!$A$1:$BZ$3001,2007,$C$1)&amp;"",",",""),"¥",""),"￥","")),0))</f>
        <v/>
      </c>
      <c r="D2008">
        <f>IF($D$1=0,0,IFERROR(VALUE(SUBSTITUTE(SUBSTITUTE(SUBSTITUTE(INDEX(貼り付け!$A$1:$BZ$3001,2007,$D$1)&amp;"",",",""),"¥",""),"￥","")),0))</f>
        <v/>
      </c>
      <c r="E2008">
        <f>IF($E$1=0,0,IFERROR(VALUE(SUBSTITUTE(SUBSTITUTE(SUBSTITUTE(INDEX(貼り付け!$A$1:$BZ$3001,2007,$E$1)&amp;"",",",""),"¥",""),"￥","")),0))</f>
        <v/>
      </c>
      <c r="F2008">
        <f>IF($F$1=0,0,IFERROR(VALUE(SUBSTITUTE(SUBSTITUTE(SUBSTITUTE(INDEX(貼り付け!$A$1:$BZ$3001,2007,$F$1)&amp;"",",",""),"¥",""),"￥","")),0))</f>
        <v/>
      </c>
      <c r="G2008">
        <f>IF(ISNUMBER(B2008),YEAR(B2008),"")</f>
        <v/>
      </c>
      <c r="H2008">
        <f>IF(ISNUMBER(B2008),MONTH(B2008),"")</f>
        <v/>
      </c>
      <c r="I2008">
        <f>IFERROR(IF($B$1=0,"",IF(ISNUMBER(INDEX(貼り付け!$A$1:$BZ$3001,2007,$B$1)),"",SUBSTITUTE(SUBSTITUTE(SUBSTITUTE(SUBSTITUTE(TRIM(LEFT(INDEX(貼り付け!$A$1:$BZ$3001,2007,$B$1)&amp;"",FIND(" ",TRIM(INDEX(貼り付け!$A$1:$BZ$3001,2007,$B$1)&amp;"")&amp;" ")-1)),"/","-"),"年","-"),"月","-"),"日",""))),"")</f>
        <v/>
      </c>
      <c r="J2008">
        <f>IFERROR(MID(I2008,FIND("-",I2008)+1,99),"")</f>
        <v/>
      </c>
    </row>
    <row r="2009">
      <c r="B2009">
        <f>IFERROR(IF($B$1=0,"",IF(INDEX(貼り付け!$A$1:$BZ$3001,2008,$B$1)="","",IF(ISNUMBER(INDEX(貼り付け!$A$1:$BZ$3001,2008,$B$1)),INT(INDEX(貼り付け!$A$1:$BZ$3001,2008,$B$1)),DATE(VALUE(LEFT(I2009,FIND("-",I2009)-1)),VALUE(LEFT(J2009,FIND("-",J2009)-1)),VALUE(MID(J2009,FIND("-",J2009)+1,99)))))),"")</f>
        <v/>
      </c>
      <c r="C2009">
        <f>IF($C$1=0,0,IFERROR(VALUE(SUBSTITUTE(SUBSTITUTE(SUBSTITUTE(INDEX(貼り付け!$A$1:$BZ$3001,2008,$C$1)&amp;"",",",""),"¥",""),"￥","")),0))</f>
        <v/>
      </c>
      <c r="D2009">
        <f>IF($D$1=0,0,IFERROR(VALUE(SUBSTITUTE(SUBSTITUTE(SUBSTITUTE(INDEX(貼り付け!$A$1:$BZ$3001,2008,$D$1)&amp;"",",",""),"¥",""),"￥","")),0))</f>
        <v/>
      </c>
      <c r="E2009">
        <f>IF($E$1=0,0,IFERROR(VALUE(SUBSTITUTE(SUBSTITUTE(SUBSTITUTE(INDEX(貼り付け!$A$1:$BZ$3001,2008,$E$1)&amp;"",",",""),"¥",""),"￥","")),0))</f>
        <v/>
      </c>
      <c r="F2009">
        <f>IF($F$1=0,0,IFERROR(VALUE(SUBSTITUTE(SUBSTITUTE(SUBSTITUTE(INDEX(貼り付け!$A$1:$BZ$3001,2008,$F$1)&amp;"",",",""),"¥",""),"￥","")),0))</f>
        <v/>
      </c>
      <c r="G2009">
        <f>IF(ISNUMBER(B2009),YEAR(B2009),"")</f>
        <v/>
      </c>
      <c r="H2009">
        <f>IF(ISNUMBER(B2009),MONTH(B2009),"")</f>
        <v/>
      </c>
      <c r="I2009">
        <f>IFERROR(IF($B$1=0,"",IF(ISNUMBER(INDEX(貼り付け!$A$1:$BZ$3001,2008,$B$1)),"",SUBSTITUTE(SUBSTITUTE(SUBSTITUTE(SUBSTITUTE(TRIM(LEFT(INDEX(貼り付け!$A$1:$BZ$3001,2008,$B$1)&amp;"",FIND(" ",TRIM(INDEX(貼り付け!$A$1:$BZ$3001,2008,$B$1)&amp;"")&amp;" ")-1)),"/","-"),"年","-"),"月","-"),"日",""))),"")</f>
        <v/>
      </c>
      <c r="J2009">
        <f>IFERROR(MID(I2009,FIND("-",I2009)+1,99),"")</f>
        <v/>
      </c>
    </row>
    <row r="2010">
      <c r="B2010">
        <f>IFERROR(IF($B$1=0,"",IF(INDEX(貼り付け!$A$1:$BZ$3001,2009,$B$1)="","",IF(ISNUMBER(INDEX(貼り付け!$A$1:$BZ$3001,2009,$B$1)),INT(INDEX(貼り付け!$A$1:$BZ$3001,2009,$B$1)),DATE(VALUE(LEFT(I2010,FIND("-",I2010)-1)),VALUE(LEFT(J2010,FIND("-",J2010)-1)),VALUE(MID(J2010,FIND("-",J2010)+1,99)))))),"")</f>
        <v/>
      </c>
      <c r="C2010">
        <f>IF($C$1=0,0,IFERROR(VALUE(SUBSTITUTE(SUBSTITUTE(SUBSTITUTE(INDEX(貼り付け!$A$1:$BZ$3001,2009,$C$1)&amp;"",",",""),"¥",""),"￥","")),0))</f>
        <v/>
      </c>
      <c r="D2010">
        <f>IF($D$1=0,0,IFERROR(VALUE(SUBSTITUTE(SUBSTITUTE(SUBSTITUTE(INDEX(貼り付け!$A$1:$BZ$3001,2009,$D$1)&amp;"",",",""),"¥",""),"￥","")),0))</f>
        <v/>
      </c>
      <c r="E2010">
        <f>IF($E$1=0,0,IFERROR(VALUE(SUBSTITUTE(SUBSTITUTE(SUBSTITUTE(INDEX(貼り付け!$A$1:$BZ$3001,2009,$E$1)&amp;"",",",""),"¥",""),"￥","")),0))</f>
        <v/>
      </c>
      <c r="F2010">
        <f>IF($F$1=0,0,IFERROR(VALUE(SUBSTITUTE(SUBSTITUTE(SUBSTITUTE(INDEX(貼り付け!$A$1:$BZ$3001,2009,$F$1)&amp;"",",",""),"¥",""),"￥","")),0))</f>
        <v/>
      </c>
      <c r="G2010">
        <f>IF(ISNUMBER(B2010),YEAR(B2010),"")</f>
        <v/>
      </c>
      <c r="H2010">
        <f>IF(ISNUMBER(B2010),MONTH(B2010),"")</f>
        <v/>
      </c>
      <c r="I2010">
        <f>IFERROR(IF($B$1=0,"",IF(ISNUMBER(INDEX(貼り付け!$A$1:$BZ$3001,2009,$B$1)),"",SUBSTITUTE(SUBSTITUTE(SUBSTITUTE(SUBSTITUTE(TRIM(LEFT(INDEX(貼り付け!$A$1:$BZ$3001,2009,$B$1)&amp;"",FIND(" ",TRIM(INDEX(貼り付け!$A$1:$BZ$3001,2009,$B$1)&amp;"")&amp;" ")-1)),"/","-"),"年","-"),"月","-"),"日",""))),"")</f>
        <v/>
      </c>
      <c r="J2010">
        <f>IFERROR(MID(I2010,FIND("-",I2010)+1,99),"")</f>
        <v/>
      </c>
    </row>
    <row r="2011">
      <c r="B2011">
        <f>IFERROR(IF($B$1=0,"",IF(INDEX(貼り付け!$A$1:$BZ$3001,2010,$B$1)="","",IF(ISNUMBER(INDEX(貼り付け!$A$1:$BZ$3001,2010,$B$1)),INT(INDEX(貼り付け!$A$1:$BZ$3001,2010,$B$1)),DATE(VALUE(LEFT(I2011,FIND("-",I2011)-1)),VALUE(LEFT(J2011,FIND("-",J2011)-1)),VALUE(MID(J2011,FIND("-",J2011)+1,99)))))),"")</f>
        <v/>
      </c>
      <c r="C2011">
        <f>IF($C$1=0,0,IFERROR(VALUE(SUBSTITUTE(SUBSTITUTE(SUBSTITUTE(INDEX(貼り付け!$A$1:$BZ$3001,2010,$C$1)&amp;"",",",""),"¥",""),"￥","")),0))</f>
        <v/>
      </c>
      <c r="D2011">
        <f>IF($D$1=0,0,IFERROR(VALUE(SUBSTITUTE(SUBSTITUTE(SUBSTITUTE(INDEX(貼り付け!$A$1:$BZ$3001,2010,$D$1)&amp;"",",",""),"¥",""),"￥","")),0))</f>
        <v/>
      </c>
      <c r="E2011">
        <f>IF($E$1=0,0,IFERROR(VALUE(SUBSTITUTE(SUBSTITUTE(SUBSTITUTE(INDEX(貼り付け!$A$1:$BZ$3001,2010,$E$1)&amp;"",",",""),"¥",""),"￥","")),0))</f>
        <v/>
      </c>
      <c r="F2011">
        <f>IF($F$1=0,0,IFERROR(VALUE(SUBSTITUTE(SUBSTITUTE(SUBSTITUTE(INDEX(貼り付け!$A$1:$BZ$3001,2010,$F$1)&amp;"",",",""),"¥",""),"￥","")),0))</f>
        <v/>
      </c>
      <c r="G2011">
        <f>IF(ISNUMBER(B2011),YEAR(B2011),"")</f>
        <v/>
      </c>
      <c r="H2011">
        <f>IF(ISNUMBER(B2011),MONTH(B2011),"")</f>
        <v/>
      </c>
      <c r="I2011">
        <f>IFERROR(IF($B$1=0,"",IF(ISNUMBER(INDEX(貼り付け!$A$1:$BZ$3001,2010,$B$1)),"",SUBSTITUTE(SUBSTITUTE(SUBSTITUTE(SUBSTITUTE(TRIM(LEFT(INDEX(貼り付け!$A$1:$BZ$3001,2010,$B$1)&amp;"",FIND(" ",TRIM(INDEX(貼り付け!$A$1:$BZ$3001,2010,$B$1)&amp;"")&amp;" ")-1)),"/","-"),"年","-"),"月","-"),"日",""))),"")</f>
        <v/>
      </c>
      <c r="J2011">
        <f>IFERROR(MID(I2011,FIND("-",I2011)+1,99),"")</f>
        <v/>
      </c>
    </row>
    <row r="2012">
      <c r="B2012">
        <f>IFERROR(IF($B$1=0,"",IF(INDEX(貼り付け!$A$1:$BZ$3001,2011,$B$1)="","",IF(ISNUMBER(INDEX(貼り付け!$A$1:$BZ$3001,2011,$B$1)),INT(INDEX(貼り付け!$A$1:$BZ$3001,2011,$B$1)),DATE(VALUE(LEFT(I2012,FIND("-",I2012)-1)),VALUE(LEFT(J2012,FIND("-",J2012)-1)),VALUE(MID(J2012,FIND("-",J2012)+1,99)))))),"")</f>
        <v/>
      </c>
      <c r="C2012">
        <f>IF($C$1=0,0,IFERROR(VALUE(SUBSTITUTE(SUBSTITUTE(SUBSTITUTE(INDEX(貼り付け!$A$1:$BZ$3001,2011,$C$1)&amp;"",",",""),"¥",""),"￥","")),0))</f>
        <v/>
      </c>
      <c r="D2012">
        <f>IF($D$1=0,0,IFERROR(VALUE(SUBSTITUTE(SUBSTITUTE(SUBSTITUTE(INDEX(貼り付け!$A$1:$BZ$3001,2011,$D$1)&amp;"",",",""),"¥",""),"￥","")),0))</f>
        <v/>
      </c>
      <c r="E2012">
        <f>IF($E$1=0,0,IFERROR(VALUE(SUBSTITUTE(SUBSTITUTE(SUBSTITUTE(INDEX(貼り付け!$A$1:$BZ$3001,2011,$E$1)&amp;"",",",""),"¥",""),"￥","")),0))</f>
        <v/>
      </c>
      <c r="F2012">
        <f>IF($F$1=0,0,IFERROR(VALUE(SUBSTITUTE(SUBSTITUTE(SUBSTITUTE(INDEX(貼り付け!$A$1:$BZ$3001,2011,$F$1)&amp;"",",",""),"¥",""),"￥","")),0))</f>
        <v/>
      </c>
      <c r="G2012">
        <f>IF(ISNUMBER(B2012),YEAR(B2012),"")</f>
        <v/>
      </c>
      <c r="H2012">
        <f>IF(ISNUMBER(B2012),MONTH(B2012),"")</f>
        <v/>
      </c>
      <c r="I2012">
        <f>IFERROR(IF($B$1=0,"",IF(ISNUMBER(INDEX(貼り付け!$A$1:$BZ$3001,2011,$B$1)),"",SUBSTITUTE(SUBSTITUTE(SUBSTITUTE(SUBSTITUTE(TRIM(LEFT(INDEX(貼り付け!$A$1:$BZ$3001,2011,$B$1)&amp;"",FIND(" ",TRIM(INDEX(貼り付け!$A$1:$BZ$3001,2011,$B$1)&amp;"")&amp;" ")-1)),"/","-"),"年","-"),"月","-"),"日",""))),"")</f>
        <v/>
      </c>
      <c r="J2012">
        <f>IFERROR(MID(I2012,FIND("-",I2012)+1,99),"")</f>
        <v/>
      </c>
    </row>
    <row r="2013">
      <c r="B2013">
        <f>IFERROR(IF($B$1=0,"",IF(INDEX(貼り付け!$A$1:$BZ$3001,2012,$B$1)="","",IF(ISNUMBER(INDEX(貼り付け!$A$1:$BZ$3001,2012,$B$1)),INT(INDEX(貼り付け!$A$1:$BZ$3001,2012,$B$1)),DATE(VALUE(LEFT(I2013,FIND("-",I2013)-1)),VALUE(LEFT(J2013,FIND("-",J2013)-1)),VALUE(MID(J2013,FIND("-",J2013)+1,99)))))),"")</f>
        <v/>
      </c>
      <c r="C2013">
        <f>IF($C$1=0,0,IFERROR(VALUE(SUBSTITUTE(SUBSTITUTE(SUBSTITUTE(INDEX(貼り付け!$A$1:$BZ$3001,2012,$C$1)&amp;"",",",""),"¥",""),"￥","")),0))</f>
        <v/>
      </c>
      <c r="D2013">
        <f>IF($D$1=0,0,IFERROR(VALUE(SUBSTITUTE(SUBSTITUTE(SUBSTITUTE(INDEX(貼り付け!$A$1:$BZ$3001,2012,$D$1)&amp;"",",",""),"¥",""),"￥","")),0))</f>
        <v/>
      </c>
      <c r="E2013">
        <f>IF($E$1=0,0,IFERROR(VALUE(SUBSTITUTE(SUBSTITUTE(SUBSTITUTE(INDEX(貼り付け!$A$1:$BZ$3001,2012,$E$1)&amp;"",",",""),"¥",""),"￥","")),0))</f>
        <v/>
      </c>
      <c r="F2013">
        <f>IF($F$1=0,0,IFERROR(VALUE(SUBSTITUTE(SUBSTITUTE(SUBSTITUTE(INDEX(貼り付け!$A$1:$BZ$3001,2012,$F$1)&amp;"",",",""),"¥",""),"￥","")),0))</f>
        <v/>
      </c>
      <c r="G2013">
        <f>IF(ISNUMBER(B2013),YEAR(B2013),"")</f>
        <v/>
      </c>
      <c r="H2013">
        <f>IF(ISNUMBER(B2013),MONTH(B2013),"")</f>
        <v/>
      </c>
      <c r="I2013">
        <f>IFERROR(IF($B$1=0,"",IF(ISNUMBER(INDEX(貼り付け!$A$1:$BZ$3001,2012,$B$1)),"",SUBSTITUTE(SUBSTITUTE(SUBSTITUTE(SUBSTITUTE(TRIM(LEFT(INDEX(貼り付け!$A$1:$BZ$3001,2012,$B$1)&amp;"",FIND(" ",TRIM(INDEX(貼り付け!$A$1:$BZ$3001,2012,$B$1)&amp;"")&amp;" ")-1)),"/","-"),"年","-"),"月","-"),"日",""))),"")</f>
        <v/>
      </c>
      <c r="J2013">
        <f>IFERROR(MID(I2013,FIND("-",I2013)+1,99),"")</f>
        <v/>
      </c>
    </row>
    <row r="2014">
      <c r="B2014">
        <f>IFERROR(IF($B$1=0,"",IF(INDEX(貼り付け!$A$1:$BZ$3001,2013,$B$1)="","",IF(ISNUMBER(INDEX(貼り付け!$A$1:$BZ$3001,2013,$B$1)),INT(INDEX(貼り付け!$A$1:$BZ$3001,2013,$B$1)),DATE(VALUE(LEFT(I2014,FIND("-",I2014)-1)),VALUE(LEFT(J2014,FIND("-",J2014)-1)),VALUE(MID(J2014,FIND("-",J2014)+1,99)))))),"")</f>
        <v/>
      </c>
      <c r="C2014">
        <f>IF($C$1=0,0,IFERROR(VALUE(SUBSTITUTE(SUBSTITUTE(SUBSTITUTE(INDEX(貼り付け!$A$1:$BZ$3001,2013,$C$1)&amp;"",",",""),"¥",""),"￥","")),0))</f>
        <v/>
      </c>
      <c r="D2014">
        <f>IF($D$1=0,0,IFERROR(VALUE(SUBSTITUTE(SUBSTITUTE(SUBSTITUTE(INDEX(貼り付け!$A$1:$BZ$3001,2013,$D$1)&amp;"",",",""),"¥",""),"￥","")),0))</f>
        <v/>
      </c>
      <c r="E2014">
        <f>IF($E$1=0,0,IFERROR(VALUE(SUBSTITUTE(SUBSTITUTE(SUBSTITUTE(INDEX(貼り付け!$A$1:$BZ$3001,2013,$E$1)&amp;"",",",""),"¥",""),"￥","")),0))</f>
        <v/>
      </c>
      <c r="F2014">
        <f>IF($F$1=0,0,IFERROR(VALUE(SUBSTITUTE(SUBSTITUTE(SUBSTITUTE(INDEX(貼り付け!$A$1:$BZ$3001,2013,$F$1)&amp;"",",",""),"¥",""),"￥","")),0))</f>
        <v/>
      </c>
      <c r="G2014">
        <f>IF(ISNUMBER(B2014),YEAR(B2014),"")</f>
        <v/>
      </c>
      <c r="H2014">
        <f>IF(ISNUMBER(B2014),MONTH(B2014),"")</f>
        <v/>
      </c>
      <c r="I2014">
        <f>IFERROR(IF($B$1=0,"",IF(ISNUMBER(INDEX(貼り付け!$A$1:$BZ$3001,2013,$B$1)),"",SUBSTITUTE(SUBSTITUTE(SUBSTITUTE(SUBSTITUTE(TRIM(LEFT(INDEX(貼り付け!$A$1:$BZ$3001,2013,$B$1)&amp;"",FIND(" ",TRIM(INDEX(貼り付け!$A$1:$BZ$3001,2013,$B$1)&amp;"")&amp;" ")-1)),"/","-"),"年","-"),"月","-"),"日",""))),"")</f>
        <v/>
      </c>
      <c r="J2014">
        <f>IFERROR(MID(I2014,FIND("-",I2014)+1,99),"")</f>
        <v/>
      </c>
    </row>
    <row r="2015">
      <c r="B2015">
        <f>IFERROR(IF($B$1=0,"",IF(INDEX(貼り付け!$A$1:$BZ$3001,2014,$B$1)="","",IF(ISNUMBER(INDEX(貼り付け!$A$1:$BZ$3001,2014,$B$1)),INT(INDEX(貼り付け!$A$1:$BZ$3001,2014,$B$1)),DATE(VALUE(LEFT(I2015,FIND("-",I2015)-1)),VALUE(LEFT(J2015,FIND("-",J2015)-1)),VALUE(MID(J2015,FIND("-",J2015)+1,99)))))),"")</f>
        <v/>
      </c>
      <c r="C2015">
        <f>IF($C$1=0,0,IFERROR(VALUE(SUBSTITUTE(SUBSTITUTE(SUBSTITUTE(INDEX(貼り付け!$A$1:$BZ$3001,2014,$C$1)&amp;"",",",""),"¥",""),"￥","")),0))</f>
        <v/>
      </c>
      <c r="D2015">
        <f>IF($D$1=0,0,IFERROR(VALUE(SUBSTITUTE(SUBSTITUTE(SUBSTITUTE(INDEX(貼り付け!$A$1:$BZ$3001,2014,$D$1)&amp;"",",",""),"¥",""),"￥","")),0))</f>
        <v/>
      </c>
      <c r="E2015">
        <f>IF($E$1=0,0,IFERROR(VALUE(SUBSTITUTE(SUBSTITUTE(SUBSTITUTE(INDEX(貼り付け!$A$1:$BZ$3001,2014,$E$1)&amp;"",",",""),"¥",""),"￥","")),0))</f>
        <v/>
      </c>
      <c r="F2015">
        <f>IF($F$1=0,0,IFERROR(VALUE(SUBSTITUTE(SUBSTITUTE(SUBSTITUTE(INDEX(貼り付け!$A$1:$BZ$3001,2014,$F$1)&amp;"",",",""),"¥",""),"￥","")),0))</f>
        <v/>
      </c>
      <c r="G2015">
        <f>IF(ISNUMBER(B2015),YEAR(B2015),"")</f>
        <v/>
      </c>
      <c r="H2015">
        <f>IF(ISNUMBER(B2015),MONTH(B2015),"")</f>
        <v/>
      </c>
      <c r="I2015">
        <f>IFERROR(IF($B$1=0,"",IF(ISNUMBER(INDEX(貼り付け!$A$1:$BZ$3001,2014,$B$1)),"",SUBSTITUTE(SUBSTITUTE(SUBSTITUTE(SUBSTITUTE(TRIM(LEFT(INDEX(貼り付け!$A$1:$BZ$3001,2014,$B$1)&amp;"",FIND(" ",TRIM(INDEX(貼り付け!$A$1:$BZ$3001,2014,$B$1)&amp;"")&amp;" ")-1)),"/","-"),"年","-"),"月","-"),"日",""))),"")</f>
        <v/>
      </c>
      <c r="J2015">
        <f>IFERROR(MID(I2015,FIND("-",I2015)+1,99),"")</f>
        <v/>
      </c>
    </row>
    <row r="2016">
      <c r="B2016">
        <f>IFERROR(IF($B$1=0,"",IF(INDEX(貼り付け!$A$1:$BZ$3001,2015,$B$1)="","",IF(ISNUMBER(INDEX(貼り付け!$A$1:$BZ$3001,2015,$B$1)),INT(INDEX(貼り付け!$A$1:$BZ$3001,2015,$B$1)),DATE(VALUE(LEFT(I2016,FIND("-",I2016)-1)),VALUE(LEFT(J2016,FIND("-",J2016)-1)),VALUE(MID(J2016,FIND("-",J2016)+1,99)))))),"")</f>
        <v/>
      </c>
      <c r="C2016">
        <f>IF($C$1=0,0,IFERROR(VALUE(SUBSTITUTE(SUBSTITUTE(SUBSTITUTE(INDEX(貼り付け!$A$1:$BZ$3001,2015,$C$1)&amp;"",",",""),"¥",""),"￥","")),0))</f>
        <v/>
      </c>
      <c r="D2016">
        <f>IF($D$1=0,0,IFERROR(VALUE(SUBSTITUTE(SUBSTITUTE(SUBSTITUTE(INDEX(貼り付け!$A$1:$BZ$3001,2015,$D$1)&amp;"",",",""),"¥",""),"￥","")),0))</f>
        <v/>
      </c>
      <c r="E2016">
        <f>IF($E$1=0,0,IFERROR(VALUE(SUBSTITUTE(SUBSTITUTE(SUBSTITUTE(INDEX(貼り付け!$A$1:$BZ$3001,2015,$E$1)&amp;"",",",""),"¥",""),"￥","")),0))</f>
        <v/>
      </c>
      <c r="F2016">
        <f>IF($F$1=0,0,IFERROR(VALUE(SUBSTITUTE(SUBSTITUTE(SUBSTITUTE(INDEX(貼り付け!$A$1:$BZ$3001,2015,$F$1)&amp;"",",",""),"¥",""),"￥","")),0))</f>
        <v/>
      </c>
      <c r="G2016">
        <f>IF(ISNUMBER(B2016),YEAR(B2016),"")</f>
        <v/>
      </c>
      <c r="H2016">
        <f>IF(ISNUMBER(B2016),MONTH(B2016),"")</f>
        <v/>
      </c>
      <c r="I2016">
        <f>IFERROR(IF($B$1=0,"",IF(ISNUMBER(INDEX(貼り付け!$A$1:$BZ$3001,2015,$B$1)),"",SUBSTITUTE(SUBSTITUTE(SUBSTITUTE(SUBSTITUTE(TRIM(LEFT(INDEX(貼り付け!$A$1:$BZ$3001,2015,$B$1)&amp;"",FIND(" ",TRIM(INDEX(貼り付け!$A$1:$BZ$3001,2015,$B$1)&amp;"")&amp;" ")-1)),"/","-"),"年","-"),"月","-"),"日",""))),"")</f>
        <v/>
      </c>
      <c r="J2016">
        <f>IFERROR(MID(I2016,FIND("-",I2016)+1,99),"")</f>
        <v/>
      </c>
    </row>
    <row r="2017">
      <c r="B2017">
        <f>IFERROR(IF($B$1=0,"",IF(INDEX(貼り付け!$A$1:$BZ$3001,2016,$B$1)="","",IF(ISNUMBER(INDEX(貼り付け!$A$1:$BZ$3001,2016,$B$1)),INT(INDEX(貼り付け!$A$1:$BZ$3001,2016,$B$1)),DATE(VALUE(LEFT(I2017,FIND("-",I2017)-1)),VALUE(LEFT(J2017,FIND("-",J2017)-1)),VALUE(MID(J2017,FIND("-",J2017)+1,99)))))),"")</f>
        <v/>
      </c>
      <c r="C2017">
        <f>IF($C$1=0,0,IFERROR(VALUE(SUBSTITUTE(SUBSTITUTE(SUBSTITUTE(INDEX(貼り付け!$A$1:$BZ$3001,2016,$C$1)&amp;"",",",""),"¥",""),"￥","")),0))</f>
        <v/>
      </c>
      <c r="D2017">
        <f>IF($D$1=0,0,IFERROR(VALUE(SUBSTITUTE(SUBSTITUTE(SUBSTITUTE(INDEX(貼り付け!$A$1:$BZ$3001,2016,$D$1)&amp;"",",",""),"¥",""),"￥","")),0))</f>
        <v/>
      </c>
      <c r="E2017">
        <f>IF($E$1=0,0,IFERROR(VALUE(SUBSTITUTE(SUBSTITUTE(SUBSTITUTE(INDEX(貼り付け!$A$1:$BZ$3001,2016,$E$1)&amp;"",",",""),"¥",""),"￥","")),0))</f>
        <v/>
      </c>
      <c r="F2017">
        <f>IF($F$1=0,0,IFERROR(VALUE(SUBSTITUTE(SUBSTITUTE(SUBSTITUTE(INDEX(貼り付け!$A$1:$BZ$3001,2016,$F$1)&amp;"",",",""),"¥",""),"￥","")),0))</f>
        <v/>
      </c>
      <c r="G2017">
        <f>IF(ISNUMBER(B2017),YEAR(B2017),"")</f>
        <v/>
      </c>
      <c r="H2017">
        <f>IF(ISNUMBER(B2017),MONTH(B2017),"")</f>
        <v/>
      </c>
      <c r="I2017">
        <f>IFERROR(IF($B$1=0,"",IF(ISNUMBER(INDEX(貼り付け!$A$1:$BZ$3001,2016,$B$1)),"",SUBSTITUTE(SUBSTITUTE(SUBSTITUTE(SUBSTITUTE(TRIM(LEFT(INDEX(貼り付け!$A$1:$BZ$3001,2016,$B$1)&amp;"",FIND(" ",TRIM(INDEX(貼り付け!$A$1:$BZ$3001,2016,$B$1)&amp;"")&amp;" ")-1)),"/","-"),"年","-"),"月","-"),"日",""))),"")</f>
        <v/>
      </c>
      <c r="J2017">
        <f>IFERROR(MID(I2017,FIND("-",I2017)+1,99),"")</f>
        <v/>
      </c>
    </row>
    <row r="2018">
      <c r="B2018">
        <f>IFERROR(IF($B$1=0,"",IF(INDEX(貼り付け!$A$1:$BZ$3001,2017,$B$1)="","",IF(ISNUMBER(INDEX(貼り付け!$A$1:$BZ$3001,2017,$B$1)),INT(INDEX(貼り付け!$A$1:$BZ$3001,2017,$B$1)),DATE(VALUE(LEFT(I2018,FIND("-",I2018)-1)),VALUE(LEFT(J2018,FIND("-",J2018)-1)),VALUE(MID(J2018,FIND("-",J2018)+1,99)))))),"")</f>
        <v/>
      </c>
      <c r="C2018">
        <f>IF($C$1=0,0,IFERROR(VALUE(SUBSTITUTE(SUBSTITUTE(SUBSTITUTE(INDEX(貼り付け!$A$1:$BZ$3001,2017,$C$1)&amp;"",",",""),"¥",""),"￥","")),0))</f>
        <v/>
      </c>
      <c r="D2018">
        <f>IF($D$1=0,0,IFERROR(VALUE(SUBSTITUTE(SUBSTITUTE(SUBSTITUTE(INDEX(貼り付け!$A$1:$BZ$3001,2017,$D$1)&amp;"",",",""),"¥",""),"￥","")),0))</f>
        <v/>
      </c>
      <c r="E2018">
        <f>IF($E$1=0,0,IFERROR(VALUE(SUBSTITUTE(SUBSTITUTE(SUBSTITUTE(INDEX(貼り付け!$A$1:$BZ$3001,2017,$E$1)&amp;"",",",""),"¥",""),"￥","")),0))</f>
        <v/>
      </c>
      <c r="F2018">
        <f>IF($F$1=0,0,IFERROR(VALUE(SUBSTITUTE(SUBSTITUTE(SUBSTITUTE(INDEX(貼り付け!$A$1:$BZ$3001,2017,$F$1)&amp;"",",",""),"¥",""),"￥","")),0))</f>
        <v/>
      </c>
      <c r="G2018">
        <f>IF(ISNUMBER(B2018),YEAR(B2018),"")</f>
        <v/>
      </c>
      <c r="H2018">
        <f>IF(ISNUMBER(B2018),MONTH(B2018),"")</f>
        <v/>
      </c>
      <c r="I2018">
        <f>IFERROR(IF($B$1=0,"",IF(ISNUMBER(INDEX(貼り付け!$A$1:$BZ$3001,2017,$B$1)),"",SUBSTITUTE(SUBSTITUTE(SUBSTITUTE(SUBSTITUTE(TRIM(LEFT(INDEX(貼り付け!$A$1:$BZ$3001,2017,$B$1)&amp;"",FIND(" ",TRIM(INDEX(貼り付け!$A$1:$BZ$3001,2017,$B$1)&amp;"")&amp;" ")-1)),"/","-"),"年","-"),"月","-"),"日",""))),"")</f>
        <v/>
      </c>
      <c r="J2018">
        <f>IFERROR(MID(I2018,FIND("-",I2018)+1,99),"")</f>
        <v/>
      </c>
    </row>
    <row r="2019">
      <c r="B2019">
        <f>IFERROR(IF($B$1=0,"",IF(INDEX(貼り付け!$A$1:$BZ$3001,2018,$B$1)="","",IF(ISNUMBER(INDEX(貼り付け!$A$1:$BZ$3001,2018,$B$1)),INT(INDEX(貼り付け!$A$1:$BZ$3001,2018,$B$1)),DATE(VALUE(LEFT(I2019,FIND("-",I2019)-1)),VALUE(LEFT(J2019,FIND("-",J2019)-1)),VALUE(MID(J2019,FIND("-",J2019)+1,99)))))),"")</f>
        <v/>
      </c>
      <c r="C2019">
        <f>IF($C$1=0,0,IFERROR(VALUE(SUBSTITUTE(SUBSTITUTE(SUBSTITUTE(INDEX(貼り付け!$A$1:$BZ$3001,2018,$C$1)&amp;"",",",""),"¥",""),"￥","")),0))</f>
        <v/>
      </c>
      <c r="D2019">
        <f>IF($D$1=0,0,IFERROR(VALUE(SUBSTITUTE(SUBSTITUTE(SUBSTITUTE(INDEX(貼り付け!$A$1:$BZ$3001,2018,$D$1)&amp;"",",",""),"¥",""),"￥","")),0))</f>
        <v/>
      </c>
      <c r="E2019">
        <f>IF($E$1=0,0,IFERROR(VALUE(SUBSTITUTE(SUBSTITUTE(SUBSTITUTE(INDEX(貼り付け!$A$1:$BZ$3001,2018,$E$1)&amp;"",",",""),"¥",""),"￥","")),0))</f>
        <v/>
      </c>
      <c r="F2019">
        <f>IF($F$1=0,0,IFERROR(VALUE(SUBSTITUTE(SUBSTITUTE(SUBSTITUTE(INDEX(貼り付け!$A$1:$BZ$3001,2018,$F$1)&amp;"",",",""),"¥",""),"￥","")),0))</f>
        <v/>
      </c>
      <c r="G2019">
        <f>IF(ISNUMBER(B2019),YEAR(B2019),"")</f>
        <v/>
      </c>
      <c r="H2019">
        <f>IF(ISNUMBER(B2019),MONTH(B2019),"")</f>
        <v/>
      </c>
      <c r="I2019">
        <f>IFERROR(IF($B$1=0,"",IF(ISNUMBER(INDEX(貼り付け!$A$1:$BZ$3001,2018,$B$1)),"",SUBSTITUTE(SUBSTITUTE(SUBSTITUTE(SUBSTITUTE(TRIM(LEFT(INDEX(貼り付け!$A$1:$BZ$3001,2018,$B$1)&amp;"",FIND(" ",TRIM(INDEX(貼り付け!$A$1:$BZ$3001,2018,$B$1)&amp;"")&amp;" ")-1)),"/","-"),"年","-"),"月","-"),"日",""))),"")</f>
        <v/>
      </c>
      <c r="J2019">
        <f>IFERROR(MID(I2019,FIND("-",I2019)+1,99),"")</f>
        <v/>
      </c>
    </row>
    <row r="2020">
      <c r="B2020">
        <f>IFERROR(IF($B$1=0,"",IF(INDEX(貼り付け!$A$1:$BZ$3001,2019,$B$1)="","",IF(ISNUMBER(INDEX(貼り付け!$A$1:$BZ$3001,2019,$B$1)),INT(INDEX(貼り付け!$A$1:$BZ$3001,2019,$B$1)),DATE(VALUE(LEFT(I2020,FIND("-",I2020)-1)),VALUE(LEFT(J2020,FIND("-",J2020)-1)),VALUE(MID(J2020,FIND("-",J2020)+1,99)))))),"")</f>
        <v/>
      </c>
      <c r="C2020">
        <f>IF($C$1=0,0,IFERROR(VALUE(SUBSTITUTE(SUBSTITUTE(SUBSTITUTE(INDEX(貼り付け!$A$1:$BZ$3001,2019,$C$1)&amp;"",",",""),"¥",""),"￥","")),0))</f>
        <v/>
      </c>
      <c r="D2020">
        <f>IF($D$1=0,0,IFERROR(VALUE(SUBSTITUTE(SUBSTITUTE(SUBSTITUTE(INDEX(貼り付け!$A$1:$BZ$3001,2019,$D$1)&amp;"",",",""),"¥",""),"￥","")),0))</f>
        <v/>
      </c>
      <c r="E2020">
        <f>IF($E$1=0,0,IFERROR(VALUE(SUBSTITUTE(SUBSTITUTE(SUBSTITUTE(INDEX(貼り付け!$A$1:$BZ$3001,2019,$E$1)&amp;"",",",""),"¥",""),"￥","")),0))</f>
        <v/>
      </c>
      <c r="F2020">
        <f>IF($F$1=0,0,IFERROR(VALUE(SUBSTITUTE(SUBSTITUTE(SUBSTITUTE(INDEX(貼り付け!$A$1:$BZ$3001,2019,$F$1)&amp;"",",",""),"¥",""),"￥","")),0))</f>
        <v/>
      </c>
      <c r="G2020">
        <f>IF(ISNUMBER(B2020),YEAR(B2020),"")</f>
        <v/>
      </c>
      <c r="H2020">
        <f>IF(ISNUMBER(B2020),MONTH(B2020),"")</f>
        <v/>
      </c>
      <c r="I2020">
        <f>IFERROR(IF($B$1=0,"",IF(ISNUMBER(INDEX(貼り付け!$A$1:$BZ$3001,2019,$B$1)),"",SUBSTITUTE(SUBSTITUTE(SUBSTITUTE(SUBSTITUTE(TRIM(LEFT(INDEX(貼り付け!$A$1:$BZ$3001,2019,$B$1)&amp;"",FIND(" ",TRIM(INDEX(貼り付け!$A$1:$BZ$3001,2019,$B$1)&amp;"")&amp;" ")-1)),"/","-"),"年","-"),"月","-"),"日",""))),"")</f>
        <v/>
      </c>
      <c r="J2020">
        <f>IFERROR(MID(I2020,FIND("-",I2020)+1,99),"")</f>
        <v/>
      </c>
    </row>
    <row r="2021">
      <c r="B2021">
        <f>IFERROR(IF($B$1=0,"",IF(INDEX(貼り付け!$A$1:$BZ$3001,2020,$B$1)="","",IF(ISNUMBER(INDEX(貼り付け!$A$1:$BZ$3001,2020,$B$1)),INT(INDEX(貼り付け!$A$1:$BZ$3001,2020,$B$1)),DATE(VALUE(LEFT(I2021,FIND("-",I2021)-1)),VALUE(LEFT(J2021,FIND("-",J2021)-1)),VALUE(MID(J2021,FIND("-",J2021)+1,99)))))),"")</f>
        <v/>
      </c>
      <c r="C2021">
        <f>IF($C$1=0,0,IFERROR(VALUE(SUBSTITUTE(SUBSTITUTE(SUBSTITUTE(INDEX(貼り付け!$A$1:$BZ$3001,2020,$C$1)&amp;"",",",""),"¥",""),"￥","")),0))</f>
        <v/>
      </c>
      <c r="D2021">
        <f>IF($D$1=0,0,IFERROR(VALUE(SUBSTITUTE(SUBSTITUTE(SUBSTITUTE(INDEX(貼り付け!$A$1:$BZ$3001,2020,$D$1)&amp;"",",",""),"¥",""),"￥","")),0))</f>
        <v/>
      </c>
      <c r="E2021">
        <f>IF($E$1=0,0,IFERROR(VALUE(SUBSTITUTE(SUBSTITUTE(SUBSTITUTE(INDEX(貼り付け!$A$1:$BZ$3001,2020,$E$1)&amp;"",",",""),"¥",""),"￥","")),0))</f>
        <v/>
      </c>
      <c r="F2021">
        <f>IF($F$1=0,0,IFERROR(VALUE(SUBSTITUTE(SUBSTITUTE(SUBSTITUTE(INDEX(貼り付け!$A$1:$BZ$3001,2020,$F$1)&amp;"",",",""),"¥",""),"￥","")),0))</f>
        <v/>
      </c>
      <c r="G2021">
        <f>IF(ISNUMBER(B2021),YEAR(B2021),"")</f>
        <v/>
      </c>
      <c r="H2021">
        <f>IF(ISNUMBER(B2021),MONTH(B2021),"")</f>
        <v/>
      </c>
      <c r="I2021">
        <f>IFERROR(IF($B$1=0,"",IF(ISNUMBER(INDEX(貼り付け!$A$1:$BZ$3001,2020,$B$1)),"",SUBSTITUTE(SUBSTITUTE(SUBSTITUTE(SUBSTITUTE(TRIM(LEFT(INDEX(貼り付け!$A$1:$BZ$3001,2020,$B$1)&amp;"",FIND(" ",TRIM(INDEX(貼り付け!$A$1:$BZ$3001,2020,$B$1)&amp;"")&amp;" ")-1)),"/","-"),"年","-"),"月","-"),"日",""))),"")</f>
        <v/>
      </c>
      <c r="J2021">
        <f>IFERROR(MID(I2021,FIND("-",I2021)+1,99),"")</f>
        <v/>
      </c>
    </row>
    <row r="2022">
      <c r="B2022">
        <f>IFERROR(IF($B$1=0,"",IF(INDEX(貼り付け!$A$1:$BZ$3001,2021,$B$1)="","",IF(ISNUMBER(INDEX(貼り付け!$A$1:$BZ$3001,2021,$B$1)),INT(INDEX(貼り付け!$A$1:$BZ$3001,2021,$B$1)),DATE(VALUE(LEFT(I2022,FIND("-",I2022)-1)),VALUE(LEFT(J2022,FIND("-",J2022)-1)),VALUE(MID(J2022,FIND("-",J2022)+1,99)))))),"")</f>
        <v/>
      </c>
      <c r="C2022">
        <f>IF($C$1=0,0,IFERROR(VALUE(SUBSTITUTE(SUBSTITUTE(SUBSTITUTE(INDEX(貼り付け!$A$1:$BZ$3001,2021,$C$1)&amp;"",",",""),"¥",""),"￥","")),0))</f>
        <v/>
      </c>
      <c r="D2022">
        <f>IF($D$1=0,0,IFERROR(VALUE(SUBSTITUTE(SUBSTITUTE(SUBSTITUTE(INDEX(貼り付け!$A$1:$BZ$3001,2021,$D$1)&amp;"",",",""),"¥",""),"￥","")),0))</f>
        <v/>
      </c>
      <c r="E2022">
        <f>IF($E$1=0,0,IFERROR(VALUE(SUBSTITUTE(SUBSTITUTE(SUBSTITUTE(INDEX(貼り付け!$A$1:$BZ$3001,2021,$E$1)&amp;"",",",""),"¥",""),"￥","")),0))</f>
        <v/>
      </c>
      <c r="F2022">
        <f>IF($F$1=0,0,IFERROR(VALUE(SUBSTITUTE(SUBSTITUTE(SUBSTITUTE(INDEX(貼り付け!$A$1:$BZ$3001,2021,$F$1)&amp;"",",",""),"¥",""),"￥","")),0))</f>
        <v/>
      </c>
      <c r="G2022">
        <f>IF(ISNUMBER(B2022),YEAR(B2022),"")</f>
        <v/>
      </c>
      <c r="H2022">
        <f>IF(ISNUMBER(B2022),MONTH(B2022),"")</f>
        <v/>
      </c>
      <c r="I2022">
        <f>IFERROR(IF($B$1=0,"",IF(ISNUMBER(INDEX(貼り付け!$A$1:$BZ$3001,2021,$B$1)),"",SUBSTITUTE(SUBSTITUTE(SUBSTITUTE(SUBSTITUTE(TRIM(LEFT(INDEX(貼り付け!$A$1:$BZ$3001,2021,$B$1)&amp;"",FIND(" ",TRIM(INDEX(貼り付け!$A$1:$BZ$3001,2021,$B$1)&amp;"")&amp;" ")-1)),"/","-"),"年","-"),"月","-"),"日",""))),"")</f>
        <v/>
      </c>
      <c r="J2022">
        <f>IFERROR(MID(I2022,FIND("-",I2022)+1,99),"")</f>
        <v/>
      </c>
    </row>
    <row r="2023">
      <c r="B2023">
        <f>IFERROR(IF($B$1=0,"",IF(INDEX(貼り付け!$A$1:$BZ$3001,2022,$B$1)="","",IF(ISNUMBER(INDEX(貼り付け!$A$1:$BZ$3001,2022,$B$1)),INT(INDEX(貼り付け!$A$1:$BZ$3001,2022,$B$1)),DATE(VALUE(LEFT(I2023,FIND("-",I2023)-1)),VALUE(LEFT(J2023,FIND("-",J2023)-1)),VALUE(MID(J2023,FIND("-",J2023)+1,99)))))),"")</f>
        <v/>
      </c>
      <c r="C2023">
        <f>IF($C$1=0,0,IFERROR(VALUE(SUBSTITUTE(SUBSTITUTE(SUBSTITUTE(INDEX(貼り付け!$A$1:$BZ$3001,2022,$C$1)&amp;"",",",""),"¥",""),"￥","")),0))</f>
        <v/>
      </c>
      <c r="D2023">
        <f>IF($D$1=0,0,IFERROR(VALUE(SUBSTITUTE(SUBSTITUTE(SUBSTITUTE(INDEX(貼り付け!$A$1:$BZ$3001,2022,$D$1)&amp;"",",",""),"¥",""),"￥","")),0))</f>
        <v/>
      </c>
      <c r="E2023">
        <f>IF($E$1=0,0,IFERROR(VALUE(SUBSTITUTE(SUBSTITUTE(SUBSTITUTE(INDEX(貼り付け!$A$1:$BZ$3001,2022,$E$1)&amp;"",",",""),"¥",""),"￥","")),0))</f>
        <v/>
      </c>
      <c r="F2023">
        <f>IF($F$1=0,0,IFERROR(VALUE(SUBSTITUTE(SUBSTITUTE(SUBSTITUTE(INDEX(貼り付け!$A$1:$BZ$3001,2022,$F$1)&amp;"",",",""),"¥",""),"￥","")),0))</f>
        <v/>
      </c>
      <c r="G2023">
        <f>IF(ISNUMBER(B2023),YEAR(B2023),"")</f>
        <v/>
      </c>
      <c r="H2023">
        <f>IF(ISNUMBER(B2023),MONTH(B2023),"")</f>
        <v/>
      </c>
      <c r="I2023">
        <f>IFERROR(IF($B$1=0,"",IF(ISNUMBER(INDEX(貼り付け!$A$1:$BZ$3001,2022,$B$1)),"",SUBSTITUTE(SUBSTITUTE(SUBSTITUTE(SUBSTITUTE(TRIM(LEFT(INDEX(貼り付け!$A$1:$BZ$3001,2022,$B$1)&amp;"",FIND(" ",TRIM(INDEX(貼り付け!$A$1:$BZ$3001,2022,$B$1)&amp;"")&amp;" ")-1)),"/","-"),"年","-"),"月","-"),"日",""))),"")</f>
        <v/>
      </c>
      <c r="J2023">
        <f>IFERROR(MID(I2023,FIND("-",I2023)+1,99),"")</f>
        <v/>
      </c>
    </row>
    <row r="2024">
      <c r="B2024">
        <f>IFERROR(IF($B$1=0,"",IF(INDEX(貼り付け!$A$1:$BZ$3001,2023,$B$1)="","",IF(ISNUMBER(INDEX(貼り付け!$A$1:$BZ$3001,2023,$B$1)),INT(INDEX(貼り付け!$A$1:$BZ$3001,2023,$B$1)),DATE(VALUE(LEFT(I2024,FIND("-",I2024)-1)),VALUE(LEFT(J2024,FIND("-",J2024)-1)),VALUE(MID(J2024,FIND("-",J2024)+1,99)))))),"")</f>
        <v/>
      </c>
      <c r="C2024">
        <f>IF($C$1=0,0,IFERROR(VALUE(SUBSTITUTE(SUBSTITUTE(SUBSTITUTE(INDEX(貼り付け!$A$1:$BZ$3001,2023,$C$1)&amp;"",",",""),"¥",""),"￥","")),0))</f>
        <v/>
      </c>
      <c r="D2024">
        <f>IF($D$1=0,0,IFERROR(VALUE(SUBSTITUTE(SUBSTITUTE(SUBSTITUTE(INDEX(貼り付け!$A$1:$BZ$3001,2023,$D$1)&amp;"",",",""),"¥",""),"￥","")),0))</f>
        <v/>
      </c>
      <c r="E2024">
        <f>IF($E$1=0,0,IFERROR(VALUE(SUBSTITUTE(SUBSTITUTE(SUBSTITUTE(INDEX(貼り付け!$A$1:$BZ$3001,2023,$E$1)&amp;"",",",""),"¥",""),"￥","")),0))</f>
        <v/>
      </c>
      <c r="F2024">
        <f>IF($F$1=0,0,IFERROR(VALUE(SUBSTITUTE(SUBSTITUTE(SUBSTITUTE(INDEX(貼り付け!$A$1:$BZ$3001,2023,$F$1)&amp;"",",",""),"¥",""),"￥","")),0))</f>
        <v/>
      </c>
      <c r="G2024">
        <f>IF(ISNUMBER(B2024),YEAR(B2024),"")</f>
        <v/>
      </c>
      <c r="H2024">
        <f>IF(ISNUMBER(B2024),MONTH(B2024),"")</f>
        <v/>
      </c>
      <c r="I2024">
        <f>IFERROR(IF($B$1=0,"",IF(ISNUMBER(INDEX(貼り付け!$A$1:$BZ$3001,2023,$B$1)),"",SUBSTITUTE(SUBSTITUTE(SUBSTITUTE(SUBSTITUTE(TRIM(LEFT(INDEX(貼り付け!$A$1:$BZ$3001,2023,$B$1)&amp;"",FIND(" ",TRIM(INDEX(貼り付け!$A$1:$BZ$3001,2023,$B$1)&amp;"")&amp;" ")-1)),"/","-"),"年","-"),"月","-"),"日",""))),"")</f>
        <v/>
      </c>
      <c r="J2024">
        <f>IFERROR(MID(I2024,FIND("-",I2024)+1,99),"")</f>
        <v/>
      </c>
    </row>
    <row r="2025">
      <c r="B2025">
        <f>IFERROR(IF($B$1=0,"",IF(INDEX(貼り付け!$A$1:$BZ$3001,2024,$B$1)="","",IF(ISNUMBER(INDEX(貼り付け!$A$1:$BZ$3001,2024,$B$1)),INT(INDEX(貼り付け!$A$1:$BZ$3001,2024,$B$1)),DATE(VALUE(LEFT(I2025,FIND("-",I2025)-1)),VALUE(LEFT(J2025,FIND("-",J2025)-1)),VALUE(MID(J2025,FIND("-",J2025)+1,99)))))),"")</f>
        <v/>
      </c>
      <c r="C2025">
        <f>IF($C$1=0,0,IFERROR(VALUE(SUBSTITUTE(SUBSTITUTE(SUBSTITUTE(INDEX(貼り付け!$A$1:$BZ$3001,2024,$C$1)&amp;"",",",""),"¥",""),"￥","")),0))</f>
        <v/>
      </c>
      <c r="D2025">
        <f>IF($D$1=0,0,IFERROR(VALUE(SUBSTITUTE(SUBSTITUTE(SUBSTITUTE(INDEX(貼り付け!$A$1:$BZ$3001,2024,$D$1)&amp;"",",",""),"¥",""),"￥","")),0))</f>
        <v/>
      </c>
      <c r="E2025">
        <f>IF($E$1=0,0,IFERROR(VALUE(SUBSTITUTE(SUBSTITUTE(SUBSTITUTE(INDEX(貼り付け!$A$1:$BZ$3001,2024,$E$1)&amp;"",",",""),"¥",""),"￥","")),0))</f>
        <v/>
      </c>
      <c r="F2025">
        <f>IF($F$1=0,0,IFERROR(VALUE(SUBSTITUTE(SUBSTITUTE(SUBSTITUTE(INDEX(貼り付け!$A$1:$BZ$3001,2024,$F$1)&amp;"",",",""),"¥",""),"￥","")),0))</f>
        <v/>
      </c>
      <c r="G2025">
        <f>IF(ISNUMBER(B2025),YEAR(B2025),"")</f>
        <v/>
      </c>
      <c r="H2025">
        <f>IF(ISNUMBER(B2025),MONTH(B2025),"")</f>
        <v/>
      </c>
      <c r="I2025">
        <f>IFERROR(IF($B$1=0,"",IF(ISNUMBER(INDEX(貼り付け!$A$1:$BZ$3001,2024,$B$1)),"",SUBSTITUTE(SUBSTITUTE(SUBSTITUTE(SUBSTITUTE(TRIM(LEFT(INDEX(貼り付け!$A$1:$BZ$3001,2024,$B$1)&amp;"",FIND(" ",TRIM(INDEX(貼り付け!$A$1:$BZ$3001,2024,$B$1)&amp;"")&amp;" ")-1)),"/","-"),"年","-"),"月","-"),"日",""))),"")</f>
        <v/>
      </c>
      <c r="J2025">
        <f>IFERROR(MID(I2025,FIND("-",I2025)+1,99),"")</f>
        <v/>
      </c>
    </row>
    <row r="2026">
      <c r="B2026">
        <f>IFERROR(IF($B$1=0,"",IF(INDEX(貼り付け!$A$1:$BZ$3001,2025,$B$1)="","",IF(ISNUMBER(INDEX(貼り付け!$A$1:$BZ$3001,2025,$B$1)),INT(INDEX(貼り付け!$A$1:$BZ$3001,2025,$B$1)),DATE(VALUE(LEFT(I2026,FIND("-",I2026)-1)),VALUE(LEFT(J2026,FIND("-",J2026)-1)),VALUE(MID(J2026,FIND("-",J2026)+1,99)))))),"")</f>
        <v/>
      </c>
      <c r="C2026">
        <f>IF($C$1=0,0,IFERROR(VALUE(SUBSTITUTE(SUBSTITUTE(SUBSTITUTE(INDEX(貼り付け!$A$1:$BZ$3001,2025,$C$1)&amp;"",",",""),"¥",""),"￥","")),0))</f>
        <v/>
      </c>
      <c r="D2026">
        <f>IF($D$1=0,0,IFERROR(VALUE(SUBSTITUTE(SUBSTITUTE(SUBSTITUTE(INDEX(貼り付け!$A$1:$BZ$3001,2025,$D$1)&amp;"",",",""),"¥",""),"￥","")),0))</f>
        <v/>
      </c>
      <c r="E2026">
        <f>IF($E$1=0,0,IFERROR(VALUE(SUBSTITUTE(SUBSTITUTE(SUBSTITUTE(INDEX(貼り付け!$A$1:$BZ$3001,2025,$E$1)&amp;"",",",""),"¥",""),"￥","")),0))</f>
        <v/>
      </c>
      <c r="F2026">
        <f>IF($F$1=0,0,IFERROR(VALUE(SUBSTITUTE(SUBSTITUTE(SUBSTITUTE(INDEX(貼り付け!$A$1:$BZ$3001,2025,$F$1)&amp;"",",",""),"¥",""),"￥","")),0))</f>
        <v/>
      </c>
      <c r="G2026">
        <f>IF(ISNUMBER(B2026),YEAR(B2026),"")</f>
        <v/>
      </c>
      <c r="H2026">
        <f>IF(ISNUMBER(B2026),MONTH(B2026),"")</f>
        <v/>
      </c>
      <c r="I2026">
        <f>IFERROR(IF($B$1=0,"",IF(ISNUMBER(INDEX(貼り付け!$A$1:$BZ$3001,2025,$B$1)),"",SUBSTITUTE(SUBSTITUTE(SUBSTITUTE(SUBSTITUTE(TRIM(LEFT(INDEX(貼り付け!$A$1:$BZ$3001,2025,$B$1)&amp;"",FIND(" ",TRIM(INDEX(貼り付け!$A$1:$BZ$3001,2025,$B$1)&amp;"")&amp;" ")-1)),"/","-"),"年","-"),"月","-"),"日",""))),"")</f>
        <v/>
      </c>
      <c r="J2026">
        <f>IFERROR(MID(I2026,FIND("-",I2026)+1,99),"")</f>
        <v/>
      </c>
    </row>
    <row r="2027">
      <c r="B2027">
        <f>IFERROR(IF($B$1=0,"",IF(INDEX(貼り付け!$A$1:$BZ$3001,2026,$B$1)="","",IF(ISNUMBER(INDEX(貼り付け!$A$1:$BZ$3001,2026,$B$1)),INT(INDEX(貼り付け!$A$1:$BZ$3001,2026,$B$1)),DATE(VALUE(LEFT(I2027,FIND("-",I2027)-1)),VALUE(LEFT(J2027,FIND("-",J2027)-1)),VALUE(MID(J2027,FIND("-",J2027)+1,99)))))),"")</f>
        <v/>
      </c>
      <c r="C2027">
        <f>IF($C$1=0,0,IFERROR(VALUE(SUBSTITUTE(SUBSTITUTE(SUBSTITUTE(INDEX(貼り付け!$A$1:$BZ$3001,2026,$C$1)&amp;"",",",""),"¥",""),"￥","")),0))</f>
        <v/>
      </c>
      <c r="D2027">
        <f>IF($D$1=0,0,IFERROR(VALUE(SUBSTITUTE(SUBSTITUTE(SUBSTITUTE(INDEX(貼り付け!$A$1:$BZ$3001,2026,$D$1)&amp;"",",",""),"¥",""),"￥","")),0))</f>
        <v/>
      </c>
      <c r="E2027">
        <f>IF($E$1=0,0,IFERROR(VALUE(SUBSTITUTE(SUBSTITUTE(SUBSTITUTE(INDEX(貼り付け!$A$1:$BZ$3001,2026,$E$1)&amp;"",",",""),"¥",""),"￥","")),0))</f>
        <v/>
      </c>
      <c r="F2027">
        <f>IF($F$1=0,0,IFERROR(VALUE(SUBSTITUTE(SUBSTITUTE(SUBSTITUTE(INDEX(貼り付け!$A$1:$BZ$3001,2026,$F$1)&amp;"",",",""),"¥",""),"￥","")),0))</f>
        <v/>
      </c>
      <c r="G2027">
        <f>IF(ISNUMBER(B2027),YEAR(B2027),"")</f>
        <v/>
      </c>
      <c r="H2027">
        <f>IF(ISNUMBER(B2027),MONTH(B2027),"")</f>
        <v/>
      </c>
      <c r="I2027">
        <f>IFERROR(IF($B$1=0,"",IF(ISNUMBER(INDEX(貼り付け!$A$1:$BZ$3001,2026,$B$1)),"",SUBSTITUTE(SUBSTITUTE(SUBSTITUTE(SUBSTITUTE(TRIM(LEFT(INDEX(貼り付け!$A$1:$BZ$3001,2026,$B$1)&amp;"",FIND(" ",TRIM(INDEX(貼り付け!$A$1:$BZ$3001,2026,$B$1)&amp;"")&amp;" ")-1)),"/","-"),"年","-"),"月","-"),"日",""))),"")</f>
        <v/>
      </c>
      <c r="J2027">
        <f>IFERROR(MID(I2027,FIND("-",I2027)+1,99),"")</f>
        <v/>
      </c>
    </row>
    <row r="2028">
      <c r="B2028">
        <f>IFERROR(IF($B$1=0,"",IF(INDEX(貼り付け!$A$1:$BZ$3001,2027,$B$1)="","",IF(ISNUMBER(INDEX(貼り付け!$A$1:$BZ$3001,2027,$B$1)),INT(INDEX(貼り付け!$A$1:$BZ$3001,2027,$B$1)),DATE(VALUE(LEFT(I2028,FIND("-",I2028)-1)),VALUE(LEFT(J2028,FIND("-",J2028)-1)),VALUE(MID(J2028,FIND("-",J2028)+1,99)))))),"")</f>
        <v/>
      </c>
      <c r="C2028">
        <f>IF($C$1=0,0,IFERROR(VALUE(SUBSTITUTE(SUBSTITUTE(SUBSTITUTE(INDEX(貼り付け!$A$1:$BZ$3001,2027,$C$1)&amp;"",",",""),"¥",""),"￥","")),0))</f>
        <v/>
      </c>
      <c r="D2028">
        <f>IF($D$1=0,0,IFERROR(VALUE(SUBSTITUTE(SUBSTITUTE(SUBSTITUTE(INDEX(貼り付け!$A$1:$BZ$3001,2027,$D$1)&amp;"",",",""),"¥",""),"￥","")),0))</f>
        <v/>
      </c>
      <c r="E2028">
        <f>IF($E$1=0,0,IFERROR(VALUE(SUBSTITUTE(SUBSTITUTE(SUBSTITUTE(INDEX(貼り付け!$A$1:$BZ$3001,2027,$E$1)&amp;"",",",""),"¥",""),"￥","")),0))</f>
        <v/>
      </c>
      <c r="F2028">
        <f>IF($F$1=0,0,IFERROR(VALUE(SUBSTITUTE(SUBSTITUTE(SUBSTITUTE(INDEX(貼り付け!$A$1:$BZ$3001,2027,$F$1)&amp;"",",",""),"¥",""),"￥","")),0))</f>
        <v/>
      </c>
      <c r="G2028">
        <f>IF(ISNUMBER(B2028),YEAR(B2028),"")</f>
        <v/>
      </c>
      <c r="H2028">
        <f>IF(ISNUMBER(B2028),MONTH(B2028),"")</f>
        <v/>
      </c>
      <c r="I2028">
        <f>IFERROR(IF($B$1=0,"",IF(ISNUMBER(INDEX(貼り付け!$A$1:$BZ$3001,2027,$B$1)),"",SUBSTITUTE(SUBSTITUTE(SUBSTITUTE(SUBSTITUTE(TRIM(LEFT(INDEX(貼り付け!$A$1:$BZ$3001,2027,$B$1)&amp;"",FIND(" ",TRIM(INDEX(貼り付け!$A$1:$BZ$3001,2027,$B$1)&amp;"")&amp;" ")-1)),"/","-"),"年","-"),"月","-"),"日",""))),"")</f>
        <v/>
      </c>
      <c r="J2028">
        <f>IFERROR(MID(I2028,FIND("-",I2028)+1,99),"")</f>
        <v/>
      </c>
    </row>
    <row r="2029">
      <c r="B2029">
        <f>IFERROR(IF($B$1=0,"",IF(INDEX(貼り付け!$A$1:$BZ$3001,2028,$B$1)="","",IF(ISNUMBER(INDEX(貼り付け!$A$1:$BZ$3001,2028,$B$1)),INT(INDEX(貼り付け!$A$1:$BZ$3001,2028,$B$1)),DATE(VALUE(LEFT(I2029,FIND("-",I2029)-1)),VALUE(LEFT(J2029,FIND("-",J2029)-1)),VALUE(MID(J2029,FIND("-",J2029)+1,99)))))),"")</f>
        <v/>
      </c>
      <c r="C2029">
        <f>IF($C$1=0,0,IFERROR(VALUE(SUBSTITUTE(SUBSTITUTE(SUBSTITUTE(INDEX(貼り付け!$A$1:$BZ$3001,2028,$C$1)&amp;"",",",""),"¥",""),"￥","")),0))</f>
        <v/>
      </c>
      <c r="D2029">
        <f>IF($D$1=0,0,IFERROR(VALUE(SUBSTITUTE(SUBSTITUTE(SUBSTITUTE(INDEX(貼り付け!$A$1:$BZ$3001,2028,$D$1)&amp;"",",",""),"¥",""),"￥","")),0))</f>
        <v/>
      </c>
      <c r="E2029">
        <f>IF($E$1=0,0,IFERROR(VALUE(SUBSTITUTE(SUBSTITUTE(SUBSTITUTE(INDEX(貼り付け!$A$1:$BZ$3001,2028,$E$1)&amp;"",",",""),"¥",""),"￥","")),0))</f>
        <v/>
      </c>
      <c r="F2029">
        <f>IF($F$1=0,0,IFERROR(VALUE(SUBSTITUTE(SUBSTITUTE(SUBSTITUTE(INDEX(貼り付け!$A$1:$BZ$3001,2028,$F$1)&amp;"",",",""),"¥",""),"￥","")),0))</f>
        <v/>
      </c>
      <c r="G2029">
        <f>IF(ISNUMBER(B2029),YEAR(B2029),"")</f>
        <v/>
      </c>
      <c r="H2029">
        <f>IF(ISNUMBER(B2029),MONTH(B2029),"")</f>
        <v/>
      </c>
      <c r="I2029">
        <f>IFERROR(IF($B$1=0,"",IF(ISNUMBER(INDEX(貼り付け!$A$1:$BZ$3001,2028,$B$1)),"",SUBSTITUTE(SUBSTITUTE(SUBSTITUTE(SUBSTITUTE(TRIM(LEFT(INDEX(貼り付け!$A$1:$BZ$3001,2028,$B$1)&amp;"",FIND(" ",TRIM(INDEX(貼り付け!$A$1:$BZ$3001,2028,$B$1)&amp;"")&amp;" ")-1)),"/","-"),"年","-"),"月","-"),"日",""))),"")</f>
        <v/>
      </c>
      <c r="J2029">
        <f>IFERROR(MID(I2029,FIND("-",I2029)+1,99),"")</f>
        <v/>
      </c>
    </row>
    <row r="2030">
      <c r="B2030">
        <f>IFERROR(IF($B$1=0,"",IF(INDEX(貼り付け!$A$1:$BZ$3001,2029,$B$1)="","",IF(ISNUMBER(INDEX(貼り付け!$A$1:$BZ$3001,2029,$B$1)),INT(INDEX(貼り付け!$A$1:$BZ$3001,2029,$B$1)),DATE(VALUE(LEFT(I2030,FIND("-",I2030)-1)),VALUE(LEFT(J2030,FIND("-",J2030)-1)),VALUE(MID(J2030,FIND("-",J2030)+1,99)))))),"")</f>
        <v/>
      </c>
      <c r="C2030">
        <f>IF($C$1=0,0,IFERROR(VALUE(SUBSTITUTE(SUBSTITUTE(SUBSTITUTE(INDEX(貼り付け!$A$1:$BZ$3001,2029,$C$1)&amp;"",",",""),"¥",""),"￥","")),0))</f>
        <v/>
      </c>
      <c r="D2030">
        <f>IF($D$1=0,0,IFERROR(VALUE(SUBSTITUTE(SUBSTITUTE(SUBSTITUTE(INDEX(貼り付け!$A$1:$BZ$3001,2029,$D$1)&amp;"",",",""),"¥",""),"￥","")),0))</f>
        <v/>
      </c>
      <c r="E2030">
        <f>IF($E$1=0,0,IFERROR(VALUE(SUBSTITUTE(SUBSTITUTE(SUBSTITUTE(INDEX(貼り付け!$A$1:$BZ$3001,2029,$E$1)&amp;"",",",""),"¥",""),"￥","")),0))</f>
        <v/>
      </c>
      <c r="F2030">
        <f>IF($F$1=0,0,IFERROR(VALUE(SUBSTITUTE(SUBSTITUTE(SUBSTITUTE(INDEX(貼り付け!$A$1:$BZ$3001,2029,$F$1)&amp;"",",",""),"¥",""),"￥","")),0))</f>
        <v/>
      </c>
      <c r="G2030">
        <f>IF(ISNUMBER(B2030),YEAR(B2030),"")</f>
        <v/>
      </c>
      <c r="H2030">
        <f>IF(ISNUMBER(B2030),MONTH(B2030),"")</f>
        <v/>
      </c>
      <c r="I2030">
        <f>IFERROR(IF($B$1=0,"",IF(ISNUMBER(INDEX(貼り付け!$A$1:$BZ$3001,2029,$B$1)),"",SUBSTITUTE(SUBSTITUTE(SUBSTITUTE(SUBSTITUTE(TRIM(LEFT(INDEX(貼り付け!$A$1:$BZ$3001,2029,$B$1)&amp;"",FIND(" ",TRIM(INDEX(貼り付け!$A$1:$BZ$3001,2029,$B$1)&amp;"")&amp;" ")-1)),"/","-"),"年","-"),"月","-"),"日",""))),"")</f>
        <v/>
      </c>
      <c r="J2030">
        <f>IFERROR(MID(I2030,FIND("-",I2030)+1,99),"")</f>
        <v/>
      </c>
    </row>
    <row r="2031">
      <c r="B2031">
        <f>IFERROR(IF($B$1=0,"",IF(INDEX(貼り付け!$A$1:$BZ$3001,2030,$B$1)="","",IF(ISNUMBER(INDEX(貼り付け!$A$1:$BZ$3001,2030,$B$1)),INT(INDEX(貼り付け!$A$1:$BZ$3001,2030,$B$1)),DATE(VALUE(LEFT(I2031,FIND("-",I2031)-1)),VALUE(LEFT(J2031,FIND("-",J2031)-1)),VALUE(MID(J2031,FIND("-",J2031)+1,99)))))),"")</f>
        <v/>
      </c>
      <c r="C2031">
        <f>IF($C$1=0,0,IFERROR(VALUE(SUBSTITUTE(SUBSTITUTE(SUBSTITUTE(INDEX(貼り付け!$A$1:$BZ$3001,2030,$C$1)&amp;"",",",""),"¥",""),"￥","")),0))</f>
        <v/>
      </c>
      <c r="D2031">
        <f>IF($D$1=0,0,IFERROR(VALUE(SUBSTITUTE(SUBSTITUTE(SUBSTITUTE(INDEX(貼り付け!$A$1:$BZ$3001,2030,$D$1)&amp;"",",",""),"¥",""),"￥","")),0))</f>
        <v/>
      </c>
      <c r="E2031">
        <f>IF($E$1=0,0,IFERROR(VALUE(SUBSTITUTE(SUBSTITUTE(SUBSTITUTE(INDEX(貼り付け!$A$1:$BZ$3001,2030,$E$1)&amp;"",",",""),"¥",""),"￥","")),0))</f>
        <v/>
      </c>
      <c r="F2031">
        <f>IF($F$1=0,0,IFERROR(VALUE(SUBSTITUTE(SUBSTITUTE(SUBSTITUTE(INDEX(貼り付け!$A$1:$BZ$3001,2030,$F$1)&amp;"",",",""),"¥",""),"￥","")),0))</f>
        <v/>
      </c>
      <c r="G2031">
        <f>IF(ISNUMBER(B2031),YEAR(B2031),"")</f>
        <v/>
      </c>
      <c r="H2031">
        <f>IF(ISNUMBER(B2031),MONTH(B2031),"")</f>
        <v/>
      </c>
      <c r="I2031">
        <f>IFERROR(IF($B$1=0,"",IF(ISNUMBER(INDEX(貼り付け!$A$1:$BZ$3001,2030,$B$1)),"",SUBSTITUTE(SUBSTITUTE(SUBSTITUTE(SUBSTITUTE(TRIM(LEFT(INDEX(貼り付け!$A$1:$BZ$3001,2030,$B$1)&amp;"",FIND(" ",TRIM(INDEX(貼り付け!$A$1:$BZ$3001,2030,$B$1)&amp;"")&amp;" ")-1)),"/","-"),"年","-"),"月","-"),"日",""))),"")</f>
        <v/>
      </c>
      <c r="J2031">
        <f>IFERROR(MID(I2031,FIND("-",I2031)+1,99),"")</f>
        <v/>
      </c>
    </row>
    <row r="2032">
      <c r="B2032">
        <f>IFERROR(IF($B$1=0,"",IF(INDEX(貼り付け!$A$1:$BZ$3001,2031,$B$1)="","",IF(ISNUMBER(INDEX(貼り付け!$A$1:$BZ$3001,2031,$B$1)),INT(INDEX(貼り付け!$A$1:$BZ$3001,2031,$B$1)),DATE(VALUE(LEFT(I2032,FIND("-",I2032)-1)),VALUE(LEFT(J2032,FIND("-",J2032)-1)),VALUE(MID(J2032,FIND("-",J2032)+1,99)))))),"")</f>
        <v/>
      </c>
      <c r="C2032">
        <f>IF($C$1=0,0,IFERROR(VALUE(SUBSTITUTE(SUBSTITUTE(SUBSTITUTE(INDEX(貼り付け!$A$1:$BZ$3001,2031,$C$1)&amp;"",",",""),"¥",""),"￥","")),0))</f>
        <v/>
      </c>
      <c r="D2032">
        <f>IF($D$1=0,0,IFERROR(VALUE(SUBSTITUTE(SUBSTITUTE(SUBSTITUTE(INDEX(貼り付け!$A$1:$BZ$3001,2031,$D$1)&amp;"",",",""),"¥",""),"￥","")),0))</f>
        <v/>
      </c>
      <c r="E2032">
        <f>IF($E$1=0,0,IFERROR(VALUE(SUBSTITUTE(SUBSTITUTE(SUBSTITUTE(INDEX(貼り付け!$A$1:$BZ$3001,2031,$E$1)&amp;"",",",""),"¥",""),"￥","")),0))</f>
        <v/>
      </c>
      <c r="F2032">
        <f>IF($F$1=0,0,IFERROR(VALUE(SUBSTITUTE(SUBSTITUTE(SUBSTITUTE(INDEX(貼り付け!$A$1:$BZ$3001,2031,$F$1)&amp;"",",",""),"¥",""),"￥","")),0))</f>
        <v/>
      </c>
      <c r="G2032">
        <f>IF(ISNUMBER(B2032),YEAR(B2032),"")</f>
        <v/>
      </c>
      <c r="H2032">
        <f>IF(ISNUMBER(B2032),MONTH(B2032),"")</f>
        <v/>
      </c>
      <c r="I2032">
        <f>IFERROR(IF($B$1=0,"",IF(ISNUMBER(INDEX(貼り付け!$A$1:$BZ$3001,2031,$B$1)),"",SUBSTITUTE(SUBSTITUTE(SUBSTITUTE(SUBSTITUTE(TRIM(LEFT(INDEX(貼り付け!$A$1:$BZ$3001,2031,$B$1)&amp;"",FIND(" ",TRIM(INDEX(貼り付け!$A$1:$BZ$3001,2031,$B$1)&amp;"")&amp;" ")-1)),"/","-"),"年","-"),"月","-"),"日",""))),"")</f>
        <v/>
      </c>
      <c r="J2032">
        <f>IFERROR(MID(I2032,FIND("-",I2032)+1,99),"")</f>
        <v/>
      </c>
    </row>
    <row r="2033">
      <c r="B2033">
        <f>IFERROR(IF($B$1=0,"",IF(INDEX(貼り付け!$A$1:$BZ$3001,2032,$B$1)="","",IF(ISNUMBER(INDEX(貼り付け!$A$1:$BZ$3001,2032,$B$1)),INT(INDEX(貼り付け!$A$1:$BZ$3001,2032,$B$1)),DATE(VALUE(LEFT(I2033,FIND("-",I2033)-1)),VALUE(LEFT(J2033,FIND("-",J2033)-1)),VALUE(MID(J2033,FIND("-",J2033)+1,99)))))),"")</f>
        <v/>
      </c>
      <c r="C2033">
        <f>IF($C$1=0,0,IFERROR(VALUE(SUBSTITUTE(SUBSTITUTE(SUBSTITUTE(INDEX(貼り付け!$A$1:$BZ$3001,2032,$C$1)&amp;"",",",""),"¥",""),"￥","")),0))</f>
        <v/>
      </c>
      <c r="D2033">
        <f>IF($D$1=0,0,IFERROR(VALUE(SUBSTITUTE(SUBSTITUTE(SUBSTITUTE(INDEX(貼り付け!$A$1:$BZ$3001,2032,$D$1)&amp;"",",",""),"¥",""),"￥","")),0))</f>
        <v/>
      </c>
      <c r="E2033">
        <f>IF($E$1=0,0,IFERROR(VALUE(SUBSTITUTE(SUBSTITUTE(SUBSTITUTE(INDEX(貼り付け!$A$1:$BZ$3001,2032,$E$1)&amp;"",",",""),"¥",""),"￥","")),0))</f>
        <v/>
      </c>
      <c r="F2033">
        <f>IF($F$1=0,0,IFERROR(VALUE(SUBSTITUTE(SUBSTITUTE(SUBSTITUTE(INDEX(貼り付け!$A$1:$BZ$3001,2032,$F$1)&amp;"",",",""),"¥",""),"￥","")),0))</f>
        <v/>
      </c>
      <c r="G2033">
        <f>IF(ISNUMBER(B2033),YEAR(B2033),"")</f>
        <v/>
      </c>
      <c r="H2033">
        <f>IF(ISNUMBER(B2033),MONTH(B2033),"")</f>
        <v/>
      </c>
      <c r="I2033">
        <f>IFERROR(IF($B$1=0,"",IF(ISNUMBER(INDEX(貼り付け!$A$1:$BZ$3001,2032,$B$1)),"",SUBSTITUTE(SUBSTITUTE(SUBSTITUTE(SUBSTITUTE(TRIM(LEFT(INDEX(貼り付け!$A$1:$BZ$3001,2032,$B$1)&amp;"",FIND(" ",TRIM(INDEX(貼り付け!$A$1:$BZ$3001,2032,$B$1)&amp;"")&amp;" ")-1)),"/","-"),"年","-"),"月","-"),"日",""))),"")</f>
        <v/>
      </c>
      <c r="J2033">
        <f>IFERROR(MID(I2033,FIND("-",I2033)+1,99),"")</f>
        <v/>
      </c>
    </row>
    <row r="2034">
      <c r="B2034">
        <f>IFERROR(IF($B$1=0,"",IF(INDEX(貼り付け!$A$1:$BZ$3001,2033,$B$1)="","",IF(ISNUMBER(INDEX(貼り付け!$A$1:$BZ$3001,2033,$B$1)),INT(INDEX(貼り付け!$A$1:$BZ$3001,2033,$B$1)),DATE(VALUE(LEFT(I2034,FIND("-",I2034)-1)),VALUE(LEFT(J2034,FIND("-",J2034)-1)),VALUE(MID(J2034,FIND("-",J2034)+1,99)))))),"")</f>
        <v/>
      </c>
      <c r="C2034">
        <f>IF($C$1=0,0,IFERROR(VALUE(SUBSTITUTE(SUBSTITUTE(SUBSTITUTE(INDEX(貼り付け!$A$1:$BZ$3001,2033,$C$1)&amp;"",",",""),"¥",""),"￥","")),0))</f>
        <v/>
      </c>
      <c r="D2034">
        <f>IF($D$1=0,0,IFERROR(VALUE(SUBSTITUTE(SUBSTITUTE(SUBSTITUTE(INDEX(貼り付け!$A$1:$BZ$3001,2033,$D$1)&amp;"",",",""),"¥",""),"￥","")),0))</f>
        <v/>
      </c>
      <c r="E2034">
        <f>IF($E$1=0,0,IFERROR(VALUE(SUBSTITUTE(SUBSTITUTE(SUBSTITUTE(INDEX(貼り付け!$A$1:$BZ$3001,2033,$E$1)&amp;"",",",""),"¥",""),"￥","")),0))</f>
        <v/>
      </c>
      <c r="F2034">
        <f>IF($F$1=0,0,IFERROR(VALUE(SUBSTITUTE(SUBSTITUTE(SUBSTITUTE(INDEX(貼り付け!$A$1:$BZ$3001,2033,$F$1)&amp;"",",",""),"¥",""),"￥","")),0))</f>
        <v/>
      </c>
      <c r="G2034">
        <f>IF(ISNUMBER(B2034),YEAR(B2034),"")</f>
        <v/>
      </c>
      <c r="H2034">
        <f>IF(ISNUMBER(B2034),MONTH(B2034),"")</f>
        <v/>
      </c>
      <c r="I2034">
        <f>IFERROR(IF($B$1=0,"",IF(ISNUMBER(INDEX(貼り付け!$A$1:$BZ$3001,2033,$B$1)),"",SUBSTITUTE(SUBSTITUTE(SUBSTITUTE(SUBSTITUTE(TRIM(LEFT(INDEX(貼り付け!$A$1:$BZ$3001,2033,$B$1)&amp;"",FIND(" ",TRIM(INDEX(貼り付け!$A$1:$BZ$3001,2033,$B$1)&amp;"")&amp;" ")-1)),"/","-"),"年","-"),"月","-"),"日",""))),"")</f>
        <v/>
      </c>
      <c r="J2034">
        <f>IFERROR(MID(I2034,FIND("-",I2034)+1,99),"")</f>
        <v/>
      </c>
    </row>
    <row r="2035">
      <c r="B2035">
        <f>IFERROR(IF($B$1=0,"",IF(INDEX(貼り付け!$A$1:$BZ$3001,2034,$B$1)="","",IF(ISNUMBER(INDEX(貼り付け!$A$1:$BZ$3001,2034,$B$1)),INT(INDEX(貼り付け!$A$1:$BZ$3001,2034,$B$1)),DATE(VALUE(LEFT(I2035,FIND("-",I2035)-1)),VALUE(LEFT(J2035,FIND("-",J2035)-1)),VALUE(MID(J2035,FIND("-",J2035)+1,99)))))),"")</f>
        <v/>
      </c>
      <c r="C2035">
        <f>IF($C$1=0,0,IFERROR(VALUE(SUBSTITUTE(SUBSTITUTE(SUBSTITUTE(INDEX(貼り付け!$A$1:$BZ$3001,2034,$C$1)&amp;"",",",""),"¥",""),"￥","")),0))</f>
        <v/>
      </c>
      <c r="D2035">
        <f>IF($D$1=0,0,IFERROR(VALUE(SUBSTITUTE(SUBSTITUTE(SUBSTITUTE(INDEX(貼り付け!$A$1:$BZ$3001,2034,$D$1)&amp;"",",",""),"¥",""),"￥","")),0))</f>
        <v/>
      </c>
      <c r="E2035">
        <f>IF($E$1=0,0,IFERROR(VALUE(SUBSTITUTE(SUBSTITUTE(SUBSTITUTE(INDEX(貼り付け!$A$1:$BZ$3001,2034,$E$1)&amp;"",",",""),"¥",""),"￥","")),0))</f>
        <v/>
      </c>
      <c r="F2035">
        <f>IF($F$1=0,0,IFERROR(VALUE(SUBSTITUTE(SUBSTITUTE(SUBSTITUTE(INDEX(貼り付け!$A$1:$BZ$3001,2034,$F$1)&amp;"",",",""),"¥",""),"￥","")),0))</f>
        <v/>
      </c>
      <c r="G2035">
        <f>IF(ISNUMBER(B2035),YEAR(B2035),"")</f>
        <v/>
      </c>
      <c r="H2035">
        <f>IF(ISNUMBER(B2035),MONTH(B2035),"")</f>
        <v/>
      </c>
      <c r="I2035">
        <f>IFERROR(IF($B$1=0,"",IF(ISNUMBER(INDEX(貼り付け!$A$1:$BZ$3001,2034,$B$1)),"",SUBSTITUTE(SUBSTITUTE(SUBSTITUTE(SUBSTITUTE(TRIM(LEFT(INDEX(貼り付け!$A$1:$BZ$3001,2034,$B$1)&amp;"",FIND(" ",TRIM(INDEX(貼り付け!$A$1:$BZ$3001,2034,$B$1)&amp;"")&amp;" ")-1)),"/","-"),"年","-"),"月","-"),"日",""))),"")</f>
        <v/>
      </c>
      <c r="J2035">
        <f>IFERROR(MID(I2035,FIND("-",I2035)+1,99),"")</f>
        <v/>
      </c>
    </row>
    <row r="2036">
      <c r="B2036">
        <f>IFERROR(IF($B$1=0,"",IF(INDEX(貼り付け!$A$1:$BZ$3001,2035,$B$1)="","",IF(ISNUMBER(INDEX(貼り付け!$A$1:$BZ$3001,2035,$B$1)),INT(INDEX(貼り付け!$A$1:$BZ$3001,2035,$B$1)),DATE(VALUE(LEFT(I2036,FIND("-",I2036)-1)),VALUE(LEFT(J2036,FIND("-",J2036)-1)),VALUE(MID(J2036,FIND("-",J2036)+1,99)))))),"")</f>
        <v/>
      </c>
      <c r="C2036">
        <f>IF($C$1=0,0,IFERROR(VALUE(SUBSTITUTE(SUBSTITUTE(SUBSTITUTE(INDEX(貼り付け!$A$1:$BZ$3001,2035,$C$1)&amp;"",",",""),"¥",""),"￥","")),0))</f>
        <v/>
      </c>
      <c r="D2036">
        <f>IF($D$1=0,0,IFERROR(VALUE(SUBSTITUTE(SUBSTITUTE(SUBSTITUTE(INDEX(貼り付け!$A$1:$BZ$3001,2035,$D$1)&amp;"",",",""),"¥",""),"￥","")),0))</f>
        <v/>
      </c>
      <c r="E2036">
        <f>IF($E$1=0,0,IFERROR(VALUE(SUBSTITUTE(SUBSTITUTE(SUBSTITUTE(INDEX(貼り付け!$A$1:$BZ$3001,2035,$E$1)&amp;"",",",""),"¥",""),"￥","")),0))</f>
        <v/>
      </c>
      <c r="F2036">
        <f>IF($F$1=0,0,IFERROR(VALUE(SUBSTITUTE(SUBSTITUTE(SUBSTITUTE(INDEX(貼り付け!$A$1:$BZ$3001,2035,$F$1)&amp;"",",",""),"¥",""),"￥","")),0))</f>
        <v/>
      </c>
      <c r="G2036">
        <f>IF(ISNUMBER(B2036),YEAR(B2036),"")</f>
        <v/>
      </c>
      <c r="H2036">
        <f>IF(ISNUMBER(B2036),MONTH(B2036),"")</f>
        <v/>
      </c>
      <c r="I2036">
        <f>IFERROR(IF($B$1=0,"",IF(ISNUMBER(INDEX(貼り付け!$A$1:$BZ$3001,2035,$B$1)),"",SUBSTITUTE(SUBSTITUTE(SUBSTITUTE(SUBSTITUTE(TRIM(LEFT(INDEX(貼り付け!$A$1:$BZ$3001,2035,$B$1)&amp;"",FIND(" ",TRIM(INDEX(貼り付け!$A$1:$BZ$3001,2035,$B$1)&amp;"")&amp;" ")-1)),"/","-"),"年","-"),"月","-"),"日",""))),"")</f>
        <v/>
      </c>
      <c r="J2036">
        <f>IFERROR(MID(I2036,FIND("-",I2036)+1,99),"")</f>
        <v/>
      </c>
    </row>
    <row r="2037">
      <c r="B2037">
        <f>IFERROR(IF($B$1=0,"",IF(INDEX(貼り付け!$A$1:$BZ$3001,2036,$B$1)="","",IF(ISNUMBER(INDEX(貼り付け!$A$1:$BZ$3001,2036,$B$1)),INT(INDEX(貼り付け!$A$1:$BZ$3001,2036,$B$1)),DATE(VALUE(LEFT(I2037,FIND("-",I2037)-1)),VALUE(LEFT(J2037,FIND("-",J2037)-1)),VALUE(MID(J2037,FIND("-",J2037)+1,99)))))),"")</f>
        <v/>
      </c>
      <c r="C2037">
        <f>IF($C$1=0,0,IFERROR(VALUE(SUBSTITUTE(SUBSTITUTE(SUBSTITUTE(INDEX(貼り付け!$A$1:$BZ$3001,2036,$C$1)&amp;"",",",""),"¥",""),"￥","")),0))</f>
        <v/>
      </c>
      <c r="D2037">
        <f>IF($D$1=0,0,IFERROR(VALUE(SUBSTITUTE(SUBSTITUTE(SUBSTITUTE(INDEX(貼り付け!$A$1:$BZ$3001,2036,$D$1)&amp;"",",",""),"¥",""),"￥","")),0))</f>
        <v/>
      </c>
      <c r="E2037">
        <f>IF($E$1=0,0,IFERROR(VALUE(SUBSTITUTE(SUBSTITUTE(SUBSTITUTE(INDEX(貼り付け!$A$1:$BZ$3001,2036,$E$1)&amp;"",",",""),"¥",""),"￥","")),0))</f>
        <v/>
      </c>
      <c r="F2037">
        <f>IF($F$1=0,0,IFERROR(VALUE(SUBSTITUTE(SUBSTITUTE(SUBSTITUTE(INDEX(貼り付け!$A$1:$BZ$3001,2036,$F$1)&amp;"",",",""),"¥",""),"￥","")),0))</f>
        <v/>
      </c>
      <c r="G2037">
        <f>IF(ISNUMBER(B2037),YEAR(B2037),"")</f>
        <v/>
      </c>
      <c r="H2037">
        <f>IF(ISNUMBER(B2037),MONTH(B2037),"")</f>
        <v/>
      </c>
      <c r="I2037">
        <f>IFERROR(IF($B$1=0,"",IF(ISNUMBER(INDEX(貼り付け!$A$1:$BZ$3001,2036,$B$1)),"",SUBSTITUTE(SUBSTITUTE(SUBSTITUTE(SUBSTITUTE(TRIM(LEFT(INDEX(貼り付け!$A$1:$BZ$3001,2036,$B$1)&amp;"",FIND(" ",TRIM(INDEX(貼り付け!$A$1:$BZ$3001,2036,$B$1)&amp;"")&amp;" ")-1)),"/","-"),"年","-"),"月","-"),"日",""))),"")</f>
        <v/>
      </c>
      <c r="J2037">
        <f>IFERROR(MID(I2037,FIND("-",I2037)+1,99),"")</f>
        <v/>
      </c>
    </row>
    <row r="2038">
      <c r="B2038">
        <f>IFERROR(IF($B$1=0,"",IF(INDEX(貼り付け!$A$1:$BZ$3001,2037,$B$1)="","",IF(ISNUMBER(INDEX(貼り付け!$A$1:$BZ$3001,2037,$B$1)),INT(INDEX(貼り付け!$A$1:$BZ$3001,2037,$B$1)),DATE(VALUE(LEFT(I2038,FIND("-",I2038)-1)),VALUE(LEFT(J2038,FIND("-",J2038)-1)),VALUE(MID(J2038,FIND("-",J2038)+1,99)))))),"")</f>
        <v/>
      </c>
      <c r="C2038">
        <f>IF($C$1=0,0,IFERROR(VALUE(SUBSTITUTE(SUBSTITUTE(SUBSTITUTE(INDEX(貼り付け!$A$1:$BZ$3001,2037,$C$1)&amp;"",",",""),"¥",""),"￥","")),0))</f>
        <v/>
      </c>
      <c r="D2038">
        <f>IF($D$1=0,0,IFERROR(VALUE(SUBSTITUTE(SUBSTITUTE(SUBSTITUTE(INDEX(貼り付け!$A$1:$BZ$3001,2037,$D$1)&amp;"",",",""),"¥",""),"￥","")),0))</f>
        <v/>
      </c>
      <c r="E2038">
        <f>IF($E$1=0,0,IFERROR(VALUE(SUBSTITUTE(SUBSTITUTE(SUBSTITUTE(INDEX(貼り付け!$A$1:$BZ$3001,2037,$E$1)&amp;"",",",""),"¥",""),"￥","")),0))</f>
        <v/>
      </c>
      <c r="F2038">
        <f>IF($F$1=0,0,IFERROR(VALUE(SUBSTITUTE(SUBSTITUTE(SUBSTITUTE(INDEX(貼り付け!$A$1:$BZ$3001,2037,$F$1)&amp;"",",",""),"¥",""),"￥","")),0))</f>
        <v/>
      </c>
      <c r="G2038">
        <f>IF(ISNUMBER(B2038),YEAR(B2038),"")</f>
        <v/>
      </c>
      <c r="H2038">
        <f>IF(ISNUMBER(B2038),MONTH(B2038),"")</f>
        <v/>
      </c>
      <c r="I2038">
        <f>IFERROR(IF($B$1=0,"",IF(ISNUMBER(INDEX(貼り付け!$A$1:$BZ$3001,2037,$B$1)),"",SUBSTITUTE(SUBSTITUTE(SUBSTITUTE(SUBSTITUTE(TRIM(LEFT(INDEX(貼り付け!$A$1:$BZ$3001,2037,$B$1)&amp;"",FIND(" ",TRIM(INDEX(貼り付け!$A$1:$BZ$3001,2037,$B$1)&amp;"")&amp;" ")-1)),"/","-"),"年","-"),"月","-"),"日",""))),"")</f>
        <v/>
      </c>
      <c r="J2038">
        <f>IFERROR(MID(I2038,FIND("-",I2038)+1,99),"")</f>
        <v/>
      </c>
    </row>
    <row r="2039">
      <c r="B2039">
        <f>IFERROR(IF($B$1=0,"",IF(INDEX(貼り付け!$A$1:$BZ$3001,2038,$B$1)="","",IF(ISNUMBER(INDEX(貼り付け!$A$1:$BZ$3001,2038,$B$1)),INT(INDEX(貼り付け!$A$1:$BZ$3001,2038,$B$1)),DATE(VALUE(LEFT(I2039,FIND("-",I2039)-1)),VALUE(LEFT(J2039,FIND("-",J2039)-1)),VALUE(MID(J2039,FIND("-",J2039)+1,99)))))),"")</f>
        <v/>
      </c>
      <c r="C2039">
        <f>IF($C$1=0,0,IFERROR(VALUE(SUBSTITUTE(SUBSTITUTE(SUBSTITUTE(INDEX(貼り付け!$A$1:$BZ$3001,2038,$C$1)&amp;"",",",""),"¥",""),"￥","")),0))</f>
        <v/>
      </c>
      <c r="D2039">
        <f>IF($D$1=0,0,IFERROR(VALUE(SUBSTITUTE(SUBSTITUTE(SUBSTITUTE(INDEX(貼り付け!$A$1:$BZ$3001,2038,$D$1)&amp;"",",",""),"¥",""),"￥","")),0))</f>
        <v/>
      </c>
      <c r="E2039">
        <f>IF($E$1=0,0,IFERROR(VALUE(SUBSTITUTE(SUBSTITUTE(SUBSTITUTE(INDEX(貼り付け!$A$1:$BZ$3001,2038,$E$1)&amp;"",",",""),"¥",""),"￥","")),0))</f>
        <v/>
      </c>
      <c r="F2039">
        <f>IF($F$1=0,0,IFERROR(VALUE(SUBSTITUTE(SUBSTITUTE(SUBSTITUTE(INDEX(貼り付け!$A$1:$BZ$3001,2038,$F$1)&amp;"",",",""),"¥",""),"￥","")),0))</f>
        <v/>
      </c>
      <c r="G2039">
        <f>IF(ISNUMBER(B2039),YEAR(B2039),"")</f>
        <v/>
      </c>
      <c r="H2039">
        <f>IF(ISNUMBER(B2039),MONTH(B2039),"")</f>
        <v/>
      </c>
      <c r="I2039">
        <f>IFERROR(IF($B$1=0,"",IF(ISNUMBER(INDEX(貼り付け!$A$1:$BZ$3001,2038,$B$1)),"",SUBSTITUTE(SUBSTITUTE(SUBSTITUTE(SUBSTITUTE(TRIM(LEFT(INDEX(貼り付け!$A$1:$BZ$3001,2038,$B$1)&amp;"",FIND(" ",TRIM(INDEX(貼り付け!$A$1:$BZ$3001,2038,$B$1)&amp;"")&amp;" ")-1)),"/","-"),"年","-"),"月","-"),"日",""))),"")</f>
        <v/>
      </c>
      <c r="J2039">
        <f>IFERROR(MID(I2039,FIND("-",I2039)+1,99),"")</f>
        <v/>
      </c>
    </row>
    <row r="2040">
      <c r="B2040">
        <f>IFERROR(IF($B$1=0,"",IF(INDEX(貼り付け!$A$1:$BZ$3001,2039,$B$1)="","",IF(ISNUMBER(INDEX(貼り付け!$A$1:$BZ$3001,2039,$B$1)),INT(INDEX(貼り付け!$A$1:$BZ$3001,2039,$B$1)),DATE(VALUE(LEFT(I2040,FIND("-",I2040)-1)),VALUE(LEFT(J2040,FIND("-",J2040)-1)),VALUE(MID(J2040,FIND("-",J2040)+1,99)))))),"")</f>
        <v/>
      </c>
      <c r="C2040">
        <f>IF($C$1=0,0,IFERROR(VALUE(SUBSTITUTE(SUBSTITUTE(SUBSTITUTE(INDEX(貼り付け!$A$1:$BZ$3001,2039,$C$1)&amp;"",",",""),"¥",""),"￥","")),0))</f>
        <v/>
      </c>
      <c r="D2040">
        <f>IF($D$1=0,0,IFERROR(VALUE(SUBSTITUTE(SUBSTITUTE(SUBSTITUTE(INDEX(貼り付け!$A$1:$BZ$3001,2039,$D$1)&amp;"",",",""),"¥",""),"￥","")),0))</f>
        <v/>
      </c>
      <c r="E2040">
        <f>IF($E$1=0,0,IFERROR(VALUE(SUBSTITUTE(SUBSTITUTE(SUBSTITUTE(INDEX(貼り付け!$A$1:$BZ$3001,2039,$E$1)&amp;"",",",""),"¥",""),"￥","")),0))</f>
        <v/>
      </c>
      <c r="F2040">
        <f>IF($F$1=0,0,IFERROR(VALUE(SUBSTITUTE(SUBSTITUTE(SUBSTITUTE(INDEX(貼り付け!$A$1:$BZ$3001,2039,$F$1)&amp;"",",",""),"¥",""),"￥","")),0))</f>
        <v/>
      </c>
      <c r="G2040">
        <f>IF(ISNUMBER(B2040),YEAR(B2040),"")</f>
        <v/>
      </c>
      <c r="H2040">
        <f>IF(ISNUMBER(B2040),MONTH(B2040),"")</f>
        <v/>
      </c>
      <c r="I2040">
        <f>IFERROR(IF($B$1=0,"",IF(ISNUMBER(INDEX(貼り付け!$A$1:$BZ$3001,2039,$B$1)),"",SUBSTITUTE(SUBSTITUTE(SUBSTITUTE(SUBSTITUTE(TRIM(LEFT(INDEX(貼り付け!$A$1:$BZ$3001,2039,$B$1)&amp;"",FIND(" ",TRIM(INDEX(貼り付け!$A$1:$BZ$3001,2039,$B$1)&amp;"")&amp;" ")-1)),"/","-"),"年","-"),"月","-"),"日",""))),"")</f>
        <v/>
      </c>
      <c r="J2040">
        <f>IFERROR(MID(I2040,FIND("-",I2040)+1,99),"")</f>
        <v/>
      </c>
    </row>
    <row r="2041">
      <c r="B2041">
        <f>IFERROR(IF($B$1=0,"",IF(INDEX(貼り付け!$A$1:$BZ$3001,2040,$B$1)="","",IF(ISNUMBER(INDEX(貼り付け!$A$1:$BZ$3001,2040,$B$1)),INT(INDEX(貼り付け!$A$1:$BZ$3001,2040,$B$1)),DATE(VALUE(LEFT(I2041,FIND("-",I2041)-1)),VALUE(LEFT(J2041,FIND("-",J2041)-1)),VALUE(MID(J2041,FIND("-",J2041)+1,99)))))),"")</f>
        <v/>
      </c>
      <c r="C2041">
        <f>IF($C$1=0,0,IFERROR(VALUE(SUBSTITUTE(SUBSTITUTE(SUBSTITUTE(INDEX(貼り付け!$A$1:$BZ$3001,2040,$C$1)&amp;"",",",""),"¥",""),"￥","")),0))</f>
        <v/>
      </c>
      <c r="D2041">
        <f>IF($D$1=0,0,IFERROR(VALUE(SUBSTITUTE(SUBSTITUTE(SUBSTITUTE(INDEX(貼り付け!$A$1:$BZ$3001,2040,$D$1)&amp;"",",",""),"¥",""),"￥","")),0))</f>
        <v/>
      </c>
      <c r="E2041">
        <f>IF($E$1=0,0,IFERROR(VALUE(SUBSTITUTE(SUBSTITUTE(SUBSTITUTE(INDEX(貼り付け!$A$1:$BZ$3001,2040,$E$1)&amp;"",",",""),"¥",""),"￥","")),0))</f>
        <v/>
      </c>
      <c r="F2041">
        <f>IF($F$1=0,0,IFERROR(VALUE(SUBSTITUTE(SUBSTITUTE(SUBSTITUTE(INDEX(貼り付け!$A$1:$BZ$3001,2040,$F$1)&amp;"",",",""),"¥",""),"￥","")),0))</f>
        <v/>
      </c>
      <c r="G2041">
        <f>IF(ISNUMBER(B2041),YEAR(B2041),"")</f>
        <v/>
      </c>
      <c r="H2041">
        <f>IF(ISNUMBER(B2041),MONTH(B2041),"")</f>
        <v/>
      </c>
      <c r="I2041">
        <f>IFERROR(IF($B$1=0,"",IF(ISNUMBER(INDEX(貼り付け!$A$1:$BZ$3001,2040,$B$1)),"",SUBSTITUTE(SUBSTITUTE(SUBSTITUTE(SUBSTITUTE(TRIM(LEFT(INDEX(貼り付け!$A$1:$BZ$3001,2040,$B$1)&amp;"",FIND(" ",TRIM(INDEX(貼り付け!$A$1:$BZ$3001,2040,$B$1)&amp;"")&amp;" ")-1)),"/","-"),"年","-"),"月","-"),"日",""))),"")</f>
        <v/>
      </c>
      <c r="J2041">
        <f>IFERROR(MID(I2041,FIND("-",I2041)+1,99),"")</f>
        <v/>
      </c>
    </row>
    <row r="2042">
      <c r="B2042">
        <f>IFERROR(IF($B$1=0,"",IF(INDEX(貼り付け!$A$1:$BZ$3001,2041,$B$1)="","",IF(ISNUMBER(INDEX(貼り付け!$A$1:$BZ$3001,2041,$B$1)),INT(INDEX(貼り付け!$A$1:$BZ$3001,2041,$B$1)),DATE(VALUE(LEFT(I2042,FIND("-",I2042)-1)),VALUE(LEFT(J2042,FIND("-",J2042)-1)),VALUE(MID(J2042,FIND("-",J2042)+1,99)))))),"")</f>
        <v/>
      </c>
      <c r="C2042">
        <f>IF($C$1=0,0,IFERROR(VALUE(SUBSTITUTE(SUBSTITUTE(SUBSTITUTE(INDEX(貼り付け!$A$1:$BZ$3001,2041,$C$1)&amp;"",",",""),"¥",""),"￥","")),0))</f>
        <v/>
      </c>
      <c r="D2042">
        <f>IF($D$1=0,0,IFERROR(VALUE(SUBSTITUTE(SUBSTITUTE(SUBSTITUTE(INDEX(貼り付け!$A$1:$BZ$3001,2041,$D$1)&amp;"",",",""),"¥",""),"￥","")),0))</f>
        <v/>
      </c>
      <c r="E2042">
        <f>IF($E$1=0,0,IFERROR(VALUE(SUBSTITUTE(SUBSTITUTE(SUBSTITUTE(INDEX(貼り付け!$A$1:$BZ$3001,2041,$E$1)&amp;"",",",""),"¥",""),"￥","")),0))</f>
        <v/>
      </c>
      <c r="F2042">
        <f>IF($F$1=0,0,IFERROR(VALUE(SUBSTITUTE(SUBSTITUTE(SUBSTITUTE(INDEX(貼り付け!$A$1:$BZ$3001,2041,$F$1)&amp;"",",",""),"¥",""),"￥","")),0))</f>
        <v/>
      </c>
      <c r="G2042">
        <f>IF(ISNUMBER(B2042),YEAR(B2042),"")</f>
        <v/>
      </c>
      <c r="H2042">
        <f>IF(ISNUMBER(B2042),MONTH(B2042),"")</f>
        <v/>
      </c>
      <c r="I2042">
        <f>IFERROR(IF($B$1=0,"",IF(ISNUMBER(INDEX(貼り付け!$A$1:$BZ$3001,2041,$B$1)),"",SUBSTITUTE(SUBSTITUTE(SUBSTITUTE(SUBSTITUTE(TRIM(LEFT(INDEX(貼り付け!$A$1:$BZ$3001,2041,$B$1)&amp;"",FIND(" ",TRIM(INDEX(貼り付け!$A$1:$BZ$3001,2041,$B$1)&amp;"")&amp;" ")-1)),"/","-"),"年","-"),"月","-"),"日",""))),"")</f>
        <v/>
      </c>
      <c r="J2042">
        <f>IFERROR(MID(I2042,FIND("-",I2042)+1,99),"")</f>
        <v/>
      </c>
    </row>
    <row r="2043">
      <c r="B2043">
        <f>IFERROR(IF($B$1=0,"",IF(INDEX(貼り付け!$A$1:$BZ$3001,2042,$B$1)="","",IF(ISNUMBER(INDEX(貼り付け!$A$1:$BZ$3001,2042,$B$1)),INT(INDEX(貼り付け!$A$1:$BZ$3001,2042,$B$1)),DATE(VALUE(LEFT(I2043,FIND("-",I2043)-1)),VALUE(LEFT(J2043,FIND("-",J2043)-1)),VALUE(MID(J2043,FIND("-",J2043)+1,99)))))),"")</f>
        <v/>
      </c>
      <c r="C2043">
        <f>IF($C$1=0,0,IFERROR(VALUE(SUBSTITUTE(SUBSTITUTE(SUBSTITUTE(INDEX(貼り付け!$A$1:$BZ$3001,2042,$C$1)&amp;"",",",""),"¥",""),"￥","")),0))</f>
        <v/>
      </c>
      <c r="D2043">
        <f>IF($D$1=0,0,IFERROR(VALUE(SUBSTITUTE(SUBSTITUTE(SUBSTITUTE(INDEX(貼り付け!$A$1:$BZ$3001,2042,$D$1)&amp;"",",",""),"¥",""),"￥","")),0))</f>
        <v/>
      </c>
      <c r="E2043">
        <f>IF($E$1=0,0,IFERROR(VALUE(SUBSTITUTE(SUBSTITUTE(SUBSTITUTE(INDEX(貼り付け!$A$1:$BZ$3001,2042,$E$1)&amp;"",",",""),"¥",""),"￥","")),0))</f>
        <v/>
      </c>
      <c r="F2043">
        <f>IF($F$1=0,0,IFERROR(VALUE(SUBSTITUTE(SUBSTITUTE(SUBSTITUTE(INDEX(貼り付け!$A$1:$BZ$3001,2042,$F$1)&amp;"",",",""),"¥",""),"￥","")),0))</f>
        <v/>
      </c>
      <c r="G2043">
        <f>IF(ISNUMBER(B2043),YEAR(B2043),"")</f>
        <v/>
      </c>
      <c r="H2043">
        <f>IF(ISNUMBER(B2043),MONTH(B2043),"")</f>
        <v/>
      </c>
      <c r="I2043">
        <f>IFERROR(IF($B$1=0,"",IF(ISNUMBER(INDEX(貼り付け!$A$1:$BZ$3001,2042,$B$1)),"",SUBSTITUTE(SUBSTITUTE(SUBSTITUTE(SUBSTITUTE(TRIM(LEFT(INDEX(貼り付け!$A$1:$BZ$3001,2042,$B$1)&amp;"",FIND(" ",TRIM(INDEX(貼り付け!$A$1:$BZ$3001,2042,$B$1)&amp;"")&amp;" ")-1)),"/","-"),"年","-"),"月","-"),"日",""))),"")</f>
        <v/>
      </c>
      <c r="J2043">
        <f>IFERROR(MID(I2043,FIND("-",I2043)+1,99),"")</f>
        <v/>
      </c>
    </row>
    <row r="2044">
      <c r="B2044">
        <f>IFERROR(IF($B$1=0,"",IF(INDEX(貼り付け!$A$1:$BZ$3001,2043,$B$1)="","",IF(ISNUMBER(INDEX(貼り付け!$A$1:$BZ$3001,2043,$B$1)),INT(INDEX(貼り付け!$A$1:$BZ$3001,2043,$B$1)),DATE(VALUE(LEFT(I2044,FIND("-",I2044)-1)),VALUE(LEFT(J2044,FIND("-",J2044)-1)),VALUE(MID(J2044,FIND("-",J2044)+1,99)))))),"")</f>
        <v/>
      </c>
      <c r="C2044">
        <f>IF($C$1=0,0,IFERROR(VALUE(SUBSTITUTE(SUBSTITUTE(SUBSTITUTE(INDEX(貼り付け!$A$1:$BZ$3001,2043,$C$1)&amp;"",",",""),"¥",""),"￥","")),0))</f>
        <v/>
      </c>
      <c r="D2044">
        <f>IF($D$1=0,0,IFERROR(VALUE(SUBSTITUTE(SUBSTITUTE(SUBSTITUTE(INDEX(貼り付け!$A$1:$BZ$3001,2043,$D$1)&amp;"",",",""),"¥",""),"￥","")),0))</f>
        <v/>
      </c>
      <c r="E2044">
        <f>IF($E$1=0,0,IFERROR(VALUE(SUBSTITUTE(SUBSTITUTE(SUBSTITUTE(INDEX(貼り付け!$A$1:$BZ$3001,2043,$E$1)&amp;"",",",""),"¥",""),"￥","")),0))</f>
        <v/>
      </c>
      <c r="F2044">
        <f>IF($F$1=0,0,IFERROR(VALUE(SUBSTITUTE(SUBSTITUTE(SUBSTITUTE(INDEX(貼り付け!$A$1:$BZ$3001,2043,$F$1)&amp;"",",",""),"¥",""),"￥","")),0))</f>
        <v/>
      </c>
      <c r="G2044">
        <f>IF(ISNUMBER(B2044),YEAR(B2044),"")</f>
        <v/>
      </c>
      <c r="H2044">
        <f>IF(ISNUMBER(B2044),MONTH(B2044),"")</f>
        <v/>
      </c>
      <c r="I2044">
        <f>IFERROR(IF($B$1=0,"",IF(ISNUMBER(INDEX(貼り付け!$A$1:$BZ$3001,2043,$B$1)),"",SUBSTITUTE(SUBSTITUTE(SUBSTITUTE(SUBSTITUTE(TRIM(LEFT(INDEX(貼り付け!$A$1:$BZ$3001,2043,$B$1)&amp;"",FIND(" ",TRIM(INDEX(貼り付け!$A$1:$BZ$3001,2043,$B$1)&amp;"")&amp;" ")-1)),"/","-"),"年","-"),"月","-"),"日",""))),"")</f>
        <v/>
      </c>
      <c r="J2044">
        <f>IFERROR(MID(I2044,FIND("-",I2044)+1,99),"")</f>
        <v/>
      </c>
    </row>
    <row r="2045">
      <c r="B2045">
        <f>IFERROR(IF($B$1=0,"",IF(INDEX(貼り付け!$A$1:$BZ$3001,2044,$B$1)="","",IF(ISNUMBER(INDEX(貼り付け!$A$1:$BZ$3001,2044,$B$1)),INT(INDEX(貼り付け!$A$1:$BZ$3001,2044,$B$1)),DATE(VALUE(LEFT(I2045,FIND("-",I2045)-1)),VALUE(LEFT(J2045,FIND("-",J2045)-1)),VALUE(MID(J2045,FIND("-",J2045)+1,99)))))),"")</f>
        <v/>
      </c>
      <c r="C2045">
        <f>IF($C$1=0,0,IFERROR(VALUE(SUBSTITUTE(SUBSTITUTE(SUBSTITUTE(INDEX(貼り付け!$A$1:$BZ$3001,2044,$C$1)&amp;"",",",""),"¥",""),"￥","")),0))</f>
        <v/>
      </c>
      <c r="D2045">
        <f>IF($D$1=0,0,IFERROR(VALUE(SUBSTITUTE(SUBSTITUTE(SUBSTITUTE(INDEX(貼り付け!$A$1:$BZ$3001,2044,$D$1)&amp;"",",",""),"¥",""),"￥","")),0))</f>
        <v/>
      </c>
      <c r="E2045">
        <f>IF($E$1=0,0,IFERROR(VALUE(SUBSTITUTE(SUBSTITUTE(SUBSTITUTE(INDEX(貼り付け!$A$1:$BZ$3001,2044,$E$1)&amp;"",",",""),"¥",""),"￥","")),0))</f>
        <v/>
      </c>
      <c r="F2045">
        <f>IF($F$1=0,0,IFERROR(VALUE(SUBSTITUTE(SUBSTITUTE(SUBSTITUTE(INDEX(貼り付け!$A$1:$BZ$3001,2044,$F$1)&amp;"",",",""),"¥",""),"￥","")),0))</f>
        <v/>
      </c>
      <c r="G2045">
        <f>IF(ISNUMBER(B2045),YEAR(B2045),"")</f>
        <v/>
      </c>
      <c r="H2045">
        <f>IF(ISNUMBER(B2045),MONTH(B2045),"")</f>
        <v/>
      </c>
      <c r="I2045">
        <f>IFERROR(IF($B$1=0,"",IF(ISNUMBER(INDEX(貼り付け!$A$1:$BZ$3001,2044,$B$1)),"",SUBSTITUTE(SUBSTITUTE(SUBSTITUTE(SUBSTITUTE(TRIM(LEFT(INDEX(貼り付け!$A$1:$BZ$3001,2044,$B$1)&amp;"",FIND(" ",TRIM(INDEX(貼り付け!$A$1:$BZ$3001,2044,$B$1)&amp;"")&amp;" ")-1)),"/","-"),"年","-"),"月","-"),"日",""))),"")</f>
        <v/>
      </c>
      <c r="J2045">
        <f>IFERROR(MID(I2045,FIND("-",I2045)+1,99),"")</f>
        <v/>
      </c>
    </row>
    <row r="2046">
      <c r="B2046">
        <f>IFERROR(IF($B$1=0,"",IF(INDEX(貼り付け!$A$1:$BZ$3001,2045,$B$1)="","",IF(ISNUMBER(INDEX(貼り付け!$A$1:$BZ$3001,2045,$B$1)),INT(INDEX(貼り付け!$A$1:$BZ$3001,2045,$B$1)),DATE(VALUE(LEFT(I2046,FIND("-",I2046)-1)),VALUE(LEFT(J2046,FIND("-",J2046)-1)),VALUE(MID(J2046,FIND("-",J2046)+1,99)))))),"")</f>
        <v/>
      </c>
      <c r="C2046">
        <f>IF($C$1=0,0,IFERROR(VALUE(SUBSTITUTE(SUBSTITUTE(SUBSTITUTE(INDEX(貼り付け!$A$1:$BZ$3001,2045,$C$1)&amp;"",",",""),"¥",""),"￥","")),0))</f>
        <v/>
      </c>
      <c r="D2046">
        <f>IF($D$1=0,0,IFERROR(VALUE(SUBSTITUTE(SUBSTITUTE(SUBSTITUTE(INDEX(貼り付け!$A$1:$BZ$3001,2045,$D$1)&amp;"",",",""),"¥",""),"￥","")),0))</f>
        <v/>
      </c>
      <c r="E2046">
        <f>IF($E$1=0,0,IFERROR(VALUE(SUBSTITUTE(SUBSTITUTE(SUBSTITUTE(INDEX(貼り付け!$A$1:$BZ$3001,2045,$E$1)&amp;"",",",""),"¥",""),"￥","")),0))</f>
        <v/>
      </c>
      <c r="F2046">
        <f>IF($F$1=0,0,IFERROR(VALUE(SUBSTITUTE(SUBSTITUTE(SUBSTITUTE(INDEX(貼り付け!$A$1:$BZ$3001,2045,$F$1)&amp;"",",",""),"¥",""),"￥","")),0))</f>
        <v/>
      </c>
      <c r="G2046">
        <f>IF(ISNUMBER(B2046),YEAR(B2046),"")</f>
        <v/>
      </c>
      <c r="H2046">
        <f>IF(ISNUMBER(B2046),MONTH(B2046),"")</f>
        <v/>
      </c>
      <c r="I2046">
        <f>IFERROR(IF($B$1=0,"",IF(ISNUMBER(INDEX(貼り付け!$A$1:$BZ$3001,2045,$B$1)),"",SUBSTITUTE(SUBSTITUTE(SUBSTITUTE(SUBSTITUTE(TRIM(LEFT(INDEX(貼り付け!$A$1:$BZ$3001,2045,$B$1)&amp;"",FIND(" ",TRIM(INDEX(貼り付け!$A$1:$BZ$3001,2045,$B$1)&amp;"")&amp;" ")-1)),"/","-"),"年","-"),"月","-"),"日",""))),"")</f>
        <v/>
      </c>
      <c r="J2046">
        <f>IFERROR(MID(I2046,FIND("-",I2046)+1,99),"")</f>
        <v/>
      </c>
    </row>
    <row r="2047">
      <c r="B2047">
        <f>IFERROR(IF($B$1=0,"",IF(INDEX(貼り付け!$A$1:$BZ$3001,2046,$B$1)="","",IF(ISNUMBER(INDEX(貼り付け!$A$1:$BZ$3001,2046,$B$1)),INT(INDEX(貼り付け!$A$1:$BZ$3001,2046,$B$1)),DATE(VALUE(LEFT(I2047,FIND("-",I2047)-1)),VALUE(LEFT(J2047,FIND("-",J2047)-1)),VALUE(MID(J2047,FIND("-",J2047)+1,99)))))),"")</f>
        <v/>
      </c>
      <c r="C2047">
        <f>IF($C$1=0,0,IFERROR(VALUE(SUBSTITUTE(SUBSTITUTE(SUBSTITUTE(INDEX(貼り付け!$A$1:$BZ$3001,2046,$C$1)&amp;"",",",""),"¥",""),"￥","")),0))</f>
        <v/>
      </c>
      <c r="D2047">
        <f>IF($D$1=0,0,IFERROR(VALUE(SUBSTITUTE(SUBSTITUTE(SUBSTITUTE(INDEX(貼り付け!$A$1:$BZ$3001,2046,$D$1)&amp;"",",",""),"¥",""),"￥","")),0))</f>
        <v/>
      </c>
      <c r="E2047">
        <f>IF($E$1=0,0,IFERROR(VALUE(SUBSTITUTE(SUBSTITUTE(SUBSTITUTE(INDEX(貼り付け!$A$1:$BZ$3001,2046,$E$1)&amp;"",",",""),"¥",""),"￥","")),0))</f>
        <v/>
      </c>
      <c r="F2047">
        <f>IF($F$1=0,0,IFERROR(VALUE(SUBSTITUTE(SUBSTITUTE(SUBSTITUTE(INDEX(貼り付け!$A$1:$BZ$3001,2046,$F$1)&amp;"",",",""),"¥",""),"￥","")),0))</f>
        <v/>
      </c>
      <c r="G2047">
        <f>IF(ISNUMBER(B2047),YEAR(B2047),"")</f>
        <v/>
      </c>
      <c r="H2047">
        <f>IF(ISNUMBER(B2047),MONTH(B2047),"")</f>
        <v/>
      </c>
      <c r="I2047">
        <f>IFERROR(IF($B$1=0,"",IF(ISNUMBER(INDEX(貼り付け!$A$1:$BZ$3001,2046,$B$1)),"",SUBSTITUTE(SUBSTITUTE(SUBSTITUTE(SUBSTITUTE(TRIM(LEFT(INDEX(貼り付け!$A$1:$BZ$3001,2046,$B$1)&amp;"",FIND(" ",TRIM(INDEX(貼り付け!$A$1:$BZ$3001,2046,$B$1)&amp;"")&amp;" ")-1)),"/","-"),"年","-"),"月","-"),"日",""))),"")</f>
        <v/>
      </c>
      <c r="J2047">
        <f>IFERROR(MID(I2047,FIND("-",I2047)+1,99),"")</f>
        <v/>
      </c>
    </row>
    <row r="2048">
      <c r="B2048">
        <f>IFERROR(IF($B$1=0,"",IF(INDEX(貼り付け!$A$1:$BZ$3001,2047,$B$1)="","",IF(ISNUMBER(INDEX(貼り付け!$A$1:$BZ$3001,2047,$B$1)),INT(INDEX(貼り付け!$A$1:$BZ$3001,2047,$B$1)),DATE(VALUE(LEFT(I2048,FIND("-",I2048)-1)),VALUE(LEFT(J2048,FIND("-",J2048)-1)),VALUE(MID(J2048,FIND("-",J2048)+1,99)))))),"")</f>
        <v/>
      </c>
      <c r="C2048">
        <f>IF($C$1=0,0,IFERROR(VALUE(SUBSTITUTE(SUBSTITUTE(SUBSTITUTE(INDEX(貼り付け!$A$1:$BZ$3001,2047,$C$1)&amp;"",",",""),"¥",""),"￥","")),0))</f>
        <v/>
      </c>
      <c r="D2048">
        <f>IF($D$1=0,0,IFERROR(VALUE(SUBSTITUTE(SUBSTITUTE(SUBSTITUTE(INDEX(貼り付け!$A$1:$BZ$3001,2047,$D$1)&amp;"",",",""),"¥",""),"￥","")),0))</f>
        <v/>
      </c>
      <c r="E2048">
        <f>IF($E$1=0,0,IFERROR(VALUE(SUBSTITUTE(SUBSTITUTE(SUBSTITUTE(INDEX(貼り付け!$A$1:$BZ$3001,2047,$E$1)&amp;"",",",""),"¥",""),"￥","")),0))</f>
        <v/>
      </c>
      <c r="F2048">
        <f>IF($F$1=0,0,IFERROR(VALUE(SUBSTITUTE(SUBSTITUTE(SUBSTITUTE(INDEX(貼り付け!$A$1:$BZ$3001,2047,$F$1)&amp;"",",",""),"¥",""),"￥","")),0))</f>
        <v/>
      </c>
      <c r="G2048">
        <f>IF(ISNUMBER(B2048),YEAR(B2048),"")</f>
        <v/>
      </c>
      <c r="H2048">
        <f>IF(ISNUMBER(B2048),MONTH(B2048),"")</f>
        <v/>
      </c>
      <c r="I2048">
        <f>IFERROR(IF($B$1=0,"",IF(ISNUMBER(INDEX(貼り付け!$A$1:$BZ$3001,2047,$B$1)),"",SUBSTITUTE(SUBSTITUTE(SUBSTITUTE(SUBSTITUTE(TRIM(LEFT(INDEX(貼り付け!$A$1:$BZ$3001,2047,$B$1)&amp;"",FIND(" ",TRIM(INDEX(貼り付け!$A$1:$BZ$3001,2047,$B$1)&amp;"")&amp;" ")-1)),"/","-"),"年","-"),"月","-"),"日",""))),"")</f>
        <v/>
      </c>
      <c r="J2048">
        <f>IFERROR(MID(I2048,FIND("-",I2048)+1,99),"")</f>
        <v/>
      </c>
    </row>
    <row r="2049">
      <c r="B2049">
        <f>IFERROR(IF($B$1=0,"",IF(INDEX(貼り付け!$A$1:$BZ$3001,2048,$B$1)="","",IF(ISNUMBER(INDEX(貼り付け!$A$1:$BZ$3001,2048,$B$1)),INT(INDEX(貼り付け!$A$1:$BZ$3001,2048,$B$1)),DATE(VALUE(LEFT(I2049,FIND("-",I2049)-1)),VALUE(LEFT(J2049,FIND("-",J2049)-1)),VALUE(MID(J2049,FIND("-",J2049)+1,99)))))),"")</f>
        <v/>
      </c>
      <c r="C2049">
        <f>IF($C$1=0,0,IFERROR(VALUE(SUBSTITUTE(SUBSTITUTE(SUBSTITUTE(INDEX(貼り付け!$A$1:$BZ$3001,2048,$C$1)&amp;"",",",""),"¥",""),"￥","")),0))</f>
        <v/>
      </c>
      <c r="D2049">
        <f>IF($D$1=0,0,IFERROR(VALUE(SUBSTITUTE(SUBSTITUTE(SUBSTITUTE(INDEX(貼り付け!$A$1:$BZ$3001,2048,$D$1)&amp;"",",",""),"¥",""),"￥","")),0))</f>
        <v/>
      </c>
      <c r="E2049">
        <f>IF($E$1=0,0,IFERROR(VALUE(SUBSTITUTE(SUBSTITUTE(SUBSTITUTE(INDEX(貼り付け!$A$1:$BZ$3001,2048,$E$1)&amp;"",",",""),"¥",""),"￥","")),0))</f>
        <v/>
      </c>
      <c r="F2049">
        <f>IF($F$1=0,0,IFERROR(VALUE(SUBSTITUTE(SUBSTITUTE(SUBSTITUTE(INDEX(貼り付け!$A$1:$BZ$3001,2048,$F$1)&amp;"",",",""),"¥",""),"￥","")),0))</f>
        <v/>
      </c>
      <c r="G2049">
        <f>IF(ISNUMBER(B2049),YEAR(B2049),"")</f>
        <v/>
      </c>
      <c r="H2049">
        <f>IF(ISNUMBER(B2049),MONTH(B2049),"")</f>
        <v/>
      </c>
      <c r="I2049">
        <f>IFERROR(IF($B$1=0,"",IF(ISNUMBER(INDEX(貼り付け!$A$1:$BZ$3001,2048,$B$1)),"",SUBSTITUTE(SUBSTITUTE(SUBSTITUTE(SUBSTITUTE(TRIM(LEFT(INDEX(貼り付け!$A$1:$BZ$3001,2048,$B$1)&amp;"",FIND(" ",TRIM(INDEX(貼り付け!$A$1:$BZ$3001,2048,$B$1)&amp;"")&amp;" ")-1)),"/","-"),"年","-"),"月","-"),"日",""))),"")</f>
        <v/>
      </c>
      <c r="J2049">
        <f>IFERROR(MID(I2049,FIND("-",I2049)+1,99),"")</f>
        <v/>
      </c>
    </row>
    <row r="2050">
      <c r="B2050">
        <f>IFERROR(IF($B$1=0,"",IF(INDEX(貼り付け!$A$1:$BZ$3001,2049,$B$1)="","",IF(ISNUMBER(INDEX(貼り付け!$A$1:$BZ$3001,2049,$B$1)),INT(INDEX(貼り付け!$A$1:$BZ$3001,2049,$B$1)),DATE(VALUE(LEFT(I2050,FIND("-",I2050)-1)),VALUE(LEFT(J2050,FIND("-",J2050)-1)),VALUE(MID(J2050,FIND("-",J2050)+1,99)))))),"")</f>
        <v/>
      </c>
      <c r="C2050">
        <f>IF($C$1=0,0,IFERROR(VALUE(SUBSTITUTE(SUBSTITUTE(SUBSTITUTE(INDEX(貼り付け!$A$1:$BZ$3001,2049,$C$1)&amp;"",",",""),"¥",""),"￥","")),0))</f>
        <v/>
      </c>
      <c r="D2050">
        <f>IF($D$1=0,0,IFERROR(VALUE(SUBSTITUTE(SUBSTITUTE(SUBSTITUTE(INDEX(貼り付け!$A$1:$BZ$3001,2049,$D$1)&amp;"",",",""),"¥",""),"￥","")),0))</f>
        <v/>
      </c>
      <c r="E2050">
        <f>IF($E$1=0,0,IFERROR(VALUE(SUBSTITUTE(SUBSTITUTE(SUBSTITUTE(INDEX(貼り付け!$A$1:$BZ$3001,2049,$E$1)&amp;"",",",""),"¥",""),"￥","")),0))</f>
        <v/>
      </c>
      <c r="F2050">
        <f>IF($F$1=0,0,IFERROR(VALUE(SUBSTITUTE(SUBSTITUTE(SUBSTITUTE(INDEX(貼り付け!$A$1:$BZ$3001,2049,$F$1)&amp;"",",",""),"¥",""),"￥","")),0))</f>
        <v/>
      </c>
      <c r="G2050">
        <f>IF(ISNUMBER(B2050),YEAR(B2050),"")</f>
        <v/>
      </c>
      <c r="H2050">
        <f>IF(ISNUMBER(B2050),MONTH(B2050),"")</f>
        <v/>
      </c>
      <c r="I2050">
        <f>IFERROR(IF($B$1=0,"",IF(ISNUMBER(INDEX(貼り付け!$A$1:$BZ$3001,2049,$B$1)),"",SUBSTITUTE(SUBSTITUTE(SUBSTITUTE(SUBSTITUTE(TRIM(LEFT(INDEX(貼り付け!$A$1:$BZ$3001,2049,$B$1)&amp;"",FIND(" ",TRIM(INDEX(貼り付け!$A$1:$BZ$3001,2049,$B$1)&amp;"")&amp;" ")-1)),"/","-"),"年","-"),"月","-"),"日",""))),"")</f>
        <v/>
      </c>
      <c r="J2050">
        <f>IFERROR(MID(I2050,FIND("-",I2050)+1,99),"")</f>
        <v/>
      </c>
    </row>
    <row r="2051">
      <c r="B2051">
        <f>IFERROR(IF($B$1=0,"",IF(INDEX(貼り付け!$A$1:$BZ$3001,2050,$B$1)="","",IF(ISNUMBER(INDEX(貼り付け!$A$1:$BZ$3001,2050,$B$1)),INT(INDEX(貼り付け!$A$1:$BZ$3001,2050,$B$1)),DATE(VALUE(LEFT(I2051,FIND("-",I2051)-1)),VALUE(LEFT(J2051,FIND("-",J2051)-1)),VALUE(MID(J2051,FIND("-",J2051)+1,99)))))),"")</f>
        <v/>
      </c>
      <c r="C2051">
        <f>IF($C$1=0,0,IFERROR(VALUE(SUBSTITUTE(SUBSTITUTE(SUBSTITUTE(INDEX(貼り付け!$A$1:$BZ$3001,2050,$C$1)&amp;"",",",""),"¥",""),"￥","")),0))</f>
        <v/>
      </c>
      <c r="D2051">
        <f>IF($D$1=0,0,IFERROR(VALUE(SUBSTITUTE(SUBSTITUTE(SUBSTITUTE(INDEX(貼り付け!$A$1:$BZ$3001,2050,$D$1)&amp;"",",",""),"¥",""),"￥","")),0))</f>
        <v/>
      </c>
      <c r="E2051">
        <f>IF($E$1=0,0,IFERROR(VALUE(SUBSTITUTE(SUBSTITUTE(SUBSTITUTE(INDEX(貼り付け!$A$1:$BZ$3001,2050,$E$1)&amp;"",",",""),"¥",""),"￥","")),0))</f>
        <v/>
      </c>
      <c r="F2051">
        <f>IF($F$1=0,0,IFERROR(VALUE(SUBSTITUTE(SUBSTITUTE(SUBSTITUTE(INDEX(貼り付け!$A$1:$BZ$3001,2050,$F$1)&amp;"",",",""),"¥",""),"￥","")),0))</f>
        <v/>
      </c>
      <c r="G2051">
        <f>IF(ISNUMBER(B2051),YEAR(B2051),"")</f>
        <v/>
      </c>
      <c r="H2051">
        <f>IF(ISNUMBER(B2051),MONTH(B2051),"")</f>
        <v/>
      </c>
      <c r="I2051">
        <f>IFERROR(IF($B$1=0,"",IF(ISNUMBER(INDEX(貼り付け!$A$1:$BZ$3001,2050,$B$1)),"",SUBSTITUTE(SUBSTITUTE(SUBSTITUTE(SUBSTITUTE(TRIM(LEFT(INDEX(貼り付け!$A$1:$BZ$3001,2050,$B$1)&amp;"",FIND(" ",TRIM(INDEX(貼り付け!$A$1:$BZ$3001,2050,$B$1)&amp;"")&amp;" ")-1)),"/","-"),"年","-"),"月","-"),"日",""))),"")</f>
        <v/>
      </c>
      <c r="J2051">
        <f>IFERROR(MID(I2051,FIND("-",I2051)+1,99),"")</f>
        <v/>
      </c>
    </row>
    <row r="2052">
      <c r="B2052">
        <f>IFERROR(IF($B$1=0,"",IF(INDEX(貼り付け!$A$1:$BZ$3001,2051,$B$1)="","",IF(ISNUMBER(INDEX(貼り付け!$A$1:$BZ$3001,2051,$B$1)),INT(INDEX(貼り付け!$A$1:$BZ$3001,2051,$B$1)),DATE(VALUE(LEFT(I2052,FIND("-",I2052)-1)),VALUE(LEFT(J2052,FIND("-",J2052)-1)),VALUE(MID(J2052,FIND("-",J2052)+1,99)))))),"")</f>
        <v/>
      </c>
      <c r="C2052">
        <f>IF($C$1=0,0,IFERROR(VALUE(SUBSTITUTE(SUBSTITUTE(SUBSTITUTE(INDEX(貼り付け!$A$1:$BZ$3001,2051,$C$1)&amp;"",",",""),"¥",""),"￥","")),0))</f>
        <v/>
      </c>
      <c r="D2052">
        <f>IF($D$1=0,0,IFERROR(VALUE(SUBSTITUTE(SUBSTITUTE(SUBSTITUTE(INDEX(貼り付け!$A$1:$BZ$3001,2051,$D$1)&amp;"",",",""),"¥",""),"￥","")),0))</f>
        <v/>
      </c>
      <c r="E2052">
        <f>IF($E$1=0,0,IFERROR(VALUE(SUBSTITUTE(SUBSTITUTE(SUBSTITUTE(INDEX(貼り付け!$A$1:$BZ$3001,2051,$E$1)&amp;"",",",""),"¥",""),"￥","")),0))</f>
        <v/>
      </c>
      <c r="F2052">
        <f>IF($F$1=0,0,IFERROR(VALUE(SUBSTITUTE(SUBSTITUTE(SUBSTITUTE(INDEX(貼り付け!$A$1:$BZ$3001,2051,$F$1)&amp;"",",",""),"¥",""),"￥","")),0))</f>
        <v/>
      </c>
      <c r="G2052">
        <f>IF(ISNUMBER(B2052),YEAR(B2052),"")</f>
        <v/>
      </c>
      <c r="H2052">
        <f>IF(ISNUMBER(B2052),MONTH(B2052),"")</f>
        <v/>
      </c>
      <c r="I2052">
        <f>IFERROR(IF($B$1=0,"",IF(ISNUMBER(INDEX(貼り付け!$A$1:$BZ$3001,2051,$B$1)),"",SUBSTITUTE(SUBSTITUTE(SUBSTITUTE(SUBSTITUTE(TRIM(LEFT(INDEX(貼り付け!$A$1:$BZ$3001,2051,$B$1)&amp;"",FIND(" ",TRIM(INDEX(貼り付け!$A$1:$BZ$3001,2051,$B$1)&amp;"")&amp;" ")-1)),"/","-"),"年","-"),"月","-"),"日",""))),"")</f>
        <v/>
      </c>
      <c r="J2052">
        <f>IFERROR(MID(I2052,FIND("-",I2052)+1,99),"")</f>
        <v/>
      </c>
    </row>
    <row r="2053">
      <c r="B2053">
        <f>IFERROR(IF($B$1=0,"",IF(INDEX(貼り付け!$A$1:$BZ$3001,2052,$B$1)="","",IF(ISNUMBER(INDEX(貼り付け!$A$1:$BZ$3001,2052,$B$1)),INT(INDEX(貼り付け!$A$1:$BZ$3001,2052,$B$1)),DATE(VALUE(LEFT(I2053,FIND("-",I2053)-1)),VALUE(LEFT(J2053,FIND("-",J2053)-1)),VALUE(MID(J2053,FIND("-",J2053)+1,99)))))),"")</f>
        <v/>
      </c>
      <c r="C2053">
        <f>IF($C$1=0,0,IFERROR(VALUE(SUBSTITUTE(SUBSTITUTE(SUBSTITUTE(INDEX(貼り付け!$A$1:$BZ$3001,2052,$C$1)&amp;"",",",""),"¥",""),"￥","")),0))</f>
        <v/>
      </c>
      <c r="D2053">
        <f>IF($D$1=0,0,IFERROR(VALUE(SUBSTITUTE(SUBSTITUTE(SUBSTITUTE(INDEX(貼り付け!$A$1:$BZ$3001,2052,$D$1)&amp;"",",",""),"¥",""),"￥","")),0))</f>
        <v/>
      </c>
      <c r="E2053">
        <f>IF($E$1=0,0,IFERROR(VALUE(SUBSTITUTE(SUBSTITUTE(SUBSTITUTE(INDEX(貼り付け!$A$1:$BZ$3001,2052,$E$1)&amp;"",",",""),"¥",""),"￥","")),0))</f>
        <v/>
      </c>
      <c r="F2053">
        <f>IF($F$1=0,0,IFERROR(VALUE(SUBSTITUTE(SUBSTITUTE(SUBSTITUTE(INDEX(貼り付け!$A$1:$BZ$3001,2052,$F$1)&amp;"",",",""),"¥",""),"￥","")),0))</f>
        <v/>
      </c>
      <c r="G2053">
        <f>IF(ISNUMBER(B2053),YEAR(B2053),"")</f>
        <v/>
      </c>
      <c r="H2053">
        <f>IF(ISNUMBER(B2053),MONTH(B2053),"")</f>
        <v/>
      </c>
      <c r="I2053">
        <f>IFERROR(IF($B$1=0,"",IF(ISNUMBER(INDEX(貼り付け!$A$1:$BZ$3001,2052,$B$1)),"",SUBSTITUTE(SUBSTITUTE(SUBSTITUTE(SUBSTITUTE(TRIM(LEFT(INDEX(貼り付け!$A$1:$BZ$3001,2052,$B$1)&amp;"",FIND(" ",TRIM(INDEX(貼り付け!$A$1:$BZ$3001,2052,$B$1)&amp;"")&amp;" ")-1)),"/","-"),"年","-"),"月","-"),"日",""))),"")</f>
        <v/>
      </c>
      <c r="J2053">
        <f>IFERROR(MID(I2053,FIND("-",I2053)+1,99),"")</f>
        <v/>
      </c>
    </row>
    <row r="2054">
      <c r="B2054">
        <f>IFERROR(IF($B$1=0,"",IF(INDEX(貼り付け!$A$1:$BZ$3001,2053,$B$1)="","",IF(ISNUMBER(INDEX(貼り付け!$A$1:$BZ$3001,2053,$B$1)),INT(INDEX(貼り付け!$A$1:$BZ$3001,2053,$B$1)),DATE(VALUE(LEFT(I2054,FIND("-",I2054)-1)),VALUE(LEFT(J2054,FIND("-",J2054)-1)),VALUE(MID(J2054,FIND("-",J2054)+1,99)))))),"")</f>
        <v/>
      </c>
      <c r="C2054">
        <f>IF($C$1=0,0,IFERROR(VALUE(SUBSTITUTE(SUBSTITUTE(SUBSTITUTE(INDEX(貼り付け!$A$1:$BZ$3001,2053,$C$1)&amp;"",",",""),"¥",""),"￥","")),0))</f>
        <v/>
      </c>
      <c r="D2054">
        <f>IF($D$1=0,0,IFERROR(VALUE(SUBSTITUTE(SUBSTITUTE(SUBSTITUTE(INDEX(貼り付け!$A$1:$BZ$3001,2053,$D$1)&amp;"",",",""),"¥",""),"￥","")),0))</f>
        <v/>
      </c>
      <c r="E2054">
        <f>IF($E$1=0,0,IFERROR(VALUE(SUBSTITUTE(SUBSTITUTE(SUBSTITUTE(INDEX(貼り付け!$A$1:$BZ$3001,2053,$E$1)&amp;"",",",""),"¥",""),"￥","")),0))</f>
        <v/>
      </c>
      <c r="F2054">
        <f>IF($F$1=0,0,IFERROR(VALUE(SUBSTITUTE(SUBSTITUTE(SUBSTITUTE(INDEX(貼り付け!$A$1:$BZ$3001,2053,$F$1)&amp;"",",",""),"¥",""),"￥","")),0))</f>
        <v/>
      </c>
      <c r="G2054">
        <f>IF(ISNUMBER(B2054),YEAR(B2054),"")</f>
        <v/>
      </c>
      <c r="H2054">
        <f>IF(ISNUMBER(B2054),MONTH(B2054),"")</f>
        <v/>
      </c>
      <c r="I2054">
        <f>IFERROR(IF($B$1=0,"",IF(ISNUMBER(INDEX(貼り付け!$A$1:$BZ$3001,2053,$B$1)),"",SUBSTITUTE(SUBSTITUTE(SUBSTITUTE(SUBSTITUTE(TRIM(LEFT(INDEX(貼り付け!$A$1:$BZ$3001,2053,$B$1)&amp;"",FIND(" ",TRIM(INDEX(貼り付け!$A$1:$BZ$3001,2053,$B$1)&amp;"")&amp;" ")-1)),"/","-"),"年","-"),"月","-"),"日",""))),"")</f>
        <v/>
      </c>
      <c r="J2054">
        <f>IFERROR(MID(I2054,FIND("-",I2054)+1,99),"")</f>
        <v/>
      </c>
    </row>
    <row r="2055">
      <c r="B2055">
        <f>IFERROR(IF($B$1=0,"",IF(INDEX(貼り付け!$A$1:$BZ$3001,2054,$B$1)="","",IF(ISNUMBER(INDEX(貼り付け!$A$1:$BZ$3001,2054,$B$1)),INT(INDEX(貼り付け!$A$1:$BZ$3001,2054,$B$1)),DATE(VALUE(LEFT(I2055,FIND("-",I2055)-1)),VALUE(LEFT(J2055,FIND("-",J2055)-1)),VALUE(MID(J2055,FIND("-",J2055)+1,99)))))),"")</f>
        <v/>
      </c>
      <c r="C2055">
        <f>IF($C$1=0,0,IFERROR(VALUE(SUBSTITUTE(SUBSTITUTE(SUBSTITUTE(INDEX(貼り付け!$A$1:$BZ$3001,2054,$C$1)&amp;"",",",""),"¥",""),"￥","")),0))</f>
        <v/>
      </c>
      <c r="D2055">
        <f>IF($D$1=0,0,IFERROR(VALUE(SUBSTITUTE(SUBSTITUTE(SUBSTITUTE(INDEX(貼り付け!$A$1:$BZ$3001,2054,$D$1)&amp;"",",",""),"¥",""),"￥","")),0))</f>
        <v/>
      </c>
      <c r="E2055">
        <f>IF($E$1=0,0,IFERROR(VALUE(SUBSTITUTE(SUBSTITUTE(SUBSTITUTE(INDEX(貼り付け!$A$1:$BZ$3001,2054,$E$1)&amp;"",",",""),"¥",""),"￥","")),0))</f>
        <v/>
      </c>
      <c r="F2055">
        <f>IF($F$1=0,0,IFERROR(VALUE(SUBSTITUTE(SUBSTITUTE(SUBSTITUTE(INDEX(貼り付け!$A$1:$BZ$3001,2054,$F$1)&amp;"",",",""),"¥",""),"￥","")),0))</f>
        <v/>
      </c>
      <c r="G2055">
        <f>IF(ISNUMBER(B2055),YEAR(B2055),"")</f>
        <v/>
      </c>
      <c r="H2055">
        <f>IF(ISNUMBER(B2055),MONTH(B2055),"")</f>
        <v/>
      </c>
      <c r="I2055">
        <f>IFERROR(IF($B$1=0,"",IF(ISNUMBER(INDEX(貼り付け!$A$1:$BZ$3001,2054,$B$1)),"",SUBSTITUTE(SUBSTITUTE(SUBSTITUTE(SUBSTITUTE(TRIM(LEFT(INDEX(貼り付け!$A$1:$BZ$3001,2054,$B$1)&amp;"",FIND(" ",TRIM(INDEX(貼り付け!$A$1:$BZ$3001,2054,$B$1)&amp;"")&amp;" ")-1)),"/","-"),"年","-"),"月","-"),"日",""))),"")</f>
        <v/>
      </c>
      <c r="J2055">
        <f>IFERROR(MID(I2055,FIND("-",I2055)+1,99),"")</f>
        <v/>
      </c>
    </row>
    <row r="2056">
      <c r="B2056">
        <f>IFERROR(IF($B$1=0,"",IF(INDEX(貼り付け!$A$1:$BZ$3001,2055,$B$1)="","",IF(ISNUMBER(INDEX(貼り付け!$A$1:$BZ$3001,2055,$B$1)),INT(INDEX(貼り付け!$A$1:$BZ$3001,2055,$B$1)),DATE(VALUE(LEFT(I2056,FIND("-",I2056)-1)),VALUE(LEFT(J2056,FIND("-",J2056)-1)),VALUE(MID(J2056,FIND("-",J2056)+1,99)))))),"")</f>
        <v/>
      </c>
      <c r="C2056">
        <f>IF($C$1=0,0,IFERROR(VALUE(SUBSTITUTE(SUBSTITUTE(SUBSTITUTE(INDEX(貼り付け!$A$1:$BZ$3001,2055,$C$1)&amp;"",",",""),"¥",""),"￥","")),0))</f>
        <v/>
      </c>
      <c r="D2056">
        <f>IF($D$1=0,0,IFERROR(VALUE(SUBSTITUTE(SUBSTITUTE(SUBSTITUTE(INDEX(貼り付け!$A$1:$BZ$3001,2055,$D$1)&amp;"",",",""),"¥",""),"￥","")),0))</f>
        <v/>
      </c>
      <c r="E2056">
        <f>IF($E$1=0,0,IFERROR(VALUE(SUBSTITUTE(SUBSTITUTE(SUBSTITUTE(INDEX(貼り付け!$A$1:$BZ$3001,2055,$E$1)&amp;"",",",""),"¥",""),"￥","")),0))</f>
        <v/>
      </c>
      <c r="F2056">
        <f>IF($F$1=0,0,IFERROR(VALUE(SUBSTITUTE(SUBSTITUTE(SUBSTITUTE(INDEX(貼り付け!$A$1:$BZ$3001,2055,$F$1)&amp;"",",",""),"¥",""),"￥","")),0))</f>
        <v/>
      </c>
      <c r="G2056">
        <f>IF(ISNUMBER(B2056),YEAR(B2056),"")</f>
        <v/>
      </c>
      <c r="H2056">
        <f>IF(ISNUMBER(B2056),MONTH(B2056),"")</f>
        <v/>
      </c>
      <c r="I2056">
        <f>IFERROR(IF($B$1=0,"",IF(ISNUMBER(INDEX(貼り付け!$A$1:$BZ$3001,2055,$B$1)),"",SUBSTITUTE(SUBSTITUTE(SUBSTITUTE(SUBSTITUTE(TRIM(LEFT(INDEX(貼り付け!$A$1:$BZ$3001,2055,$B$1)&amp;"",FIND(" ",TRIM(INDEX(貼り付け!$A$1:$BZ$3001,2055,$B$1)&amp;"")&amp;" ")-1)),"/","-"),"年","-"),"月","-"),"日",""))),"")</f>
        <v/>
      </c>
      <c r="J2056">
        <f>IFERROR(MID(I2056,FIND("-",I2056)+1,99),"")</f>
        <v/>
      </c>
    </row>
    <row r="2057">
      <c r="B2057">
        <f>IFERROR(IF($B$1=0,"",IF(INDEX(貼り付け!$A$1:$BZ$3001,2056,$B$1)="","",IF(ISNUMBER(INDEX(貼り付け!$A$1:$BZ$3001,2056,$B$1)),INT(INDEX(貼り付け!$A$1:$BZ$3001,2056,$B$1)),DATE(VALUE(LEFT(I2057,FIND("-",I2057)-1)),VALUE(LEFT(J2057,FIND("-",J2057)-1)),VALUE(MID(J2057,FIND("-",J2057)+1,99)))))),"")</f>
        <v/>
      </c>
      <c r="C2057">
        <f>IF($C$1=0,0,IFERROR(VALUE(SUBSTITUTE(SUBSTITUTE(SUBSTITUTE(INDEX(貼り付け!$A$1:$BZ$3001,2056,$C$1)&amp;"",",",""),"¥",""),"￥","")),0))</f>
        <v/>
      </c>
      <c r="D2057">
        <f>IF($D$1=0,0,IFERROR(VALUE(SUBSTITUTE(SUBSTITUTE(SUBSTITUTE(INDEX(貼り付け!$A$1:$BZ$3001,2056,$D$1)&amp;"",",",""),"¥",""),"￥","")),0))</f>
        <v/>
      </c>
      <c r="E2057">
        <f>IF($E$1=0,0,IFERROR(VALUE(SUBSTITUTE(SUBSTITUTE(SUBSTITUTE(INDEX(貼り付け!$A$1:$BZ$3001,2056,$E$1)&amp;"",",",""),"¥",""),"￥","")),0))</f>
        <v/>
      </c>
      <c r="F2057">
        <f>IF($F$1=0,0,IFERROR(VALUE(SUBSTITUTE(SUBSTITUTE(SUBSTITUTE(INDEX(貼り付け!$A$1:$BZ$3001,2056,$F$1)&amp;"",",",""),"¥",""),"￥","")),0))</f>
        <v/>
      </c>
      <c r="G2057">
        <f>IF(ISNUMBER(B2057),YEAR(B2057),"")</f>
        <v/>
      </c>
      <c r="H2057">
        <f>IF(ISNUMBER(B2057),MONTH(B2057),"")</f>
        <v/>
      </c>
      <c r="I2057">
        <f>IFERROR(IF($B$1=0,"",IF(ISNUMBER(INDEX(貼り付け!$A$1:$BZ$3001,2056,$B$1)),"",SUBSTITUTE(SUBSTITUTE(SUBSTITUTE(SUBSTITUTE(TRIM(LEFT(INDEX(貼り付け!$A$1:$BZ$3001,2056,$B$1)&amp;"",FIND(" ",TRIM(INDEX(貼り付け!$A$1:$BZ$3001,2056,$B$1)&amp;"")&amp;" ")-1)),"/","-"),"年","-"),"月","-"),"日",""))),"")</f>
        <v/>
      </c>
      <c r="J2057">
        <f>IFERROR(MID(I2057,FIND("-",I2057)+1,99),"")</f>
        <v/>
      </c>
    </row>
    <row r="2058">
      <c r="B2058">
        <f>IFERROR(IF($B$1=0,"",IF(INDEX(貼り付け!$A$1:$BZ$3001,2057,$B$1)="","",IF(ISNUMBER(INDEX(貼り付け!$A$1:$BZ$3001,2057,$B$1)),INT(INDEX(貼り付け!$A$1:$BZ$3001,2057,$B$1)),DATE(VALUE(LEFT(I2058,FIND("-",I2058)-1)),VALUE(LEFT(J2058,FIND("-",J2058)-1)),VALUE(MID(J2058,FIND("-",J2058)+1,99)))))),"")</f>
        <v/>
      </c>
      <c r="C2058">
        <f>IF($C$1=0,0,IFERROR(VALUE(SUBSTITUTE(SUBSTITUTE(SUBSTITUTE(INDEX(貼り付け!$A$1:$BZ$3001,2057,$C$1)&amp;"",",",""),"¥",""),"￥","")),0))</f>
        <v/>
      </c>
      <c r="D2058">
        <f>IF($D$1=0,0,IFERROR(VALUE(SUBSTITUTE(SUBSTITUTE(SUBSTITUTE(INDEX(貼り付け!$A$1:$BZ$3001,2057,$D$1)&amp;"",",",""),"¥",""),"￥","")),0))</f>
        <v/>
      </c>
      <c r="E2058">
        <f>IF($E$1=0,0,IFERROR(VALUE(SUBSTITUTE(SUBSTITUTE(SUBSTITUTE(INDEX(貼り付け!$A$1:$BZ$3001,2057,$E$1)&amp;"",",",""),"¥",""),"￥","")),0))</f>
        <v/>
      </c>
      <c r="F2058">
        <f>IF($F$1=0,0,IFERROR(VALUE(SUBSTITUTE(SUBSTITUTE(SUBSTITUTE(INDEX(貼り付け!$A$1:$BZ$3001,2057,$F$1)&amp;"",",",""),"¥",""),"￥","")),0))</f>
        <v/>
      </c>
      <c r="G2058">
        <f>IF(ISNUMBER(B2058),YEAR(B2058),"")</f>
        <v/>
      </c>
      <c r="H2058">
        <f>IF(ISNUMBER(B2058),MONTH(B2058),"")</f>
        <v/>
      </c>
      <c r="I2058">
        <f>IFERROR(IF($B$1=0,"",IF(ISNUMBER(INDEX(貼り付け!$A$1:$BZ$3001,2057,$B$1)),"",SUBSTITUTE(SUBSTITUTE(SUBSTITUTE(SUBSTITUTE(TRIM(LEFT(INDEX(貼り付け!$A$1:$BZ$3001,2057,$B$1)&amp;"",FIND(" ",TRIM(INDEX(貼り付け!$A$1:$BZ$3001,2057,$B$1)&amp;"")&amp;" ")-1)),"/","-"),"年","-"),"月","-"),"日",""))),"")</f>
        <v/>
      </c>
      <c r="J2058">
        <f>IFERROR(MID(I2058,FIND("-",I2058)+1,99),"")</f>
        <v/>
      </c>
    </row>
    <row r="2059">
      <c r="B2059">
        <f>IFERROR(IF($B$1=0,"",IF(INDEX(貼り付け!$A$1:$BZ$3001,2058,$B$1)="","",IF(ISNUMBER(INDEX(貼り付け!$A$1:$BZ$3001,2058,$B$1)),INT(INDEX(貼り付け!$A$1:$BZ$3001,2058,$B$1)),DATE(VALUE(LEFT(I2059,FIND("-",I2059)-1)),VALUE(LEFT(J2059,FIND("-",J2059)-1)),VALUE(MID(J2059,FIND("-",J2059)+1,99)))))),"")</f>
        <v/>
      </c>
      <c r="C2059">
        <f>IF($C$1=0,0,IFERROR(VALUE(SUBSTITUTE(SUBSTITUTE(SUBSTITUTE(INDEX(貼り付け!$A$1:$BZ$3001,2058,$C$1)&amp;"",",",""),"¥",""),"￥","")),0))</f>
        <v/>
      </c>
      <c r="D2059">
        <f>IF($D$1=0,0,IFERROR(VALUE(SUBSTITUTE(SUBSTITUTE(SUBSTITUTE(INDEX(貼り付け!$A$1:$BZ$3001,2058,$D$1)&amp;"",",",""),"¥",""),"￥","")),0))</f>
        <v/>
      </c>
      <c r="E2059">
        <f>IF($E$1=0,0,IFERROR(VALUE(SUBSTITUTE(SUBSTITUTE(SUBSTITUTE(INDEX(貼り付け!$A$1:$BZ$3001,2058,$E$1)&amp;"",",",""),"¥",""),"￥","")),0))</f>
        <v/>
      </c>
      <c r="F2059">
        <f>IF($F$1=0,0,IFERROR(VALUE(SUBSTITUTE(SUBSTITUTE(SUBSTITUTE(INDEX(貼り付け!$A$1:$BZ$3001,2058,$F$1)&amp;"",",",""),"¥",""),"￥","")),0))</f>
        <v/>
      </c>
      <c r="G2059">
        <f>IF(ISNUMBER(B2059),YEAR(B2059),"")</f>
        <v/>
      </c>
      <c r="H2059">
        <f>IF(ISNUMBER(B2059),MONTH(B2059),"")</f>
        <v/>
      </c>
      <c r="I2059">
        <f>IFERROR(IF($B$1=0,"",IF(ISNUMBER(INDEX(貼り付け!$A$1:$BZ$3001,2058,$B$1)),"",SUBSTITUTE(SUBSTITUTE(SUBSTITUTE(SUBSTITUTE(TRIM(LEFT(INDEX(貼り付け!$A$1:$BZ$3001,2058,$B$1)&amp;"",FIND(" ",TRIM(INDEX(貼り付け!$A$1:$BZ$3001,2058,$B$1)&amp;"")&amp;" ")-1)),"/","-"),"年","-"),"月","-"),"日",""))),"")</f>
        <v/>
      </c>
      <c r="J2059">
        <f>IFERROR(MID(I2059,FIND("-",I2059)+1,99),"")</f>
        <v/>
      </c>
    </row>
    <row r="2060">
      <c r="B2060">
        <f>IFERROR(IF($B$1=0,"",IF(INDEX(貼り付け!$A$1:$BZ$3001,2059,$B$1)="","",IF(ISNUMBER(INDEX(貼り付け!$A$1:$BZ$3001,2059,$B$1)),INT(INDEX(貼り付け!$A$1:$BZ$3001,2059,$B$1)),DATE(VALUE(LEFT(I2060,FIND("-",I2060)-1)),VALUE(LEFT(J2060,FIND("-",J2060)-1)),VALUE(MID(J2060,FIND("-",J2060)+1,99)))))),"")</f>
        <v/>
      </c>
      <c r="C2060">
        <f>IF($C$1=0,0,IFERROR(VALUE(SUBSTITUTE(SUBSTITUTE(SUBSTITUTE(INDEX(貼り付け!$A$1:$BZ$3001,2059,$C$1)&amp;"",",",""),"¥",""),"￥","")),0))</f>
        <v/>
      </c>
      <c r="D2060">
        <f>IF($D$1=0,0,IFERROR(VALUE(SUBSTITUTE(SUBSTITUTE(SUBSTITUTE(INDEX(貼り付け!$A$1:$BZ$3001,2059,$D$1)&amp;"",",",""),"¥",""),"￥","")),0))</f>
        <v/>
      </c>
      <c r="E2060">
        <f>IF($E$1=0,0,IFERROR(VALUE(SUBSTITUTE(SUBSTITUTE(SUBSTITUTE(INDEX(貼り付け!$A$1:$BZ$3001,2059,$E$1)&amp;"",",",""),"¥",""),"￥","")),0))</f>
        <v/>
      </c>
      <c r="F2060">
        <f>IF($F$1=0,0,IFERROR(VALUE(SUBSTITUTE(SUBSTITUTE(SUBSTITUTE(INDEX(貼り付け!$A$1:$BZ$3001,2059,$F$1)&amp;"",",",""),"¥",""),"￥","")),0))</f>
        <v/>
      </c>
      <c r="G2060">
        <f>IF(ISNUMBER(B2060),YEAR(B2060),"")</f>
        <v/>
      </c>
      <c r="H2060">
        <f>IF(ISNUMBER(B2060),MONTH(B2060),"")</f>
        <v/>
      </c>
      <c r="I2060">
        <f>IFERROR(IF($B$1=0,"",IF(ISNUMBER(INDEX(貼り付け!$A$1:$BZ$3001,2059,$B$1)),"",SUBSTITUTE(SUBSTITUTE(SUBSTITUTE(SUBSTITUTE(TRIM(LEFT(INDEX(貼り付け!$A$1:$BZ$3001,2059,$B$1)&amp;"",FIND(" ",TRIM(INDEX(貼り付け!$A$1:$BZ$3001,2059,$B$1)&amp;"")&amp;" ")-1)),"/","-"),"年","-"),"月","-"),"日",""))),"")</f>
        <v/>
      </c>
      <c r="J2060">
        <f>IFERROR(MID(I2060,FIND("-",I2060)+1,99),"")</f>
        <v/>
      </c>
    </row>
    <row r="2061">
      <c r="B2061">
        <f>IFERROR(IF($B$1=0,"",IF(INDEX(貼り付け!$A$1:$BZ$3001,2060,$B$1)="","",IF(ISNUMBER(INDEX(貼り付け!$A$1:$BZ$3001,2060,$B$1)),INT(INDEX(貼り付け!$A$1:$BZ$3001,2060,$B$1)),DATE(VALUE(LEFT(I2061,FIND("-",I2061)-1)),VALUE(LEFT(J2061,FIND("-",J2061)-1)),VALUE(MID(J2061,FIND("-",J2061)+1,99)))))),"")</f>
        <v/>
      </c>
      <c r="C2061">
        <f>IF($C$1=0,0,IFERROR(VALUE(SUBSTITUTE(SUBSTITUTE(SUBSTITUTE(INDEX(貼り付け!$A$1:$BZ$3001,2060,$C$1)&amp;"",",",""),"¥",""),"￥","")),0))</f>
        <v/>
      </c>
      <c r="D2061">
        <f>IF($D$1=0,0,IFERROR(VALUE(SUBSTITUTE(SUBSTITUTE(SUBSTITUTE(INDEX(貼り付け!$A$1:$BZ$3001,2060,$D$1)&amp;"",",",""),"¥",""),"￥","")),0))</f>
        <v/>
      </c>
      <c r="E2061">
        <f>IF($E$1=0,0,IFERROR(VALUE(SUBSTITUTE(SUBSTITUTE(SUBSTITUTE(INDEX(貼り付け!$A$1:$BZ$3001,2060,$E$1)&amp;"",",",""),"¥",""),"￥","")),0))</f>
        <v/>
      </c>
      <c r="F2061">
        <f>IF($F$1=0,0,IFERROR(VALUE(SUBSTITUTE(SUBSTITUTE(SUBSTITUTE(INDEX(貼り付け!$A$1:$BZ$3001,2060,$F$1)&amp;"",",",""),"¥",""),"￥","")),0))</f>
        <v/>
      </c>
      <c r="G2061">
        <f>IF(ISNUMBER(B2061),YEAR(B2061),"")</f>
        <v/>
      </c>
      <c r="H2061">
        <f>IF(ISNUMBER(B2061),MONTH(B2061),"")</f>
        <v/>
      </c>
      <c r="I2061">
        <f>IFERROR(IF($B$1=0,"",IF(ISNUMBER(INDEX(貼り付け!$A$1:$BZ$3001,2060,$B$1)),"",SUBSTITUTE(SUBSTITUTE(SUBSTITUTE(SUBSTITUTE(TRIM(LEFT(INDEX(貼り付け!$A$1:$BZ$3001,2060,$B$1)&amp;"",FIND(" ",TRIM(INDEX(貼り付け!$A$1:$BZ$3001,2060,$B$1)&amp;"")&amp;" ")-1)),"/","-"),"年","-"),"月","-"),"日",""))),"")</f>
        <v/>
      </c>
      <c r="J2061">
        <f>IFERROR(MID(I2061,FIND("-",I2061)+1,99),"")</f>
        <v/>
      </c>
    </row>
    <row r="2062">
      <c r="B2062">
        <f>IFERROR(IF($B$1=0,"",IF(INDEX(貼り付け!$A$1:$BZ$3001,2061,$B$1)="","",IF(ISNUMBER(INDEX(貼り付け!$A$1:$BZ$3001,2061,$B$1)),INT(INDEX(貼り付け!$A$1:$BZ$3001,2061,$B$1)),DATE(VALUE(LEFT(I2062,FIND("-",I2062)-1)),VALUE(LEFT(J2062,FIND("-",J2062)-1)),VALUE(MID(J2062,FIND("-",J2062)+1,99)))))),"")</f>
        <v/>
      </c>
      <c r="C2062">
        <f>IF($C$1=0,0,IFERROR(VALUE(SUBSTITUTE(SUBSTITUTE(SUBSTITUTE(INDEX(貼り付け!$A$1:$BZ$3001,2061,$C$1)&amp;"",",",""),"¥",""),"￥","")),0))</f>
        <v/>
      </c>
      <c r="D2062">
        <f>IF($D$1=0,0,IFERROR(VALUE(SUBSTITUTE(SUBSTITUTE(SUBSTITUTE(INDEX(貼り付け!$A$1:$BZ$3001,2061,$D$1)&amp;"",",",""),"¥",""),"￥","")),0))</f>
        <v/>
      </c>
      <c r="E2062">
        <f>IF($E$1=0,0,IFERROR(VALUE(SUBSTITUTE(SUBSTITUTE(SUBSTITUTE(INDEX(貼り付け!$A$1:$BZ$3001,2061,$E$1)&amp;"",",",""),"¥",""),"￥","")),0))</f>
        <v/>
      </c>
      <c r="F2062">
        <f>IF($F$1=0,0,IFERROR(VALUE(SUBSTITUTE(SUBSTITUTE(SUBSTITUTE(INDEX(貼り付け!$A$1:$BZ$3001,2061,$F$1)&amp;"",",",""),"¥",""),"￥","")),0))</f>
        <v/>
      </c>
      <c r="G2062">
        <f>IF(ISNUMBER(B2062),YEAR(B2062),"")</f>
        <v/>
      </c>
      <c r="H2062">
        <f>IF(ISNUMBER(B2062),MONTH(B2062),"")</f>
        <v/>
      </c>
      <c r="I2062">
        <f>IFERROR(IF($B$1=0,"",IF(ISNUMBER(INDEX(貼り付け!$A$1:$BZ$3001,2061,$B$1)),"",SUBSTITUTE(SUBSTITUTE(SUBSTITUTE(SUBSTITUTE(TRIM(LEFT(INDEX(貼り付け!$A$1:$BZ$3001,2061,$B$1)&amp;"",FIND(" ",TRIM(INDEX(貼り付け!$A$1:$BZ$3001,2061,$B$1)&amp;"")&amp;" ")-1)),"/","-"),"年","-"),"月","-"),"日",""))),"")</f>
        <v/>
      </c>
      <c r="J2062">
        <f>IFERROR(MID(I2062,FIND("-",I2062)+1,99),"")</f>
        <v/>
      </c>
    </row>
    <row r="2063">
      <c r="B2063">
        <f>IFERROR(IF($B$1=0,"",IF(INDEX(貼り付け!$A$1:$BZ$3001,2062,$B$1)="","",IF(ISNUMBER(INDEX(貼り付け!$A$1:$BZ$3001,2062,$B$1)),INT(INDEX(貼り付け!$A$1:$BZ$3001,2062,$B$1)),DATE(VALUE(LEFT(I2063,FIND("-",I2063)-1)),VALUE(LEFT(J2063,FIND("-",J2063)-1)),VALUE(MID(J2063,FIND("-",J2063)+1,99)))))),"")</f>
        <v/>
      </c>
      <c r="C2063">
        <f>IF($C$1=0,0,IFERROR(VALUE(SUBSTITUTE(SUBSTITUTE(SUBSTITUTE(INDEX(貼り付け!$A$1:$BZ$3001,2062,$C$1)&amp;"",",",""),"¥",""),"￥","")),0))</f>
        <v/>
      </c>
      <c r="D2063">
        <f>IF($D$1=0,0,IFERROR(VALUE(SUBSTITUTE(SUBSTITUTE(SUBSTITUTE(INDEX(貼り付け!$A$1:$BZ$3001,2062,$D$1)&amp;"",",",""),"¥",""),"￥","")),0))</f>
        <v/>
      </c>
      <c r="E2063">
        <f>IF($E$1=0,0,IFERROR(VALUE(SUBSTITUTE(SUBSTITUTE(SUBSTITUTE(INDEX(貼り付け!$A$1:$BZ$3001,2062,$E$1)&amp;"",",",""),"¥",""),"￥","")),0))</f>
        <v/>
      </c>
      <c r="F2063">
        <f>IF($F$1=0,0,IFERROR(VALUE(SUBSTITUTE(SUBSTITUTE(SUBSTITUTE(INDEX(貼り付け!$A$1:$BZ$3001,2062,$F$1)&amp;"",",",""),"¥",""),"￥","")),0))</f>
        <v/>
      </c>
      <c r="G2063">
        <f>IF(ISNUMBER(B2063),YEAR(B2063),"")</f>
        <v/>
      </c>
      <c r="H2063">
        <f>IF(ISNUMBER(B2063),MONTH(B2063),"")</f>
        <v/>
      </c>
      <c r="I2063">
        <f>IFERROR(IF($B$1=0,"",IF(ISNUMBER(INDEX(貼り付け!$A$1:$BZ$3001,2062,$B$1)),"",SUBSTITUTE(SUBSTITUTE(SUBSTITUTE(SUBSTITUTE(TRIM(LEFT(INDEX(貼り付け!$A$1:$BZ$3001,2062,$B$1)&amp;"",FIND(" ",TRIM(INDEX(貼り付け!$A$1:$BZ$3001,2062,$B$1)&amp;"")&amp;" ")-1)),"/","-"),"年","-"),"月","-"),"日",""))),"")</f>
        <v/>
      </c>
      <c r="J2063">
        <f>IFERROR(MID(I2063,FIND("-",I2063)+1,99),"")</f>
        <v/>
      </c>
    </row>
    <row r="2064">
      <c r="B2064">
        <f>IFERROR(IF($B$1=0,"",IF(INDEX(貼り付け!$A$1:$BZ$3001,2063,$B$1)="","",IF(ISNUMBER(INDEX(貼り付け!$A$1:$BZ$3001,2063,$B$1)),INT(INDEX(貼り付け!$A$1:$BZ$3001,2063,$B$1)),DATE(VALUE(LEFT(I2064,FIND("-",I2064)-1)),VALUE(LEFT(J2064,FIND("-",J2064)-1)),VALUE(MID(J2064,FIND("-",J2064)+1,99)))))),"")</f>
        <v/>
      </c>
      <c r="C2064">
        <f>IF($C$1=0,0,IFERROR(VALUE(SUBSTITUTE(SUBSTITUTE(SUBSTITUTE(INDEX(貼り付け!$A$1:$BZ$3001,2063,$C$1)&amp;"",",",""),"¥",""),"￥","")),0))</f>
        <v/>
      </c>
      <c r="D2064">
        <f>IF($D$1=0,0,IFERROR(VALUE(SUBSTITUTE(SUBSTITUTE(SUBSTITUTE(INDEX(貼り付け!$A$1:$BZ$3001,2063,$D$1)&amp;"",",",""),"¥",""),"￥","")),0))</f>
        <v/>
      </c>
      <c r="E2064">
        <f>IF($E$1=0,0,IFERROR(VALUE(SUBSTITUTE(SUBSTITUTE(SUBSTITUTE(INDEX(貼り付け!$A$1:$BZ$3001,2063,$E$1)&amp;"",",",""),"¥",""),"￥","")),0))</f>
        <v/>
      </c>
      <c r="F2064">
        <f>IF($F$1=0,0,IFERROR(VALUE(SUBSTITUTE(SUBSTITUTE(SUBSTITUTE(INDEX(貼り付け!$A$1:$BZ$3001,2063,$F$1)&amp;"",",",""),"¥",""),"￥","")),0))</f>
        <v/>
      </c>
      <c r="G2064">
        <f>IF(ISNUMBER(B2064),YEAR(B2064),"")</f>
        <v/>
      </c>
      <c r="H2064">
        <f>IF(ISNUMBER(B2064),MONTH(B2064),"")</f>
        <v/>
      </c>
      <c r="I2064">
        <f>IFERROR(IF($B$1=0,"",IF(ISNUMBER(INDEX(貼り付け!$A$1:$BZ$3001,2063,$B$1)),"",SUBSTITUTE(SUBSTITUTE(SUBSTITUTE(SUBSTITUTE(TRIM(LEFT(INDEX(貼り付け!$A$1:$BZ$3001,2063,$B$1)&amp;"",FIND(" ",TRIM(INDEX(貼り付け!$A$1:$BZ$3001,2063,$B$1)&amp;"")&amp;" ")-1)),"/","-"),"年","-"),"月","-"),"日",""))),"")</f>
        <v/>
      </c>
      <c r="J2064">
        <f>IFERROR(MID(I2064,FIND("-",I2064)+1,99),"")</f>
        <v/>
      </c>
    </row>
    <row r="2065">
      <c r="B2065">
        <f>IFERROR(IF($B$1=0,"",IF(INDEX(貼り付け!$A$1:$BZ$3001,2064,$B$1)="","",IF(ISNUMBER(INDEX(貼り付け!$A$1:$BZ$3001,2064,$B$1)),INT(INDEX(貼り付け!$A$1:$BZ$3001,2064,$B$1)),DATE(VALUE(LEFT(I2065,FIND("-",I2065)-1)),VALUE(LEFT(J2065,FIND("-",J2065)-1)),VALUE(MID(J2065,FIND("-",J2065)+1,99)))))),"")</f>
        <v/>
      </c>
      <c r="C2065">
        <f>IF($C$1=0,0,IFERROR(VALUE(SUBSTITUTE(SUBSTITUTE(SUBSTITUTE(INDEX(貼り付け!$A$1:$BZ$3001,2064,$C$1)&amp;"",",",""),"¥",""),"￥","")),0))</f>
        <v/>
      </c>
      <c r="D2065">
        <f>IF($D$1=0,0,IFERROR(VALUE(SUBSTITUTE(SUBSTITUTE(SUBSTITUTE(INDEX(貼り付け!$A$1:$BZ$3001,2064,$D$1)&amp;"",",",""),"¥",""),"￥","")),0))</f>
        <v/>
      </c>
      <c r="E2065">
        <f>IF($E$1=0,0,IFERROR(VALUE(SUBSTITUTE(SUBSTITUTE(SUBSTITUTE(INDEX(貼り付け!$A$1:$BZ$3001,2064,$E$1)&amp;"",",",""),"¥",""),"￥","")),0))</f>
        <v/>
      </c>
      <c r="F2065">
        <f>IF($F$1=0,0,IFERROR(VALUE(SUBSTITUTE(SUBSTITUTE(SUBSTITUTE(INDEX(貼り付け!$A$1:$BZ$3001,2064,$F$1)&amp;"",",",""),"¥",""),"￥","")),0))</f>
        <v/>
      </c>
      <c r="G2065">
        <f>IF(ISNUMBER(B2065),YEAR(B2065),"")</f>
        <v/>
      </c>
      <c r="H2065">
        <f>IF(ISNUMBER(B2065),MONTH(B2065),"")</f>
        <v/>
      </c>
      <c r="I2065">
        <f>IFERROR(IF($B$1=0,"",IF(ISNUMBER(INDEX(貼り付け!$A$1:$BZ$3001,2064,$B$1)),"",SUBSTITUTE(SUBSTITUTE(SUBSTITUTE(SUBSTITUTE(TRIM(LEFT(INDEX(貼り付け!$A$1:$BZ$3001,2064,$B$1)&amp;"",FIND(" ",TRIM(INDEX(貼り付け!$A$1:$BZ$3001,2064,$B$1)&amp;"")&amp;" ")-1)),"/","-"),"年","-"),"月","-"),"日",""))),"")</f>
        <v/>
      </c>
      <c r="J2065">
        <f>IFERROR(MID(I2065,FIND("-",I2065)+1,99),"")</f>
        <v/>
      </c>
    </row>
    <row r="2066">
      <c r="B2066">
        <f>IFERROR(IF($B$1=0,"",IF(INDEX(貼り付け!$A$1:$BZ$3001,2065,$B$1)="","",IF(ISNUMBER(INDEX(貼り付け!$A$1:$BZ$3001,2065,$B$1)),INT(INDEX(貼り付け!$A$1:$BZ$3001,2065,$B$1)),DATE(VALUE(LEFT(I2066,FIND("-",I2066)-1)),VALUE(LEFT(J2066,FIND("-",J2066)-1)),VALUE(MID(J2066,FIND("-",J2066)+1,99)))))),"")</f>
        <v/>
      </c>
      <c r="C2066">
        <f>IF($C$1=0,0,IFERROR(VALUE(SUBSTITUTE(SUBSTITUTE(SUBSTITUTE(INDEX(貼り付け!$A$1:$BZ$3001,2065,$C$1)&amp;"",",",""),"¥",""),"￥","")),0))</f>
        <v/>
      </c>
      <c r="D2066">
        <f>IF($D$1=0,0,IFERROR(VALUE(SUBSTITUTE(SUBSTITUTE(SUBSTITUTE(INDEX(貼り付け!$A$1:$BZ$3001,2065,$D$1)&amp;"",",",""),"¥",""),"￥","")),0))</f>
        <v/>
      </c>
      <c r="E2066">
        <f>IF($E$1=0,0,IFERROR(VALUE(SUBSTITUTE(SUBSTITUTE(SUBSTITUTE(INDEX(貼り付け!$A$1:$BZ$3001,2065,$E$1)&amp;"",",",""),"¥",""),"￥","")),0))</f>
        <v/>
      </c>
      <c r="F2066">
        <f>IF($F$1=0,0,IFERROR(VALUE(SUBSTITUTE(SUBSTITUTE(SUBSTITUTE(INDEX(貼り付け!$A$1:$BZ$3001,2065,$F$1)&amp;"",",",""),"¥",""),"￥","")),0))</f>
        <v/>
      </c>
      <c r="G2066">
        <f>IF(ISNUMBER(B2066),YEAR(B2066),"")</f>
        <v/>
      </c>
      <c r="H2066">
        <f>IF(ISNUMBER(B2066),MONTH(B2066),"")</f>
        <v/>
      </c>
      <c r="I2066">
        <f>IFERROR(IF($B$1=0,"",IF(ISNUMBER(INDEX(貼り付け!$A$1:$BZ$3001,2065,$B$1)),"",SUBSTITUTE(SUBSTITUTE(SUBSTITUTE(SUBSTITUTE(TRIM(LEFT(INDEX(貼り付け!$A$1:$BZ$3001,2065,$B$1)&amp;"",FIND(" ",TRIM(INDEX(貼り付け!$A$1:$BZ$3001,2065,$B$1)&amp;"")&amp;" ")-1)),"/","-"),"年","-"),"月","-"),"日",""))),"")</f>
        <v/>
      </c>
      <c r="J2066">
        <f>IFERROR(MID(I2066,FIND("-",I2066)+1,99),"")</f>
        <v/>
      </c>
    </row>
    <row r="2067">
      <c r="B2067">
        <f>IFERROR(IF($B$1=0,"",IF(INDEX(貼り付け!$A$1:$BZ$3001,2066,$B$1)="","",IF(ISNUMBER(INDEX(貼り付け!$A$1:$BZ$3001,2066,$B$1)),INT(INDEX(貼り付け!$A$1:$BZ$3001,2066,$B$1)),DATE(VALUE(LEFT(I2067,FIND("-",I2067)-1)),VALUE(LEFT(J2067,FIND("-",J2067)-1)),VALUE(MID(J2067,FIND("-",J2067)+1,99)))))),"")</f>
        <v/>
      </c>
      <c r="C2067">
        <f>IF($C$1=0,0,IFERROR(VALUE(SUBSTITUTE(SUBSTITUTE(SUBSTITUTE(INDEX(貼り付け!$A$1:$BZ$3001,2066,$C$1)&amp;"",",",""),"¥",""),"￥","")),0))</f>
        <v/>
      </c>
      <c r="D2067">
        <f>IF($D$1=0,0,IFERROR(VALUE(SUBSTITUTE(SUBSTITUTE(SUBSTITUTE(INDEX(貼り付け!$A$1:$BZ$3001,2066,$D$1)&amp;"",",",""),"¥",""),"￥","")),0))</f>
        <v/>
      </c>
      <c r="E2067">
        <f>IF($E$1=0,0,IFERROR(VALUE(SUBSTITUTE(SUBSTITUTE(SUBSTITUTE(INDEX(貼り付け!$A$1:$BZ$3001,2066,$E$1)&amp;"",",",""),"¥",""),"￥","")),0))</f>
        <v/>
      </c>
      <c r="F2067">
        <f>IF($F$1=0,0,IFERROR(VALUE(SUBSTITUTE(SUBSTITUTE(SUBSTITUTE(INDEX(貼り付け!$A$1:$BZ$3001,2066,$F$1)&amp;"",",",""),"¥",""),"￥","")),0))</f>
        <v/>
      </c>
      <c r="G2067">
        <f>IF(ISNUMBER(B2067),YEAR(B2067),"")</f>
        <v/>
      </c>
      <c r="H2067">
        <f>IF(ISNUMBER(B2067),MONTH(B2067),"")</f>
        <v/>
      </c>
      <c r="I2067">
        <f>IFERROR(IF($B$1=0,"",IF(ISNUMBER(INDEX(貼り付け!$A$1:$BZ$3001,2066,$B$1)),"",SUBSTITUTE(SUBSTITUTE(SUBSTITUTE(SUBSTITUTE(TRIM(LEFT(INDEX(貼り付け!$A$1:$BZ$3001,2066,$B$1)&amp;"",FIND(" ",TRIM(INDEX(貼り付け!$A$1:$BZ$3001,2066,$B$1)&amp;"")&amp;" ")-1)),"/","-"),"年","-"),"月","-"),"日",""))),"")</f>
        <v/>
      </c>
      <c r="J2067">
        <f>IFERROR(MID(I2067,FIND("-",I2067)+1,99),"")</f>
        <v/>
      </c>
    </row>
    <row r="2068">
      <c r="B2068">
        <f>IFERROR(IF($B$1=0,"",IF(INDEX(貼り付け!$A$1:$BZ$3001,2067,$B$1)="","",IF(ISNUMBER(INDEX(貼り付け!$A$1:$BZ$3001,2067,$B$1)),INT(INDEX(貼り付け!$A$1:$BZ$3001,2067,$B$1)),DATE(VALUE(LEFT(I2068,FIND("-",I2068)-1)),VALUE(LEFT(J2068,FIND("-",J2068)-1)),VALUE(MID(J2068,FIND("-",J2068)+1,99)))))),"")</f>
        <v/>
      </c>
      <c r="C2068">
        <f>IF($C$1=0,0,IFERROR(VALUE(SUBSTITUTE(SUBSTITUTE(SUBSTITUTE(INDEX(貼り付け!$A$1:$BZ$3001,2067,$C$1)&amp;"",",",""),"¥",""),"￥","")),0))</f>
        <v/>
      </c>
      <c r="D2068">
        <f>IF($D$1=0,0,IFERROR(VALUE(SUBSTITUTE(SUBSTITUTE(SUBSTITUTE(INDEX(貼り付け!$A$1:$BZ$3001,2067,$D$1)&amp;"",",",""),"¥",""),"￥","")),0))</f>
        <v/>
      </c>
      <c r="E2068">
        <f>IF($E$1=0,0,IFERROR(VALUE(SUBSTITUTE(SUBSTITUTE(SUBSTITUTE(INDEX(貼り付け!$A$1:$BZ$3001,2067,$E$1)&amp;"",",",""),"¥",""),"￥","")),0))</f>
        <v/>
      </c>
      <c r="F2068">
        <f>IF($F$1=0,0,IFERROR(VALUE(SUBSTITUTE(SUBSTITUTE(SUBSTITUTE(INDEX(貼り付け!$A$1:$BZ$3001,2067,$F$1)&amp;"",",",""),"¥",""),"￥","")),0))</f>
        <v/>
      </c>
      <c r="G2068">
        <f>IF(ISNUMBER(B2068),YEAR(B2068),"")</f>
        <v/>
      </c>
      <c r="H2068">
        <f>IF(ISNUMBER(B2068),MONTH(B2068),"")</f>
        <v/>
      </c>
      <c r="I2068">
        <f>IFERROR(IF($B$1=0,"",IF(ISNUMBER(INDEX(貼り付け!$A$1:$BZ$3001,2067,$B$1)),"",SUBSTITUTE(SUBSTITUTE(SUBSTITUTE(SUBSTITUTE(TRIM(LEFT(INDEX(貼り付け!$A$1:$BZ$3001,2067,$B$1)&amp;"",FIND(" ",TRIM(INDEX(貼り付け!$A$1:$BZ$3001,2067,$B$1)&amp;"")&amp;" ")-1)),"/","-"),"年","-"),"月","-"),"日",""))),"")</f>
        <v/>
      </c>
      <c r="J2068">
        <f>IFERROR(MID(I2068,FIND("-",I2068)+1,99),"")</f>
        <v/>
      </c>
    </row>
    <row r="2069">
      <c r="B2069">
        <f>IFERROR(IF($B$1=0,"",IF(INDEX(貼り付け!$A$1:$BZ$3001,2068,$B$1)="","",IF(ISNUMBER(INDEX(貼り付け!$A$1:$BZ$3001,2068,$B$1)),INT(INDEX(貼り付け!$A$1:$BZ$3001,2068,$B$1)),DATE(VALUE(LEFT(I2069,FIND("-",I2069)-1)),VALUE(LEFT(J2069,FIND("-",J2069)-1)),VALUE(MID(J2069,FIND("-",J2069)+1,99)))))),"")</f>
        <v/>
      </c>
      <c r="C2069">
        <f>IF($C$1=0,0,IFERROR(VALUE(SUBSTITUTE(SUBSTITUTE(SUBSTITUTE(INDEX(貼り付け!$A$1:$BZ$3001,2068,$C$1)&amp;"",",",""),"¥",""),"￥","")),0))</f>
        <v/>
      </c>
      <c r="D2069">
        <f>IF($D$1=0,0,IFERROR(VALUE(SUBSTITUTE(SUBSTITUTE(SUBSTITUTE(INDEX(貼り付け!$A$1:$BZ$3001,2068,$D$1)&amp;"",",",""),"¥",""),"￥","")),0))</f>
        <v/>
      </c>
      <c r="E2069">
        <f>IF($E$1=0,0,IFERROR(VALUE(SUBSTITUTE(SUBSTITUTE(SUBSTITUTE(INDEX(貼り付け!$A$1:$BZ$3001,2068,$E$1)&amp;"",",",""),"¥",""),"￥","")),0))</f>
        <v/>
      </c>
      <c r="F2069">
        <f>IF($F$1=0,0,IFERROR(VALUE(SUBSTITUTE(SUBSTITUTE(SUBSTITUTE(INDEX(貼り付け!$A$1:$BZ$3001,2068,$F$1)&amp;"",",",""),"¥",""),"￥","")),0))</f>
        <v/>
      </c>
      <c r="G2069">
        <f>IF(ISNUMBER(B2069),YEAR(B2069),"")</f>
        <v/>
      </c>
      <c r="H2069">
        <f>IF(ISNUMBER(B2069),MONTH(B2069),"")</f>
        <v/>
      </c>
      <c r="I2069">
        <f>IFERROR(IF($B$1=0,"",IF(ISNUMBER(INDEX(貼り付け!$A$1:$BZ$3001,2068,$B$1)),"",SUBSTITUTE(SUBSTITUTE(SUBSTITUTE(SUBSTITUTE(TRIM(LEFT(INDEX(貼り付け!$A$1:$BZ$3001,2068,$B$1)&amp;"",FIND(" ",TRIM(INDEX(貼り付け!$A$1:$BZ$3001,2068,$B$1)&amp;"")&amp;" ")-1)),"/","-"),"年","-"),"月","-"),"日",""))),"")</f>
        <v/>
      </c>
      <c r="J2069">
        <f>IFERROR(MID(I2069,FIND("-",I2069)+1,99),"")</f>
        <v/>
      </c>
    </row>
    <row r="2070">
      <c r="B2070">
        <f>IFERROR(IF($B$1=0,"",IF(INDEX(貼り付け!$A$1:$BZ$3001,2069,$B$1)="","",IF(ISNUMBER(INDEX(貼り付け!$A$1:$BZ$3001,2069,$B$1)),INT(INDEX(貼り付け!$A$1:$BZ$3001,2069,$B$1)),DATE(VALUE(LEFT(I2070,FIND("-",I2070)-1)),VALUE(LEFT(J2070,FIND("-",J2070)-1)),VALUE(MID(J2070,FIND("-",J2070)+1,99)))))),"")</f>
        <v/>
      </c>
      <c r="C2070">
        <f>IF($C$1=0,0,IFERROR(VALUE(SUBSTITUTE(SUBSTITUTE(SUBSTITUTE(INDEX(貼り付け!$A$1:$BZ$3001,2069,$C$1)&amp;"",",",""),"¥",""),"￥","")),0))</f>
        <v/>
      </c>
      <c r="D2070">
        <f>IF($D$1=0,0,IFERROR(VALUE(SUBSTITUTE(SUBSTITUTE(SUBSTITUTE(INDEX(貼り付け!$A$1:$BZ$3001,2069,$D$1)&amp;"",",",""),"¥",""),"￥","")),0))</f>
        <v/>
      </c>
      <c r="E2070">
        <f>IF($E$1=0,0,IFERROR(VALUE(SUBSTITUTE(SUBSTITUTE(SUBSTITUTE(INDEX(貼り付け!$A$1:$BZ$3001,2069,$E$1)&amp;"",",",""),"¥",""),"￥","")),0))</f>
        <v/>
      </c>
      <c r="F2070">
        <f>IF($F$1=0,0,IFERROR(VALUE(SUBSTITUTE(SUBSTITUTE(SUBSTITUTE(INDEX(貼り付け!$A$1:$BZ$3001,2069,$F$1)&amp;"",",",""),"¥",""),"￥","")),0))</f>
        <v/>
      </c>
      <c r="G2070">
        <f>IF(ISNUMBER(B2070),YEAR(B2070),"")</f>
        <v/>
      </c>
      <c r="H2070">
        <f>IF(ISNUMBER(B2070),MONTH(B2070),"")</f>
        <v/>
      </c>
      <c r="I2070">
        <f>IFERROR(IF($B$1=0,"",IF(ISNUMBER(INDEX(貼り付け!$A$1:$BZ$3001,2069,$B$1)),"",SUBSTITUTE(SUBSTITUTE(SUBSTITUTE(SUBSTITUTE(TRIM(LEFT(INDEX(貼り付け!$A$1:$BZ$3001,2069,$B$1)&amp;"",FIND(" ",TRIM(INDEX(貼り付け!$A$1:$BZ$3001,2069,$B$1)&amp;"")&amp;" ")-1)),"/","-"),"年","-"),"月","-"),"日",""))),"")</f>
        <v/>
      </c>
      <c r="J2070">
        <f>IFERROR(MID(I2070,FIND("-",I2070)+1,99),"")</f>
        <v/>
      </c>
    </row>
    <row r="2071">
      <c r="B2071">
        <f>IFERROR(IF($B$1=0,"",IF(INDEX(貼り付け!$A$1:$BZ$3001,2070,$B$1)="","",IF(ISNUMBER(INDEX(貼り付け!$A$1:$BZ$3001,2070,$B$1)),INT(INDEX(貼り付け!$A$1:$BZ$3001,2070,$B$1)),DATE(VALUE(LEFT(I2071,FIND("-",I2071)-1)),VALUE(LEFT(J2071,FIND("-",J2071)-1)),VALUE(MID(J2071,FIND("-",J2071)+1,99)))))),"")</f>
        <v/>
      </c>
      <c r="C2071">
        <f>IF($C$1=0,0,IFERROR(VALUE(SUBSTITUTE(SUBSTITUTE(SUBSTITUTE(INDEX(貼り付け!$A$1:$BZ$3001,2070,$C$1)&amp;"",",",""),"¥",""),"￥","")),0))</f>
        <v/>
      </c>
      <c r="D2071">
        <f>IF($D$1=0,0,IFERROR(VALUE(SUBSTITUTE(SUBSTITUTE(SUBSTITUTE(INDEX(貼り付け!$A$1:$BZ$3001,2070,$D$1)&amp;"",",",""),"¥",""),"￥","")),0))</f>
        <v/>
      </c>
      <c r="E2071">
        <f>IF($E$1=0,0,IFERROR(VALUE(SUBSTITUTE(SUBSTITUTE(SUBSTITUTE(INDEX(貼り付け!$A$1:$BZ$3001,2070,$E$1)&amp;"",",",""),"¥",""),"￥","")),0))</f>
        <v/>
      </c>
      <c r="F2071">
        <f>IF($F$1=0,0,IFERROR(VALUE(SUBSTITUTE(SUBSTITUTE(SUBSTITUTE(INDEX(貼り付け!$A$1:$BZ$3001,2070,$F$1)&amp;"",",",""),"¥",""),"￥","")),0))</f>
        <v/>
      </c>
      <c r="G2071">
        <f>IF(ISNUMBER(B2071),YEAR(B2071),"")</f>
        <v/>
      </c>
      <c r="H2071">
        <f>IF(ISNUMBER(B2071),MONTH(B2071),"")</f>
        <v/>
      </c>
      <c r="I2071">
        <f>IFERROR(IF($B$1=0,"",IF(ISNUMBER(INDEX(貼り付け!$A$1:$BZ$3001,2070,$B$1)),"",SUBSTITUTE(SUBSTITUTE(SUBSTITUTE(SUBSTITUTE(TRIM(LEFT(INDEX(貼り付け!$A$1:$BZ$3001,2070,$B$1)&amp;"",FIND(" ",TRIM(INDEX(貼り付け!$A$1:$BZ$3001,2070,$B$1)&amp;"")&amp;" ")-1)),"/","-"),"年","-"),"月","-"),"日",""))),"")</f>
        <v/>
      </c>
      <c r="J2071">
        <f>IFERROR(MID(I2071,FIND("-",I2071)+1,99),"")</f>
        <v/>
      </c>
    </row>
    <row r="2072">
      <c r="B2072">
        <f>IFERROR(IF($B$1=0,"",IF(INDEX(貼り付け!$A$1:$BZ$3001,2071,$B$1)="","",IF(ISNUMBER(INDEX(貼り付け!$A$1:$BZ$3001,2071,$B$1)),INT(INDEX(貼り付け!$A$1:$BZ$3001,2071,$B$1)),DATE(VALUE(LEFT(I2072,FIND("-",I2072)-1)),VALUE(LEFT(J2072,FIND("-",J2072)-1)),VALUE(MID(J2072,FIND("-",J2072)+1,99)))))),"")</f>
        <v/>
      </c>
      <c r="C2072">
        <f>IF($C$1=0,0,IFERROR(VALUE(SUBSTITUTE(SUBSTITUTE(SUBSTITUTE(INDEX(貼り付け!$A$1:$BZ$3001,2071,$C$1)&amp;"",",",""),"¥",""),"￥","")),0))</f>
        <v/>
      </c>
      <c r="D2072">
        <f>IF($D$1=0,0,IFERROR(VALUE(SUBSTITUTE(SUBSTITUTE(SUBSTITUTE(INDEX(貼り付け!$A$1:$BZ$3001,2071,$D$1)&amp;"",",",""),"¥",""),"￥","")),0))</f>
        <v/>
      </c>
      <c r="E2072">
        <f>IF($E$1=0,0,IFERROR(VALUE(SUBSTITUTE(SUBSTITUTE(SUBSTITUTE(INDEX(貼り付け!$A$1:$BZ$3001,2071,$E$1)&amp;"",",",""),"¥",""),"￥","")),0))</f>
        <v/>
      </c>
      <c r="F2072">
        <f>IF($F$1=0,0,IFERROR(VALUE(SUBSTITUTE(SUBSTITUTE(SUBSTITUTE(INDEX(貼り付け!$A$1:$BZ$3001,2071,$F$1)&amp;"",",",""),"¥",""),"￥","")),0))</f>
        <v/>
      </c>
      <c r="G2072">
        <f>IF(ISNUMBER(B2072),YEAR(B2072),"")</f>
        <v/>
      </c>
      <c r="H2072">
        <f>IF(ISNUMBER(B2072),MONTH(B2072),"")</f>
        <v/>
      </c>
      <c r="I2072">
        <f>IFERROR(IF($B$1=0,"",IF(ISNUMBER(INDEX(貼り付け!$A$1:$BZ$3001,2071,$B$1)),"",SUBSTITUTE(SUBSTITUTE(SUBSTITUTE(SUBSTITUTE(TRIM(LEFT(INDEX(貼り付け!$A$1:$BZ$3001,2071,$B$1)&amp;"",FIND(" ",TRIM(INDEX(貼り付け!$A$1:$BZ$3001,2071,$B$1)&amp;"")&amp;" ")-1)),"/","-"),"年","-"),"月","-"),"日",""))),"")</f>
        <v/>
      </c>
      <c r="J2072">
        <f>IFERROR(MID(I2072,FIND("-",I2072)+1,99),"")</f>
        <v/>
      </c>
    </row>
    <row r="2073">
      <c r="B2073">
        <f>IFERROR(IF($B$1=0,"",IF(INDEX(貼り付け!$A$1:$BZ$3001,2072,$B$1)="","",IF(ISNUMBER(INDEX(貼り付け!$A$1:$BZ$3001,2072,$B$1)),INT(INDEX(貼り付け!$A$1:$BZ$3001,2072,$B$1)),DATE(VALUE(LEFT(I2073,FIND("-",I2073)-1)),VALUE(LEFT(J2073,FIND("-",J2073)-1)),VALUE(MID(J2073,FIND("-",J2073)+1,99)))))),"")</f>
        <v/>
      </c>
      <c r="C2073">
        <f>IF($C$1=0,0,IFERROR(VALUE(SUBSTITUTE(SUBSTITUTE(SUBSTITUTE(INDEX(貼り付け!$A$1:$BZ$3001,2072,$C$1)&amp;"",",",""),"¥",""),"￥","")),0))</f>
        <v/>
      </c>
      <c r="D2073">
        <f>IF($D$1=0,0,IFERROR(VALUE(SUBSTITUTE(SUBSTITUTE(SUBSTITUTE(INDEX(貼り付け!$A$1:$BZ$3001,2072,$D$1)&amp;"",",",""),"¥",""),"￥","")),0))</f>
        <v/>
      </c>
      <c r="E2073">
        <f>IF($E$1=0,0,IFERROR(VALUE(SUBSTITUTE(SUBSTITUTE(SUBSTITUTE(INDEX(貼り付け!$A$1:$BZ$3001,2072,$E$1)&amp;"",",",""),"¥",""),"￥","")),0))</f>
        <v/>
      </c>
      <c r="F2073">
        <f>IF($F$1=0,0,IFERROR(VALUE(SUBSTITUTE(SUBSTITUTE(SUBSTITUTE(INDEX(貼り付け!$A$1:$BZ$3001,2072,$F$1)&amp;"",",",""),"¥",""),"￥","")),0))</f>
        <v/>
      </c>
      <c r="G2073">
        <f>IF(ISNUMBER(B2073),YEAR(B2073),"")</f>
        <v/>
      </c>
      <c r="H2073">
        <f>IF(ISNUMBER(B2073),MONTH(B2073),"")</f>
        <v/>
      </c>
      <c r="I2073">
        <f>IFERROR(IF($B$1=0,"",IF(ISNUMBER(INDEX(貼り付け!$A$1:$BZ$3001,2072,$B$1)),"",SUBSTITUTE(SUBSTITUTE(SUBSTITUTE(SUBSTITUTE(TRIM(LEFT(INDEX(貼り付け!$A$1:$BZ$3001,2072,$B$1)&amp;"",FIND(" ",TRIM(INDEX(貼り付け!$A$1:$BZ$3001,2072,$B$1)&amp;"")&amp;" ")-1)),"/","-"),"年","-"),"月","-"),"日",""))),"")</f>
        <v/>
      </c>
      <c r="J2073">
        <f>IFERROR(MID(I2073,FIND("-",I2073)+1,99),"")</f>
        <v/>
      </c>
    </row>
    <row r="2074">
      <c r="B2074">
        <f>IFERROR(IF($B$1=0,"",IF(INDEX(貼り付け!$A$1:$BZ$3001,2073,$B$1)="","",IF(ISNUMBER(INDEX(貼り付け!$A$1:$BZ$3001,2073,$B$1)),INT(INDEX(貼り付け!$A$1:$BZ$3001,2073,$B$1)),DATE(VALUE(LEFT(I2074,FIND("-",I2074)-1)),VALUE(LEFT(J2074,FIND("-",J2074)-1)),VALUE(MID(J2074,FIND("-",J2074)+1,99)))))),"")</f>
        <v/>
      </c>
      <c r="C2074">
        <f>IF($C$1=0,0,IFERROR(VALUE(SUBSTITUTE(SUBSTITUTE(SUBSTITUTE(INDEX(貼り付け!$A$1:$BZ$3001,2073,$C$1)&amp;"",",",""),"¥",""),"￥","")),0))</f>
        <v/>
      </c>
      <c r="D2074">
        <f>IF($D$1=0,0,IFERROR(VALUE(SUBSTITUTE(SUBSTITUTE(SUBSTITUTE(INDEX(貼り付け!$A$1:$BZ$3001,2073,$D$1)&amp;"",",",""),"¥",""),"￥","")),0))</f>
        <v/>
      </c>
      <c r="E2074">
        <f>IF($E$1=0,0,IFERROR(VALUE(SUBSTITUTE(SUBSTITUTE(SUBSTITUTE(INDEX(貼り付け!$A$1:$BZ$3001,2073,$E$1)&amp;"",",",""),"¥",""),"￥","")),0))</f>
        <v/>
      </c>
      <c r="F2074">
        <f>IF($F$1=0,0,IFERROR(VALUE(SUBSTITUTE(SUBSTITUTE(SUBSTITUTE(INDEX(貼り付け!$A$1:$BZ$3001,2073,$F$1)&amp;"",",",""),"¥",""),"￥","")),0))</f>
        <v/>
      </c>
      <c r="G2074">
        <f>IF(ISNUMBER(B2074),YEAR(B2074),"")</f>
        <v/>
      </c>
      <c r="H2074">
        <f>IF(ISNUMBER(B2074),MONTH(B2074),"")</f>
        <v/>
      </c>
      <c r="I2074">
        <f>IFERROR(IF($B$1=0,"",IF(ISNUMBER(INDEX(貼り付け!$A$1:$BZ$3001,2073,$B$1)),"",SUBSTITUTE(SUBSTITUTE(SUBSTITUTE(SUBSTITUTE(TRIM(LEFT(INDEX(貼り付け!$A$1:$BZ$3001,2073,$B$1)&amp;"",FIND(" ",TRIM(INDEX(貼り付け!$A$1:$BZ$3001,2073,$B$1)&amp;"")&amp;" ")-1)),"/","-"),"年","-"),"月","-"),"日",""))),"")</f>
        <v/>
      </c>
      <c r="J2074">
        <f>IFERROR(MID(I2074,FIND("-",I2074)+1,99),"")</f>
        <v/>
      </c>
    </row>
    <row r="2075">
      <c r="B2075">
        <f>IFERROR(IF($B$1=0,"",IF(INDEX(貼り付け!$A$1:$BZ$3001,2074,$B$1)="","",IF(ISNUMBER(INDEX(貼り付け!$A$1:$BZ$3001,2074,$B$1)),INT(INDEX(貼り付け!$A$1:$BZ$3001,2074,$B$1)),DATE(VALUE(LEFT(I2075,FIND("-",I2075)-1)),VALUE(LEFT(J2075,FIND("-",J2075)-1)),VALUE(MID(J2075,FIND("-",J2075)+1,99)))))),"")</f>
        <v/>
      </c>
      <c r="C2075">
        <f>IF($C$1=0,0,IFERROR(VALUE(SUBSTITUTE(SUBSTITUTE(SUBSTITUTE(INDEX(貼り付け!$A$1:$BZ$3001,2074,$C$1)&amp;"",",",""),"¥",""),"￥","")),0))</f>
        <v/>
      </c>
      <c r="D2075">
        <f>IF($D$1=0,0,IFERROR(VALUE(SUBSTITUTE(SUBSTITUTE(SUBSTITUTE(INDEX(貼り付け!$A$1:$BZ$3001,2074,$D$1)&amp;"",",",""),"¥",""),"￥","")),0))</f>
        <v/>
      </c>
      <c r="E2075">
        <f>IF($E$1=0,0,IFERROR(VALUE(SUBSTITUTE(SUBSTITUTE(SUBSTITUTE(INDEX(貼り付け!$A$1:$BZ$3001,2074,$E$1)&amp;"",",",""),"¥",""),"￥","")),0))</f>
        <v/>
      </c>
      <c r="F2075">
        <f>IF($F$1=0,0,IFERROR(VALUE(SUBSTITUTE(SUBSTITUTE(SUBSTITUTE(INDEX(貼り付け!$A$1:$BZ$3001,2074,$F$1)&amp;"",",",""),"¥",""),"￥","")),0))</f>
        <v/>
      </c>
      <c r="G2075">
        <f>IF(ISNUMBER(B2075),YEAR(B2075),"")</f>
        <v/>
      </c>
      <c r="H2075">
        <f>IF(ISNUMBER(B2075),MONTH(B2075),"")</f>
        <v/>
      </c>
      <c r="I2075">
        <f>IFERROR(IF($B$1=0,"",IF(ISNUMBER(INDEX(貼り付け!$A$1:$BZ$3001,2074,$B$1)),"",SUBSTITUTE(SUBSTITUTE(SUBSTITUTE(SUBSTITUTE(TRIM(LEFT(INDEX(貼り付け!$A$1:$BZ$3001,2074,$B$1)&amp;"",FIND(" ",TRIM(INDEX(貼り付け!$A$1:$BZ$3001,2074,$B$1)&amp;"")&amp;" ")-1)),"/","-"),"年","-"),"月","-"),"日",""))),"")</f>
        <v/>
      </c>
      <c r="J2075">
        <f>IFERROR(MID(I2075,FIND("-",I2075)+1,99),"")</f>
        <v/>
      </c>
    </row>
    <row r="2076">
      <c r="B2076">
        <f>IFERROR(IF($B$1=0,"",IF(INDEX(貼り付け!$A$1:$BZ$3001,2075,$B$1)="","",IF(ISNUMBER(INDEX(貼り付け!$A$1:$BZ$3001,2075,$B$1)),INT(INDEX(貼り付け!$A$1:$BZ$3001,2075,$B$1)),DATE(VALUE(LEFT(I2076,FIND("-",I2076)-1)),VALUE(LEFT(J2076,FIND("-",J2076)-1)),VALUE(MID(J2076,FIND("-",J2076)+1,99)))))),"")</f>
        <v/>
      </c>
      <c r="C2076">
        <f>IF($C$1=0,0,IFERROR(VALUE(SUBSTITUTE(SUBSTITUTE(SUBSTITUTE(INDEX(貼り付け!$A$1:$BZ$3001,2075,$C$1)&amp;"",",",""),"¥",""),"￥","")),0))</f>
        <v/>
      </c>
      <c r="D2076">
        <f>IF($D$1=0,0,IFERROR(VALUE(SUBSTITUTE(SUBSTITUTE(SUBSTITUTE(INDEX(貼り付け!$A$1:$BZ$3001,2075,$D$1)&amp;"",",",""),"¥",""),"￥","")),0))</f>
        <v/>
      </c>
      <c r="E2076">
        <f>IF($E$1=0,0,IFERROR(VALUE(SUBSTITUTE(SUBSTITUTE(SUBSTITUTE(INDEX(貼り付け!$A$1:$BZ$3001,2075,$E$1)&amp;"",",",""),"¥",""),"￥","")),0))</f>
        <v/>
      </c>
      <c r="F2076">
        <f>IF($F$1=0,0,IFERROR(VALUE(SUBSTITUTE(SUBSTITUTE(SUBSTITUTE(INDEX(貼り付け!$A$1:$BZ$3001,2075,$F$1)&amp;"",",",""),"¥",""),"￥","")),0))</f>
        <v/>
      </c>
      <c r="G2076">
        <f>IF(ISNUMBER(B2076),YEAR(B2076),"")</f>
        <v/>
      </c>
      <c r="H2076">
        <f>IF(ISNUMBER(B2076),MONTH(B2076),"")</f>
        <v/>
      </c>
      <c r="I2076">
        <f>IFERROR(IF($B$1=0,"",IF(ISNUMBER(INDEX(貼り付け!$A$1:$BZ$3001,2075,$B$1)),"",SUBSTITUTE(SUBSTITUTE(SUBSTITUTE(SUBSTITUTE(TRIM(LEFT(INDEX(貼り付け!$A$1:$BZ$3001,2075,$B$1)&amp;"",FIND(" ",TRIM(INDEX(貼り付け!$A$1:$BZ$3001,2075,$B$1)&amp;"")&amp;" ")-1)),"/","-"),"年","-"),"月","-"),"日",""))),"")</f>
        <v/>
      </c>
      <c r="J2076">
        <f>IFERROR(MID(I2076,FIND("-",I2076)+1,99),"")</f>
        <v/>
      </c>
    </row>
    <row r="2077">
      <c r="B2077">
        <f>IFERROR(IF($B$1=0,"",IF(INDEX(貼り付け!$A$1:$BZ$3001,2076,$B$1)="","",IF(ISNUMBER(INDEX(貼り付け!$A$1:$BZ$3001,2076,$B$1)),INT(INDEX(貼り付け!$A$1:$BZ$3001,2076,$B$1)),DATE(VALUE(LEFT(I2077,FIND("-",I2077)-1)),VALUE(LEFT(J2077,FIND("-",J2077)-1)),VALUE(MID(J2077,FIND("-",J2077)+1,99)))))),"")</f>
        <v/>
      </c>
      <c r="C2077">
        <f>IF($C$1=0,0,IFERROR(VALUE(SUBSTITUTE(SUBSTITUTE(SUBSTITUTE(INDEX(貼り付け!$A$1:$BZ$3001,2076,$C$1)&amp;"",",",""),"¥",""),"￥","")),0))</f>
        <v/>
      </c>
      <c r="D2077">
        <f>IF($D$1=0,0,IFERROR(VALUE(SUBSTITUTE(SUBSTITUTE(SUBSTITUTE(INDEX(貼り付け!$A$1:$BZ$3001,2076,$D$1)&amp;"",",",""),"¥",""),"￥","")),0))</f>
        <v/>
      </c>
      <c r="E2077">
        <f>IF($E$1=0,0,IFERROR(VALUE(SUBSTITUTE(SUBSTITUTE(SUBSTITUTE(INDEX(貼り付け!$A$1:$BZ$3001,2076,$E$1)&amp;"",",",""),"¥",""),"￥","")),0))</f>
        <v/>
      </c>
      <c r="F2077">
        <f>IF($F$1=0,0,IFERROR(VALUE(SUBSTITUTE(SUBSTITUTE(SUBSTITUTE(INDEX(貼り付け!$A$1:$BZ$3001,2076,$F$1)&amp;"",",",""),"¥",""),"￥","")),0))</f>
        <v/>
      </c>
      <c r="G2077">
        <f>IF(ISNUMBER(B2077),YEAR(B2077),"")</f>
        <v/>
      </c>
      <c r="H2077">
        <f>IF(ISNUMBER(B2077),MONTH(B2077),"")</f>
        <v/>
      </c>
      <c r="I2077">
        <f>IFERROR(IF($B$1=0,"",IF(ISNUMBER(INDEX(貼り付け!$A$1:$BZ$3001,2076,$B$1)),"",SUBSTITUTE(SUBSTITUTE(SUBSTITUTE(SUBSTITUTE(TRIM(LEFT(INDEX(貼り付け!$A$1:$BZ$3001,2076,$B$1)&amp;"",FIND(" ",TRIM(INDEX(貼り付け!$A$1:$BZ$3001,2076,$B$1)&amp;"")&amp;" ")-1)),"/","-"),"年","-"),"月","-"),"日",""))),"")</f>
        <v/>
      </c>
      <c r="J2077">
        <f>IFERROR(MID(I2077,FIND("-",I2077)+1,99),"")</f>
        <v/>
      </c>
    </row>
    <row r="2078">
      <c r="B2078">
        <f>IFERROR(IF($B$1=0,"",IF(INDEX(貼り付け!$A$1:$BZ$3001,2077,$B$1)="","",IF(ISNUMBER(INDEX(貼り付け!$A$1:$BZ$3001,2077,$B$1)),INT(INDEX(貼り付け!$A$1:$BZ$3001,2077,$B$1)),DATE(VALUE(LEFT(I2078,FIND("-",I2078)-1)),VALUE(LEFT(J2078,FIND("-",J2078)-1)),VALUE(MID(J2078,FIND("-",J2078)+1,99)))))),"")</f>
        <v/>
      </c>
      <c r="C2078">
        <f>IF($C$1=0,0,IFERROR(VALUE(SUBSTITUTE(SUBSTITUTE(SUBSTITUTE(INDEX(貼り付け!$A$1:$BZ$3001,2077,$C$1)&amp;"",",",""),"¥",""),"￥","")),0))</f>
        <v/>
      </c>
      <c r="D2078">
        <f>IF($D$1=0,0,IFERROR(VALUE(SUBSTITUTE(SUBSTITUTE(SUBSTITUTE(INDEX(貼り付け!$A$1:$BZ$3001,2077,$D$1)&amp;"",",",""),"¥",""),"￥","")),0))</f>
        <v/>
      </c>
      <c r="E2078">
        <f>IF($E$1=0,0,IFERROR(VALUE(SUBSTITUTE(SUBSTITUTE(SUBSTITUTE(INDEX(貼り付け!$A$1:$BZ$3001,2077,$E$1)&amp;"",",",""),"¥",""),"￥","")),0))</f>
        <v/>
      </c>
      <c r="F2078">
        <f>IF($F$1=0,0,IFERROR(VALUE(SUBSTITUTE(SUBSTITUTE(SUBSTITUTE(INDEX(貼り付け!$A$1:$BZ$3001,2077,$F$1)&amp;"",",",""),"¥",""),"￥","")),0))</f>
        <v/>
      </c>
      <c r="G2078">
        <f>IF(ISNUMBER(B2078),YEAR(B2078),"")</f>
        <v/>
      </c>
      <c r="H2078">
        <f>IF(ISNUMBER(B2078),MONTH(B2078),"")</f>
        <v/>
      </c>
      <c r="I2078">
        <f>IFERROR(IF($B$1=0,"",IF(ISNUMBER(INDEX(貼り付け!$A$1:$BZ$3001,2077,$B$1)),"",SUBSTITUTE(SUBSTITUTE(SUBSTITUTE(SUBSTITUTE(TRIM(LEFT(INDEX(貼り付け!$A$1:$BZ$3001,2077,$B$1)&amp;"",FIND(" ",TRIM(INDEX(貼り付け!$A$1:$BZ$3001,2077,$B$1)&amp;"")&amp;" ")-1)),"/","-"),"年","-"),"月","-"),"日",""))),"")</f>
        <v/>
      </c>
      <c r="J2078">
        <f>IFERROR(MID(I2078,FIND("-",I2078)+1,99),"")</f>
        <v/>
      </c>
    </row>
    <row r="2079">
      <c r="B2079">
        <f>IFERROR(IF($B$1=0,"",IF(INDEX(貼り付け!$A$1:$BZ$3001,2078,$B$1)="","",IF(ISNUMBER(INDEX(貼り付け!$A$1:$BZ$3001,2078,$B$1)),INT(INDEX(貼り付け!$A$1:$BZ$3001,2078,$B$1)),DATE(VALUE(LEFT(I2079,FIND("-",I2079)-1)),VALUE(LEFT(J2079,FIND("-",J2079)-1)),VALUE(MID(J2079,FIND("-",J2079)+1,99)))))),"")</f>
        <v/>
      </c>
      <c r="C2079">
        <f>IF($C$1=0,0,IFERROR(VALUE(SUBSTITUTE(SUBSTITUTE(SUBSTITUTE(INDEX(貼り付け!$A$1:$BZ$3001,2078,$C$1)&amp;"",",",""),"¥",""),"￥","")),0))</f>
        <v/>
      </c>
      <c r="D2079">
        <f>IF($D$1=0,0,IFERROR(VALUE(SUBSTITUTE(SUBSTITUTE(SUBSTITUTE(INDEX(貼り付け!$A$1:$BZ$3001,2078,$D$1)&amp;"",",",""),"¥",""),"￥","")),0))</f>
        <v/>
      </c>
      <c r="E2079">
        <f>IF($E$1=0,0,IFERROR(VALUE(SUBSTITUTE(SUBSTITUTE(SUBSTITUTE(INDEX(貼り付け!$A$1:$BZ$3001,2078,$E$1)&amp;"",",",""),"¥",""),"￥","")),0))</f>
        <v/>
      </c>
      <c r="F2079">
        <f>IF($F$1=0,0,IFERROR(VALUE(SUBSTITUTE(SUBSTITUTE(SUBSTITUTE(INDEX(貼り付け!$A$1:$BZ$3001,2078,$F$1)&amp;"",",",""),"¥",""),"￥","")),0))</f>
        <v/>
      </c>
      <c r="G2079">
        <f>IF(ISNUMBER(B2079),YEAR(B2079),"")</f>
        <v/>
      </c>
      <c r="H2079">
        <f>IF(ISNUMBER(B2079),MONTH(B2079),"")</f>
        <v/>
      </c>
      <c r="I2079">
        <f>IFERROR(IF($B$1=0,"",IF(ISNUMBER(INDEX(貼り付け!$A$1:$BZ$3001,2078,$B$1)),"",SUBSTITUTE(SUBSTITUTE(SUBSTITUTE(SUBSTITUTE(TRIM(LEFT(INDEX(貼り付け!$A$1:$BZ$3001,2078,$B$1)&amp;"",FIND(" ",TRIM(INDEX(貼り付け!$A$1:$BZ$3001,2078,$B$1)&amp;"")&amp;" ")-1)),"/","-"),"年","-"),"月","-"),"日",""))),"")</f>
        <v/>
      </c>
      <c r="J2079">
        <f>IFERROR(MID(I2079,FIND("-",I2079)+1,99),"")</f>
        <v/>
      </c>
    </row>
    <row r="2080">
      <c r="B2080">
        <f>IFERROR(IF($B$1=0,"",IF(INDEX(貼り付け!$A$1:$BZ$3001,2079,$B$1)="","",IF(ISNUMBER(INDEX(貼り付け!$A$1:$BZ$3001,2079,$B$1)),INT(INDEX(貼り付け!$A$1:$BZ$3001,2079,$B$1)),DATE(VALUE(LEFT(I2080,FIND("-",I2080)-1)),VALUE(LEFT(J2080,FIND("-",J2080)-1)),VALUE(MID(J2080,FIND("-",J2080)+1,99)))))),"")</f>
        <v/>
      </c>
      <c r="C2080">
        <f>IF($C$1=0,0,IFERROR(VALUE(SUBSTITUTE(SUBSTITUTE(SUBSTITUTE(INDEX(貼り付け!$A$1:$BZ$3001,2079,$C$1)&amp;"",",",""),"¥",""),"￥","")),0))</f>
        <v/>
      </c>
      <c r="D2080">
        <f>IF($D$1=0,0,IFERROR(VALUE(SUBSTITUTE(SUBSTITUTE(SUBSTITUTE(INDEX(貼り付け!$A$1:$BZ$3001,2079,$D$1)&amp;"",",",""),"¥",""),"￥","")),0))</f>
        <v/>
      </c>
      <c r="E2080">
        <f>IF($E$1=0,0,IFERROR(VALUE(SUBSTITUTE(SUBSTITUTE(SUBSTITUTE(INDEX(貼り付け!$A$1:$BZ$3001,2079,$E$1)&amp;"",",",""),"¥",""),"￥","")),0))</f>
        <v/>
      </c>
      <c r="F2080">
        <f>IF($F$1=0,0,IFERROR(VALUE(SUBSTITUTE(SUBSTITUTE(SUBSTITUTE(INDEX(貼り付け!$A$1:$BZ$3001,2079,$F$1)&amp;"",",",""),"¥",""),"￥","")),0))</f>
        <v/>
      </c>
      <c r="G2080">
        <f>IF(ISNUMBER(B2080),YEAR(B2080),"")</f>
        <v/>
      </c>
      <c r="H2080">
        <f>IF(ISNUMBER(B2080),MONTH(B2080),"")</f>
        <v/>
      </c>
      <c r="I2080">
        <f>IFERROR(IF($B$1=0,"",IF(ISNUMBER(INDEX(貼り付け!$A$1:$BZ$3001,2079,$B$1)),"",SUBSTITUTE(SUBSTITUTE(SUBSTITUTE(SUBSTITUTE(TRIM(LEFT(INDEX(貼り付け!$A$1:$BZ$3001,2079,$B$1)&amp;"",FIND(" ",TRIM(INDEX(貼り付け!$A$1:$BZ$3001,2079,$B$1)&amp;"")&amp;" ")-1)),"/","-"),"年","-"),"月","-"),"日",""))),"")</f>
        <v/>
      </c>
      <c r="J2080">
        <f>IFERROR(MID(I2080,FIND("-",I2080)+1,99),"")</f>
        <v/>
      </c>
    </row>
    <row r="2081">
      <c r="B2081">
        <f>IFERROR(IF($B$1=0,"",IF(INDEX(貼り付け!$A$1:$BZ$3001,2080,$B$1)="","",IF(ISNUMBER(INDEX(貼り付け!$A$1:$BZ$3001,2080,$B$1)),INT(INDEX(貼り付け!$A$1:$BZ$3001,2080,$B$1)),DATE(VALUE(LEFT(I2081,FIND("-",I2081)-1)),VALUE(LEFT(J2081,FIND("-",J2081)-1)),VALUE(MID(J2081,FIND("-",J2081)+1,99)))))),"")</f>
        <v/>
      </c>
      <c r="C2081">
        <f>IF($C$1=0,0,IFERROR(VALUE(SUBSTITUTE(SUBSTITUTE(SUBSTITUTE(INDEX(貼り付け!$A$1:$BZ$3001,2080,$C$1)&amp;"",",",""),"¥",""),"￥","")),0))</f>
        <v/>
      </c>
      <c r="D2081">
        <f>IF($D$1=0,0,IFERROR(VALUE(SUBSTITUTE(SUBSTITUTE(SUBSTITUTE(INDEX(貼り付け!$A$1:$BZ$3001,2080,$D$1)&amp;"",",",""),"¥",""),"￥","")),0))</f>
        <v/>
      </c>
      <c r="E2081">
        <f>IF($E$1=0,0,IFERROR(VALUE(SUBSTITUTE(SUBSTITUTE(SUBSTITUTE(INDEX(貼り付け!$A$1:$BZ$3001,2080,$E$1)&amp;"",",",""),"¥",""),"￥","")),0))</f>
        <v/>
      </c>
      <c r="F2081">
        <f>IF($F$1=0,0,IFERROR(VALUE(SUBSTITUTE(SUBSTITUTE(SUBSTITUTE(INDEX(貼り付け!$A$1:$BZ$3001,2080,$F$1)&amp;"",",",""),"¥",""),"￥","")),0))</f>
        <v/>
      </c>
      <c r="G2081">
        <f>IF(ISNUMBER(B2081),YEAR(B2081),"")</f>
        <v/>
      </c>
      <c r="H2081">
        <f>IF(ISNUMBER(B2081),MONTH(B2081),"")</f>
        <v/>
      </c>
      <c r="I2081">
        <f>IFERROR(IF($B$1=0,"",IF(ISNUMBER(INDEX(貼り付け!$A$1:$BZ$3001,2080,$B$1)),"",SUBSTITUTE(SUBSTITUTE(SUBSTITUTE(SUBSTITUTE(TRIM(LEFT(INDEX(貼り付け!$A$1:$BZ$3001,2080,$B$1)&amp;"",FIND(" ",TRIM(INDEX(貼り付け!$A$1:$BZ$3001,2080,$B$1)&amp;"")&amp;" ")-1)),"/","-"),"年","-"),"月","-"),"日",""))),"")</f>
        <v/>
      </c>
      <c r="J2081">
        <f>IFERROR(MID(I2081,FIND("-",I2081)+1,99),"")</f>
        <v/>
      </c>
    </row>
    <row r="2082">
      <c r="B2082">
        <f>IFERROR(IF($B$1=0,"",IF(INDEX(貼り付け!$A$1:$BZ$3001,2081,$B$1)="","",IF(ISNUMBER(INDEX(貼り付け!$A$1:$BZ$3001,2081,$B$1)),INT(INDEX(貼り付け!$A$1:$BZ$3001,2081,$B$1)),DATE(VALUE(LEFT(I2082,FIND("-",I2082)-1)),VALUE(LEFT(J2082,FIND("-",J2082)-1)),VALUE(MID(J2082,FIND("-",J2082)+1,99)))))),"")</f>
        <v/>
      </c>
      <c r="C2082">
        <f>IF($C$1=0,0,IFERROR(VALUE(SUBSTITUTE(SUBSTITUTE(SUBSTITUTE(INDEX(貼り付け!$A$1:$BZ$3001,2081,$C$1)&amp;"",",",""),"¥",""),"￥","")),0))</f>
        <v/>
      </c>
      <c r="D2082">
        <f>IF($D$1=0,0,IFERROR(VALUE(SUBSTITUTE(SUBSTITUTE(SUBSTITUTE(INDEX(貼り付け!$A$1:$BZ$3001,2081,$D$1)&amp;"",",",""),"¥",""),"￥","")),0))</f>
        <v/>
      </c>
      <c r="E2082">
        <f>IF($E$1=0,0,IFERROR(VALUE(SUBSTITUTE(SUBSTITUTE(SUBSTITUTE(INDEX(貼り付け!$A$1:$BZ$3001,2081,$E$1)&amp;"",",",""),"¥",""),"￥","")),0))</f>
        <v/>
      </c>
      <c r="F2082">
        <f>IF($F$1=0,0,IFERROR(VALUE(SUBSTITUTE(SUBSTITUTE(SUBSTITUTE(INDEX(貼り付け!$A$1:$BZ$3001,2081,$F$1)&amp;"",",",""),"¥",""),"￥","")),0))</f>
        <v/>
      </c>
      <c r="G2082">
        <f>IF(ISNUMBER(B2082),YEAR(B2082),"")</f>
        <v/>
      </c>
      <c r="H2082">
        <f>IF(ISNUMBER(B2082),MONTH(B2082),"")</f>
        <v/>
      </c>
      <c r="I2082">
        <f>IFERROR(IF($B$1=0,"",IF(ISNUMBER(INDEX(貼り付け!$A$1:$BZ$3001,2081,$B$1)),"",SUBSTITUTE(SUBSTITUTE(SUBSTITUTE(SUBSTITUTE(TRIM(LEFT(INDEX(貼り付け!$A$1:$BZ$3001,2081,$B$1)&amp;"",FIND(" ",TRIM(INDEX(貼り付け!$A$1:$BZ$3001,2081,$B$1)&amp;"")&amp;" ")-1)),"/","-"),"年","-"),"月","-"),"日",""))),"")</f>
        <v/>
      </c>
      <c r="J2082">
        <f>IFERROR(MID(I2082,FIND("-",I2082)+1,99),"")</f>
        <v/>
      </c>
    </row>
    <row r="2083">
      <c r="B2083">
        <f>IFERROR(IF($B$1=0,"",IF(INDEX(貼り付け!$A$1:$BZ$3001,2082,$B$1)="","",IF(ISNUMBER(INDEX(貼り付け!$A$1:$BZ$3001,2082,$B$1)),INT(INDEX(貼り付け!$A$1:$BZ$3001,2082,$B$1)),DATE(VALUE(LEFT(I2083,FIND("-",I2083)-1)),VALUE(LEFT(J2083,FIND("-",J2083)-1)),VALUE(MID(J2083,FIND("-",J2083)+1,99)))))),"")</f>
        <v/>
      </c>
      <c r="C2083">
        <f>IF($C$1=0,0,IFERROR(VALUE(SUBSTITUTE(SUBSTITUTE(SUBSTITUTE(INDEX(貼り付け!$A$1:$BZ$3001,2082,$C$1)&amp;"",",",""),"¥",""),"￥","")),0))</f>
        <v/>
      </c>
      <c r="D2083">
        <f>IF($D$1=0,0,IFERROR(VALUE(SUBSTITUTE(SUBSTITUTE(SUBSTITUTE(INDEX(貼り付け!$A$1:$BZ$3001,2082,$D$1)&amp;"",",",""),"¥",""),"￥","")),0))</f>
        <v/>
      </c>
      <c r="E2083">
        <f>IF($E$1=0,0,IFERROR(VALUE(SUBSTITUTE(SUBSTITUTE(SUBSTITUTE(INDEX(貼り付け!$A$1:$BZ$3001,2082,$E$1)&amp;"",",",""),"¥",""),"￥","")),0))</f>
        <v/>
      </c>
      <c r="F2083">
        <f>IF($F$1=0,0,IFERROR(VALUE(SUBSTITUTE(SUBSTITUTE(SUBSTITUTE(INDEX(貼り付け!$A$1:$BZ$3001,2082,$F$1)&amp;"",",",""),"¥",""),"￥","")),0))</f>
        <v/>
      </c>
      <c r="G2083">
        <f>IF(ISNUMBER(B2083),YEAR(B2083),"")</f>
        <v/>
      </c>
      <c r="H2083">
        <f>IF(ISNUMBER(B2083),MONTH(B2083),"")</f>
        <v/>
      </c>
      <c r="I2083">
        <f>IFERROR(IF($B$1=0,"",IF(ISNUMBER(INDEX(貼り付け!$A$1:$BZ$3001,2082,$B$1)),"",SUBSTITUTE(SUBSTITUTE(SUBSTITUTE(SUBSTITUTE(TRIM(LEFT(INDEX(貼り付け!$A$1:$BZ$3001,2082,$B$1)&amp;"",FIND(" ",TRIM(INDEX(貼り付け!$A$1:$BZ$3001,2082,$B$1)&amp;"")&amp;" ")-1)),"/","-"),"年","-"),"月","-"),"日",""))),"")</f>
        <v/>
      </c>
      <c r="J2083">
        <f>IFERROR(MID(I2083,FIND("-",I2083)+1,99),"")</f>
        <v/>
      </c>
    </row>
    <row r="2084">
      <c r="B2084">
        <f>IFERROR(IF($B$1=0,"",IF(INDEX(貼り付け!$A$1:$BZ$3001,2083,$B$1)="","",IF(ISNUMBER(INDEX(貼り付け!$A$1:$BZ$3001,2083,$B$1)),INT(INDEX(貼り付け!$A$1:$BZ$3001,2083,$B$1)),DATE(VALUE(LEFT(I2084,FIND("-",I2084)-1)),VALUE(LEFT(J2084,FIND("-",J2084)-1)),VALUE(MID(J2084,FIND("-",J2084)+1,99)))))),"")</f>
        <v/>
      </c>
      <c r="C2084">
        <f>IF($C$1=0,0,IFERROR(VALUE(SUBSTITUTE(SUBSTITUTE(SUBSTITUTE(INDEX(貼り付け!$A$1:$BZ$3001,2083,$C$1)&amp;"",",",""),"¥",""),"￥","")),0))</f>
        <v/>
      </c>
      <c r="D2084">
        <f>IF($D$1=0,0,IFERROR(VALUE(SUBSTITUTE(SUBSTITUTE(SUBSTITUTE(INDEX(貼り付け!$A$1:$BZ$3001,2083,$D$1)&amp;"",",",""),"¥",""),"￥","")),0))</f>
        <v/>
      </c>
      <c r="E2084">
        <f>IF($E$1=0,0,IFERROR(VALUE(SUBSTITUTE(SUBSTITUTE(SUBSTITUTE(INDEX(貼り付け!$A$1:$BZ$3001,2083,$E$1)&amp;"",",",""),"¥",""),"￥","")),0))</f>
        <v/>
      </c>
      <c r="F2084">
        <f>IF($F$1=0,0,IFERROR(VALUE(SUBSTITUTE(SUBSTITUTE(SUBSTITUTE(INDEX(貼り付け!$A$1:$BZ$3001,2083,$F$1)&amp;"",",",""),"¥",""),"￥","")),0))</f>
        <v/>
      </c>
      <c r="G2084">
        <f>IF(ISNUMBER(B2084),YEAR(B2084),"")</f>
        <v/>
      </c>
      <c r="H2084">
        <f>IF(ISNUMBER(B2084),MONTH(B2084),"")</f>
        <v/>
      </c>
      <c r="I2084">
        <f>IFERROR(IF($B$1=0,"",IF(ISNUMBER(INDEX(貼り付け!$A$1:$BZ$3001,2083,$B$1)),"",SUBSTITUTE(SUBSTITUTE(SUBSTITUTE(SUBSTITUTE(TRIM(LEFT(INDEX(貼り付け!$A$1:$BZ$3001,2083,$B$1)&amp;"",FIND(" ",TRIM(INDEX(貼り付け!$A$1:$BZ$3001,2083,$B$1)&amp;"")&amp;" ")-1)),"/","-"),"年","-"),"月","-"),"日",""))),"")</f>
        <v/>
      </c>
      <c r="J2084">
        <f>IFERROR(MID(I2084,FIND("-",I2084)+1,99),"")</f>
        <v/>
      </c>
    </row>
    <row r="2085">
      <c r="B2085">
        <f>IFERROR(IF($B$1=0,"",IF(INDEX(貼り付け!$A$1:$BZ$3001,2084,$B$1)="","",IF(ISNUMBER(INDEX(貼り付け!$A$1:$BZ$3001,2084,$B$1)),INT(INDEX(貼り付け!$A$1:$BZ$3001,2084,$B$1)),DATE(VALUE(LEFT(I2085,FIND("-",I2085)-1)),VALUE(LEFT(J2085,FIND("-",J2085)-1)),VALUE(MID(J2085,FIND("-",J2085)+1,99)))))),"")</f>
        <v/>
      </c>
      <c r="C2085">
        <f>IF($C$1=0,0,IFERROR(VALUE(SUBSTITUTE(SUBSTITUTE(SUBSTITUTE(INDEX(貼り付け!$A$1:$BZ$3001,2084,$C$1)&amp;"",",",""),"¥",""),"￥","")),0))</f>
        <v/>
      </c>
      <c r="D2085">
        <f>IF($D$1=0,0,IFERROR(VALUE(SUBSTITUTE(SUBSTITUTE(SUBSTITUTE(INDEX(貼り付け!$A$1:$BZ$3001,2084,$D$1)&amp;"",",",""),"¥",""),"￥","")),0))</f>
        <v/>
      </c>
      <c r="E2085">
        <f>IF($E$1=0,0,IFERROR(VALUE(SUBSTITUTE(SUBSTITUTE(SUBSTITUTE(INDEX(貼り付け!$A$1:$BZ$3001,2084,$E$1)&amp;"",",",""),"¥",""),"￥","")),0))</f>
        <v/>
      </c>
      <c r="F2085">
        <f>IF($F$1=0,0,IFERROR(VALUE(SUBSTITUTE(SUBSTITUTE(SUBSTITUTE(INDEX(貼り付け!$A$1:$BZ$3001,2084,$F$1)&amp;"",",",""),"¥",""),"￥","")),0))</f>
        <v/>
      </c>
      <c r="G2085">
        <f>IF(ISNUMBER(B2085),YEAR(B2085),"")</f>
        <v/>
      </c>
      <c r="H2085">
        <f>IF(ISNUMBER(B2085),MONTH(B2085),"")</f>
        <v/>
      </c>
      <c r="I2085">
        <f>IFERROR(IF($B$1=0,"",IF(ISNUMBER(INDEX(貼り付け!$A$1:$BZ$3001,2084,$B$1)),"",SUBSTITUTE(SUBSTITUTE(SUBSTITUTE(SUBSTITUTE(TRIM(LEFT(INDEX(貼り付け!$A$1:$BZ$3001,2084,$B$1)&amp;"",FIND(" ",TRIM(INDEX(貼り付け!$A$1:$BZ$3001,2084,$B$1)&amp;"")&amp;" ")-1)),"/","-"),"年","-"),"月","-"),"日",""))),"")</f>
        <v/>
      </c>
      <c r="J2085">
        <f>IFERROR(MID(I2085,FIND("-",I2085)+1,99),"")</f>
        <v/>
      </c>
    </row>
    <row r="2086">
      <c r="B2086">
        <f>IFERROR(IF($B$1=0,"",IF(INDEX(貼り付け!$A$1:$BZ$3001,2085,$B$1)="","",IF(ISNUMBER(INDEX(貼り付け!$A$1:$BZ$3001,2085,$B$1)),INT(INDEX(貼り付け!$A$1:$BZ$3001,2085,$B$1)),DATE(VALUE(LEFT(I2086,FIND("-",I2086)-1)),VALUE(LEFT(J2086,FIND("-",J2086)-1)),VALUE(MID(J2086,FIND("-",J2086)+1,99)))))),"")</f>
        <v/>
      </c>
      <c r="C2086">
        <f>IF($C$1=0,0,IFERROR(VALUE(SUBSTITUTE(SUBSTITUTE(SUBSTITUTE(INDEX(貼り付け!$A$1:$BZ$3001,2085,$C$1)&amp;"",",",""),"¥",""),"￥","")),0))</f>
        <v/>
      </c>
      <c r="D2086">
        <f>IF($D$1=0,0,IFERROR(VALUE(SUBSTITUTE(SUBSTITUTE(SUBSTITUTE(INDEX(貼り付け!$A$1:$BZ$3001,2085,$D$1)&amp;"",",",""),"¥",""),"￥","")),0))</f>
        <v/>
      </c>
      <c r="E2086">
        <f>IF($E$1=0,0,IFERROR(VALUE(SUBSTITUTE(SUBSTITUTE(SUBSTITUTE(INDEX(貼り付け!$A$1:$BZ$3001,2085,$E$1)&amp;"",",",""),"¥",""),"￥","")),0))</f>
        <v/>
      </c>
      <c r="F2086">
        <f>IF($F$1=0,0,IFERROR(VALUE(SUBSTITUTE(SUBSTITUTE(SUBSTITUTE(INDEX(貼り付け!$A$1:$BZ$3001,2085,$F$1)&amp;"",",",""),"¥",""),"￥","")),0))</f>
        <v/>
      </c>
      <c r="G2086">
        <f>IF(ISNUMBER(B2086),YEAR(B2086),"")</f>
        <v/>
      </c>
      <c r="H2086">
        <f>IF(ISNUMBER(B2086),MONTH(B2086),"")</f>
        <v/>
      </c>
      <c r="I2086">
        <f>IFERROR(IF($B$1=0,"",IF(ISNUMBER(INDEX(貼り付け!$A$1:$BZ$3001,2085,$B$1)),"",SUBSTITUTE(SUBSTITUTE(SUBSTITUTE(SUBSTITUTE(TRIM(LEFT(INDEX(貼り付け!$A$1:$BZ$3001,2085,$B$1)&amp;"",FIND(" ",TRIM(INDEX(貼り付け!$A$1:$BZ$3001,2085,$B$1)&amp;"")&amp;" ")-1)),"/","-"),"年","-"),"月","-"),"日",""))),"")</f>
        <v/>
      </c>
      <c r="J2086">
        <f>IFERROR(MID(I2086,FIND("-",I2086)+1,99),"")</f>
        <v/>
      </c>
    </row>
    <row r="2087">
      <c r="B2087">
        <f>IFERROR(IF($B$1=0,"",IF(INDEX(貼り付け!$A$1:$BZ$3001,2086,$B$1)="","",IF(ISNUMBER(INDEX(貼り付け!$A$1:$BZ$3001,2086,$B$1)),INT(INDEX(貼り付け!$A$1:$BZ$3001,2086,$B$1)),DATE(VALUE(LEFT(I2087,FIND("-",I2087)-1)),VALUE(LEFT(J2087,FIND("-",J2087)-1)),VALUE(MID(J2087,FIND("-",J2087)+1,99)))))),"")</f>
        <v/>
      </c>
      <c r="C2087">
        <f>IF($C$1=0,0,IFERROR(VALUE(SUBSTITUTE(SUBSTITUTE(SUBSTITUTE(INDEX(貼り付け!$A$1:$BZ$3001,2086,$C$1)&amp;"",",",""),"¥",""),"￥","")),0))</f>
        <v/>
      </c>
      <c r="D2087">
        <f>IF($D$1=0,0,IFERROR(VALUE(SUBSTITUTE(SUBSTITUTE(SUBSTITUTE(INDEX(貼り付け!$A$1:$BZ$3001,2086,$D$1)&amp;"",",",""),"¥",""),"￥","")),0))</f>
        <v/>
      </c>
      <c r="E2087">
        <f>IF($E$1=0,0,IFERROR(VALUE(SUBSTITUTE(SUBSTITUTE(SUBSTITUTE(INDEX(貼り付け!$A$1:$BZ$3001,2086,$E$1)&amp;"",",",""),"¥",""),"￥","")),0))</f>
        <v/>
      </c>
      <c r="F2087">
        <f>IF($F$1=0,0,IFERROR(VALUE(SUBSTITUTE(SUBSTITUTE(SUBSTITUTE(INDEX(貼り付け!$A$1:$BZ$3001,2086,$F$1)&amp;"",",",""),"¥",""),"￥","")),0))</f>
        <v/>
      </c>
      <c r="G2087">
        <f>IF(ISNUMBER(B2087),YEAR(B2087),"")</f>
        <v/>
      </c>
      <c r="H2087">
        <f>IF(ISNUMBER(B2087),MONTH(B2087),"")</f>
        <v/>
      </c>
      <c r="I2087">
        <f>IFERROR(IF($B$1=0,"",IF(ISNUMBER(INDEX(貼り付け!$A$1:$BZ$3001,2086,$B$1)),"",SUBSTITUTE(SUBSTITUTE(SUBSTITUTE(SUBSTITUTE(TRIM(LEFT(INDEX(貼り付け!$A$1:$BZ$3001,2086,$B$1)&amp;"",FIND(" ",TRIM(INDEX(貼り付け!$A$1:$BZ$3001,2086,$B$1)&amp;"")&amp;" ")-1)),"/","-"),"年","-"),"月","-"),"日",""))),"")</f>
        <v/>
      </c>
      <c r="J2087">
        <f>IFERROR(MID(I2087,FIND("-",I2087)+1,99),"")</f>
        <v/>
      </c>
    </row>
    <row r="2088">
      <c r="B2088">
        <f>IFERROR(IF($B$1=0,"",IF(INDEX(貼り付け!$A$1:$BZ$3001,2087,$B$1)="","",IF(ISNUMBER(INDEX(貼り付け!$A$1:$BZ$3001,2087,$B$1)),INT(INDEX(貼り付け!$A$1:$BZ$3001,2087,$B$1)),DATE(VALUE(LEFT(I2088,FIND("-",I2088)-1)),VALUE(LEFT(J2088,FIND("-",J2088)-1)),VALUE(MID(J2088,FIND("-",J2088)+1,99)))))),"")</f>
        <v/>
      </c>
      <c r="C2088">
        <f>IF($C$1=0,0,IFERROR(VALUE(SUBSTITUTE(SUBSTITUTE(SUBSTITUTE(INDEX(貼り付け!$A$1:$BZ$3001,2087,$C$1)&amp;"",",",""),"¥",""),"￥","")),0))</f>
        <v/>
      </c>
      <c r="D2088">
        <f>IF($D$1=0,0,IFERROR(VALUE(SUBSTITUTE(SUBSTITUTE(SUBSTITUTE(INDEX(貼り付け!$A$1:$BZ$3001,2087,$D$1)&amp;"",",",""),"¥",""),"￥","")),0))</f>
        <v/>
      </c>
      <c r="E2088">
        <f>IF($E$1=0,0,IFERROR(VALUE(SUBSTITUTE(SUBSTITUTE(SUBSTITUTE(INDEX(貼り付け!$A$1:$BZ$3001,2087,$E$1)&amp;"",",",""),"¥",""),"￥","")),0))</f>
        <v/>
      </c>
      <c r="F2088">
        <f>IF($F$1=0,0,IFERROR(VALUE(SUBSTITUTE(SUBSTITUTE(SUBSTITUTE(INDEX(貼り付け!$A$1:$BZ$3001,2087,$F$1)&amp;"",",",""),"¥",""),"￥","")),0))</f>
        <v/>
      </c>
      <c r="G2088">
        <f>IF(ISNUMBER(B2088),YEAR(B2088),"")</f>
        <v/>
      </c>
      <c r="H2088">
        <f>IF(ISNUMBER(B2088),MONTH(B2088),"")</f>
        <v/>
      </c>
      <c r="I2088">
        <f>IFERROR(IF($B$1=0,"",IF(ISNUMBER(INDEX(貼り付け!$A$1:$BZ$3001,2087,$B$1)),"",SUBSTITUTE(SUBSTITUTE(SUBSTITUTE(SUBSTITUTE(TRIM(LEFT(INDEX(貼り付け!$A$1:$BZ$3001,2087,$B$1)&amp;"",FIND(" ",TRIM(INDEX(貼り付け!$A$1:$BZ$3001,2087,$B$1)&amp;"")&amp;" ")-1)),"/","-"),"年","-"),"月","-"),"日",""))),"")</f>
        <v/>
      </c>
      <c r="J2088">
        <f>IFERROR(MID(I2088,FIND("-",I2088)+1,99),"")</f>
        <v/>
      </c>
    </row>
    <row r="2089">
      <c r="B2089">
        <f>IFERROR(IF($B$1=0,"",IF(INDEX(貼り付け!$A$1:$BZ$3001,2088,$B$1)="","",IF(ISNUMBER(INDEX(貼り付け!$A$1:$BZ$3001,2088,$B$1)),INT(INDEX(貼り付け!$A$1:$BZ$3001,2088,$B$1)),DATE(VALUE(LEFT(I2089,FIND("-",I2089)-1)),VALUE(LEFT(J2089,FIND("-",J2089)-1)),VALUE(MID(J2089,FIND("-",J2089)+1,99)))))),"")</f>
        <v/>
      </c>
      <c r="C2089">
        <f>IF($C$1=0,0,IFERROR(VALUE(SUBSTITUTE(SUBSTITUTE(SUBSTITUTE(INDEX(貼り付け!$A$1:$BZ$3001,2088,$C$1)&amp;"",",",""),"¥",""),"￥","")),0))</f>
        <v/>
      </c>
      <c r="D2089">
        <f>IF($D$1=0,0,IFERROR(VALUE(SUBSTITUTE(SUBSTITUTE(SUBSTITUTE(INDEX(貼り付け!$A$1:$BZ$3001,2088,$D$1)&amp;"",",",""),"¥",""),"￥","")),0))</f>
        <v/>
      </c>
      <c r="E2089">
        <f>IF($E$1=0,0,IFERROR(VALUE(SUBSTITUTE(SUBSTITUTE(SUBSTITUTE(INDEX(貼り付け!$A$1:$BZ$3001,2088,$E$1)&amp;"",",",""),"¥",""),"￥","")),0))</f>
        <v/>
      </c>
      <c r="F2089">
        <f>IF($F$1=0,0,IFERROR(VALUE(SUBSTITUTE(SUBSTITUTE(SUBSTITUTE(INDEX(貼り付け!$A$1:$BZ$3001,2088,$F$1)&amp;"",",",""),"¥",""),"￥","")),0))</f>
        <v/>
      </c>
      <c r="G2089">
        <f>IF(ISNUMBER(B2089),YEAR(B2089),"")</f>
        <v/>
      </c>
      <c r="H2089">
        <f>IF(ISNUMBER(B2089),MONTH(B2089),"")</f>
        <v/>
      </c>
      <c r="I2089">
        <f>IFERROR(IF($B$1=0,"",IF(ISNUMBER(INDEX(貼り付け!$A$1:$BZ$3001,2088,$B$1)),"",SUBSTITUTE(SUBSTITUTE(SUBSTITUTE(SUBSTITUTE(TRIM(LEFT(INDEX(貼り付け!$A$1:$BZ$3001,2088,$B$1)&amp;"",FIND(" ",TRIM(INDEX(貼り付け!$A$1:$BZ$3001,2088,$B$1)&amp;"")&amp;" ")-1)),"/","-"),"年","-"),"月","-"),"日",""))),"")</f>
        <v/>
      </c>
      <c r="J2089">
        <f>IFERROR(MID(I2089,FIND("-",I2089)+1,99),"")</f>
        <v/>
      </c>
    </row>
    <row r="2090">
      <c r="B2090">
        <f>IFERROR(IF($B$1=0,"",IF(INDEX(貼り付け!$A$1:$BZ$3001,2089,$B$1)="","",IF(ISNUMBER(INDEX(貼り付け!$A$1:$BZ$3001,2089,$B$1)),INT(INDEX(貼り付け!$A$1:$BZ$3001,2089,$B$1)),DATE(VALUE(LEFT(I2090,FIND("-",I2090)-1)),VALUE(LEFT(J2090,FIND("-",J2090)-1)),VALUE(MID(J2090,FIND("-",J2090)+1,99)))))),"")</f>
        <v/>
      </c>
      <c r="C2090">
        <f>IF($C$1=0,0,IFERROR(VALUE(SUBSTITUTE(SUBSTITUTE(SUBSTITUTE(INDEX(貼り付け!$A$1:$BZ$3001,2089,$C$1)&amp;"",",",""),"¥",""),"￥","")),0))</f>
        <v/>
      </c>
      <c r="D2090">
        <f>IF($D$1=0,0,IFERROR(VALUE(SUBSTITUTE(SUBSTITUTE(SUBSTITUTE(INDEX(貼り付け!$A$1:$BZ$3001,2089,$D$1)&amp;"",",",""),"¥",""),"￥","")),0))</f>
        <v/>
      </c>
      <c r="E2090">
        <f>IF($E$1=0,0,IFERROR(VALUE(SUBSTITUTE(SUBSTITUTE(SUBSTITUTE(INDEX(貼り付け!$A$1:$BZ$3001,2089,$E$1)&amp;"",",",""),"¥",""),"￥","")),0))</f>
        <v/>
      </c>
      <c r="F2090">
        <f>IF($F$1=0,0,IFERROR(VALUE(SUBSTITUTE(SUBSTITUTE(SUBSTITUTE(INDEX(貼り付け!$A$1:$BZ$3001,2089,$F$1)&amp;"",",",""),"¥",""),"￥","")),0))</f>
        <v/>
      </c>
      <c r="G2090">
        <f>IF(ISNUMBER(B2090),YEAR(B2090),"")</f>
        <v/>
      </c>
      <c r="H2090">
        <f>IF(ISNUMBER(B2090),MONTH(B2090),"")</f>
        <v/>
      </c>
      <c r="I2090">
        <f>IFERROR(IF($B$1=0,"",IF(ISNUMBER(INDEX(貼り付け!$A$1:$BZ$3001,2089,$B$1)),"",SUBSTITUTE(SUBSTITUTE(SUBSTITUTE(SUBSTITUTE(TRIM(LEFT(INDEX(貼り付け!$A$1:$BZ$3001,2089,$B$1)&amp;"",FIND(" ",TRIM(INDEX(貼り付け!$A$1:$BZ$3001,2089,$B$1)&amp;"")&amp;" ")-1)),"/","-"),"年","-"),"月","-"),"日",""))),"")</f>
        <v/>
      </c>
      <c r="J2090">
        <f>IFERROR(MID(I2090,FIND("-",I2090)+1,99),"")</f>
        <v/>
      </c>
    </row>
    <row r="2091">
      <c r="B2091">
        <f>IFERROR(IF($B$1=0,"",IF(INDEX(貼り付け!$A$1:$BZ$3001,2090,$B$1)="","",IF(ISNUMBER(INDEX(貼り付け!$A$1:$BZ$3001,2090,$B$1)),INT(INDEX(貼り付け!$A$1:$BZ$3001,2090,$B$1)),DATE(VALUE(LEFT(I2091,FIND("-",I2091)-1)),VALUE(LEFT(J2091,FIND("-",J2091)-1)),VALUE(MID(J2091,FIND("-",J2091)+1,99)))))),"")</f>
        <v/>
      </c>
      <c r="C2091">
        <f>IF($C$1=0,0,IFERROR(VALUE(SUBSTITUTE(SUBSTITUTE(SUBSTITUTE(INDEX(貼り付け!$A$1:$BZ$3001,2090,$C$1)&amp;"",",",""),"¥",""),"￥","")),0))</f>
        <v/>
      </c>
      <c r="D2091">
        <f>IF($D$1=0,0,IFERROR(VALUE(SUBSTITUTE(SUBSTITUTE(SUBSTITUTE(INDEX(貼り付け!$A$1:$BZ$3001,2090,$D$1)&amp;"",",",""),"¥",""),"￥","")),0))</f>
        <v/>
      </c>
      <c r="E2091">
        <f>IF($E$1=0,0,IFERROR(VALUE(SUBSTITUTE(SUBSTITUTE(SUBSTITUTE(INDEX(貼り付け!$A$1:$BZ$3001,2090,$E$1)&amp;"",",",""),"¥",""),"￥","")),0))</f>
        <v/>
      </c>
      <c r="F2091">
        <f>IF($F$1=0,0,IFERROR(VALUE(SUBSTITUTE(SUBSTITUTE(SUBSTITUTE(INDEX(貼り付け!$A$1:$BZ$3001,2090,$F$1)&amp;"",",",""),"¥",""),"￥","")),0))</f>
        <v/>
      </c>
      <c r="G2091">
        <f>IF(ISNUMBER(B2091),YEAR(B2091),"")</f>
        <v/>
      </c>
      <c r="H2091">
        <f>IF(ISNUMBER(B2091),MONTH(B2091),"")</f>
        <v/>
      </c>
      <c r="I2091">
        <f>IFERROR(IF($B$1=0,"",IF(ISNUMBER(INDEX(貼り付け!$A$1:$BZ$3001,2090,$B$1)),"",SUBSTITUTE(SUBSTITUTE(SUBSTITUTE(SUBSTITUTE(TRIM(LEFT(INDEX(貼り付け!$A$1:$BZ$3001,2090,$B$1)&amp;"",FIND(" ",TRIM(INDEX(貼り付け!$A$1:$BZ$3001,2090,$B$1)&amp;"")&amp;" ")-1)),"/","-"),"年","-"),"月","-"),"日",""))),"")</f>
        <v/>
      </c>
      <c r="J2091">
        <f>IFERROR(MID(I2091,FIND("-",I2091)+1,99),"")</f>
        <v/>
      </c>
    </row>
    <row r="2092">
      <c r="B2092">
        <f>IFERROR(IF($B$1=0,"",IF(INDEX(貼り付け!$A$1:$BZ$3001,2091,$B$1)="","",IF(ISNUMBER(INDEX(貼り付け!$A$1:$BZ$3001,2091,$B$1)),INT(INDEX(貼り付け!$A$1:$BZ$3001,2091,$B$1)),DATE(VALUE(LEFT(I2092,FIND("-",I2092)-1)),VALUE(LEFT(J2092,FIND("-",J2092)-1)),VALUE(MID(J2092,FIND("-",J2092)+1,99)))))),"")</f>
        <v/>
      </c>
      <c r="C2092">
        <f>IF($C$1=0,0,IFERROR(VALUE(SUBSTITUTE(SUBSTITUTE(SUBSTITUTE(INDEX(貼り付け!$A$1:$BZ$3001,2091,$C$1)&amp;"",",",""),"¥",""),"￥","")),0))</f>
        <v/>
      </c>
      <c r="D2092">
        <f>IF($D$1=0,0,IFERROR(VALUE(SUBSTITUTE(SUBSTITUTE(SUBSTITUTE(INDEX(貼り付け!$A$1:$BZ$3001,2091,$D$1)&amp;"",",",""),"¥",""),"￥","")),0))</f>
        <v/>
      </c>
      <c r="E2092">
        <f>IF($E$1=0,0,IFERROR(VALUE(SUBSTITUTE(SUBSTITUTE(SUBSTITUTE(INDEX(貼り付け!$A$1:$BZ$3001,2091,$E$1)&amp;"",",",""),"¥",""),"￥","")),0))</f>
        <v/>
      </c>
      <c r="F2092">
        <f>IF($F$1=0,0,IFERROR(VALUE(SUBSTITUTE(SUBSTITUTE(SUBSTITUTE(INDEX(貼り付け!$A$1:$BZ$3001,2091,$F$1)&amp;"",",",""),"¥",""),"￥","")),0))</f>
        <v/>
      </c>
      <c r="G2092">
        <f>IF(ISNUMBER(B2092),YEAR(B2092),"")</f>
        <v/>
      </c>
      <c r="H2092">
        <f>IF(ISNUMBER(B2092),MONTH(B2092),"")</f>
        <v/>
      </c>
      <c r="I2092">
        <f>IFERROR(IF($B$1=0,"",IF(ISNUMBER(INDEX(貼り付け!$A$1:$BZ$3001,2091,$B$1)),"",SUBSTITUTE(SUBSTITUTE(SUBSTITUTE(SUBSTITUTE(TRIM(LEFT(INDEX(貼り付け!$A$1:$BZ$3001,2091,$B$1)&amp;"",FIND(" ",TRIM(INDEX(貼り付け!$A$1:$BZ$3001,2091,$B$1)&amp;"")&amp;" ")-1)),"/","-"),"年","-"),"月","-"),"日",""))),"")</f>
        <v/>
      </c>
      <c r="J2092">
        <f>IFERROR(MID(I2092,FIND("-",I2092)+1,99),"")</f>
        <v/>
      </c>
    </row>
    <row r="2093">
      <c r="B2093">
        <f>IFERROR(IF($B$1=0,"",IF(INDEX(貼り付け!$A$1:$BZ$3001,2092,$B$1)="","",IF(ISNUMBER(INDEX(貼り付け!$A$1:$BZ$3001,2092,$B$1)),INT(INDEX(貼り付け!$A$1:$BZ$3001,2092,$B$1)),DATE(VALUE(LEFT(I2093,FIND("-",I2093)-1)),VALUE(LEFT(J2093,FIND("-",J2093)-1)),VALUE(MID(J2093,FIND("-",J2093)+1,99)))))),"")</f>
        <v/>
      </c>
      <c r="C2093">
        <f>IF($C$1=0,0,IFERROR(VALUE(SUBSTITUTE(SUBSTITUTE(SUBSTITUTE(INDEX(貼り付け!$A$1:$BZ$3001,2092,$C$1)&amp;"",",",""),"¥",""),"￥","")),0))</f>
        <v/>
      </c>
      <c r="D2093">
        <f>IF($D$1=0,0,IFERROR(VALUE(SUBSTITUTE(SUBSTITUTE(SUBSTITUTE(INDEX(貼り付け!$A$1:$BZ$3001,2092,$D$1)&amp;"",",",""),"¥",""),"￥","")),0))</f>
        <v/>
      </c>
      <c r="E2093">
        <f>IF($E$1=0,0,IFERROR(VALUE(SUBSTITUTE(SUBSTITUTE(SUBSTITUTE(INDEX(貼り付け!$A$1:$BZ$3001,2092,$E$1)&amp;"",",",""),"¥",""),"￥","")),0))</f>
        <v/>
      </c>
      <c r="F2093">
        <f>IF($F$1=0,0,IFERROR(VALUE(SUBSTITUTE(SUBSTITUTE(SUBSTITUTE(INDEX(貼り付け!$A$1:$BZ$3001,2092,$F$1)&amp;"",",",""),"¥",""),"￥","")),0))</f>
        <v/>
      </c>
      <c r="G2093">
        <f>IF(ISNUMBER(B2093),YEAR(B2093),"")</f>
        <v/>
      </c>
      <c r="H2093">
        <f>IF(ISNUMBER(B2093),MONTH(B2093),"")</f>
        <v/>
      </c>
      <c r="I2093">
        <f>IFERROR(IF($B$1=0,"",IF(ISNUMBER(INDEX(貼り付け!$A$1:$BZ$3001,2092,$B$1)),"",SUBSTITUTE(SUBSTITUTE(SUBSTITUTE(SUBSTITUTE(TRIM(LEFT(INDEX(貼り付け!$A$1:$BZ$3001,2092,$B$1)&amp;"",FIND(" ",TRIM(INDEX(貼り付け!$A$1:$BZ$3001,2092,$B$1)&amp;"")&amp;" ")-1)),"/","-"),"年","-"),"月","-"),"日",""))),"")</f>
        <v/>
      </c>
      <c r="J2093">
        <f>IFERROR(MID(I2093,FIND("-",I2093)+1,99),"")</f>
        <v/>
      </c>
    </row>
    <row r="2094">
      <c r="B2094">
        <f>IFERROR(IF($B$1=0,"",IF(INDEX(貼り付け!$A$1:$BZ$3001,2093,$B$1)="","",IF(ISNUMBER(INDEX(貼り付け!$A$1:$BZ$3001,2093,$B$1)),INT(INDEX(貼り付け!$A$1:$BZ$3001,2093,$B$1)),DATE(VALUE(LEFT(I2094,FIND("-",I2094)-1)),VALUE(LEFT(J2094,FIND("-",J2094)-1)),VALUE(MID(J2094,FIND("-",J2094)+1,99)))))),"")</f>
        <v/>
      </c>
      <c r="C2094">
        <f>IF($C$1=0,0,IFERROR(VALUE(SUBSTITUTE(SUBSTITUTE(SUBSTITUTE(INDEX(貼り付け!$A$1:$BZ$3001,2093,$C$1)&amp;"",",",""),"¥",""),"￥","")),0))</f>
        <v/>
      </c>
      <c r="D2094">
        <f>IF($D$1=0,0,IFERROR(VALUE(SUBSTITUTE(SUBSTITUTE(SUBSTITUTE(INDEX(貼り付け!$A$1:$BZ$3001,2093,$D$1)&amp;"",",",""),"¥",""),"￥","")),0))</f>
        <v/>
      </c>
      <c r="E2094">
        <f>IF($E$1=0,0,IFERROR(VALUE(SUBSTITUTE(SUBSTITUTE(SUBSTITUTE(INDEX(貼り付け!$A$1:$BZ$3001,2093,$E$1)&amp;"",",",""),"¥",""),"￥","")),0))</f>
        <v/>
      </c>
      <c r="F2094">
        <f>IF($F$1=0,0,IFERROR(VALUE(SUBSTITUTE(SUBSTITUTE(SUBSTITUTE(INDEX(貼り付け!$A$1:$BZ$3001,2093,$F$1)&amp;"",",",""),"¥",""),"￥","")),0))</f>
        <v/>
      </c>
      <c r="G2094">
        <f>IF(ISNUMBER(B2094),YEAR(B2094),"")</f>
        <v/>
      </c>
      <c r="H2094">
        <f>IF(ISNUMBER(B2094),MONTH(B2094),"")</f>
        <v/>
      </c>
      <c r="I2094">
        <f>IFERROR(IF($B$1=0,"",IF(ISNUMBER(INDEX(貼り付け!$A$1:$BZ$3001,2093,$B$1)),"",SUBSTITUTE(SUBSTITUTE(SUBSTITUTE(SUBSTITUTE(TRIM(LEFT(INDEX(貼り付け!$A$1:$BZ$3001,2093,$B$1)&amp;"",FIND(" ",TRIM(INDEX(貼り付け!$A$1:$BZ$3001,2093,$B$1)&amp;"")&amp;" ")-1)),"/","-"),"年","-"),"月","-"),"日",""))),"")</f>
        <v/>
      </c>
      <c r="J2094">
        <f>IFERROR(MID(I2094,FIND("-",I2094)+1,99),"")</f>
        <v/>
      </c>
    </row>
    <row r="2095">
      <c r="B2095">
        <f>IFERROR(IF($B$1=0,"",IF(INDEX(貼り付け!$A$1:$BZ$3001,2094,$B$1)="","",IF(ISNUMBER(INDEX(貼り付け!$A$1:$BZ$3001,2094,$B$1)),INT(INDEX(貼り付け!$A$1:$BZ$3001,2094,$B$1)),DATE(VALUE(LEFT(I2095,FIND("-",I2095)-1)),VALUE(LEFT(J2095,FIND("-",J2095)-1)),VALUE(MID(J2095,FIND("-",J2095)+1,99)))))),"")</f>
        <v/>
      </c>
      <c r="C2095">
        <f>IF($C$1=0,0,IFERROR(VALUE(SUBSTITUTE(SUBSTITUTE(SUBSTITUTE(INDEX(貼り付け!$A$1:$BZ$3001,2094,$C$1)&amp;"",",",""),"¥",""),"￥","")),0))</f>
        <v/>
      </c>
      <c r="D2095">
        <f>IF($D$1=0,0,IFERROR(VALUE(SUBSTITUTE(SUBSTITUTE(SUBSTITUTE(INDEX(貼り付け!$A$1:$BZ$3001,2094,$D$1)&amp;"",",",""),"¥",""),"￥","")),0))</f>
        <v/>
      </c>
      <c r="E2095">
        <f>IF($E$1=0,0,IFERROR(VALUE(SUBSTITUTE(SUBSTITUTE(SUBSTITUTE(INDEX(貼り付け!$A$1:$BZ$3001,2094,$E$1)&amp;"",",",""),"¥",""),"￥","")),0))</f>
        <v/>
      </c>
      <c r="F2095">
        <f>IF($F$1=0,0,IFERROR(VALUE(SUBSTITUTE(SUBSTITUTE(SUBSTITUTE(INDEX(貼り付け!$A$1:$BZ$3001,2094,$F$1)&amp;"",",",""),"¥",""),"￥","")),0))</f>
        <v/>
      </c>
      <c r="G2095">
        <f>IF(ISNUMBER(B2095),YEAR(B2095),"")</f>
        <v/>
      </c>
      <c r="H2095">
        <f>IF(ISNUMBER(B2095),MONTH(B2095),"")</f>
        <v/>
      </c>
      <c r="I2095">
        <f>IFERROR(IF($B$1=0,"",IF(ISNUMBER(INDEX(貼り付け!$A$1:$BZ$3001,2094,$B$1)),"",SUBSTITUTE(SUBSTITUTE(SUBSTITUTE(SUBSTITUTE(TRIM(LEFT(INDEX(貼り付け!$A$1:$BZ$3001,2094,$B$1)&amp;"",FIND(" ",TRIM(INDEX(貼り付け!$A$1:$BZ$3001,2094,$B$1)&amp;"")&amp;" ")-1)),"/","-"),"年","-"),"月","-"),"日",""))),"")</f>
        <v/>
      </c>
      <c r="J2095">
        <f>IFERROR(MID(I2095,FIND("-",I2095)+1,99),"")</f>
        <v/>
      </c>
    </row>
    <row r="2096">
      <c r="B2096">
        <f>IFERROR(IF($B$1=0,"",IF(INDEX(貼り付け!$A$1:$BZ$3001,2095,$B$1)="","",IF(ISNUMBER(INDEX(貼り付け!$A$1:$BZ$3001,2095,$B$1)),INT(INDEX(貼り付け!$A$1:$BZ$3001,2095,$B$1)),DATE(VALUE(LEFT(I2096,FIND("-",I2096)-1)),VALUE(LEFT(J2096,FIND("-",J2096)-1)),VALUE(MID(J2096,FIND("-",J2096)+1,99)))))),"")</f>
        <v/>
      </c>
      <c r="C2096">
        <f>IF($C$1=0,0,IFERROR(VALUE(SUBSTITUTE(SUBSTITUTE(SUBSTITUTE(INDEX(貼り付け!$A$1:$BZ$3001,2095,$C$1)&amp;"",",",""),"¥",""),"￥","")),0))</f>
        <v/>
      </c>
      <c r="D2096">
        <f>IF($D$1=0,0,IFERROR(VALUE(SUBSTITUTE(SUBSTITUTE(SUBSTITUTE(INDEX(貼り付け!$A$1:$BZ$3001,2095,$D$1)&amp;"",",",""),"¥",""),"￥","")),0))</f>
        <v/>
      </c>
      <c r="E2096">
        <f>IF($E$1=0,0,IFERROR(VALUE(SUBSTITUTE(SUBSTITUTE(SUBSTITUTE(INDEX(貼り付け!$A$1:$BZ$3001,2095,$E$1)&amp;"",",",""),"¥",""),"￥","")),0))</f>
        <v/>
      </c>
      <c r="F2096">
        <f>IF($F$1=0,0,IFERROR(VALUE(SUBSTITUTE(SUBSTITUTE(SUBSTITUTE(INDEX(貼り付け!$A$1:$BZ$3001,2095,$F$1)&amp;"",",",""),"¥",""),"￥","")),0))</f>
        <v/>
      </c>
      <c r="G2096">
        <f>IF(ISNUMBER(B2096),YEAR(B2096),"")</f>
        <v/>
      </c>
      <c r="H2096">
        <f>IF(ISNUMBER(B2096),MONTH(B2096),"")</f>
        <v/>
      </c>
      <c r="I2096">
        <f>IFERROR(IF($B$1=0,"",IF(ISNUMBER(INDEX(貼り付け!$A$1:$BZ$3001,2095,$B$1)),"",SUBSTITUTE(SUBSTITUTE(SUBSTITUTE(SUBSTITUTE(TRIM(LEFT(INDEX(貼り付け!$A$1:$BZ$3001,2095,$B$1)&amp;"",FIND(" ",TRIM(INDEX(貼り付け!$A$1:$BZ$3001,2095,$B$1)&amp;"")&amp;" ")-1)),"/","-"),"年","-"),"月","-"),"日",""))),"")</f>
        <v/>
      </c>
      <c r="J2096">
        <f>IFERROR(MID(I2096,FIND("-",I2096)+1,99),"")</f>
        <v/>
      </c>
    </row>
    <row r="2097">
      <c r="B2097">
        <f>IFERROR(IF($B$1=0,"",IF(INDEX(貼り付け!$A$1:$BZ$3001,2096,$B$1)="","",IF(ISNUMBER(INDEX(貼り付け!$A$1:$BZ$3001,2096,$B$1)),INT(INDEX(貼り付け!$A$1:$BZ$3001,2096,$B$1)),DATE(VALUE(LEFT(I2097,FIND("-",I2097)-1)),VALUE(LEFT(J2097,FIND("-",J2097)-1)),VALUE(MID(J2097,FIND("-",J2097)+1,99)))))),"")</f>
        <v/>
      </c>
      <c r="C2097">
        <f>IF($C$1=0,0,IFERROR(VALUE(SUBSTITUTE(SUBSTITUTE(SUBSTITUTE(INDEX(貼り付け!$A$1:$BZ$3001,2096,$C$1)&amp;"",",",""),"¥",""),"￥","")),0))</f>
        <v/>
      </c>
      <c r="D2097">
        <f>IF($D$1=0,0,IFERROR(VALUE(SUBSTITUTE(SUBSTITUTE(SUBSTITUTE(INDEX(貼り付け!$A$1:$BZ$3001,2096,$D$1)&amp;"",",",""),"¥",""),"￥","")),0))</f>
        <v/>
      </c>
      <c r="E2097">
        <f>IF($E$1=0,0,IFERROR(VALUE(SUBSTITUTE(SUBSTITUTE(SUBSTITUTE(INDEX(貼り付け!$A$1:$BZ$3001,2096,$E$1)&amp;"",",",""),"¥",""),"￥","")),0))</f>
        <v/>
      </c>
      <c r="F2097">
        <f>IF($F$1=0,0,IFERROR(VALUE(SUBSTITUTE(SUBSTITUTE(SUBSTITUTE(INDEX(貼り付け!$A$1:$BZ$3001,2096,$F$1)&amp;"",",",""),"¥",""),"￥","")),0))</f>
        <v/>
      </c>
      <c r="G2097">
        <f>IF(ISNUMBER(B2097),YEAR(B2097),"")</f>
        <v/>
      </c>
      <c r="H2097">
        <f>IF(ISNUMBER(B2097),MONTH(B2097),"")</f>
        <v/>
      </c>
      <c r="I2097">
        <f>IFERROR(IF($B$1=0,"",IF(ISNUMBER(INDEX(貼り付け!$A$1:$BZ$3001,2096,$B$1)),"",SUBSTITUTE(SUBSTITUTE(SUBSTITUTE(SUBSTITUTE(TRIM(LEFT(INDEX(貼り付け!$A$1:$BZ$3001,2096,$B$1)&amp;"",FIND(" ",TRIM(INDEX(貼り付け!$A$1:$BZ$3001,2096,$B$1)&amp;"")&amp;" ")-1)),"/","-"),"年","-"),"月","-"),"日",""))),"")</f>
        <v/>
      </c>
      <c r="J2097">
        <f>IFERROR(MID(I2097,FIND("-",I2097)+1,99),"")</f>
        <v/>
      </c>
    </row>
    <row r="2098">
      <c r="B2098">
        <f>IFERROR(IF($B$1=0,"",IF(INDEX(貼り付け!$A$1:$BZ$3001,2097,$B$1)="","",IF(ISNUMBER(INDEX(貼り付け!$A$1:$BZ$3001,2097,$B$1)),INT(INDEX(貼り付け!$A$1:$BZ$3001,2097,$B$1)),DATE(VALUE(LEFT(I2098,FIND("-",I2098)-1)),VALUE(LEFT(J2098,FIND("-",J2098)-1)),VALUE(MID(J2098,FIND("-",J2098)+1,99)))))),"")</f>
        <v/>
      </c>
      <c r="C2098">
        <f>IF($C$1=0,0,IFERROR(VALUE(SUBSTITUTE(SUBSTITUTE(SUBSTITUTE(INDEX(貼り付け!$A$1:$BZ$3001,2097,$C$1)&amp;"",",",""),"¥",""),"￥","")),0))</f>
        <v/>
      </c>
      <c r="D2098">
        <f>IF($D$1=0,0,IFERROR(VALUE(SUBSTITUTE(SUBSTITUTE(SUBSTITUTE(INDEX(貼り付け!$A$1:$BZ$3001,2097,$D$1)&amp;"",",",""),"¥",""),"￥","")),0))</f>
        <v/>
      </c>
      <c r="E2098">
        <f>IF($E$1=0,0,IFERROR(VALUE(SUBSTITUTE(SUBSTITUTE(SUBSTITUTE(INDEX(貼り付け!$A$1:$BZ$3001,2097,$E$1)&amp;"",",",""),"¥",""),"￥","")),0))</f>
        <v/>
      </c>
      <c r="F2098">
        <f>IF($F$1=0,0,IFERROR(VALUE(SUBSTITUTE(SUBSTITUTE(SUBSTITUTE(INDEX(貼り付け!$A$1:$BZ$3001,2097,$F$1)&amp;"",",",""),"¥",""),"￥","")),0))</f>
        <v/>
      </c>
      <c r="G2098">
        <f>IF(ISNUMBER(B2098),YEAR(B2098),"")</f>
        <v/>
      </c>
      <c r="H2098">
        <f>IF(ISNUMBER(B2098),MONTH(B2098),"")</f>
        <v/>
      </c>
      <c r="I2098">
        <f>IFERROR(IF($B$1=0,"",IF(ISNUMBER(INDEX(貼り付け!$A$1:$BZ$3001,2097,$B$1)),"",SUBSTITUTE(SUBSTITUTE(SUBSTITUTE(SUBSTITUTE(TRIM(LEFT(INDEX(貼り付け!$A$1:$BZ$3001,2097,$B$1)&amp;"",FIND(" ",TRIM(INDEX(貼り付け!$A$1:$BZ$3001,2097,$B$1)&amp;"")&amp;" ")-1)),"/","-"),"年","-"),"月","-"),"日",""))),"")</f>
        <v/>
      </c>
      <c r="J2098">
        <f>IFERROR(MID(I2098,FIND("-",I2098)+1,99),"")</f>
        <v/>
      </c>
    </row>
    <row r="2099">
      <c r="B2099">
        <f>IFERROR(IF($B$1=0,"",IF(INDEX(貼り付け!$A$1:$BZ$3001,2098,$B$1)="","",IF(ISNUMBER(INDEX(貼り付け!$A$1:$BZ$3001,2098,$B$1)),INT(INDEX(貼り付け!$A$1:$BZ$3001,2098,$B$1)),DATE(VALUE(LEFT(I2099,FIND("-",I2099)-1)),VALUE(LEFT(J2099,FIND("-",J2099)-1)),VALUE(MID(J2099,FIND("-",J2099)+1,99)))))),"")</f>
        <v/>
      </c>
      <c r="C2099">
        <f>IF($C$1=0,0,IFERROR(VALUE(SUBSTITUTE(SUBSTITUTE(SUBSTITUTE(INDEX(貼り付け!$A$1:$BZ$3001,2098,$C$1)&amp;"",",",""),"¥",""),"￥","")),0))</f>
        <v/>
      </c>
      <c r="D2099">
        <f>IF($D$1=0,0,IFERROR(VALUE(SUBSTITUTE(SUBSTITUTE(SUBSTITUTE(INDEX(貼り付け!$A$1:$BZ$3001,2098,$D$1)&amp;"",",",""),"¥",""),"￥","")),0))</f>
        <v/>
      </c>
      <c r="E2099">
        <f>IF($E$1=0,0,IFERROR(VALUE(SUBSTITUTE(SUBSTITUTE(SUBSTITUTE(INDEX(貼り付け!$A$1:$BZ$3001,2098,$E$1)&amp;"",",",""),"¥",""),"￥","")),0))</f>
        <v/>
      </c>
      <c r="F2099">
        <f>IF($F$1=0,0,IFERROR(VALUE(SUBSTITUTE(SUBSTITUTE(SUBSTITUTE(INDEX(貼り付け!$A$1:$BZ$3001,2098,$F$1)&amp;"",",",""),"¥",""),"￥","")),0))</f>
        <v/>
      </c>
      <c r="G2099">
        <f>IF(ISNUMBER(B2099),YEAR(B2099),"")</f>
        <v/>
      </c>
      <c r="H2099">
        <f>IF(ISNUMBER(B2099),MONTH(B2099),"")</f>
        <v/>
      </c>
      <c r="I2099">
        <f>IFERROR(IF($B$1=0,"",IF(ISNUMBER(INDEX(貼り付け!$A$1:$BZ$3001,2098,$B$1)),"",SUBSTITUTE(SUBSTITUTE(SUBSTITUTE(SUBSTITUTE(TRIM(LEFT(INDEX(貼り付け!$A$1:$BZ$3001,2098,$B$1)&amp;"",FIND(" ",TRIM(INDEX(貼り付け!$A$1:$BZ$3001,2098,$B$1)&amp;"")&amp;" ")-1)),"/","-"),"年","-"),"月","-"),"日",""))),"")</f>
        <v/>
      </c>
      <c r="J2099">
        <f>IFERROR(MID(I2099,FIND("-",I2099)+1,99),"")</f>
        <v/>
      </c>
    </row>
    <row r="2100">
      <c r="B2100">
        <f>IFERROR(IF($B$1=0,"",IF(INDEX(貼り付け!$A$1:$BZ$3001,2099,$B$1)="","",IF(ISNUMBER(INDEX(貼り付け!$A$1:$BZ$3001,2099,$B$1)),INT(INDEX(貼り付け!$A$1:$BZ$3001,2099,$B$1)),DATE(VALUE(LEFT(I2100,FIND("-",I2100)-1)),VALUE(LEFT(J2100,FIND("-",J2100)-1)),VALUE(MID(J2100,FIND("-",J2100)+1,99)))))),"")</f>
        <v/>
      </c>
      <c r="C2100">
        <f>IF($C$1=0,0,IFERROR(VALUE(SUBSTITUTE(SUBSTITUTE(SUBSTITUTE(INDEX(貼り付け!$A$1:$BZ$3001,2099,$C$1)&amp;"",",",""),"¥",""),"￥","")),0))</f>
        <v/>
      </c>
      <c r="D2100">
        <f>IF($D$1=0,0,IFERROR(VALUE(SUBSTITUTE(SUBSTITUTE(SUBSTITUTE(INDEX(貼り付け!$A$1:$BZ$3001,2099,$D$1)&amp;"",",",""),"¥",""),"￥","")),0))</f>
        <v/>
      </c>
      <c r="E2100">
        <f>IF($E$1=0,0,IFERROR(VALUE(SUBSTITUTE(SUBSTITUTE(SUBSTITUTE(INDEX(貼り付け!$A$1:$BZ$3001,2099,$E$1)&amp;"",",",""),"¥",""),"￥","")),0))</f>
        <v/>
      </c>
      <c r="F2100">
        <f>IF($F$1=0,0,IFERROR(VALUE(SUBSTITUTE(SUBSTITUTE(SUBSTITUTE(INDEX(貼り付け!$A$1:$BZ$3001,2099,$F$1)&amp;"",",",""),"¥",""),"￥","")),0))</f>
        <v/>
      </c>
      <c r="G2100">
        <f>IF(ISNUMBER(B2100),YEAR(B2100),"")</f>
        <v/>
      </c>
      <c r="H2100">
        <f>IF(ISNUMBER(B2100),MONTH(B2100),"")</f>
        <v/>
      </c>
      <c r="I2100">
        <f>IFERROR(IF($B$1=0,"",IF(ISNUMBER(INDEX(貼り付け!$A$1:$BZ$3001,2099,$B$1)),"",SUBSTITUTE(SUBSTITUTE(SUBSTITUTE(SUBSTITUTE(TRIM(LEFT(INDEX(貼り付け!$A$1:$BZ$3001,2099,$B$1)&amp;"",FIND(" ",TRIM(INDEX(貼り付け!$A$1:$BZ$3001,2099,$B$1)&amp;"")&amp;" ")-1)),"/","-"),"年","-"),"月","-"),"日",""))),"")</f>
        <v/>
      </c>
      <c r="J2100">
        <f>IFERROR(MID(I2100,FIND("-",I2100)+1,99),"")</f>
        <v/>
      </c>
    </row>
    <row r="2101">
      <c r="B2101">
        <f>IFERROR(IF($B$1=0,"",IF(INDEX(貼り付け!$A$1:$BZ$3001,2100,$B$1)="","",IF(ISNUMBER(INDEX(貼り付け!$A$1:$BZ$3001,2100,$B$1)),INT(INDEX(貼り付け!$A$1:$BZ$3001,2100,$B$1)),DATE(VALUE(LEFT(I2101,FIND("-",I2101)-1)),VALUE(LEFT(J2101,FIND("-",J2101)-1)),VALUE(MID(J2101,FIND("-",J2101)+1,99)))))),"")</f>
        <v/>
      </c>
      <c r="C2101">
        <f>IF($C$1=0,0,IFERROR(VALUE(SUBSTITUTE(SUBSTITUTE(SUBSTITUTE(INDEX(貼り付け!$A$1:$BZ$3001,2100,$C$1)&amp;"",",",""),"¥",""),"￥","")),0))</f>
        <v/>
      </c>
      <c r="D2101">
        <f>IF($D$1=0,0,IFERROR(VALUE(SUBSTITUTE(SUBSTITUTE(SUBSTITUTE(INDEX(貼り付け!$A$1:$BZ$3001,2100,$D$1)&amp;"",",",""),"¥",""),"￥","")),0))</f>
        <v/>
      </c>
      <c r="E2101">
        <f>IF($E$1=0,0,IFERROR(VALUE(SUBSTITUTE(SUBSTITUTE(SUBSTITUTE(INDEX(貼り付け!$A$1:$BZ$3001,2100,$E$1)&amp;"",",",""),"¥",""),"￥","")),0))</f>
        <v/>
      </c>
      <c r="F2101">
        <f>IF($F$1=0,0,IFERROR(VALUE(SUBSTITUTE(SUBSTITUTE(SUBSTITUTE(INDEX(貼り付け!$A$1:$BZ$3001,2100,$F$1)&amp;"",",",""),"¥",""),"￥","")),0))</f>
        <v/>
      </c>
      <c r="G2101">
        <f>IF(ISNUMBER(B2101),YEAR(B2101),"")</f>
        <v/>
      </c>
      <c r="H2101">
        <f>IF(ISNUMBER(B2101),MONTH(B2101),"")</f>
        <v/>
      </c>
      <c r="I2101">
        <f>IFERROR(IF($B$1=0,"",IF(ISNUMBER(INDEX(貼り付け!$A$1:$BZ$3001,2100,$B$1)),"",SUBSTITUTE(SUBSTITUTE(SUBSTITUTE(SUBSTITUTE(TRIM(LEFT(INDEX(貼り付け!$A$1:$BZ$3001,2100,$B$1)&amp;"",FIND(" ",TRIM(INDEX(貼り付け!$A$1:$BZ$3001,2100,$B$1)&amp;"")&amp;" ")-1)),"/","-"),"年","-"),"月","-"),"日",""))),"")</f>
        <v/>
      </c>
      <c r="J2101">
        <f>IFERROR(MID(I2101,FIND("-",I2101)+1,99),"")</f>
        <v/>
      </c>
    </row>
    <row r="2102">
      <c r="B2102">
        <f>IFERROR(IF($B$1=0,"",IF(INDEX(貼り付け!$A$1:$BZ$3001,2101,$B$1)="","",IF(ISNUMBER(INDEX(貼り付け!$A$1:$BZ$3001,2101,$B$1)),INT(INDEX(貼り付け!$A$1:$BZ$3001,2101,$B$1)),DATE(VALUE(LEFT(I2102,FIND("-",I2102)-1)),VALUE(LEFT(J2102,FIND("-",J2102)-1)),VALUE(MID(J2102,FIND("-",J2102)+1,99)))))),"")</f>
        <v/>
      </c>
      <c r="C2102">
        <f>IF($C$1=0,0,IFERROR(VALUE(SUBSTITUTE(SUBSTITUTE(SUBSTITUTE(INDEX(貼り付け!$A$1:$BZ$3001,2101,$C$1)&amp;"",",",""),"¥",""),"￥","")),0))</f>
        <v/>
      </c>
      <c r="D2102">
        <f>IF($D$1=0,0,IFERROR(VALUE(SUBSTITUTE(SUBSTITUTE(SUBSTITUTE(INDEX(貼り付け!$A$1:$BZ$3001,2101,$D$1)&amp;"",",",""),"¥",""),"￥","")),0))</f>
        <v/>
      </c>
      <c r="E2102">
        <f>IF($E$1=0,0,IFERROR(VALUE(SUBSTITUTE(SUBSTITUTE(SUBSTITUTE(INDEX(貼り付け!$A$1:$BZ$3001,2101,$E$1)&amp;"",",",""),"¥",""),"￥","")),0))</f>
        <v/>
      </c>
      <c r="F2102">
        <f>IF($F$1=0,0,IFERROR(VALUE(SUBSTITUTE(SUBSTITUTE(SUBSTITUTE(INDEX(貼り付け!$A$1:$BZ$3001,2101,$F$1)&amp;"",",",""),"¥",""),"￥","")),0))</f>
        <v/>
      </c>
      <c r="G2102">
        <f>IF(ISNUMBER(B2102),YEAR(B2102),"")</f>
        <v/>
      </c>
      <c r="H2102">
        <f>IF(ISNUMBER(B2102),MONTH(B2102),"")</f>
        <v/>
      </c>
      <c r="I2102">
        <f>IFERROR(IF($B$1=0,"",IF(ISNUMBER(INDEX(貼り付け!$A$1:$BZ$3001,2101,$B$1)),"",SUBSTITUTE(SUBSTITUTE(SUBSTITUTE(SUBSTITUTE(TRIM(LEFT(INDEX(貼り付け!$A$1:$BZ$3001,2101,$B$1)&amp;"",FIND(" ",TRIM(INDEX(貼り付け!$A$1:$BZ$3001,2101,$B$1)&amp;"")&amp;" ")-1)),"/","-"),"年","-"),"月","-"),"日",""))),"")</f>
        <v/>
      </c>
      <c r="J2102">
        <f>IFERROR(MID(I2102,FIND("-",I2102)+1,99),"")</f>
        <v/>
      </c>
    </row>
    <row r="2103">
      <c r="B2103">
        <f>IFERROR(IF($B$1=0,"",IF(INDEX(貼り付け!$A$1:$BZ$3001,2102,$B$1)="","",IF(ISNUMBER(INDEX(貼り付け!$A$1:$BZ$3001,2102,$B$1)),INT(INDEX(貼り付け!$A$1:$BZ$3001,2102,$B$1)),DATE(VALUE(LEFT(I2103,FIND("-",I2103)-1)),VALUE(LEFT(J2103,FIND("-",J2103)-1)),VALUE(MID(J2103,FIND("-",J2103)+1,99)))))),"")</f>
        <v/>
      </c>
      <c r="C2103">
        <f>IF($C$1=0,0,IFERROR(VALUE(SUBSTITUTE(SUBSTITUTE(SUBSTITUTE(INDEX(貼り付け!$A$1:$BZ$3001,2102,$C$1)&amp;"",",",""),"¥",""),"￥","")),0))</f>
        <v/>
      </c>
      <c r="D2103">
        <f>IF($D$1=0,0,IFERROR(VALUE(SUBSTITUTE(SUBSTITUTE(SUBSTITUTE(INDEX(貼り付け!$A$1:$BZ$3001,2102,$D$1)&amp;"",",",""),"¥",""),"￥","")),0))</f>
        <v/>
      </c>
      <c r="E2103">
        <f>IF($E$1=0,0,IFERROR(VALUE(SUBSTITUTE(SUBSTITUTE(SUBSTITUTE(INDEX(貼り付け!$A$1:$BZ$3001,2102,$E$1)&amp;"",",",""),"¥",""),"￥","")),0))</f>
        <v/>
      </c>
      <c r="F2103">
        <f>IF($F$1=0,0,IFERROR(VALUE(SUBSTITUTE(SUBSTITUTE(SUBSTITUTE(INDEX(貼り付け!$A$1:$BZ$3001,2102,$F$1)&amp;"",",",""),"¥",""),"￥","")),0))</f>
        <v/>
      </c>
      <c r="G2103">
        <f>IF(ISNUMBER(B2103),YEAR(B2103),"")</f>
        <v/>
      </c>
      <c r="H2103">
        <f>IF(ISNUMBER(B2103),MONTH(B2103),"")</f>
        <v/>
      </c>
      <c r="I2103">
        <f>IFERROR(IF($B$1=0,"",IF(ISNUMBER(INDEX(貼り付け!$A$1:$BZ$3001,2102,$B$1)),"",SUBSTITUTE(SUBSTITUTE(SUBSTITUTE(SUBSTITUTE(TRIM(LEFT(INDEX(貼り付け!$A$1:$BZ$3001,2102,$B$1)&amp;"",FIND(" ",TRIM(INDEX(貼り付け!$A$1:$BZ$3001,2102,$B$1)&amp;"")&amp;" ")-1)),"/","-"),"年","-"),"月","-"),"日",""))),"")</f>
        <v/>
      </c>
      <c r="J2103">
        <f>IFERROR(MID(I2103,FIND("-",I2103)+1,99),"")</f>
        <v/>
      </c>
    </row>
    <row r="2104">
      <c r="B2104">
        <f>IFERROR(IF($B$1=0,"",IF(INDEX(貼り付け!$A$1:$BZ$3001,2103,$B$1)="","",IF(ISNUMBER(INDEX(貼り付け!$A$1:$BZ$3001,2103,$B$1)),INT(INDEX(貼り付け!$A$1:$BZ$3001,2103,$B$1)),DATE(VALUE(LEFT(I2104,FIND("-",I2104)-1)),VALUE(LEFT(J2104,FIND("-",J2104)-1)),VALUE(MID(J2104,FIND("-",J2104)+1,99)))))),"")</f>
        <v/>
      </c>
      <c r="C2104">
        <f>IF($C$1=0,0,IFERROR(VALUE(SUBSTITUTE(SUBSTITUTE(SUBSTITUTE(INDEX(貼り付け!$A$1:$BZ$3001,2103,$C$1)&amp;"",",",""),"¥",""),"￥","")),0))</f>
        <v/>
      </c>
      <c r="D2104">
        <f>IF($D$1=0,0,IFERROR(VALUE(SUBSTITUTE(SUBSTITUTE(SUBSTITUTE(INDEX(貼り付け!$A$1:$BZ$3001,2103,$D$1)&amp;"",",",""),"¥",""),"￥","")),0))</f>
        <v/>
      </c>
      <c r="E2104">
        <f>IF($E$1=0,0,IFERROR(VALUE(SUBSTITUTE(SUBSTITUTE(SUBSTITUTE(INDEX(貼り付け!$A$1:$BZ$3001,2103,$E$1)&amp;"",",",""),"¥",""),"￥","")),0))</f>
        <v/>
      </c>
      <c r="F2104">
        <f>IF($F$1=0,0,IFERROR(VALUE(SUBSTITUTE(SUBSTITUTE(SUBSTITUTE(INDEX(貼り付け!$A$1:$BZ$3001,2103,$F$1)&amp;"",",",""),"¥",""),"￥","")),0))</f>
        <v/>
      </c>
      <c r="G2104">
        <f>IF(ISNUMBER(B2104),YEAR(B2104),"")</f>
        <v/>
      </c>
      <c r="H2104">
        <f>IF(ISNUMBER(B2104),MONTH(B2104),"")</f>
        <v/>
      </c>
      <c r="I2104">
        <f>IFERROR(IF($B$1=0,"",IF(ISNUMBER(INDEX(貼り付け!$A$1:$BZ$3001,2103,$B$1)),"",SUBSTITUTE(SUBSTITUTE(SUBSTITUTE(SUBSTITUTE(TRIM(LEFT(INDEX(貼り付け!$A$1:$BZ$3001,2103,$B$1)&amp;"",FIND(" ",TRIM(INDEX(貼り付け!$A$1:$BZ$3001,2103,$B$1)&amp;"")&amp;" ")-1)),"/","-"),"年","-"),"月","-"),"日",""))),"")</f>
        <v/>
      </c>
      <c r="J2104">
        <f>IFERROR(MID(I2104,FIND("-",I2104)+1,99),"")</f>
        <v/>
      </c>
    </row>
    <row r="2105">
      <c r="B2105">
        <f>IFERROR(IF($B$1=0,"",IF(INDEX(貼り付け!$A$1:$BZ$3001,2104,$B$1)="","",IF(ISNUMBER(INDEX(貼り付け!$A$1:$BZ$3001,2104,$B$1)),INT(INDEX(貼り付け!$A$1:$BZ$3001,2104,$B$1)),DATE(VALUE(LEFT(I2105,FIND("-",I2105)-1)),VALUE(LEFT(J2105,FIND("-",J2105)-1)),VALUE(MID(J2105,FIND("-",J2105)+1,99)))))),"")</f>
        <v/>
      </c>
      <c r="C2105">
        <f>IF($C$1=0,0,IFERROR(VALUE(SUBSTITUTE(SUBSTITUTE(SUBSTITUTE(INDEX(貼り付け!$A$1:$BZ$3001,2104,$C$1)&amp;"",",",""),"¥",""),"￥","")),0))</f>
        <v/>
      </c>
      <c r="D2105">
        <f>IF($D$1=0,0,IFERROR(VALUE(SUBSTITUTE(SUBSTITUTE(SUBSTITUTE(INDEX(貼り付け!$A$1:$BZ$3001,2104,$D$1)&amp;"",",",""),"¥",""),"￥","")),0))</f>
        <v/>
      </c>
      <c r="E2105">
        <f>IF($E$1=0,0,IFERROR(VALUE(SUBSTITUTE(SUBSTITUTE(SUBSTITUTE(INDEX(貼り付け!$A$1:$BZ$3001,2104,$E$1)&amp;"",",",""),"¥",""),"￥","")),0))</f>
        <v/>
      </c>
      <c r="F2105">
        <f>IF($F$1=0,0,IFERROR(VALUE(SUBSTITUTE(SUBSTITUTE(SUBSTITUTE(INDEX(貼り付け!$A$1:$BZ$3001,2104,$F$1)&amp;"",",",""),"¥",""),"￥","")),0))</f>
        <v/>
      </c>
      <c r="G2105">
        <f>IF(ISNUMBER(B2105),YEAR(B2105),"")</f>
        <v/>
      </c>
      <c r="H2105">
        <f>IF(ISNUMBER(B2105),MONTH(B2105),"")</f>
        <v/>
      </c>
      <c r="I2105">
        <f>IFERROR(IF($B$1=0,"",IF(ISNUMBER(INDEX(貼り付け!$A$1:$BZ$3001,2104,$B$1)),"",SUBSTITUTE(SUBSTITUTE(SUBSTITUTE(SUBSTITUTE(TRIM(LEFT(INDEX(貼り付け!$A$1:$BZ$3001,2104,$B$1)&amp;"",FIND(" ",TRIM(INDEX(貼り付け!$A$1:$BZ$3001,2104,$B$1)&amp;"")&amp;" ")-1)),"/","-"),"年","-"),"月","-"),"日",""))),"")</f>
        <v/>
      </c>
      <c r="J2105">
        <f>IFERROR(MID(I2105,FIND("-",I2105)+1,99),"")</f>
        <v/>
      </c>
    </row>
    <row r="2106">
      <c r="B2106">
        <f>IFERROR(IF($B$1=0,"",IF(INDEX(貼り付け!$A$1:$BZ$3001,2105,$B$1)="","",IF(ISNUMBER(INDEX(貼り付け!$A$1:$BZ$3001,2105,$B$1)),INT(INDEX(貼り付け!$A$1:$BZ$3001,2105,$B$1)),DATE(VALUE(LEFT(I2106,FIND("-",I2106)-1)),VALUE(LEFT(J2106,FIND("-",J2106)-1)),VALUE(MID(J2106,FIND("-",J2106)+1,99)))))),"")</f>
        <v/>
      </c>
      <c r="C2106">
        <f>IF($C$1=0,0,IFERROR(VALUE(SUBSTITUTE(SUBSTITUTE(SUBSTITUTE(INDEX(貼り付け!$A$1:$BZ$3001,2105,$C$1)&amp;"",",",""),"¥",""),"￥","")),0))</f>
        <v/>
      </c>
      <c r="D2106">
        <f>IF($D$1=0,0,IFERROR(VALUE(SUBSTITUTE(SUBSTITUTE(SUBSTITUTE(INDEX(貼り付け!$A$1:$BZ$3001,2105,$D$1)&amp;"",",",""),"¥",""),"￥","")),0))</f>
        <v/>
      </c>
      <c r="E2106">
        <f>IF($E$1=0,0,IFERROR(VALUE(SUBSTITUTE(SUBSTITUTE(SUBSTITUTE(INDEX(貼り付け!$A$1:$BZ$3001,2105,$E$1)&amp;"",",",""),"¥",""),"￥","")),0))</f>
        <v/>
      </c>
      <c r="F2106">
        <f>IF($F$1=0,0,IFERROR(VALUE(SUBSTITUTE(SUBSTITUTE(SUBSTITUTE(INDEX(貼り付け!$A$1:$BZ$3001,2105,$F$1)&amp;"",",",""),"¥",""),"￥","")),0))</f>
        <v/>
      </c>
      <c r="G2106">
        <f>IF(ISNUMBER(B2106),YEAR(B2106),"")</f>
        <v/>
      </c>
      <c r="H2106">
        <f>IF(ISNUMBER(B2106),MONTH(B2106),"")</f>
        <v/>
      </c>
      <c r="I2106">
        <f>IFERROR(IF($B$1=0,"",IF(ISNUMBER(INDEX(貼り付け!$A$1:$BZ$3001,2105,$B$1)),"",SUBSTITUTE(SUBSTITUTE(SUBSTITUTE(SUBSTITUTE(TRIM(LEFT(INDEX(貼り付け!$A$1:$BZ$3001,2105,$B$1)&amp;"",FIND(" ",TRIM(INDEX(貼り付け!$A$1:$BZ$3001,2105,$B$1)&amp;"")&amp;" ")-1)),"/","-"),"年","-"),"月","-"),"日",""))),"")</f>
        <v/>
      </c>
      <c r="J2106">
        <f>IFERROR(MID(I2106,FIND("-",I2106)+1,99),"")</f>
        <v/>
      </c>
    </row>
    <row r="2107">
      <c r="B2107">
        <f>IFERROR(IF($B$1=0,"",IF(INDEX(貼り付け!$A$1:$BZ$3001,2106,$B$1)="","",IF(ISNUMBER(INDEX(貼り付け!$A$1:$BZ$3001,2106,$B$1)),INT(INDEX(貼り付け!$A$1:$BZ$3001,2106,$B$1)),DATE(VALUE(LEFT(I2107,FIND("-",I2107)-1)),VALUE(LEFT(J2107,FIND("-",J2107)-1)),VALUE(MID(J2107,FIND("-",J2107)+1,99)))))),"")</f>
        <v/>
      </c>
      <c r="C2107">
        <f>IF($C$1=0,0,IFERROR(VALUE(SUBSTITUTE(SUBSTITUTE(SUBSTITUTE(INDEX(貼り付け!$A$1:$BZ$3001,2106,$C$1)&amp;"",",",""),"¥",""),"￥","")),0))</f>
        <v/>
      </c>
      <c r="D2107">
        <f>IF($D$1=0,0,IFERROR(VALUE(SUBSTITUTE(SUBSTITUTE(SUBSTITUTE(INDEX(貼り付け!$A$1:$BZ$3001,2106,$D$1)&amp;"",",",""),"¥",""),"￥","")),0))</f>
        <v/>
      </c>
      <c r="E2107">
        <f>IF($E$1=0,0,IFERROR(VALUE(SUBSTITUTE(SUBSTITUTE(SUBSTITUTE(INDEX(貼り付け!$A$1:$BZ$3001,2106,$E$1)&amp;"",",",""),"¥",""),"￥","")),0))</f>
        <v/>
      </c>
      <c r="F2107">
        <f>IF($F$1=0,0,IFERROR(VALUE(SUBSTITUTE(SUBSTITUTE(SUBSTITUTE(INDEX(貼り付け!$A$1:$BZ$3001,2106,$F$1)&amp;"",",",""),"¥",""),"￥","")),0))</f>
        <v/>
      </c>
      <c r="G2107">
        <f>IF(ISNUMBER(B2107),YEAR(B2107),"")</f>
        <v/>
      </c>
      <c r="H2107">
        <f>IF(ISNUMBER(B2107),MONTH(B2107),"")</f>
        <v/>
      </c>
      <c r="I2107">
        <f>IFERROR(IF($B$1=0,"",IF(ISNUMBER(INDEX(貼り付け!$A$1:$BZ$3001,2106,$B$1)),"",SUBSTITUTE(SUBSTITUTE(SUBSTITUTE(SUBSTITUTE(TRIM(LEFT(INDEX(貼り付け!$A$1:$BZ$3001,2106,$B$1)&amp;"",FIND(" ",TRIM(INDEX(貼り付け!$A$1:$BZ$3001,2106,$B$1)&amp;"")&amp;" ")-1)),"/","-"),"年","-"),"月","-"),"日",""))),"")</f>
        <v/>
      </c>
      <c r="J2107">
        <f>IFERROR(MID(I2107,FIND("-",I2107)+1,99),"")</f>
        <v/>
      </c>
    </row>
    <row r="2108">
      <c r="B2108">
        <f>IFERROR(IF($B$1=0,"",IF(INDEX(貼り付け!$A$1:$BZ$3001,2107,$B$1)="","",IF(ISNUMBER(INDEX(貼り付け!$A$1:$BZ$3001,2107,$B$1)),INT(INDEX(貼り付け!$A$1:$BZ$3001,2107,$B$1)),DATE(VALUE(LEFT(I2108,FIND("-",I2108)-1)),VALUE(LEFT(J2108,FIND("-",J2108)-1)),VALUE(MID(J2108,FIND("-",J2108)+1,99)))))),"")</f>
        <v/>
      </c>
      <c r="C2108">
        <f>IF($C$1=0,0,IFERROR(VALUE(SUBSTITUTE(SUBSTITUTE(SUBSTITUTE(INDEX(貼り付け!$A$1:$BZ$3001,2107,$C$1)&amp;"",",",""),"¥",""),"￥","")),0))</f>
        <v/>
      </c>
      <c r="D2108">
        <f>IF($D$1=0,0,IFERROR(VALUE(SUBSTITUTE(SUBSTITUTE(SUBSTITUTE(INDEX(貼り付け!$A$1:$BZ$3001,2107,$D$1)&amp;"",",",""),"¥",""),"￥","")),0))</f>
        <v/>
      </c>
      <c r="E2108">
        <f>IF($E$1=0,0,IFERROR(VALUE(SUBSTITUTE(SUBSTITUTE(SUBSTITUTE(INDEX(貼り付け!$A$1:$BZ$3001,2107,$E$1)&amp;"",",",""),"¥",""),"￥","")),0))</f>
        <v/>
      </c>
      <c r="F2108">
        <f>IF($F$1=0,0,IFERROR(VALUE(SUBSTITUTE(SUBSTITUTE(SUBSTITUTE(INDEX(貼り付け!$A$1:$BZ$3001,2107,$F$1)&amp;"",",",""),"¥",""),"￥","")),0))</f>
        <v/>
      </c>
      <c r="G2108">
        <f>IF(ISNUMBER(B2108),YEAR(B2108),"")</f>
        <v/>
      </c>
      <c r="H2108">
        <f>IF(ISNUMBER(B2108),MONTH(B2108),"")</f>
        <v/>
      </c>
      <c r="I2108">
        <f>IFERROR(IF($B$1=0,"",IF(ISNUMBER(INDEX(貼り付け!$A$1:$BZ$3001,2107,$B$1)),"",SUBSTITUTE(SUBSTITUTE(SUBSTITUTE(SUBSTITUTE(TRIM(LEFT(INDEX(貼り付け!$A$1:$BZ$3001,2107,$B$1)&amp;"",FIND(" ",TRIM(INDEX(貼り付け!$A$1:$BZ$3001,2107,$B$1)&amp;"")&amp;" ")-1)),"/","-"),"年","-"),"月","-"),"日",""))),"")</f>
        <v/>
      </c>
      <c r="J2108">
        <f>IFERROR(MID(I2108,FIND("-",I2108)+1,99),"")</f>
        <v/>
      </c>
    </row>
    <row r="2109">
      <c r="B2109">
        <f>IFERROR(IF($B$1=0,"",IF(INDEX(貼り付け!$A$1:$BZ$3001,2108,$B$1)="","",IF(ISNUMBER(INDEX(貼り付け!$A$1:$BZ$3001,2108,$B$1)),INT(INDEX(貼り付け!$A$1:$BZ$3001,2108,$B$1)),DATE(VALUE(LEFT(I2109,FIND("-",I2109)-1)),VALUE(LEFT(J2109,FIND("-",J2109)-1)),VALUE(MID(J2109,FIND("-",J2109)+1,99)))))),"")</f>
        <v/>
      </c>
      <c r="C2109">
        <f>IF($C$1=0,0,IFERROR(VALUE(SUBSTITUTE(SUBSTITUTE(SUBSTITUTE(INDEX(貼り付け!$A$1:$BZ$3001,2108,$C$1)&amp;"",",",""),"¥",""),"￥","")),0))</f>
        <v/>
      </c>
      <c r="D2109">
        <f>IF($D$1=0,0,IFERROR(VALUE(SUBSTITUTE(SUBSTITUTE(SUBSTITUTE(INDEX(貼り付け!$A$1:$BZ$3001,2108,$D$1)&amp;"",",",""),"¥",""),"￥","")),0))</f>
        <v/>
      </c>
      <c r="E2109">
        <f>IF($E$1=0,0,IFERROR(VALUE(SUBSTITUTE(SUBSTITUTE(SUBSTITUTE(INDEX(貼り付け!$A$1:$BZ$3001,2108,$E$1)&amp;"",",",""),"¥",""),"￥","")),0))</f>
        <v/>
      </c>
      <c r="F2109">
        <f>IF($F$1=0,0,IFERROR(VALUE(SUBSTITUTE(SUBSTITUTE(SUBSTITUTE(INDEX(貼り付け!$A$1:$BZ$3001,2108,$F$1)&amp;"",",",""),"¥",""),"￥","")),0))</f>
        <v/>
      </c>
      <c r="G2109">
        <f>IF(ISNUMBER(B2109),YEAR(B2109),"")</f>
        <v/>
      </c>
      <c r="H2109">
        <f>IF(ISNUMBER(B2109),MONTH(B2109),"")</f>
        <v/>
      </c>
      <c r="I2109">
        <f>IFERROR(IF($B$1=0,"",IF(ISNUMBER(INDEX(貼り付け!$A$1:$BZ$3001,2108,$B$1)),"",SUBSTITUTE(SUBSTITUTE(SUBSTITUTE(SUBSTITUTE(TRIM(LEFT(INDEX(貼り付け!$A$1:$BZ$3001,2108,$B$1)&amp;"",FIND(" ",TRIM(INDEX(貼り付け!$A$1:$BZ$3001,2108,$B$1)&amp;"")&amp;" ")-1)),"/","-"),"年","-"),"月","-"),"日",""))),"")</f>
        <v/>
      </c>
      <c r="J2109">
        <f>IFERROR(MID(I2109,FIND("-",I2109)+1,99),"")</f>
        <v/>
      </c>
    </row>
    <row r="2110">
      <c r="B2110">
        <f>IFERROR(IF($B$1=0,"",IF(INDEX(貼り付け!$A$1:$BZ$3001,2109,$B$1)="","",IF(ISNUMBER(INDEX(貼り付け!$A$1:$BZ$3001,2109,$B$1)),INT(INDEX(貼り付け!$A$1:$BZ$3001,2109,$B$1)),DATE(VALUE(LEFT(I2110,FIND("-",I2110)-1)),VALUE(LEFT(J2110,FIND("-",J2110)-1)),VALUE(MID(J2110,FIND("-",J2110)+1,99)))))),"")</f>
        <v/>
      </c>
      <c r="C2110">
        <f>IF($C$1=0,0,IFERROR(VALUE(SUBSTITUTE(SUBSTITUTE(SUBSTITUTE(INDEX(貼り付け!$A$1:$BZ$3001,2109,$C$1)&amp;"",",",""),"¥",""),"￥","")),0))</f>
        <v/>
      </c>
      <c r="D2110">
        <f>IF($D$1=0,0,IFERROR(VALUE(SUBSTITUTE(SUBSTITUTE(SUBSTITUTE(INDEX(貼り付け!$A$1:$BZ$3001,2109,$D$1)&amp;"",",",""),"¥",""),"￥","")),0))</f>
        <v/>
      </c>
      <c r="E2110">
        <f>IF($E$1=0,0,IFERROR(VALUE(SUBSTITUTE(SUBSTITUTE(SUBSTITUTE(INDEX(貼り付け!$A$1:$BZ$3001,2109,$E$1)&amp;"",",",""),"¥",""),"￥","")),0))</f>
        <v/>
      </c>
      <c r="F2110">
        <f>IF($F$1=0,0,IFERROR(VALUE(SUBSTITUTE(SUBSTITUTE(SUBSTITUTE(INDEX(貼り付け!$A$1:$BZ$3001,2109,$F$1)&amp;"",",",""),"¥",""),"￥","")),0))</f>
        <v/>
      </c>
      <c r="G2110">
        <f>IF(ISNUMBER(B2110),YEAR(B2110),"")</f>
        <v/>
      </c>
      <c r="H2110">
        <f>IF(ISNUMBER(B2110),MONTH(B2110),"")</f>
        <v/>
      </c>
      <c r="I2110">
        <f>IFERROR(IF($B$1=0,"",IF(ISNUMBER(INDEX(貼り付け!$A$1:$BZ$3001,2109,$B$1)),"",SUBSTITUTE(SUBSTITUTE(SUBSTITUTE(SUBSTITUTE(TRIM(LEFT(INDEX(貼り付け!$A$1:$BZ$3001,2109,$B$1)&amp;"",FIND(" ",TRIM(INDEX(貼り付け!$A$1:$BZ$3001,2109,$B$1)&amp;"")&amp;" ")-1)),"/","-"),"年","-"),"月","-"),"日",""))),"")</f>
        <v/>
      </c>
      <c r="J2110">
        <f>IFERROR(MID(I2110,FIND("-",I2110)+1,99),"")</f>
        <v/>
      </c>
    </row>
    <row r="2111">
      <c r="B2111">
        <f>IFERROR(IF($B$1=0,"",IF(INDEX(貼り付け!$A$1:$BZ$3001,2110,$B$1)="","",IF(ISNUMBER(INDEX(貼り付け!$A$1:$BZ$3001,2110,$B$1)),INT(INDEX(貼り付け!$A$1:$BZ$3001,2110,$B$1)),DATE(VALUE(LEFT(I2111,FIND("-",I2111)-1)),VALUE(LEFT(J2111,FIND("-",J2111)-1)),VALUE(MID(J2111,FIND("-",J2111)+1,99)))))),"")</f>
        <v/>
      </c>
      <c r="C2111">
        <f>IF($C$1=0,0,IFERROR(VALUE(SUBSTITUTE(SUBSTITUTE(SUBSTITUTE(INDEX(貼り付け!$A$1:$BZ$3001,2110,$C$1)&amp;"",",",""),"¥",""),"￥","")),0))</f>
        <v/>
      </c>
      <c r="D2111">
        <f>IF($D$1=0,0,IFERROR(VALUE(SUBSTITUTE(SUBSTITUTE(SUBSTITUTE(INDEX(貼り付け!$A$1:$BZ$3001,2110,$D$1)&amp;"",",",""),"¥",""),"￥","")),0))</f>
        <v/>
      </c>
      <c r="E2111">
        <f>IF($E$1=0,0,IFERROR(VALUE(SUBSTITUTE(SUBSTITUTE(SUBSTITUTE(INDEX(貼り付け!$A$1:$BZ$3001,2110,$E$1)&amp;"",",",""),"¥",""),"￥","")),0))</f>
        <v/>
      </c>
      <c r="F2111">
        <f>IF($F$1=0,0,IFERROR(VALUE(SUBSTITUTE(SUBSTITUTE(SUBSTITUTE(INDEX(貼り付け!$A$1:$BZ$3001,2110,$F$1)&amp;"",",",""),"¥",""),"￥","")),0))</f>
        <v/>
      </c>
      <c r="G2111">
        <f>IF(ISNUMBER(B2111),YEAR(B2111),"")</f>
        <v/>
      </c>
      <c r="H2111">
        <f>IF(ISNUMBER(B2111),MONTH(B2111),"")</f>
        <v/>
      </c>
      <c r="I2111">
        <f>IFERROR(IF($B$1=0,"",IF(ISNUMBER(INDEX(貼り付け!$A$1:$BZ$3001,2110,$B$1)),"",SUBSTITUTE(SUBSTITUTE(SUBSTITUTE(SUBSTITUTE(TRIM(LEFT(INDEX(貼り付け!$A$1:$BZ$3001,2110,$B$1)&amp;"",FIND(" ",TRIM(INDEX(貼り付け!$A$1:$BZ$3001,2110,$B$1)&amp;"")&amp;" ")-1)),"/","-"),"年","-"),"月","-"),"日",""))),"")</f>
        <v/>
      </c>
      <c r="J2111">
        <f>IFERROR(MID(I2111,FIND("-",I2111)+1,99),"")</f>
        <v/>
      </c>
    </row>
    <row r="2112">
      <c r="B2112">
        <f>IFERROR(IF($B$1=0,"",IF(INDEX(貼り付け!$A$1:$BZ$3001,2111,$B$1)="","",IF(ISNUMBER(INDEX(貼り付け!$A$1:$BZ$3001,2111,$B$1)),INT(INDEX(貼り付け!$A$1:$BZ$3001,2111,$B$1)),DATE(VALUE(LEFT(I2112,FIND("-",I2112)-1)),VALUE(LEFT(J2112,FIND("-",J2112)-1)),VALUE(MID(J2112,FIND("-",J2112)+1,99)))))),"")</f>
        <v/>
      </c>
      <c r="C2112">
        <f>IF($C$1=0,0,IFERROR(VALUE(SUBSTITUTE(SUBSTITUTE(SUBSTITUTE(INDEX(貼り付け!$A$1:$BZ$3001,2111,$C$1)&amp;"",",",""),"¥",""),"￥","")),0))</f>
        <v/>
      </c>
      <c r="D2112">
        <f>IF($D$1=0,0,IFERROR(VALUE(SUBSTITUTE(SUBSTITUTE(SUBSTITUTE(INDEX(貼り付け!$A$1:$BZ$3001,2111,$D$1)&amp;"",",",""),"¥",""),"￥","")),0))</f>
        <v/>
      </c>
      <c r="E2112">
        <f>IF($E$1=0,0,IFERROR(VALUE(SUBSTITUTE(SUBSTITUTE(SUBSTITUTE(INDEX(貼り付け!$A$1:$BZ$3001,2111,$E$1)&amp;"",",",""),"¥",""),"￥","")),0))</f>
        <v/>
      </c>
      <c r="F2112">
        <f>IF($F$1=0,0,IFERROR(VALUE(SUBSTITUTE(SUBSTITUTE(SUBSTITUTE(INDEX(貼り付け!$A$1:$BZ$3001,2111,$F$1)&amp;"",",",""),"¥",""),"￥","")),0))</f>
        <v/>
      </c>
      <c r="G2112">
        <f>IF(ISNUMBER(B2112),YEAR(B2112),"")</f>
        <v/>
      </c>
      <c r="H2112">
        <f>IF(ISNUMBER(B2112),MONTH(B2112),"")</f>
        <v/>
      </c>
      <c r="I2112">
        <f>IFERROR(IF($B$1=0,"",IF(ISNUMBER(INDEX(貼り付け!$A$1:$BZ$3001,2111,$B$1)),"",SUBSTITUTE(SUBSTITUTE(SUBSTITUTE(SUBSTITUTE(TRIM(LEFT(INDEX(貼り付け!$A$1:$BZ$3001,2111,$B$1)&amp;"",FIND(" ",TRIM(INDEX(貼り付け!$A$1:$BZ$3001,2111,$B$1)&amp;"")&amp;" ")-1)),"/","-"),"年","-"),"月","-"),"日",""))),"")</f>
        <v/>
      </c>
      <c r="J2112">
        <f>IFERROR(MID(I2112,FIND("-",I2112)+1,99),"")</f>
        <v/>
      </c>
    </row>
    <row r="2113">
      <c r="B2113">
        <f>IFERROR(IF($B$1=0,"",IF(INDEX(貼り付け!$A$1:$BZ$3001,2112,$B$1)="","",IF(ISNUMBER(INDEX(貼り付け!$A$1:$BZ$3001,2112,$B$1)),INT(INDEX(貼り付け!$A$1:$BZ$3001,2112,$B$1)),DATE(VALUE(LEFT(I2113,FIND("-",I2113)-1)),VALUE(LEFT(J2113,FIND("-",J2113)-1)),VALUE(MID(J2113,FIND("-",J2113)+1,99)))))),"")</f>
        <v/>
      </c>
      <c r="C2113">
        <f>IF($C$1=0,0,IFERROR(VALUE(SUBSTITUTE(SUBSTITUTE(SUBSTITUTE(INDEX(貼り付け!$A$1:$BZ$3001,2112,$C$1)&amp;"",",",""),"¥",""),"￥","")),0))</f>
        <v/>
      </c>
      <c r="D2113">
        <f>IF($D$1=0,0,IFERROR(VALUE(SUBSTITUTE(SUBSTITUTE(SUBSTITUTE(INDEX(貼り付け!$A$1:$BZ$3001,2112,$D$1)&amp;"",",",""),"¥",""),"￥","")),0))</f>
        <v/>
      </c>
      <c r="E2113">
        <f>IF($E$1=0,0,IFERROR(VALUE(SUBSTITUTE(SUBSTITUTE(SUBSTITUTE(INDEX(貼り付け!$A$1:$BZ$3001,2112,$E$1)&amp;"",",",""),"¥",""),"￥","")),0))</f>
        <v/>
      </c>
      <c r="F2113">
        <f>IF($F$1=0,0,IFERROR(VALUE(SUBSTITUTE(SUBSTITUTE(SUBSTITUTE(INDEX(貼り付け!$A$1:$BZ$3001,2112,$F$1)&amp;"",",",""),"¥",""),"￥","")),0))</f>
        <v/>
      </c>
      <c r="G2113">
        <f>IF(ISNUMBER(B2113),YEAR(B2113),"")</f>
        <v/>
      </c>
      <c r="H2113">
        <f>IF(ISNUMBER(B2113),MONTH(B2113),"")</f>
        <v/>
      </c>
      <c r="I2113">
        <f>IFERROR(IF($B$1=0,"",IF(ISNUMBER(INDEX(貼り付け!$A$1:$BZ$3001,2112,$B$1)),"",SUBSTITUTE(SUBSTITUTE(SUBSTITUTE(SUBSTITUTE(TRIM(LEFT(INDEX(貼り付け!$A$1:$BZ$3001,2112,$B$1)&amp;"",FIND(" ",TRIM(INDEX(貼り付け!$A$1:$BZ$3001,2112,$B$1)&amp;"")&amp;" ")-1)),"/","-"),"年","-"),"月","-"),"日",""))),"")</f>
        <v/>
      </c>
      <c r="J2113">
        <f>IFERROR(MID(I2113,FIND("-",I2113)+1,99),"")</f>
        <v/>
      </c>
    </row>
    <row r="2114">
      <c r="B2114">
        <f>IFERROR(IF($B$1=0,"",IF(INDEX(貼り付け!$A$1:$BZ$3001,2113,$B$1)="","",IF(ISNUMBER(INDEX(貼り付け!$A$1:$BZ$3001,2113,$B$1)),INT(INDEX(貼り付け!$A$1:$BZ$3001,2113,$B$1)),DATE(VALUE(LEFT(I2114,FIND("-",I2114)-1)),VALUE(LEFT(J2114,FIND("-",J2114)-1)),VALUE(MID(J2114,FIND("-",J2114)+1,99)))))),"")</f>
        <v/>
      </c>
      <c r="C2114">
        <f>IF($C$1=0,0,IFERROR(VALUE(SUBSTITUTE(SUBSTITUTE(SUBSTITUTE(INDEX(貼り付け!$A$1:$BZ$3001,2113,$C$1)&amp;"",",",""),"¥",""),"￥","")),0))</f>
        <v/>
      </c>
      <c r="D2114">
        <f>IF($D$1=0,0,IFERROR(VALUE(SUBSTITUTE(SUBSTITUTE(SUBSTITUTE(INDEX(貼り付け!$A$1:$BZ$3001,2113,$D$1)&amp;"",",",""),"¥",""),"￥","")),0))</f>
        <v/>
      </c>
      <c r="E2114">
        <f>IF($E$1=0,0,IFERROR(VALUE(SUBSTITUTE(SUBSTITUTE(SUBSTITUTE(INDEX(貼り付け!$A$1:$BZ$3001,2113,$E$1)&amp;"",",",""),"¥",""),"￥","")),0))</f>
        <v/>
      </c>
      <c r="F2114">
        <f>IF($F$1=0,0,IFERROR(VALUE(SUBSTITUTE(SUBSTITUTE(SUBSTITUTE(INDEX(貼り付け!$A$1:$BZ$3001,2113,$F$1)&amp;"",",",""),"¥",""),"￥","")),0))</f>
        <v/>
      </c>
      <c r="G2114">
        <f>IF(ISNUMBER(B2114),YEAR(B2114),"")</f>
        <v/>
      </c>
      <c r="H2114">
        <f>IF(ISNUMBER(B2114),MONTH(B2114),"")</f>
        <v/>
      </c>
      <c r="I2114">
        <f>IFERROR(IF($B$1=0,"",IF(ISNUMBER(INDEX(貼り付け!$A$1:$BZ$3001,2113,$B$1)),"",SUBSTITUTE(SUBSTITUTE(SUBSTITUTE(SUBSTITUTE(TRIM(LEFT(INDEX(貼り付け!$A$1:$BZ$3001,2113,$B$1)&amp;"",FIND(" ",TRIM(INDEX(貼り付け!$A$1:$BZ$3001,2113,$B$1)&amp;"")&amp;" ")-1)),"/","-"),"年","-"),"月","-"),"日",""))),"")</f>
        <v/>
      </c>
      <c r="J2114">
        <f>IFERROR(MID(I2114,FIND("-",I2114)+1,99),"")</f>
        <v/>
      </c>
    </row>
    <row r="2115">
      <c r="B2115">
        <f>IFERROR(IF($B$1=0,"",IF(INDEX(貼り付け!$A$1:$BZ$3001,2114,$B$1)="","",IF(ISNUMBER(INDEX(貼り付け!$A$1:$BZ$3001,2114,$B$1)),INT(INDEX(貼り付け!$A$1:$BZ$3001,2114,$B$1)),DATE(VALUE(LEFT(I2115,FIND("-",I2115)-1)),VALUE(LEFT(J2115,FIND("-",J2115)-1)),VALUE(MID(J2115,FIND("-",J2115)+1,99)))))),"")</f>
        <v/>
      </c>
      <c r="C2115">
        <f>IF($C$1=0,0,IFERROR(VALUE(SUBSTITUTE(SUBSTITUTE(SUBSTITUTE(INDEX(貼り付け!$A$1:$BZ$3001,2114,$C$1)&amp;"",",",""),"¥",""),"￥","")),0))</f>
        <v/>
      </c>
      <c r="D2115">
        <f>IF($D$1=0,0,IFERROR(VALUE(SUBSTITUTE(SUBSTITUTE(SUBSTITUTE(INDEX(貼り付け!$A$1:$BZ$3001,2114,$D$1)&amp;"",",",""),"¥",""),"￥","")),0))</f>
        <v/>
      </c>
      <c r="E2115">
        <f>IF($E$1=0,0,IFERROR(VALUE(SUBSTITUTE(SUBSTITUTE(SUBSTITUTE(INDEX(貼り付け!$A$1:$BZ$3001,2114,$E$1)&amp;"",",",""),"¥",""),"￥","")),0))</f>
        <v/>
      </c>
      <c r="F2115">
        <f>IF($F$1=0,0,IFERROR(VALUE(SUBSTITUTE(SUBSTITUTE(SUBSTITUTE(INDEX(貼り付け!$A$1:$BZ$3001,2114,$F$1)&amp;"",",",""),"¥",""),"￥","")),0))</f>
        <v/>
      </c>
      <c r="G2115">
        <f>IF(ISNUMBER(B2115),YEAR(B2115),"")</f>
        <v/>
      </c>
      <c r="H2115">
        <f>IF(ISNUMBER(B2115),MONTH(B2115),"")</f>
        <v/>
      </c>
      <c r="I2115">
        <f>IFERROR(IF($B$1=0,"",IF(ISNUMBER(INDEX(貼り付け!$A$1:$BZ$3001,2114,$B$1)),"",SUBSTITUTE(SUBSTITUTE(SUBSTITUTE(SUBSTITUTE(TRIM(LEFT(INDEX(貼り付け!$A$1:$BZ$3001,2114,$B$1)&amp;"",FIND(" ",TRIM(INDEX(貼り付け!$A$1:$BZ$3001,2114,$B$1)&amp;"")&amp;" ")-1)),"/","-"),"年","-"),"月","-"),"日",""))),"")</f>
        <v/>
      </c>
      <c r="J2115">
        <f>IFERROR(MID(I2115,FIND("-",I2115)+1,99),"")</f>
        <v/>
      </c>
    </row>
    <row r="2116">
      <c r="B2116">
        <f>IFERROR(IF($B$1=0,"",IF(INDEX(貼り付け!$A$1:$BZ$3001,2115,$B$1)="","",IF(ISNUMBER(INDEX(貼り付け!$A$1:$BZ$3001,2115,$B$1)),INT(INDEX(貼り付け!$A$1:$BZ$3001,2115,$B$1)),DATE(VALUE(LEFT(I2116,FIND("-",I2116)-1)),VALUE(LEFT(J2116,FIND("-",J2116)-1)),VALUE(MID(J2116,FIND("-",J2116)+1,99)))))),"")</f>
        <v/>
      </c>
      <c r="C2116">
        <f>IF($C$1=0,0,IFERROR(VALUE(SUBSTITUTE(SUBSTITUTE(SUBSTITUTE(INDEX(貼り付け!$A$1:$BZ$3001,2115,$C$1)&amp;"",",",""),"¥",""),"￥","")),0))</f>
        <v/>
      </c>
      <c r="D2116">
        <f>IF($D$1=0,0,IFERROR(VALUE(SUBSTITUTE(SUBSTITUTE(SUBSTITUTE(INDEX(貼り付け!$A$1:$BZ$3001,2115,$D$1)&amp;"",",",""),"¥",""),"￥","")),0))</f>
        <v/>
      </c>
      <c r="E2116">
        <f>IF($E$1=0,0,IFERROR(VALUE(SUBSTITUTE(SUBSTITUTE(SUBSTITUTE(INDEX(貼り付け!$A$1:$BZ$3001,2115,$E$1)&amp;"",",",""),"¥",""),"￥","")),0))</f>
        <v/>
      </c>
      <c r="F2116">
        <f>IF($F$1=0,0,IFERROR(VALUE(SUBSTITUTE(SUBSTITUTE(SUBSTITUTE(INDEX(貼り付け!$A$1:$BZ$3001,2115,$F$1)&amp;"",",",""),"¥",""),"￥","")),0))</f>
        <v/>
      </c>
      <c r="G2116">
        <f>IF(ISNUMBER(B2116),YEAR(B2116),"")</f>
        <v/>
      </c>
      <c r="H2116">
        <f>IF(ISNUMBER(B2116),MONTH(B2116),"")</f>
        <v/>
      </c>
      <c r="I2116">
        <f>IFERROR(IF($B$1=0,"",IF(ISNUMBER(INDEX(貼り付け!$A$1:$BZ$3001,2115,$B$1)),"",SUBSTITUTE(SUBSTITUTE(SUBSTITUTE(SUBSTITUTE(TRIM(LEFT(INDEX(貼り付け!$A$1:$BZ$3001,2115,$B$1)&amp;"",FIND(" ",TRIM(INDEX(貼り付け!$A$1:$BZ$3001,2115,$B$1)&amp;"")&amp;" ")-1)),"/","-"),"年","-"),"月","-"),"日",""))),"")</f>
        <v/>
      </c>
      <c r="J2116">
        <f>IFERROR(MID(I2116,FIND("-",I2116)+1,99),"")</f>
        <v/>
      </c>
    </row>
    <row r="2117">
      <c r="B2117">
        <f>IFERROR(IF($B$1=0,"",IF(INDEX(貼り付け!$A$1:$BZ$3001,2116,$B$1)="","",IF(ISNUMBER(INDEX(貼り付け!$A$1:$BZ$3001,2116,$B$1)),INT(INDEX(貼り付け!$A$1:$BZ$3001,2116,$B$1)),DATE(VALUE(LEFT(I2117,FIND("-",I2117)-1)),VALUE(LEFT(J2117,FIND("-",J2117)-1)),VALUE(MID(J2117,FIND("-",J2117)+1,99)))))),"")</f>
        <v/>
      </c>
      <c r="C2117">
        <f>IF($C$1=0,0,IFERROR(VALUE(SUBSTITUTE(SUBSTITUTE(SUBSTITUTE(INDEX(貼り付け!$A$1:$BZ$3001,2116,$C$1)&amp;"",",",""),"¥",""),"￥","")),0))</f>
        <v/>
      </c>
      <c r="D2117">
        <f>IF($D$1=0,0,IFERROR(VALUE(SUBSTITUTE(SUBSTITUTE(SUBSTITUTE(INDEX(貼り付け!$A$1:$BZ$3001,2116,$D$1)&amp;"",",",""),"¥",""),"￥","")),0))</f>
        <v/>
      </c>
      <c r="E2117">
        <f>IF($E$1=0,0,IFERROR(VALUE(SUBSTITUTE(SUBSTITUTE(SUBSTITUTE(INDEX(貼り付け!$A$1:$BZ$3001,2116,$E$1)&amp;"",",",""),"¥",""),"￥","")),0))</f>
        <v/>
      </c>
      <c r="F2117">
        <f>IF($F$1=0,0,IFERROR(VALUE(SUBSTITUTE(SUBSTITUTE(SUBSTITUTE(INDEX(貼り付け!$A$1:$BZ$3001,2116,$F$1)&amp;"",",",""),"¥",""),"￥","")),0))</f>
        <v/>
      </c>
      <c r="G2117">
        <f>IF(ISNUMBER(B2117),YEAR(B2117),"")</f>
        <v/>
      </c>
      <c r="H2117">
        <f>IF(ISNUMBER(B2117),MONTH(B2117),"")</f>
        <v/>
      </c>
      <c r="I2117">
        <f>IFERROR(IF($B$1=0,"",IF(ISNUMBER(INDEX(貼り付け!$A$1:$BZ$3001,2116,$B$1)),"",SUBSTITUTE(SUBSTITUTE(SUBSTITUTE(SUBSTITUTE(TRIM(LEFT(INDEX(貼り付け!$A$1:$BZ$3001,2116,$B$1)&amp;"",FIND(" ",TRIM(INDEX(貼り付け!$A$1:$BZ$3001,2116,$B$1)&amp;"")&amp;" ")-1)),"/","-"),"年","-"),"月","-"),"日",""))),"")</f>
        <v/>
      </c>
      <c r="J2117">
        <f>IFERROR(MID(I2117,FIND("-",I2117)+1,99),"")</f>
        <v/>
      </c>
    </row>
    <row r="2118">
      <c r="B2118">
        <f>IFERROR(IF($B$1=0,"",IF(INDEX(貼り付け!$A$1:$BZ$3001,2117,$B$1)="","",IF(ISNUMBER(INDEX(貼り付け!$A$1:$BZ$3001,2117,$B$1)),INT(INDEX(貼り付け!$A$1:$BZ$3001,2117,$B$1)),DATE(VALUE(LEFT(I2118,FIND("-",I2118)-1)),VALUE(LEFT(J2118,FIND("-",J2118)-1)),VALUE(MID(J2118,FIND("-",J2118)+1,99)))))),"")</f>
        <v/>
      </c>
      <c r="C2118">
        <f>IF($C$1=0,0,IFERROR(VALUE(SUBSTITUTE(SUBSTITUTE(SUBSTITUTE(INDEX(貼り付け!$A$1:$BZ$3001,2117,$C$1)&amp;"",",",""),"¥",""),"￥","")),0))</f>
        <v/>
      </c>
      <c r="D2118">
        <f>IF($D$1=0,0,IFERROR(VALUE(SUBSTITUTE(SUBSTITUTE(SUBSTITUTE(INDEX(貼り付け!$A$1:$BZ$3001,2117,$D$1)&amp;"",",",""),"¥",""),"￥","")),0))</f>
        <v/>
      </c>
      <c r="E2118">
        <f>IF($E$1=0,0,IFERROR(VALUE(SUBSTITUTE(SUBSTITUTE(SUBSTITUTE(INDEX(貼り付け!$A$1:$BZ$3001,2117,$E$1)&amp;"",",",""),"¥",""),"￥","")),0))</f>
        <v/>
      </c>
      <c r="F2118">
        <f>IF($F$1=0,0,IFERROR(VALUE(SUBSTITUTE(SUBSTITUTE(SUBSTITUTE(INDEX(貼り付け!$A$1:$BZ$3001,2117,$F$1)&amp;"",",",""),"¥",""),"￥","")),0))</f>
        <v/>
      </c>
      <c r="G2118">
        <f>IF(ISNUMBER(B2118),YEAR(B2118),"")</f>
        <v/>
      </c>
      <c r="H2118">
        <f>IF(ISNUMBER(B2118),MONTH(B2118),"")</f>
        <v/>
      </c>
      <c r="I2118">
        <f>IFERROR(IF($B$1=0,"",IF(ISNUMBER(INDEX(貼り付け!$A$1:$BZ$3001,2117,$B$1)),"",SUBSTITUTE(SUBSTITUTE(SUBSTITUTE(SUBSTITUTE(TRIM(LEFT(INDEX(貼り付け!$A$1:$BZ$3001,2117,$B$1)&amp;"",FIND(" ",TRIM(INDEX(貼り付け!$A$1:$BZ$3001,2117,$B$1)&amp;"")&amp;" ")-1)),"/","-"),"年","-"),"月","-"),"日",""))),"")</f>
        <v/>
      </c>
      <c r="J2118">
        <f>IFERROR(MID(I2118,FIND("-",I2118)+1,99),"")</f>
        <v/>
      </c>
    </row>
    <row r="2119">
      <c r="B2119">
        <f>IFERROR(IF($B$1=0,"",IF(INDEX(貼り付け!$A$1:$BZ$3001,2118,$B$1)="","",IF(ISNUMBER(INDEX(貼り付け!$A$1:$BZ$3001,2118,$B$1)),INT(INDEX(貼り付け!$A$1:$BZ$3001,2118,$B$1)),DATE(VALUE(LEFT(I2119,FIND("-",I2119)-1)),VALUE(LEFT(J2119,FIND("-",J2119)-1)),VALUE(MID(J2119,FIND("-",J2119)+1,99)))))),"")</f>
        <v/>
      </c>
      <c r="C2119">
        <f>IF($C$1=0,0,IFERROR(VALUE(SUBSTITUTE(SUBSTITUTE(SUBSTITUTE(INDEX(貼り付け!$A$1:$BZ$3001,2118,$C$1)&amp;"",",",""),"¥",""),"￥","")),0))</f>
        <v/>
      </c>
      <c r="D2119">
        <f>IF($D$1=0,0,IFERROR(VALUE(SUBSTITUTE(SUBSTITUTE(SUBSTITUTE(INDEX(貼り付け!$A$1:$BZ$3001,2118,$D$1)&amp;"",",",""),"¥",""),"￥","")),0))</f>
        <v/>
      </c>
      <c r="E2119">
        <f>IF($E$1=0,0,IFERROR(VALUE(SUBSTITUTE(SUBSTITUTE(SUBSTITUTE(INDEX(貼り付け!$A$1:$BZ$3001,2118,$E$1)&amp;"",",",""),"¥",""),"￥","")),0))</f>
        <v/>
      </c>
      <c r="F2119">
        <f>IF($F$1=0,0,IFERROR(VALUE(SUBSTITUTE(SUBSTITUTE(SUBSTITUTE(INDEX(貼り付け!$A$1:$BZ$3001,2118,$F$1)&amp;"",",",""),"¥",""),"￥","")),0))</f>
        <v/>
      </c>
      <c r="G2119">
        <f>IF(ISNUMBER(B2119),YEAR(B2119),"")</f>
        <v/>
      </c>
      <c r="H2119">
        <f>IF(ISNUMBER(B2119),MONTH(B2119),"")</f>
        <v/>
      </c>
      <c r="I2119">
        <f>IFERROR(IF($B$1=0,"",IF(ISNUMBER(INDEX(貼り付け!$A$1:$BZ$3001,2118,$B$1)),"",SUBSTITUTE(SUBSTITUTE(SUBSTITUTE(SUBSTITUTE(TRIM(LEFT(INDEX(貼り付け!$A$1:$BZ$3001,2118,$B$1)&amp;"",FIND(" ",TRIM(INDEX(貼り付け!$A$1:$BZ$3001,2118,$B$1)&amp;"")&amp;" ")-1)),"/","-"),"年","-"),"月","-"),"日",""))),"")</f>
        <v/>
      </c>
      <c r="J2119">
        <f>IFERROR(MID(I2119,FIND("-",I2119)+1,99),"")</f>
        <v/>
      </c>
    </row>
    <row r="2120">
      <c r="B2120">
        <f>IFERROR(IF($B$1=0,"",IF(INDEX(貼り付け!$A$1:$BZ$3001,2119,$B$1)="","",IF(ISNUMBER(INDEX(貼り付け!$A$1:$BZ$3001,2119,$B$1)),INT(INDEX(貼り付け!$A$1:$BZ$3001,2119,$B$1)),DATE(VALUE(LEFT(I2120,FIND("-",I2120)-1)),VALUE(LEFT(J2120,FIND("-",J2120)-1)),VALUE(MID(J2120,FIND("-",J2120)+1,99)))))),"")</f>
        <v/>
      </c>
      <c r="C2120">
        <f>IF($C$1=0,0,IFERROR(VALUE(SUBSTITUTE(SUBSTITUTE(SUBSTITUTE(INDEX(貼り付け!$A$1:$BZ$3001,2119,$C$1)&amp;"",",",""),"¥",""),"￥","")),0))</f>
        <v/>
      </c>
      <c r="D2120">
        <f>IF($D$1=0,0,IFERROR(VALUE(SUBSTITUTE(SUBSTITUTE(SUBSTITUTE(INDEX(貼り付け!$A$1:$BZ$3001,2119,$D$1)&amp;"",",",""),"¥",""),"￥","")),0))</f>
        <v/>
      </c>
      <c r="E2120">
        <f>IF($E$1=0,0,IFERROR(VALUE(SUBSTITUTE(SUBSTITUTE(SUBSTITUTE(INDEX(貼り付け!$A$1:$BZ$3001,2119,$E$1)&amp;"",",",""),"¥",""),"￥","")),0))</f>
        <v/>
      </c>
      <c r="F2120">
        <f>IF($F$1=0,0,IFERROR(VALUE(SUBSTITUTE(SUBSTITUTE(SUBSTITUTE(INDEX(貼り付け!$A$1:$BZ$3001,2119,$F$1)&amp;"",",",""),"¥",""),"￥","")),0))</f>
        <v/>
      </c>
      <c r="G2120">
        <f>IF(ISNUMBER(B2120),YEAR(B2120),"")</f>
        <v/>
      </c>
      <c r="H2120">
        <f>IF(ISNUMBER(B2120),MONTH(B2120),"")</f>
        <v/>
      </c>
      <c r="I2120">
        <f>IFERROR(IF($B$1=0,"",IF(ISNUMBER(INDEX(貼り付け!$A$1:$BZ$3001,2119,$B$1)),"",SUBSTITUTE(SUBSTITUTE(SUBSTITUTE(SUBSTITUTE(TRIM(LEFT(INDEX(貼り付け!$A$1:$BZ$3001,2119,$B$1)&amp;"",FIND(" ",TRIM(INDEX(貼り付け!$A$1:$BZ$3001,2119,$B$1)&amp;"")&amp;" ")-1)),"/","-"),"年","-"),"月","-"),"日",""))),"")</f>
        <v/>
      </c>
      <c r="J2120">
        <f>IFERROR(MID(I2120,FIND("-",I2120)+1,99),"")</f>
        <v/>
      </c>
    </row>
    <row r="2121">
      <c r="B2121">
        <f>IFERROR(IF($B$1=0,"",IF(INDEX(貼り付け!$A$1:$BZ$3001,2120,$B$1)="","",IF(ISNUMBER(INDEX(貼り付け!$A$1:$BZ$3001,2120,$B$1)),INT(INDEX(貼り付け!$A$1:$BZ$3001,2120,$B$1)),DATE(VALUE(LEFT(I2121,FIND("-",I2121)-1)),VALUE(LEFT(J2121,FIND("-",J2121)-1)),VALUE(MID(J2121,FIND("-",J2121)+1,99)))))),"")</f>
        <v/>
      </c>
      <c r="C2121">
        <f>IF($C$1=0,0,IFERROR(VALUE(SUBSTITUTE(SUBSTITUTE(SUBSTITUTE(INDEX(貼り付け!$A$1:$BZ$3001,2120,$C$1)&amp;"",",",""),"¥",""),"￥","")),0))</f>
        <v/>
      </c>
      <c r="D2121">
        <f>IF($D$1=0,0,IFERROR(VALUE(SUBSTITUTE(SUBSTITUTE(SUBSTITUTE(INDEX(貼り付け!$A$1:$BZ$3001,2120,$D$1)&amp;"",",",""),"¥",""),"￥","")),0))</f>
        <v/>
      </c>
      <c r="E2121">
        <f>IF($E$1=0,0,IFERROR(VALUE(SUBSTITUTE(SUBSTITUTE(SUBSTITUTE(INDEX(貼り付け!$A$1:$BZ$3001,2120,$E$1)&amp;"",",",""),"¥",""),"￥","")),0))</f>
        <v/>
      </c>
      <c r="F2121">
        <f>IF($F$1=0,0,IFERROR(VALUE(SUBSTITUTE(SUBSTITUTE(SUBSTITUTE(INDEX(貼り付け!$A$1:$BZ$3001,2120,$F$1)&amp;"",",",""),"¥",""),"￥","")),0))</f>
        <v/>
      </c>
      <c r="G2121">
        <f>IF(ISNUMBER(B2121),YEAR(B2121),"")</f>
        <v/>
      </c>
      <c r="H2121">
        <f>IF(ISNUMBER(B2121),MONTH(B2121),"")</f>
        <v/>
      </c>
      <c r="I2121">
        <f>IFERROR(IF($B$1=0,"",IF(ISNUMBER(INDEX(貼り付け!$A$1:$BZ$3001,2120,$B$1)),"",SUBSTITUTE(SUBSTITUTE(SUBSTITUTE(SUBSTITUTE(TRIM(LEFT(INDEX(貼り付け!$A$1:$BZ$3001,2120,$B$1)&amp;"",FIND(" ",TRIM(INDEX(貼り付け!$A$1:$BZ$3001,2120,$B$1)&amp;"")&amp;" ")-1)),"/","-"),"年","-"),"月","-"),"日",""))),"")</f>
        <v/>
      </c>
      <c r="J2121">
        <f>IFERROR(MID(I2121,FIND("-",I2121)+1,99),"")</f>
        <v/>
      </c>
    </row>
    <row r="2122">
      <c r="B2122">
        <f>IFERROR(IF($B$1=0,"",IF(INDEX(貼り付け!$A$1:$BZ$3001,2121,$B$1)="","",IF(ISNUMBER(INDEX(貼り付け!$A$1:$BZ$3001,2121,$B$1)),INT(INDEX(貼り付け!$A$1:$BZ$3001,2121,$B$1)),DATE(VALUE(LEFT(I2122,FIND("-",I2122)-1)),VALUE(LEFT(J2122,FIND("-",J2122)-1)),VALUE(MID(J2122,FIND("-",J2122)+1,99)))))),"")</f>
        <v/>
      </c>
      <c r="C2122">
        <f>IF($C$1=0,0,IFERROR(VALUE(SUBSTITUTE(SUBSTITUTE(SUBSTITUTE(INDEX(貼り付け!$A$1:$BZ$3001,2121,$C$1)&amp;"",",",""),"¥",""),"￥","")),0))</f>
        <v/>
      </c>
      <c r="D2122">
        <f>IF($D$1=0,0,IFERROR(VALUE(SUBSTITUTE(SUBSTITUTE(SUBSTITUTE(INDEX(貼り付け!$A$1:$BZ$3001,2121,$D$1)&amp;"",",",""),"¥",""),"￥","")),0))</f>
        <v/>
      </c>
      <c r="E2122">
        <f>IF($E$1=0,0,IFERROR(VALUE(SUBSTITUTE(SUBSTITUTE(SUBSTITUTE(INDEX(貼り付け!$A$1:$BZ$3001,2121,$E$1)&amp;"",",",""),"¥",""),"￥","")),0))</f>
        <v/>
      </c>
      <c r="F2122">
        <f>IF($F$1=0,0,IFERROR(VALUE(SUBSTITUTE(SUBSTITUTE(SUBSTITUTE(INDEX(貼り付け!$A$1:$BZ$3001,2121,$F$1)&amp;"",",",""),"¥",""),"￥","")),0))</f>
        <v/>
      </c>
      <c r="G2122">
        <f>IF(ISNUMBER(B2122),YEAR(B2122),"")</f>
        <v/>
      </c>
      <c r="H2122">
        <f>IF(ISNUMBER(B2122),MONTH(B2122),"")</f>
        <v/>
      </c>
      <c r="I2122">
        <f>IFERROR(IF($B$1=0,"",IF(ISNUMBER(INDEX(貼り付け!$A$1:$BZ$3001,2121,$B$1)),"",SUBSTITUTE(SUBSTITUTE(SUBSTITUTE(SUBSTITUTE(TRIM(LEFT(INDEX(貼り付け!$A$1:$BZ$3001,2121,$B$1)&amp;"",FIND(" ",TRIM(INDEX(貼り付け!$A$1:$BZ$3001,2121,$B$1)&amp;"")&amp;" ")-1)),"/","-"),"年","-"),"月","-"),"日",""))),"")</f>
        <v/>
      </c>
      <c r="J2122">
        <f>IFERROR(MID(I2122,FIND("-",I2122)+1,99),"")</f>
        <v/>
      </c>
    </row>
    <row r="2123">
      <c r="B2123">
        <f>IFERROR(IF($B$1=0,"",IF(INDEX(貼り付け!$A$1:$BZ$3001,2122,$B$1)="","",IF(ISNUMBER(INDEX(貼り付け!$A$1:$BZ$3001,2122,$B$1)),INT(INDEX(貼り付け!$A$1:$BZ$3001,2122,$B$1)),DATE(VALUE(LEFT(I2123,FIND("-",I2123)-1)),VALUE(LEFT(J2123,FIND("-",J2123)-1)),VALUE(MID(J2123,FIND("-",J2123)+1,99)))))),"")</f>
        <v/>
      </c>
      <c r="C2123">
        <f>IF($C$1=0,0,IFERROR(VALUE(SUBSTITUTE(SUBSTITUTE(SUBSTITUTE(INDEX(貼り付け!$A$1:$BZ$3001,2122,$C$1)&amp;"",",",""),"¥",""),"￥","")),0))</f>
        <v/>
      </c>
      <c r="D2123">
        <f>IF($D$1=0,0,IFERROR(VALUE(SUBSTITUTE(SUBSTITUTE(SUBSTITUTE(INDEX(貼り付け!$A$1:$BZ$3001,2122,$D$1)&amp;"",",",""),"¥",""),"￥","")),0))</f>
        <v/>
      </c>
      <c r="E2123">
        <f>IF($E$1=0,0,IFERROR(VALUE(SUBSTITUTE(SUBSTITUTE(SUBSTITUTE(INDEX(貼り付け!$A$1:$BZ$3001,2122,$E$1)&amp;"",",",""),"¥",""),"￥","")),0))</f>
        <v/>
      </c>
      <c r="F2123">
        <f>IF($F$1=0,0,IFERROR(VALUE(SUBSTITUTE(SUBSTITUTE(SUBSTITUTE(INDEX(貼り付け!$A$1:$BZ$3001,2122,$F$1)&amp;"",",",""),"¥",""),"￥","")),0))</f>
        <v/>
      </c>
      <c r="G2123">
        <f>IF(ISNUMBER(B2123),YEAR(B2123),"")</f>
        <v/>
      </c>
      <c r="H2123">
        <f>IF(ISNUMBER(B2123),MONTH(B2123),"")</f>
        <v/>
      </c>
      <c r="I2123">
        <f>IFERROR(IF($B$1=0,"",IF(ISNUMBER(INDEX(貼り付け!$A$1:$BZ$3001,2122,$B$1)),"",SUBSTITUTE(SUBSTITUTE(SUBSTITUTE(SUBSTITUTE(TRIM(LEFT(INDEX(貼り付け!$A$1:$BZ$3001,2122,$B$1)&amp;"",FIND(" ",TRIM(INDEX(貼り付け!$A$1:$BZ$3001,2122,$B$1)&amp;"")&amp;" ")-1)),"/","-"),"年","-"),"月","-"),"日",""))),"")</f>
        <v/>
      </c>
      <c r="J2123">
        <f>IFERROR(MID(I2123,FIND("-",I2123)+1,99),"")</f>
        <v/>
      </c>
    </row>
    <row r="2124">
      <c r="B2124">
        <f>IFERROR(IF($B$1=0,"",IF(INDEX(貼り付け!$A$1:$BZ$3001,2123,$B$1)="","",IF(ISNUMBER(INDEX(貼り付け!$A$1:$BZ$3001,2123,$B$1)),INT(INDEX(貼り付け!$A$1:$BZ$3001,2123,$B$1)),DATE(VALUE(LEFT(I2124,FIND("-",I2124)-1)),VALUE(LEFT(J2124,FIND("-",J2124)-1)),VALUE(MID(J2124,FIND("-",J2124)+1,99)))))),"")</f>
        <v/>
      </c>
      <c r="C2124">
        <f>IF($C$1=0,0,IFERROR(VALUE(SUBSTITUTE(SUBSTITUTE(SUBSTITUTE(INDEX(貼り付け!$A$1:$BZ$3001,2123,$C$1)&amp;"",",",""),"¥",""),"￥","")),0))</f>
        <v/>
      </c>
      <c r="D2124">
        <f>IF($D$1=0,0,IFERROR(VALUE(SUBSTITUTE(SUBSTITUTE(SUBSTITUTE(INDEX(貼り付け!$A$1:$BZ$3001,2123,$D$1)&amp;"",",",""),"¥",""),"￥","")),0))</f>
        <v/>
      </c>
      <c r="E2124">
        <f>IF($E$1=0,0,IFERROR(VALUE(SUBSTITUTE(SUBSTITUTE(SUBSTITUTE(INDEX(貼り付け!$A$1:$BZ$3001,2123,$E$1)&amp;"",",",""),"¥",""),"￥","")),0))</f>
        <v/>
      </c>
      <c r="F2124">
        <f>IF($F$1=0,0,IFERROR(VALUE(SUBSTITUTE(SUBSTITUTE(SUBSTITUTE(INDEX(貼り付け!$A$1:$BZ$3001,2123,$F$1)&amp;"",",",""),"¥",""),"￥","")),0))</f>
        <v/>
      </c>
      <c r="G2124">
        <f>IF(ISNUMBER(B2124),YEAR(B2124),"")</f>
        <v/>
      </c>
      <c r="H2124">
        <f>IF(ISNUMBER(B2124),MONTH(B2124),"")</f>
        <v/>
      </c>
      <c r="I2124">
        <f>IFERROR(IF($B$1=0,"",IF(ISNUMBER(INDEX(貼り付け!$A$1:$BZ$3001,2123,$B$1)),"",SUBSTITUTE(SUBSTITUTE(SUBSTITUTE(SUBSTITUTE(TRIM(LEFT(INDEX(貼り付け!$A$1:$BZ$3001,2123,$B$1)&amp;"",FIND(" ",TRIM(INDEX(貼り付け!$A$1:$BZ$3001,2123,$B$1)&amp;"")&amp;" ")-1)),"/","-"),"年","-"),"月","-"),"日",""))),"")</f>
        <v/>
      </c>
      <c r="J2124">
        <f>IFERROR(MID(I2124,FIND("-",I2124)+1,99),"")</f>
        <v/>
      </c>
    </row>
    <row r="2125">
      <c r="B2125">
        <f>IFERROR(IF($B$1=0,"",IF(INDEX(貼り付け!$A$1:$BZ$3001,2124,$B$1)="","",IF(ISNUMBER(INDEX(貼り付け!$A$1:$BZ$3001,2124,$B$1)),INT(INDEX(貼り付け!$A$1:$BZ$3001,2124,$B$1)),DATE(VALUE(LEFT(I2125,FIND("-",I2125)-1)),VALUE(LEFT(J2125,FIND("-",J2125)-1)),VALUE(MID(J2125,FIND("-",J2125)+1,99)))))),"")</f>
        <v/>
      </c>
      <c r="C2125">
        <f>IF($C$1=0,0,IFERROR(VALUE(SUBSTITUTE(SUBSTITUTE(SUBSTITUTE(INDEX(貼り付け!$A$1:$BZ$3001,2124,$C$1)&amp;"",",",""),"¥",""),"￥","")),0))</f>
        <v/>
      </c>
      <c r="D2125">
        <f>IF($D$1=0,0,IFERROR(VALUE(SUBSTITUTE(SUBSTITUTE(SUBSTITUTE(INDEX(貼り付け!$A$1:$BZ$3001,2124,$D$1)&amp;"",",",""),"¥",""),"￥","")),0))</f>
        <v/>
      </c>
      <c r="E2125">
        <f>IF($E$1=0,0,IFERROR(VALUE(SUBSTITUTE(SUBSTITUTE(SUBSTITUTE(INDEX(貼り付け!$A$1:$BZ$3001,2124,$E$1)&amp;"",",",""),"¥",""),"￥","")),0))</f>
        <v/>
      </c>
      <c r="F2125">
        <f>IF($F$1=0,0,IFERROR(VALUE(SUBSTITUTE(SUBSTITUTE(SUBSTITUTE(INDEX(貼り付け!$A$1:$BZ$3001,2124,$F$1)&amp;"",",",""),"¥",""),"￥","")),0))</f>
        <v/>
      </c>
      <c r="G2125">
        <f>IF(ISNUMBER(B2125),YEAR(B2125),"")</f>
        <v/>
      </c>
      <c r="H2125">
        <f>IF(ISNUMBER(B2125),MONTH(B2125),"")</f>
        <v/>
      </c>
      <c r="I2125">
        <f>IFERROR(IF($B$1=0,"",IF(ISNUMBER(INDEX(貼り付け!$A$1:$BZ$3001,2124,$B$1)),"",SUBSTITUTE(SUBSTITUTE(SUBSTITUTE(SUBSTITUTE(TRIM(LEFT(INDEX(貼り付け!$A$1:$BZ$3001,2124,$B$1)&amp;"",FIND(" ",TRIM(INDEX(貼り付け!$A$1:$BZ$3001,2124,$B$1)&amp;"")&amp;" ")-1)),"/","-"),"年","-"),"月","-"),"日",""))),"")</f>
        <v/>
      </c>
      <c r="J2125">
        <f>IFERROR(MID(I2125,FIND("-",I2125)+1,99),"")</f>
        <v/>
      </c>
    </row>
    <row r="2126">
      <c r="B2126">
        <f>IFERROR(IF($B$1=0,"",IF(INDEX(貼り付け!$A$1:$BZ$3001,2125,$B$1)="","",IF(ISNUMBER(INDEX(貼り付け!$A$1:$BZ$3001,2125,$B$1)),INT(INDEX(貼り付け!$A$1:$BZ$3001,2125,$B$1)),DATE(VALUE(LEFT(I2126,FIND("-",I2126)-1)),VALUE(LEFT(J2126,FIND("-",J2126)-1)),VALUE(MID(J2126,FIND("-",J2126)+1,99)))))),"")</f>
        <v/>
      </c>
      <c r="C2126">
        <f>IF($C$1=0,0,IFERROR(VALUE(SUBSTITUTE(SUBSTITUTE(SUBSTITUTE(INDEX(貼り付け!$A$1:$BZ$3001,2125,$C$1)&amp;"",",",""),"¥",""),"￥","")),0))</f>
        <v/>
      </c>
      <c r="D2126">
        <f>IF($D$1=0,0,IFERROR(VALUE(SUBSTITUTE(SUBSTITUTE(SUBSTITUTE(INDEX(貼り付け!$A$1:$BZ$3001,2125,$D$1)&amp;"",",",""),"¥",""),"￥","")),0))</f>
        <v/>
      </c>
      <c r="E2126">
        <f>IF($E$1=0,0,IFERROR(VALUE(SUBSTITUTE(SUBSTITUTE(SUBSTITUTE(INDEX(貼り付け!$A$1:$BZ$3001,2125,$E$1)&amp;"",",",""),"¥",""),"￥","")),0))</f>
        <v/>
      </c>
      <c r="F2126">
        <f>IF($F$1=0,0,IFERROR(VALUE(SUBSTITUTE(SUBSTITUTE(SUBSTITUTE(INDEX(貼り付け!$A$1:$BZ$3001,2125,$F$1)&amp;"",",",""),"¥",""),"￥","")),0))</f>
        <v/>
      </c>
      <c r="G2126">
        <f>IF(ISNUMBER(B2126),YEAR(B2126),"")</f>
        <v/>
      </c>
      <c r="H2126">
        <f>IF(ISNUMBER(B2126),MONTH(B2126),"")</f>
        <v/>
      </c>
      <c r="I2126">
        <f>IFERROR(IF($B$1=0,"",IF(ISNUMBER(INDEX(貼り付け!$A$1:$BZ$3001,2125,$B$1)),"",SUBSTITUTE(SUBSTITUTE(SUBSTITUTE(SUBSTITUTE(TRIM(LEFT(INDEX(貼り付け!$A$1:$BZ$3001,2125,$B$1)&amp;"",FIND(" ",TRIM(INDEX(貼り付け!$A$1:$BZ$3001,2125,$B$1)&amp;"")&amp;" ")-1)),"/","-"),"年","-"),"月","-"),"日",""))),"")</f>
        <v/>
      </c>
      <c r="J2126">
        <f>IFERROR(MID(I2126,FIND("-",I2126)+1,99),"")</f>
        <v/>
      </c>
    </row>
    <row r="2127">
      <c r="B2127">
        <f>IFERROR(IF($B$1=0,"",IF(INDEX(貼り付け!$A$1:$BZ$3001,2126,$B$1)="","",IF(ISNUMBER(INDEX(貼り付け!$A$1:$BZ$3001,2126,$B$1)),INT(INDEX(貼り付け!$A$1:$BZ$3001,2126,$B$1)),DATE(VALUE(LEFT(I2127,FIND("-",I2127)-1)),VALUE(LEFT(J2127,FIND("-",J2127)-1)),VALUE(MID(J2127,FIND("-",J2127)+1,99)))))),"")</f>
        <v/>
      </c>
      <c r="C2127">
        <f>IF($C$1=0,0,IFERROR(VALUE(SUBSTITUTE(SUBSTITUTE(SUBSTITUTE(INDEX(貼り付け!$A$1:$BZ$3001,2126,$C$1)&amp;"",",",""),"¥",""),"￥","")),0))</f>
        <v/>
      </c>
      <c r="D2127">
        <f>IF($D$1=0,0,IFERROR(VALUE(SUBSTITUTE(SUBSTITUTE(SUBSTITUTE(INDEX(貼り付け!$A$1:$BZ$3001,2126,$D$1)&amp;"",",",""),"¥",""),"￥","")),0))</f>
        <v/>
      </c>
      <c r="E2127">
        <f>IF($E$1=0,0,IFERROR(VALUE(SUBSTITUTE(SUBSTITUTE(SUBSTITUTE(INDEX(貼り付け!$A$1:$BZ$3001,2126,$E$1)&amp;"",",",""),"¥",""),"￥","")),0))</f>
        <v/>
      </c>
      <c r="F2127">
        <f>IF($F$1=0,0,IFERROR(VALUE(SUBSTITUTE(SUBSTITUTE(SUBSTITUTE(INDEX(貼り付け!$A$1:$BZ$3001,2126,$F$1)&amp;"",",",""),"¥",""),"￥","")),0))</f>
        <v/>
      </c>
      <c r="G2127">
        <f>IF(ISNUMBER(B2127),YEAR(B2127),"")</f>
        <v/>
      </c>
      <c r="H2127">
        <f>IF(ISNUMBER(B2127),MONTH(B2127),"")</f>
        <v/>
      </c>
      <c r="I2127">
        <f>IFERROR(IF($B$1=0,"",IF(ISNUMBER(INDEX(貼り付け!$A$1:$BZ$3001,2126,$B$1)),"",SUBSTITUTE(SUBSTITUTE(SUBSTITUTE(SUBSTITUTE(TRIM(LEFT(INDEX(貼り付け!$A$1:$BZ$3001,2126,$B$1)&amp;"",FIND(" ",TRIM(INDEX(貼り付け!$A$1:$BZ$3001,2126,$B$1)&amp;"")&amp;" ")-1)),"/","-"),"年","-"),"月","-"),"日",""))),"")</f>
        <v/>
      </c>
      <c r="J2127">
        <f>IFERROR(MID(I2127,FIND("-",I2127)+1,99),"")</f>
        <v/>
      </c>
    </row>
    <row r="2128">
      <c r="B2128">
        <f>IFERROR(IF($B$1=0,"",IF(INDEX(貼り付け!$A$1:$BZ$3001,2127,$B$1)="","",IF(ISNUMBER(INDEX(貼り付け!$A$1:$BZ$3001,2127,$B$1)),INT(INDEX(貼り付け!$A$1:$BZ$3001,2127,$B$1)),DATE(VALUE(LEFT(I2128,FIND("-",I2128)-1)),VALUE(LEFT(J2128,FIND("-",J2128)-1)),VALUE(MID(J2128,FIND("-",J2128)+1,99)))))),"")</f>
        <v/>
      </c>
      <c r="C2128">
        <f>IF($C$1=0,0,IFERROR(VALUE(SUBSTITUTE(SUBSTITUTE(SUBSTITUTE(INDEX(貼り付け!$A$1:$BZ$3001,2127,$C$1)&amp;"",",",""),"¥",""),"￥","")),0))</f>
        <v/>
      </c>
      <c r="D2128">
        <f>IF($D$1=0,0,IFERROR(VALUE(SUBSTITUTE(SUBSTITUTE(SUBSTITUTE(INDEX(貼り付け!$A$1:$BZ$3001,2127,$D$1)&amp;"",",",""),"¥",""),"￥","")),0))</f>
        <v/>
      </c>
      <c r="E2128">
        <f>IF($E$1=0,0,IFERROR(VALUE(SUBSTITUTE(SUBSTITUTE(SUBSTITUTE(INDEX(貼り付け!$A$1:$BZ$3001,2127,$E$1)&amp;"",",",""),"¥",""),"￥","")),0))</f>
        <v/>
      </c>
      <c r="F2128">
        <f>IF($F$1=0,0,IFERROR(VALUE(SUBSTITUTE(SUBSTITUTE(SUBSTITUTE(INDEX(貼り付け!$A$1:$BZ$3001,2127,$F$1)&amp;"",",",""),"¥",""),"￥","")),0))</f>
        <v/>
      </c>
      <c r="G2128">
        <f>IF(ISNUMBER(B2128),YEAR(B2128),"")</f>
        <v/>
      </c>
      <c r="H2128">
        <f>IF(ISNUMBER(B2128),MONTH(B2128),"")</f>
        <v/>
      </c>
      <c r="I2128">
        <f>IFERROR(IF($B$1=0,"",IF(ISNUMBER(INDEX(貼り付け!$A$1:$BZ$3001,2127,$B$1)),"",SUBSTITUTE(SUBSTITUTE(SUBSTITUTE(SUBSTITUTE(TRIM(LEFT(INDEX(貼り付け!$A$1:$BZ$3001,2127,$B$1)&amp;"",FIND(" ",TRIM(INDEX(貼り付け!$A$1:$BZ$3001,2127,$B$1)&amp;"")&amp;" ")-1)),"/","-"),"年","-"),"月","-"),"日",""))),"")</f>
        <v/>
      </c>
      <c r="J2128">
        <f>IFERROR(MID(I2128,FIND("-",I2128)+1,99),"")</f>
        <v/>
      </c>
    </row>
    <row r="2129">
      <c r="B2129">
        <f>IFERROR(IF($B$1=0,"",IF(INDEX(貼り付け!$A$1:$BZ$3001,2128,$B$1)="","",IF(ISNUMBER(INDEX(貼り付け!$A$1:$BZ$3001,2128,$B$1)),INT(INDEX(貼り付け!$A$1:$BZ$3001,2128,$B$1)),DATE(VALUE(LEFT(I2129,FIND("-",I2129)-1)),VALUE(LEFT(J2129,FIND("-",J2129)-1)),VALUE(MID(J2129,FIND("-",J2129)+1,99)))))),"")</f>
        <v/>
      </c>
      <c r="C2129">
        <f>IF($C$1=0,0,IFERROR(VALUE(SUBSTITUTE(SUBSTITUTE(SUBSTITUTE(INDEX(貼り付け!$A$1:$BZ$3001,2128,$C$1)&amp;"",",",""),"¥",""),"￥","")),0))</f>
        <v/>
      </c>
      <c r="D2129">
        <f>IF($D$1=0,0,IFERROR(VALUE(SUBSTITUTE(SUBSTITUTE(SUBSTITUTE(INDEX(貼り付け!$A$1:$BZ$3001,2128,$D$1)&amp;"",",",""),"¥",""),"￥","")),0))</f>
        <v/>
      </c>
      <c r="E2129">
        <f>IF($E$1=0,0,IFERROR(VALUE(SUBSTITUTE(SUBSTITUTE(SUBSTITUTE(INDEX(貼り付け!$A$1:$BZ$3001,2128,$E$1)&amp;"",",",""),"¥",""),"￥","")),0))</f>
        <v/>
      </c>
      <c r="F2129">
        <f>IF($F$1=0,0,IFERROR(VALUE(SUBSTITUTE(SUBSTITUTE(SUBSTITUTE(INDEX(貼り付け!$A$1:$BZ$3001,2128,$F$1)&amp;"",",",""),"¥",""),"￥","")),0))</f>
        <v/>
      </c>
      <c r="G2129">
        <f>IF(ISNUMBER(B2129),YEAR(B2129),"")</f>
        <v/>
      </c>
      <c r="H2129">
        <f>IF(ISNUMBER(B2129),MONTH(B2129),"")</f>
        <v/>
      </c>
      <c r="I2129">
        <f>IFERROR(IF($B$1=0,"",IF(ISNUMBER(INDEX(貼り付け!$A$1:$BZ$3001,2128,$B$1)),"",SUBSTITUTE(SUBSTITUTE(SUBSTITUTE(SUBSTITUTE(TRIM(LEFT(INDEX(貼り付け!$A$1:$BZ$3001,2128,$B$1)&amp;"",FIND(" ",TRIM(INDEX(貼り付け!$A$1:$BZ$3001,2128,$B$1)&amp;"")&amp;" ")-1)),"/","-"),"年","-"),"月","-"),"日",""))),"")</f>
        <v/>
      </c>
      <c r="J2129">
        <f>IFERROR(MID(I2129,FIND("-",I2129)+1,99),"")</f>
        <v/>
      </c>
    </row>
    <row r="2130">
      <c r="B2130">
        <f>IFERROR(IF($B$1=0,"",IF(INDEX(貼り付け!$A$1:$BZ$3001,2129,$B$1)="","",IF(ISNUMBER(INDEX(貼り付け!$A$1:$BZ$3001,2129,$B$1)),INT(INDEX(貼り付け!$A$1:$BZ$3001,2129,$B$1)),DATE(VALUE(LEFT(I2130,FIND("-",I2130)-1)),VALUE(LEFT(J2130,FIND("-",J2130)-1)),VALUE(MID(J2130,FIND("-",J2130)+1,99)))))),"")</f>
        <v/>
      </c>
      <c r="C2130">
        <f>IF($C$1=0,0,IFERROR(VALUE(SUBSTITUTE(SUBSTITUTE(SUBSTITUTE(INDEX(貼り付け!$A$1:$BZ$3001,2129,$C$1)&amp;"",",",""),"¥",""),"￥","")),0))</f>
        <v/>
      </c>
      <c r="D2130">
        <f>IF($D$1=0,0,IFERROR(VALUE(SUBSTITUTE(SUBSTITUTE(SUBSTITUTE(INDEX(貼り付け!$A$1:$BZ$3001,2129,$D$1)&amp;"",",",""),"¥",""),"￥","")),0))</f>
        <v/>
      </c>
      <c r="E2130">
        <f>IF($E$1=0,0,IFERROR(VALUE(SUBSTITUTE(SUBSTITUTE(SUBSTITUTE(INDEX(貼り付け!$A$1:$BZ$3001,2129,$E$1)&amp;"",",",""),"¥",""),"￥","")),0))</f>
        <v/>
      </c>
      <c r="F2130">
        <f>IF($F$1=0,0,IFERROR(VALUE(SUBSTITUTE(SUBSTITUTE(SUBSTITUTE(INDEX(貼り付け!$A$1:$BZ$3001,2129,$F$1)&amp;"",",",""),"¥",""),"￥","")),0))</f>
        <v/>
      </c>
      <c r="G2130">
        <f>IF(ISNUMBER(B2130),YEAR(B2130),"")</f>
        <v/>
      </c>
      <c r="H2130">
        <f>IF(ISNUMBER(B2130),MONTH(B2130),"")</f>
        <v/>
      </c>
      <c r="I2130">
        <f>IFERROR(IF($B$1=0,"",IF(ISNUMBER(INDEX(貼り付け!$A$1:$BZ$3001,2129,$B$1)),"",SUBSTITUTE(SUBSTITUTE(SUBSTITUTE(SUBSTITUTE(TRIM(LEFT(INDEX(貼り付け!$A$1:$BZ$3001,2129,$B$1)&amp;"",FIND(" ",TRIM(INDEX(貼り付け!$A$1:$BZ$3001,2129,$B$1)&amp;"")&amp;" ")-1)),"/","-"),"年","-"),"月","-"),"日",""))),"")</f>
        <v/>
      </c>
      <c r="J2130">
        <f>IFERROR(MID(I2130,FIND("-",I2130)+1,99),"")</f>
        <v/>
      </c>
    </row>
    <row r="2131">
      <c r="B2131">
        <f>IFERROR(IF($B$1=0,"",IF(INDEX(貼り付け!$A$1:$BZ$3001,2130,$B$1)="","",IF(ISNUMBER(INDEX(貼り付け!$A$1:$BZ$3001,2130,$B$1)),INT(INDEX(貼り付け!$A$1:$BZ$3001,2130,$B$1)),DATE(VALUE(LEFT(I2131,FIND("-",I2131)-1)),VALUE(LEFT(J2131,FIND("-",J2131)-1)),VALUE(MID(J2131,FIND("-",J2131)+1,99)))))),"")</f>
        <v/>
      </c>
      <c r="C2131">
        <f>IF($C$1=0,0,IFERROR(VALUE(SUBSTITUTE(SUBSTITUTE(SUBSTITUTE(INDEX(貼り付け!$A$1:$BZ$3001,2130,$C$1)&amp;"",",",""),"¥",""),"￥","")),0))</f>
        <v/>
      </c>
      <c r="D2131">
        <f>IF($D$1=0,0,IFERROR(VALUE(SUBSTITUTE(SUBSTITUTE(SUBSTITUTE(INDEX(貼り付け!$A$1:$BZ$3001,2130,$D$1)&amp;"",",",""),"¥",""),"￥","")),0))</f>
        <v/>
      </c>
      <c r="E2131">
        <f>IF($E$1=0,0,IFERROR(VALUE(SUBSTITUTE(SUBSTITUTE(SUBSTITUTE(INDEX(貼り付け!$A$1:$BZ$3001,2130,$E$1)&amp;"",",",""),"¥",""),"￥","")),0))</f>
        <v/>
      </c>
      <c r="F2131">
        <f>IF($F$1=0,0,IFERROR(VALUE(SUBSTITUTE(SUBSTITUTE(SUBSTITUTE(INDEX(貼り付け!$A$1:$BZ$3001,2130,$F$1)&amp;"",",",""),"¥",""),"￥","")),0))</f>
        <v/>
      </c>
      <c r="G2131">
        <f>IF(ISNUMBER(B2131),YEAR(B2131),"")</f>
        <v/>
      </c>
      <c r="H2131">
        <f>IF(ISNUMBER(B2131),MONTH(B2131),"")</f>
        <v/>
      </c>
      <c r="I2131">
        <f>IFERROR(IF($B$1=0,"",IF(ISNUMBER(INDEX(貼り付け!$A$1:$BZ$3001,2130,$B$1)),"",SUBSTITUTE(SUBSTITUTE(SUBSTITUTE(SUBSTITUTE(TRIM(LEFT(INDEX(貼り付け!$A$1:$BZ$3001,2130,$B$1)&amp;"",FIND(" ",TRIM(INDEX(貼り付け!$A$1:$BZ$3001,2130,$B$1)&amp;"")&amp;" ")-1)),"/","-"),"年","-"),"月","-"),"日",""))),"")</f>
        <v/>
      </c>
      <c r="J2131">
        <f>IFERROR(MID(I2131,FIND("-",I2131)+1,99),"")</f>
        <v/>
      </c>
    </row>
    <row r="2132">
      <c r="B2132">
        <f>IFERROR(IF($B$1=0,"",IF(INDEX(貼り付け!$A$1:$BZ$3001,2131,$B$1)="","",IF(ISNUMBER(INDEX(貼り付け!$A$1:$BZ$3001,2131,$B$1)),INT(INDEX(貼り付け!$A$1:$BZ$3001,2131,$B$1)),DATE(VALUE(LEFT(I2132,FIND("-",I2132)-1)),VALUE(LEFT(J2132,FIND("-",J2132)-1)),VALUE(MID(J2132,FIND("-",J2132)+1,99)))))),"")</f>
        <v/>
      </c>
      <c r="C2132">
        <f>IF($C$1=0,0,IFERROR(VALUE(SUBSTITUTE(SUBSTITUTE(SUBSTITUTE(INDEX(貼り付け!$A$1:$BZ$3001,2131,$C$1)&amp;"",",",""),"¥",""),"￥","")),0))</f>
        <v/>
      </c>
      <c r="D2132">
        <f>IF($D$1=0,0,IFERROR(VALUE(SUBSTITUTE(SUBSTITUTE(SUBSTITUTE(INDEX(貼り付け!$A$1:$BZ$3001,2131,$D$1)&amp;"",",",""),"¥",""),"￥","")),0))</f>
        <v/>
      </c>
      <c r="E2132">
        <f>IF($E$1=0,0,IFERROR(VALUE(SUBSTITUTE(SUBSTITUTE(SUBSTITUTE(INDEX(貼り付け!$A$1:$BZ$3001,2131,$E$1)&amp;"",",",""),"¥",""),"￥","")),0))</f>
        <v/>
      </c>
      <c r="F2132">
        <f>IF($F$1=0,0,IFERROR(VALUE(SUBSTITUTE(SUBSTITUTE(SUBSTITUTE(INDEX(貼り付け!$A$1:$BZ$3001,2131,$F$1)&amp;"",",",""),"¥",""),"￥","")),0))</f>
        <v/>
      </c>
      <c r="G2132">
        <f>IF(ISNUMBER(B2132),YEAR(B2132),"")</f>
        <v/>
      </c>
      <c r="H2132">
        <f>IF(ISNUMBER(B2132),MONTH(B2132),"")</f>
        <v/>
      </c>
      <c r="I2132">
        <f>IFERROR(IF($B$1=0,"",IF(ISNUMBER(INDEX(貼り付け!$A$1:$BZ$3001,2131,$B$1)),"",SUBSTITUTE(SUBSTITUTE(SUBSTITUTE(SUBSTITUTE(TRIM(LEFT(INDEX(貼り付け!$A$1:$BZ$3001,2131,$B$1)&amp;"",FIND(" ",TRIM(INDEX(貼り付け!$A$1:$BZ$3001,2131,$B$1)&amp;"")&amp;" ")-1)),"/","-"),"年","-"),"月","-"),"日",""))),"")</f>
        <v/>
      </c>
      <c r="J2132">
        <f>IFERROR(MID(I2132,FIND("-",I2132)+1,99),"")</f>
        <v/>
      </c>
    </row>
    <row r="2133">
      <c r="B2133">
        <f>IFERROR(IF($B$1=0,"",IF(INDEX(貼り付け!$A$1:$BZ$3001,2132,$B$1)="","",IF(ISNUMBER(INDEX(貼り付け!$A$1:$BZ$3001,2132,$B$1)),INT(INDEX(貼り付け!$A$1:$BZ$3001,2132,$B$1)),DATE(VALUE(LEFT(I2133,FIND("-",I2133)-1)),VALUE(LEFT(J2133,FIND("-",J2133)-1)),VALUE(MID(J2133,FIND("-",J2133)+1,99)))))),"")</f>
        <v/>
      </c>
      <c r="C2133">
        <f>IF($C$1=0,0,IFERROR(VALUE(SUBSTITUTE(SUBSTITUTE(SUBSTITUTE(INDEX(貼り付け!$A$1:$BZ$3001,2132,$C$1)&amp;"",",",""),"¥",""),"￥","")),0))</f>
        <v/>
      </c>
      <c r="D2133">
        <f>IF($D$1=0,0,IFERROR(VALUE(SUBSTITUTE(SUBSTITUTE(SUBSTITUTE(INDEX(貼り付け!$A$1:$BZ$3001,2132,$D$1)&amp;"",",",""),"¥",""),"￥","")),0))</f>
        <v/>
      </c>
      <c r="E2133">
        <f>IF($E$1=0,0,IFERROR(VALUE(SUBSTITUTE(SUBSTITUTE(SUBSTITUTE(INDEX(貼り付け!$A$1:$BZ$3001,2132,$E$1)&amp;"",",",""),"¥",""),"￥","")),0))</f>
        <v/>
      </c>
      <c r="F2133">
        <f>IF($F$1=0,0,IFERROR(VALUE(SUBSTITUTE(SUBSTITUTE(SUBSTITUTE(INDEX(貼り付け!$A$1:$BZ$3001,2132,$F$1)&amp;"",",",""),"¥",""),"￥","")),0))</f>
        <v/>
      </c>
      <c r="G2133">
        <f>IF(ISNUMBER(B2133),YEAR(B2133),"")</f>
        <v/>
      </c>
      <c r="H2133">
        <f>IF(ISNUMBER(B2133),MONTH(B2133),"")</f>
        <v/>
      </c>
      <c r="I2133">
        <f>IFERROR(IF($B$1=0,"",IF(ISNUMBER(INDEX(貼り付け!$A$1:$BZ$3001,2132,$B$1)),"",SUBSTITUTE(SUBSTITUTE(SUBSTITUTE(SUBSTITUTE(TRIM(LEFT(INDEX(貼り付け!$A$1:$BZ$3001,2132,$B$1)&amp;"",FIND(" ",TRIM(INDEX(貼り付け!$A$1:$BZ$3001,2132,$B$1)&amp;"")&amp;" ")-1)),"/","-"),"年","-"),"月","-"),"日",""))),"")</f>
        <v/>
      </c>
      <c r="J2133">
        <f>IFERROR(MID(I2133,FIND("-",I2133)+1,99),"")</f>
        <v/>
      </c>
    </row>
    <row r="2134">
      <c r="B2134">
        <f>IFERROR(IF($B$1=0,"",IF(INDEX(貼り付け!$A$1:$BZ$3001,2133,$B$1)="","",IF(ISNUMBER(INDEX(貼り付け!$A$1:$BZ$3001,2133,$B$1)),INT(INDEX(貼り付け!$A$1:$BZ$3001,2133,$B$1)),DATE(VALUE(LEFT(I2134,FIND("-",I2134)-1)),VALUE(LEFT(J2134,FIND("-",J2134)-1)),VALUE(MID(J2134,FIND("-",J2134)+1,99)))))),"")</f>
        <v/>
      </c>
      <c r="C2134">
        <f>IF($C$1=0,0,IFERROR(VALUE(SUBSTITUTE(SUBSTITUTE(SUBSTITUTE(INDEX(貼り付け!$A$1:$BZ$3001,2133,$C$1)&amp;"",",",""),"¥",""),"￥","")),0))</f>
        <v/>
      </c>
      <c r="D2134">
        <f>IF($D$1=0,0,IFERROR(VALUE(SUBSTITUTE(SUBSTITUTE(SUBSTITUTE(INDEX(貼り付け!$A$1:$BZ$3001,2133,$D$1)&amp;"",",",""),"¥",""),"￥","")),0))</f>
        <v/>
      </c>
      <c r="E2134">
        <f>IF($E$1=0,0,IFERROR(VALUE(SUBSTITUTE(SUBSTITUTE(SUBSTITUTE(INDEX(貼り付け!$A$1:$BZ$3001,2133,$E$1)&amp;"",",",""),"¥",""),"￥","")),0))</f>
        <v/>
      </c>
      <c r="F2134">
        <f>IF($F$1=0,0,IFERROR(VALUE(SUBSTITUTE(SUBSTITUTE(SUBSTITUTE(INDEX(貼り付け!$A$1:$BZ$3001,2133,$F$1)&amp;"",",",""),"¥",""),"￥","")),0))</f>
        <v/>
      </c>
      <c r="G2134">
        <f>IF(ISNUMBER(B2134),YEAR(B2134),"")</f>
        <v/>
      </c>
      <c r="H2134">
        <f>IF(ISNUMBER(B2134),MONTH(B2134),"")</f>
        <v/>
      </c>
      <c r="I2134">
        <f>IFERROR(IF($B$1=0,"",IF(ISNUMBER(INDEX(貼り付け!$A$1:$BZ$3001,2133,$B$1)),"",SUBSTITUTE(SUBSTITUTE(SUBSTITUTE(SUBSTITUTE(TRIM(LEFT(INDEX(貼り付け!$A$1:$BZ$3001,2133,$B$1)&amp;"",FIND(" ",TRIM(INDEX(貼り付け!$A$1:$BZ$3001,2133,$B$1)&amp;"")&amp;" ")-1)),"/","-"),"年","-"),"月","-"),"日",""))),"")</f>
        <v/>
      </c>
      <c r="J2134">
        <f>IFERROR(MID(I2134,FIND("-",I2134)+1,99),"")</f>
        <v/>
      </c>
    </row>
    <row r="2135">
      <c r="B2135">
        <f>IFERROR(IF($B$1=0,"",IF(INDEX(貼り付け!$A$1:$BZ$3001,2134,$B$1)="","",IF(ISNUMBER(INDEX(貼り付け!$A$1:$BZ$3001,2134,$B$1)),INT(INDEX(貼り付け!$A$1:$BZ$3001,2134,$B$1)),DATE(VALUE(LEFT(I2135,FIND("-",I2135)-1)),VALUE(LEFT(J2135,FIND("-",J2135)-1)),VALUE(MID(J2135,FIND("-",J2135)+1,99)))))),"")</f>
        <v/>
      </c>
      <c r="C2135">
        <f>IF($C$1=0,0,IFERROR(VALUE(SUBSTITUTE(SUBSTITUTE(SUBSTITUTE(INDEX(貼り付け!$A$1:$BZ$3001,2134,$C$1)&amp;"",",",""),"¥",""),"￥","")),0))</f>
        <v/>
      </c>
      <c r="D2135">
        <f>IF($D$1=0,0,IFERROR(VALUE(SUBSTITUTE(SUBSTITUTE(SUBSTITUTE(INDEX(貼り付け!$A$1:$BZ$3001,2134,$D$1)&amp;"",",",""),"¥",""),"￥","")),0))</f>
        <v/>
      </c>
      <c r="E2135">
        <f>IF($E$1=0,0,IFERROR(VALUE(SUBSTITUTE(SUBSTITUTE(SUBSTITUTE(INDEX(貼り付け!$A$1:$BZ$3001,2134,$E$1)&amp;"",",",""),"¥",""),"￥","")),0))</f>
        <v/>
      </c>
      <c r="F2135">
        <f>IF($F$1=0,0,IFERROR(VALUE(SUBSTITUTE(SUBSTITUTE(SUBSTITUTE(INDEX(貼り付け!$A$1:$BZ$3001,2134,$F$1)&amp;"",",",""),"¥",""),"￥","")),0))</f>
        <v/>
      </c>
      <c r="G2135">
        <f>IF(ISNUMBER(B2135),YEAR(B2135),"")</f>
        <v/>
      </c>
      <c r="H2135">
        <f>IF(ISNUMBER(B2135),MONTH(B2135),"")</f>
        <v/>
      </c>
      <c r="I2135">
        <f>IFERROR(IF($B$1=0,"",IF(ISNUMBER(INDEX(貼り付け!$A$1:$BZ$3001,2134,$B$1)),"",SUBSTITUTE(SUBSTITUTE(SUBSTITUTE(SUBSTITUTE(TRIM(LEFT(INDEX(貼り付け!$A$1:$BZ$3001,2134,$B$1)&amp;"",FIND(" ",TRIM(INDEX(貼り付け!$A$1:$BZ$3001,2134,$B$1)&amp;"")&amp;" ")-1)),"/","-"),"年","-"),"月","-"),"日",""))),"")</f>
        <v/>
      </c>
      <c r="J2135">
        <f>IFERROR(MID(I2135,FIND("-",I2135)+1,99),"")</f>
        <v/>
      </c>
    </row>
    <row r="2136">
      <c r="B2136">
        <f>IFERROR(IF($B$1=0,"",IF(INDEX(貼り付け!$A$1:$BZ$3001,2135,$B$1)="","",IF(ISNUMBER(INDEX(貼り付け!$A$1:$BZ$3001,2135,$B$1)),INT(INDEX(貼り付け!$A$1:$BZ$3001,2135,$B$1)),DATE(VALUE(LEFT(I2136,FIND("-",I2136)-1)),VALUE(LEFT(J2136,FIND("-",J2136)-1)),VALUE(MID(J2136,FIND("-",J2136)+1,99)))))),"")</f>
        <v/>
      </c>
      <c r="C2136">
        <f>IF($C$1=0,0,IFERROR(VALUE(SUBSTITUTE(SUBSTITUTE(SUBSTITUTE(INDEX(貼り付け!$A$1:$BZ$3001,2135,$C$1)&amp;"",",",""),"¥",""),"￥","")),0))</f>
        <v/>
      </c>
      <c r="D2136">
        <f>IF($D$1=0,0,IFERROR(VALUE(SUBSTITUTE(SUBSTITUTE(SUBSTITUTE(INDEX(貼り付け!$A$1:$BZ$3001,2135,$D$1)&amp;"",",",""),"¥",""),"￥","")),0))</f>
        <v/>
      </c>
      <c r="E2136">
        <f>IF($E$1=0,0,IFERROR(VALUE(SUBSTITUTE(SUBSTITUTE(SUBSTITUTE(INDEX(貼り付け!$A$1:$BZ$3001,2135,$E$1)&amp;"",",",""),"¥",""),"￥","")),0))</f>
        <v/>
      </c>
      <c r="F2136">
        <f>IF($F$1=0,0,IFERROR(VALUE(SUBSTITUTE(SUBSTITUTE(SUBSTITUTE(INDEX(貼り付け!$A$1:$BZ$3001,2135,$F$1)&amp;"",",",""),"¥",""),"￥","")),0))</f>
        <v/>
      </c>
      <c r="G2136">
        <f>IF(ISNUMBER(B2136),YEAR(B2136),"")</f>
        <v/>
      </c>
      <c r="H2136">
        <f>IF(ISNUMBER(B2136),MONTH(B2136),"")</f>
        <v/>
      </c>
      <c r="I2136">
        <f>IFERROR(IF($B$1=0,"",IF(ISNUMBER(INDEX(貼り付け!$A$1:$BZ$3001,2135,$B$1)),"",SUBSTITUTE(SUBSTITUTE(SUBSTITUTE(SUBSTITUTE(TRIM(LEFT(INDEX(貼り付け!$A$1:$BZ$3001,2135,$B$1)&amp;"",FIND(" ",TRIM(INDEX(貼り付け!$A$1:$BZ$3001,2135,$B$1)&amp;"")&amp;" ")-1)),"/","-"),"年","-"),"月","-"),"日",""))),"")</f>
        <v/>
      </c>
      <c r="J2136">
        <f>IFERROR(MID(I2136,FIND("-",I2136)+1,99),"")</f>
        <v/>
      </c>
    </row>
    <row r="2137">
      <c r="B2137">
        <f>IFERROR(IF($B$1=0,"",IF(INDEX(貼り付け!$A$1:$BZ$3001,2136,$B$1)="","",IF(ISNUMBER(INDEX(貼り付け!$A$1:$BZ$3001,2136,$B$1)),INT(INDEX(貼り付け!$A$1:$BZ$3001,2136,$B$1)),DATE(VALUE(LEFT(I2137,FIND("-",I2137)-1)),VALUE(LEFT(J2137,FIND("-",J2137)-1)),VALUE(MID(J2137,FIND("-",J2137)+1,99)))))),"")</f>
        <v/>
      </c>
      <c r="C2137">
        <f>IF($C$1=0,0,IFERROR(VALUE(SUBSTITUTE(SUBSTITUTE(SUBSTITUTE(INDEX(貼り付け!$A$1:$BZ$3001,2136,$C$1)&amp;"",",",""),"¥",""),"￥","")),0))</f>
        <v/>
      </c>
      <c r="D2137">
        <f>IF($D$1=0,0,IFERROR(VALUE(SUBSTITUTE(SUBSTITUTE(SUBSTITUTE(INDEX(貼り付け!$A$1:$BZ$3001,2136,$D$1)&amp;"",",",""),"¥",""),"￥","")),0))</f>
        <v/>
      </c>
      <c r="E2137">
        <f>IF($E$1=0,0,IFERROR(VALUE(SUBSTITUTE(SUBSTITUTE(SUBSTITUTE(INDEX(貼り付け!$A$1:$BZ$3001,2136,$E$1)&amp;"",",",""),"¥",""),"￥","")),0))</f>
        <v/>
      </c>
      <c r="F2137">
        <f>IF($F$1=0,0,IFERROR(VALUE(SUBSTITUTE(SUBSTITUTE(SUBSTITUTE(INDEX(貼り付け!$A$1:$BZ$3001,2136,$F$1)&amp;"",",",""),"¥",""),"￥","")),0))</f>
        <v/>
      </c>
      <c r="G2137">
        <f>IF(ISNUMBER(B2137),YEAR(B2137),"")</f>
        <v/>
      </c>
      <c r="H2137">
        <f>IF(ISNUMBER(B2137),MONTH(B2137),"")</f>
        <v/>
      </c>
      <c r="I2137">
        <f>IFERROR(IF($B$1=0,"",IF(ISNUMBER(INDEX(貼り付け!$A$1:$BZ$3001,2136,$B$1)),"",SUBSTITUTE(SUBSTITUTE(SUBSTITUTE(SUBSTITUTE(TRIM(LEFT(INDEX(貼り付け!$A$1:$BZ$3001,2136,$B$1)&amp;"",FIND(" ",TRIM(INDEX(貼り付け!$A$1:$BZ$3001,2136,$B$1)&amp;"")&amp;" ")-1)),"/","-"),"年","-"),"月","-"),"日",""))),"")</f>
        <v/>
      </c>
      <c r="J2137">
        <f>IFERROR(MID(I2137,FIND("-",I2137)+1,99),"")</f>
        <v/>
      </c>
    </row>
    <row r="2138">
      <c r="B2138">
        <f>IFERROR(IF($B$1=0,"",IF(INDEX(貼り付け!$A$1:$BZ$3001,2137,$B$1)="","",IF(ISNUMBER(INDEX(貼り付け!$A$1:$BZ$3001,2137,$B$1)),INT(INDEX(貼り付け!$A$1:$BZ$3001,2137,$B$1)),DATE(VALUE(LEFT(I2138,FIND("-",I2138)-1)),VALUE(LEFT(J2138,FIND("-",J2138)-1)),VALUE(MID(J2138,FIND("-",J2138)+1,99)))))),"")</f>
        <v/>
      </c>
      <c r="C2138">
        <f>IF($C$1=0,0,IFERROR(VALUE(SUBSTITUTE(SUBSTITUTE(SUBSTITUTE(INDEX(貼り付け!$A$1:$BZ$3001,2137,$C$1)&amp;"",",",""),"¥",""),"￥","")),0))</f>
        <v/>
      </c>
      <c r="D2138">
        <f>IF($D$1=0,0,IFERROR(VALUE(SUBSTITUTE(SUBSTITUTE(SUBSTITUTE(INDEX(貼り付け!$A$1:$BZ$3001,2137,$D$1)&amp;"",",",""),"¥",""),"￥","")),0))</f>
        <v/>
      </c>
      <c r="E2138">
        <f>IF($E$1=0,0,IFERROR(VALUE(SUBSTITUTE(SUBSTITUTE(SUBSTITUTE(INDEX(貼り付け!$A$1:$BZ$3001,2137,$E$1)&amp;"",",",""),"¥",""),"￥","")),0))</f>
        <v/>
      </c>
      <c r="F2138">
        <f>IF($F$1=0,0,IFERROR(VALUE(SUBSTITUTE(SUBSTITUTE(SUBSTITUTE(INDEX(貼り付け!$A$1:$BZ$3001,2137,$F$1)&amp;"",",",""),"¥",""),"￥","")),0))</f>
        <v/>
      </c>
      <c r="G2138">
        <f>IF(ISNUMBER(B2138),YEAR(B2138),"")</f>
        <v/>
      </c>
      <c r="H2138">
        <f>IF(ISNUMBER(B2138),MONTH(B2138),"")</f>
        <v/>
      </c>
      <c r="I2138">
        <f>IFERROR(IF($B$1=0,"",IF(ISNUMBER(INDEX(貼り付け!$A$1:$BZ$3001,2137,$B$1)),"",SUBSTITUTE(SUBSTITUTE(SUBSTITUTE(SUBSTITUTE(TRIM(LEFT(INDEX(貼り付け!$A$1:$BZ$3001,2137,$B$1)&amp;"",FIND(" ",TRIM(INDEX(貼り付け!$A$1:$BZ$3001,2137,$B$1)&amp;"")&amp;" ")-1)),"/","-"),"年","-"),"月","-"),"日",""))),"")</f>
        <v/>
      </c>
      <c r="J2138">
        <f>IFERROR(MID(I2138,FIND("-",I2138)+1,99),"")</f>
        <v/>
      </c>
    </row>
    <row r="2139">
      <c r="B2139">
        <f>IFERROR(IF($B$1=0,"",IF(INDEX(貼り付け!$A$1:$BZ$3001,2138,$B$1)="","",IF(ISNUMBER(INDEX(貼り付け!$A$1:$BZ$3001,2138,$B$1)),INT(INDEX(貼り付け!$A$1:$BZ$3001,2138,$B$1)),DATE(VALUE(LEFT(I2139,FIND("-",I2139)-1)),VALUE(LEFT(J2139,FIND("-",J2139)-1)),VALUE(MID(J2139,FIND("-",J2139)+1,99)))))),"")</f>
        <v/>
      </c>
      <c r="C2139">
        <f>IF($C$1=0,0,IFERROR(VALUE(SUBSTITUTE(SUBSTITUTE(SUBSTITUTE(INDEX(貼り付け!$A$1:$BZ$3001,2138,$C$1)&amp;"",",",""),"¥",""),"￥","")),0))</f>
        <v/>
      </c>
      <c r="D2139">
        <f>IF($D$1=0,0,IFERROR(VALUE(SUBSTITUTE(SUBSTITUTE(SUBSTITUTE(INDEX(貼り付け!$A$1:$BZ$3001,2138,$D$1)&amp;"",",",""),"¥",""),"￥","")),0))</f>
        <v/>
      </c>
      <c r="E2139">
        <f>IF($E$1=0,0,IFERROR(VALUE(SUBSTITUTE(SUBSTITUTE(SUBSTITUTE(INDEX(貼り付け!$A$1:$BZ$3001,2138,$E$1)&amp;"",",",""),"¥",""),"￥","")),0))</f>
        <v/>
      </c>
      <c r="F2139">
        <f>IF($F$1=0,0,IFERROR(VALUE(SUBSTITUTE(SUBSTITUTE(SUBSTITUTE(INDEX(貼り付け!$A$1:$BZ$3001,2138,$F$1)&amp;"",",",""),"¥",""),"￥","")),0))</f>
        <v/>
      </c>
      <c r="G2139">
        <f>IF(ISNUMBER(B2139),YEAR(B2139),"")</f>
        <v/>
      </c>
      <c r="H2139">
        <f>IF(ISNUMBER(B2139),MONTH(B2139),"")</f>
        <v/>
      </c>
      <c r="I2139">
        <f>IFERROR(IF($B$1=0,"",IF(ISNUMBER(INDEX(貼り付け!$A$1:$BZ$3001,2138,$B$1)),"",SUBSTITUTE(SUBSTITUTE(SUBSTITUTE(SUBSTITUTE(TRIM(LEFT(INDEX(貼り付け!$A$1:$BZ$3001,2138,$B$1)&amp;"",FIND(" ",TRIM(INDEX(貼り付け!$A$1:$BZ$3001,2138,$B$1)&amp;"")&amp;" ")-1)),"/","-"),"年","-"),"月","-"),"日",""))),"")</f>
        <v/>
      </c>
      <c r="J2139">
        <f>IFERROR(MID(I2139,FIND("-",I2139)+1,99),"")</f>
        <v/>
      </c>
    </row>
    <row r="2140">
      <c r="B2140">
        <f>IFERROR(IF($B$1=0,"",IF(INDEX(貼り付け!$A$1:$BZ$3001,2139,$B$1)="","",IF(ISNUMBER(INDEX(貼り付け!$A$1:$BZ$3001,2139,$B$1)),INT(INDEX(貼り付け!$A$1:$BZ$3001,2139,$B$1)),DATE(VALUE(LEFT(I2140,FIND("-",I2140)-1)),VALUE(LEFT(J2140,FIND("-",J2140)-1)),VALUE(MID(J2140,FIND("-",J2140)+1,99)))))),"")</f>
        <v/>
      </c>
      <c r="C2140">
        <f>IF($C$1=0,0,IFERROR(VALUE(SUBSTITUTE(SUBSTITUTE(SUBSTITUTE(INDEX(貼り付け!$A$1:$BZ$3001,2139,$C$1)&amp;"",",",""),"¥",""),"￥","")),0))</f>
        <v/>
      </c>
      <c r="D2140">
        <f>IF($D$1=0,0,IFERROR(VALUE(SUBSTITUTE(SUBSTITUTE(SUBSTITUTE(INDEX(貼り付け!$A$1:$BZ$3001,2139,$D$1)&amp;"",",",""),"¥",""),"￥","")),0))</f>
        <v/>
      </c>
      <c r="E2140">
        <f>IF($E$1=0,0,IFERROR(VALUE(SUBSTITUTE(SUBSTITUTE(SUBSTITUTE(INDEX(貼り付け!$A$1:$BZ$3001,2139,$E$1)&amp;"",",",""),"¥",""),"￥","")),0))</f>
        <v/>
      </c>
      <c r="F2140">
        <f>IF($F$1=0,0,IFERROR(VALUE(SUBSTITUTE(SUBSTITUTE(SUBSTITUTE(INDEX(貼り付け!$A$1:$BZ$3001,2139,$F$1)&amp;"",",",""),"¥",""),"￥","")),0))</f>
        <v/>
      </c>
      <c r="G2140">
        <f>IF(ISNUMBER(B2140),YEAR(B2140),"")</f>
        <v/>
      </c>
      <c r="H2140">
        <f>IF(ISNUMBER(B2140),MONTH(B2140),"")</f>
        <v/>
      </c>
      <c r="I2140">
        <f>IFERROR(IF($B$1=0,"",IF(ISNUMBER(INDEX(貼り付け!$A$1:$BZ$3001,2139,$B$1)),"",SUBSTITUTE(SUBSTITUTE(SUBSTITUTE(SUBSTITUTE(TRIM(LEFT(INDEX(貼り付け!$A$1:$BZ$3001,2139,$B$1)&amp;"",FIND(" ",TRIM(INDEX(貼り付け!$A$1:$BZ$3001,2139,$B$1)&amp;"")&amp;" ")-1)),"/","-"),"年","-"),"月","-"),"日",""))),"")</f>
        <v/>
      </c>
      <c r="J2140">
        <f>IFERROR(MID(I2140,FIND("-",I2140)+1,99),"")</f>
        <v/>
      </c>
    </row>
    <row r="2141">
      <c r="B2141">
        <f>IFERROR(IF($B$1=0,"",IF(INDEX(貼り付け!$A$1:$BZ$3001,2140,$B$1)="","",IF(ISNUMBER(INDEX(貼り付け!$A$1:$BZ$3001,2140,$B$1)),INT(INDEX(貼り付け!$A$1:$BZ$3001,2140,$B$1)),DATE(VALUE(LEFT(I2141,FIND("-",I2141)-1)),VALUE(LEFT(J2141,FIND("-",J2141)-1)),VALUE(MID(J2141,FIND("-",J2141)+1,99)))))),"")</f>
        <v/>
      </c>
      <c r="C2141">
        <f>IF($C$1=0,0,IFERROR(VALUE(SUBSTITUTE(SUBSTITUTE(SUBSTITUTE(INDEX(貼り付け!$A$1:$BZ$3001,2140,$C$1)&amp;"",",",""),"¥",""),"￥","")),0))</f>
        <v/>
      </c>
      <c r="D2141">
        <f>IF($D$1=0,0,IFERROR(VALUE(SUBSTITUTE(SUBSTITUTE(SUBSTITUTE(INDEX(貼り付け!$A$1:$BZ$3001,2140,$D$1)&amp;"",",",""),"¥",""),"￥","")),0))</f>
        <v/>
      </c>
      <c r="E2141">
        <f>IF($E$1=0,0,IFERROR(VALUE(SUBSTITUTE(SUBSTITUTE(SUBSTITUTE(INDEX(貼り付け!$A$1:$BZ$3001,2140,$E$1)&amp;"",",",""),"¥",""),"￥","")),0))</f>
        <v/>
      </c>
      <c r="F2141">
        <f>IF($F$1=0,0,IFERROR(VALUE(SUBSTITUTE(SUBSTITUTE(SUBSTITUTE(INDEX(貼り付け!$A$1:$BZ$3001,2140,$F$1)&amp;"",",",""),"¥",""),"￥","")),0))</f>
        <v/>
      </c>
      <c r="G2141">
        <f>IF(ISNUMBER(B2141),YEAR(B2141),"")</f>
        <v/>
      </c>
      <c r="H2141">
        <f>IF(ISNUMBER(B2141),MONTH(B2141),"")</f>
        <v/>
      </c>
      <c r="I2141">
        <f>IFERROR(IF($B$1=0,"",IF(ISNUMBER(INDEX(貼り付け!$A$1:$BZ$3001,2140,$B$1)),"",SUBSTITUTE(SUBSTITUTE(SUBSTITUTE(SUBSTITUTE(TRIM(LEFT(INDEX(貼り付け!$A$1:$BZ$3001,2140,$B$1)&amp;"",FIND(" ",TRIM(INDEX(貼り付け!$A$1:$BZ$3001,2140,$B$1)&amp;"")&amp;" ")-1)),"/","-"),"年","-"),"月","-"),"日",""))),"")</f>
        <v/>
      </c>
      <c r="J2141">
        <f>IFERROR(MID(I2141,FIND("-",I2141)+1,99),"")</f>
        <v/>
      </c>
    </row>
    <row r="2142">
      <c r="B2142">
        <f>IFERROR(IF($B$1=0,"",IF(INDEX(貼り付け!$A$1:$BZ$3001,2141,$B$1)="","",IF(ISNUMBER(INDEX(貼り付け!$A$1:$BZ$3001,2141,$B$1)),INT(INDEX(貼り付け!$A$1:$BZ$3001,2141,$B$1)),DATE(VALUE(LEFT(I2142,FIND("-",I2142)-1)),VALUE(LEFT(J2142,FIND("-",J2142)-1)),VALUE(MID(J2142,FIND("-",J2142)+1,99)))))),"")</f>
        <v/>
      </c>
      <c r="C2142">
        <f>IF($C$1=0,0,IFERROR(VALUE(SUBSTITUTE(SUBSTITUTE(SUBSTITUTE(INDEX(貼り付け!$A$1:$BZ$3001,2141,$C$1)&amp;"",",",""),"¥",""),"￥","")),0))</f>
        <v/>
      </c>
      <c r="D2142">
        <f>IF($D$1=0,0,IFERROR(VALUE(SUBSTITUTE(SUBSTITUTE(SUBSTITUTE(INDEX(貼り付け!$A$1:$BZ$3001,2141,$D$1)&amp;"",",",""),"¥",""),"￥","")),0))</f>
        <v/>
      </c>
      <c r="E2142">
        <f>IF($E$1=0,0,IFERROR(VALUE(SUBSTITUTE(SUBSTITUTE(SUBSTITUTE(INDEX(貼り付け!$A$1:$BZ$3001,2141,$E$1)&amp;"",",",""),"¥",""),"￥","")),0))</f>
        <v/>
      </c>
      <c r="F2142">
        <f>IF($F$1=0,0,IFERROR(VALUE(SUBSTITUTE(SUBSTITUTE(SUBSTITUTE(INDEX(貼り付け!$A$1:$BZ$3001,2141,$F$1)&amp;"",",",""),"¥",""),"￥","")),0))</f>
        <v/>
      </c>
      <c r="G2142">
        <f>IF(ISNUMBER(B2142),YEAR(B2142),"")</f>
        <v/>
      </c>
      <c r="H2142">
        <f>IF(ISNUMBER(B2142),MONTH(B2142),"")</f>
        <v/>
      </c>
      <c r="I2142">
        <f>IFERROR(IF($B$1=0,"",IF(ISNUMBER(INDEX(貼り付け!$A$1:$BZ$3001,2141,$B$1)),"",SUBSTITUTE(SUBSTITUTE(SUBSTITUTE(SUBSTITUTE(TRIM(LEFT(INDEX(貼り付け!$A$1:$BZ$3001,2141,$B$1)&amp;"",FIND(" ",TRIM(INDEX(貼り付け!$A$1:$BZ$3001,2141,$B$1)&amp;"")&amp;" ")-1)),"/","-"),"年","-"),"月","-"),"日",""))),"")</f>
        <v/>
      </c>
      <c r="J2142">
        <f>IFERROR(MID(I2142,FIND("-",I2142)+1,99),"")</f>
        <v/>
      </c>
    </row>
    <row r="2143">
      <c r="B2143">
        <f>IFERROR(IF($B$1=0,"",IF(INDEX(貼り付け!$A$1:$BZ$3001,2142,$B$1)="","",IF(ISNUMBER(INDEX(貼り付け!$A$1:$BZ$3001,2142,$B$1)),INT(INDEX(貼り付け!$A$1:$BZ$3001,2142,$B$1)),DATE(VALUE(LEFT(I2143,FIND("-",I2143)-1)),VALUE(LEFT(J2143,FIND("-",J2143)-1)),VALUE(MID(J2143,FIND("-",J2143)+1,99)))))),"")</f>
        <v/>
      </c>
      <c r="C2143">
        <f>IF($C$1=0,0,IFERROR(VALUE(SUBSTITUTE(SUBSTITUTE(SUBSTITUTE(INDEX(貼り付け!$A$1:$BZ$3001,2142,$C$1)&amp;"",",",""),"¥",""),"￥","")),0))</f>
        <v/>
      </c>
      <c r="D2143">
        <f>IF($D$1=0,0,IFERROR(VALUE(SUBSTITUTE(SUBSTITUTE(SUBSTITUTE(INDEX(貼り付け!$A$1:$BZ$3001,2142,$D$1)&amp;"",",",""),"¥",""),"￥","")),0))</f>
        <v/>
      </c>
      <c r="E2143">
        <f>IF($E$1=0,0,IFERROR(VALUE(SUBSTITUTE(SUBSTITUTE(SUBSTITUTE(INDEX(貼り付け!$A$1:$BZ$3001,2142,$E$1)&amp;"",",",""),"¥",""),"￥","")),0))</f>
        <v/>
      </c>
      <c r="F2143">
        <f>IF($F$1=0,0,IFERROR(VALUE(SUBSTITUTE(SUBSTITUTE(SUBSTITUTE(INDEX(貼り付け!$A$1:$BZ$3001,2142,$F$1)&amp;"",",",""),"¥",""),"￥","")),0))</f>
        <v/>
      </c>
      <c r="G2143">
        <f>IF(ISNUMBER(B2143),YEAR(B2143),"")</f>
        <v/>
      </c>
      <c r="H2143">
        <f>IF(ISNUMBER(B2143),MONTH(B2143),"")</f>
        <v/>
      </c>
      <c r="I2143">
        <f>IFERROR(IF($B$1=0,"",IF(ISNUMBER(INDEX(貼り付け!$A$1:$BZ$3001,2142,$B$1)),"",SUBSTITUTE(SUBSTITUTE(SUBSTITUTE(SUBSTITUTE(TRIM(LEFT(INDEX(貼り付け!$A$1:$BZ$3001,2142,$B$1)&amp;"",FIND(" ",TRIM(INDEX(貼り付け!$A$1:$BZ$3001,2142,$B$1)&amp;"")&amp;" ")-1)),"/","-"),"年","-"),"月","-"),"日",""))),"")</f>
        <v/>
      </c>
      <c r="J2143">
        <f>IFERROR(MID(I2143,FIND("-",I2143)+1,99),"")</f>
        <v/>
      </c>
    </row>
    <row r="2144">
      <c r="B2144">
        <f>IFERROR(IF($B$1=0,"",IF(INDEX(貼り付け!$A$1:$BZ$3001,2143,$B$1)="","",IF(ISNUMBER(INDEX(貼り付け!$A$1:$BZ$3001,2143,$B$1)),INT(INDEX(貼り付け!$A$1:$BZ$3001,2143,$B$1)),DATE(VALUE(LEFT(I2144,FIND("-",I2144)-1)),VALUE(LEFT(J2144,FIND("-",J2144)-1)),VALUE(MID(J2144,FIND("-",J2144)+1,99)))))),"")</f>
        <v/>
      </c>
      <c r="C2144">
        <f>IF($C$1=0,0,IFERROR(VALUE(SUBSTITUTE(SUBSTITUTE(SUBSTITUTE(INDEX(貼り付け!$A$1:$BZ$3001,2143,$C$1)&amp;"",",",""),"¥",""),"￥","")),0))</f>
        <v/>
      </c>
      <c r="D2144">
        <f>IF($D$1=0,0,IFERROR(VALUE(SUBSTITUTE(SUBSTITUTE(SUBSTITUTE(INDEX(貼り付け!$A$1:$BZ$3001,2143,$D$1)&amp;"",",",""),"¥",""),"￥","")),0))</f>
        <v/>
      </c>
      <c r="E2144">
        <f>IF($E$1=0,0,IFERROR(VALUE(SUBSTITUTE(SUBSTITUTE(SUBSTITUTE(INDEX(貼り付け!$A$1:$BZ$3001,2143,$E$1)&amp;"",",",""),"¥",""),"￥","")),0))</f>
        <v/>
      </c>
      <c r="F2144">
        <f>IF($F$1=0,0,IFERROR(VALUE(SUBSTITUTE(SUBSTITUTE(SUBSTITUTE(INDEX(貼り付け!$A$1:$BZ$3001,2143,$F$1)&amp;"",",",""),"¥",""),"￥","")),0))</f>
        <v/>
      </c>
      <c r="G2144">
        <f>IF(ISNUMBER(B2144),YEAR(B2144),"")</f>
        <v/>
      </c>
      <c r="H2144">
        <f>IF(ISNUMBER(B2144),MONTH(B2144),"")</f>
        <v/>
      </c>
      <c r="I2144">
        <f>IFERROR(IF($B$1=0,"",IF(ISNUMBER(INDEX(貼り付け!$A$1:$BZ$3001,2143,$B$1)),"",SUBSTITUTE(SUBSTITUTE(SUBSTITUTE(SUBSTITUTE(TRIM(LEFT(INDEX(貼り付け!$A$1:$BZ$3001,2143,$B$1)&amp;"",FIND(" ",TRIM(INDEX(貼り付け!$A$1:$BZ$3001,2143,$B$1)&amp;"")&amp;" ")-1)),"/","-"),"年","-"),"月","-"),"日",""))),"")</f>
        <v/>
      </c>
      <c r="J2144">
        <f>IFERROR(MID(I2144,FIND("-",I2144)+1,99),"")</f>
        <v/>
      </c>
    </row>
    <row r="2145">
      <c r="B2145">
        <f>IFERROR(IF($B$1=0,"",IF(INDEX(貼り付け!$A$1:$BZ$3001,2144,$B$1)="","",IF(ISNUMBER(INDEX(貼り付け!$A$1:$BZ$3001,2144,$B$1)),INT(INDEX(貼り付け!$A$1:$BZ$3001,2144,$B$1)),DATE(VALUE(LEFT(I2145,FIND("-",I2145)-1)),VALUE(LEFT(J2145,FIND("-",J2145)-1)),VALUE(MID(J2145,FIND("-",J2145)+1,99)))))),"")</f>
        <v/>
      </c>
      <c r="C2145">
        <f>IF($C$1=0,0,IFERROR(VALUE(SUBSTITUTE(SUBSTITUTE(SUBSTITUTE(INDEX(貼り付け!$A$1:$BZ$3001,2144,$C$1)&amp;"",",",""),"¥",""),"￥","")),0))</f>
        <v/>
      </c>
      <c r="D2145">
        <f>IF($D$1=0,0,IFERROR(VALUE(SUBSTITUTE(SUBSTITUTE(SUBSTITUTE(INDEX(貼り付け!$A$1:$BZ$3001,2144,$D$1)&amp;"",",",""),"¥",""),"￥","")),0))</f>
        <v/>
      </c>
      <c r="E2145">
        <f>IF($E$1=0,0,IFERROR(VALUE(SUBSTITUTE(SUBSTITUTE(SUBSTITUTE(INDEX(貼り付け!$A$1:$BZ$3001,2144,$E$1)&amp;"",",",""),"¥",""),"￥","")),0))</f>
        <v/>
      </c>
      <c r="F2145">
        <f>IF($F$1=0,0,IFERROR(VALUE(SUBSTITUTE(SUBSTITUTE(SUBSTITUTE(INDEX(貼り付け!$A$1:$BZ$3001,2144,$F$1)&amp;"",",",""),"¥",""),"￥","")),0))</f>
        <v/>
      </c>
      <c r="G2145">
        <f>IF(ISNUMBER(B2145),YEAR(B2145),"")</f>
        <v/>
      </c>
      <c r="H2145">
        <f>IF(ISNUMBER(B2145),MONTH(B2145),"")</f>
        <v/>
      </c>
      <c r="I2145">
        <f>IFERROR(IF($B$1=0,"",IF(ISNUMBER(INDEX(貼り付け!$A$1:$BZ$3001,2144,$B$1)),"",SUBSTITUTE(SUBSTITUTE(SUBSTITUTE(SUBSTITUTE(TRIM(LEFT(INDEX(貼り付け!$A$1:$BZ$3001,2144,$B$1)&amp;"",FIND(" ",TRIM(INDEX(貼り付け!$A$1:$BZ$3001,2144,$B$1)&amp;"")&amp;" ")-1)),"/","-"),"年","-"),"月","-"),"日",""))),"")</f>
        <v/>
      </c>
      <c r="J2145">
        <f>IFERROR(MID(I2145,FIND("-",I2145)+1,99),"")</f>
        <v/>
      </c>
    </row>
    <row r="2146">
      <c r="B2146">
        <f>IFERROR(IF($B$1=0,"",IF(INDEX(貼り付け!$A$1:$BZ$3001,2145,$B$1)="","",IF(ISNUMBER(INDEX(貼り付け!$A$1:$BZ$3001,2145,$B$1)),INT(INDEX(貼り付け!$A$1:$BZ$3001,2145,$B$1)),DATE(VALUE(LEFT(I2146,FIND("-",I2146)-1)),VALUE(LEFT(J2146,FIND("-",J2146)-1)),VALUE(MID(J2146,FIND("-",J2146)+1,99)))))),"")</f>
        <v/>
      </c>
      <c r="C2146">
        <f>IF($C$1=0,0,IFERROR(VALUE(SUBSTITUTE(SUBSTITUTE(SUBSTITUTE(INDEX(貼り付け!$A$1:$BZ$3001,2145,$C$1)&amp;"",",",""),"¥",""),"￥","")),0))</f>
        <v/>
      </c>
      <c r="D2146">
        <f>IF($D$1=0,0,IFERROR(VALUE(SUBSTITUTE(SUBSTITUTE(SUBSTITUTE(INDEX(貼り付け!$A$1:$BZ$3001,2145,$D$1)&amp;"",",",""),"¥",""),"￥","")),0))</f>
        <v/>
      </c>
      <c r="E2146">
        <f>IF($E$1=0,0,IFERROR(VALUE(SUBSTITUTE(SUBSTITUTE(SUBSTITUTE(INDEX(貼り付け!$A$1:$BZ$3001,2145,$E$1)&amp;"",",",""),"¥",""),"￥","")),0))</f>
        <v/>
      </c>
      <c r="F2146">
        <f>IF($F$1=0,0,IFERROR(VALUE(SUBSTITUTE(SUBSTITUTE(SUBSTITUTE(INDEX(貼り付け!$A$1:$BZ$3001,2145,$F$1)&amp;"",",",""),"¥",""),"￥","")),0))</f>
        <v/>
      </c>
      <c r="G2146">
        <f>IF(ISNUMBER(B2146),YEAR(B2146),"")</f>
        <v/>
      </c>
      <c r="H2146">
        <f>IF(ISNUMBER(B2146),MONTH(B2146),"")</f>
        <v/>
      </c>
      <c r="I2146">
        <f>IFERROR(IF($B$1=0,"",IF(ISNUMBER(INDEX(貼り付け!$A$1:$BZ$3001,2145,$B$1)),"",SUBSTITUTE(SUBSTITUTE(SUBSTITUTE(SUBSTITUTE(TRIM(LEFT(INDEX(貼り付け!$A$1:$BZ$3001,2145,$B$1)&amp;"",FIND(" ",TRIM(INDEX(貼り付け!$A$1:$BZ$3001,2145,$B$1)&amp;"")&amp;" ")-1)),"/","-"),"年","-"),"月","-"),"日",""))),"")</f>
        <v/>
      </c>
      <c r="J2146">
        <f>IFERROR(MID(I2146,FIND("-",I2146)+1,99),"")</f>
        <v/>
      </c>
    </row>
    <row r="2147">
      <c r="B2147">
        <f>IFERROR(IF($B$1=0,"",IF(INDEX(貼り付け!$A$1:$BZ$3001,2146,$B$1)="","",IF(ISNUMBER(INDEX(貼り付け!$A$1:$BZ$3001,2146,$B$1)),INT(INDEX(貼り付け!$A$1:$BZ$3001,2146,$B$1)),DATE(VALUE(LEFT(I2147,FIND("-",I2147)-1)),VALUE(LEFT(J2147,FIND("-",J2147)-1)),VALUE(MID(J2147,FIND("-",J2147)+1,99)))))),"")</f>
        <v/>
      </c>
      <c r="C2147">
        <f>IF($C$1=0,0,IFERROR(VALUE(SUBSTITUTE(SUBSTITUTE(SUBSTITUTE(INDEX(貼り付け!$A$1:$BZ$3001,2146,$C$1)&amp;"",",",""),"¥",""),"￥","")),0))</f>
        <v/>
      </c>
      <c r="D2147">
        <f>IF($D$1=0,0,IFERROR(VALUE(SUBSTITUTE(SUBSTITUTE(SUBSTITUTE(INDEX(貼り付け!$A$1:$BZ$3001,2146,$D$1)&amp;"",",",""),"¥",""),"￥","")),0))</f>
        <v/>
      </c>
      <c r="E2147">
        <f>IF($E$1=0,0,IFERROR(VALUE(SUBSTITUTE(SUBSTITUTE(SUBSTITUTE(INDEX(貼り付け!$A$1:$BZ$3001,2146,$E$1)&amp;"",",",""),"¥",""),"￥","")),0))</f>
        <v/>
      </c>
      <c r="F2147">
        <f>IF($F$1=0,0,IFERROR(VALUE(SUBSTITUTE(SUBSTITUTE(SUBSTITUTE(INDEX(貼り付け!$A$1:$BZ$3001,2146,$F$1)&amp;"",",",""),"¥",""),"￥","")),0))</f>
        <v/>
      </c>
      <c r="G2147">
        <f>IF(ISNUMBER(B2147),YEAR(B2147),"")</f>
        <v/>
      </c>
      <c r="H2147">
        <f>IF(ISNUMBER(B2147),MONTH(B2147),"")</f>
        <v/>
      </c>
      <c r="I2147">
        <f>IFERROR(IF($B$1=0,"",IF(ISNUMBER(INDEX(貼り付け!$A$1:$BZ$3001,2146,$B$1)),"",SUBSTITUTE(SUBSTITUTE(SUBSTITUTE(SUBSTITUTE(TRIM(LEFT(INDEX(貼り付け!$A$1:$BZ$3001,2146,$B$1)&amp;"",FIND(" ",TRIM(INDEX(貼り付け!$A$1:$BZ$3001,2146,$B$1)&amp;"")&amp;" ")-1)),"/","-"),"年","-"),"月","-"),"日",""))),"")</f>
        <v/>
      </c>
      <c r="J2147">
        <f>IFERROR(MID(I2147,FIND("-",I2147)+1,99),"")</f>
        <v/>
      </c>
    </row>
    <row r="2148">
      <c r="B2148">
        <f>IFERROR(IF($B$1=0,"",IF(INDEX(貼り付け!$A$1:$BZ$3001,2147,$B$1)="","",IF(ISNUMBER(INDEX(貼り付け!$A$1:$BZ$3001,2147,$B$1)),INT(INDEX(貼り付け!$A$1:$BZ$3001,2147,$B$1)),DATE(VALUE(LEFT(I2148,FIND("-",I2148)-1)),VALUE(LEFT(J2148,FIND("-",J2148)-1)),VALUE(MID(J2148,FIND("-",J2148)+1,99)))))),"")</f>
        <v/>
      </c>
      <c r="C2148">
        <f>IF($C$1=0,0,IFERROR(VALUE(SUBSTITUTE(SUBSTITUTE(SUBSTITUTE(INDEX(貼り付け!$A$1:$BZ$3001,2147,$C$1)&amp;"",",",""),"¥",""),"￥","")),0))</f>
        <v/>
      </c>
      <c r="D2148">
        <f>IF($D$1=0,0,IFERROR(VALUE(SUBSTITUTE(SUBSTITUTE(SUBSTITUTE(INDEX(貼り付け!$A$1:$BZ$3001,2147,$D$1)&amp;"",",",""),"¥",""),"￥","")),0))</f>
        <v/>
      </c>
      <c r="E2148">
        <f>IF($E$1=0,0,IFERROR(VALUE(SUBSTITUTE(SUBSTITUTE(SUBSTITUTE(INDEX(貼り付け!$A$1:$BZ$3001,2147,$E$1)&amp;"",",",""),"¥",""),"￥","")),0))</f>
        <v/>
      </c>
      <c r="F2148">
        <f>IF($F$1=0,0,IFERROR(VALUE(SUBSTITUTE(SUBSTITUTE(SUBSTITUTE(INDEX(貼り付け!$A$1:$BZ$3001,2147,$F$1)&amp;"",",",""),"¥",""),"￥","")),0))</f>
        <v/>
      </c>
      <c r="G2148">
        <f>IF(ISNUMBER(B2148),YEAR(B2148),"")</f>
        <v/>
      </c>
      <c r="H2148">
        <f>IF(ISNUMBER(B2148),MONTH(B2148),"")</f>
        <v/>
      </c>
      <c r="I2148">
        <f>IFERROR(IF($B$1=0,"",IF(ISNUMBER(INDEX(貼り付け!$A$1:$BZ$3001,2147,$B$1)),"",SUBSTITUTE(SUBSTITUTE(SUBSTITUTE(SUBSTITUTE(TRIM(LEFT(INDEX(貼り付け!$A$1:$BZ$3001,2147,$B$1)&amp;"",FIND(" ",TRIM(INDEX(貼り付け!$A$1:$BZ$3001,2147,$B$1)&amp;"")&amp;" ")-1)),"/","-"),"年","-"),"月","-"),"日",""))),"")</f>
        <v/>
      </c>
      <c r="J2148">
        <f>IFERROR(MID(I2148,FIND("-",I2148)+1,99),"")</f>
        <v/>
      </c>
    </row>
    <row r="2149">
      <c r="B2149">
        <f>IFERROR(IF($B$1=0,"",IF(INDEX(貼り付け!$A$1:$BZ$3001,2148,$B$1)="","",IF(ISNUMBER(INDEX(貼り付け!$A$1:$BZ$3001,2148,$B$1)),INT(INDEX(貼り付け!$A$1:$BZ$3001,2148,$B$1)),DATE(VALUE(LEFT(I2149,FIND("-",I2149)-1)),VALUE(LEFT(J2149,FIND("-",J2149)-1)),VALUE(MID(J2149,FIND("-",J2149)+1,99)))))),"")</f>
        <v/>
      </c>
      <c r="C2149">
        <f>IF($C$1=0,0,IFERROR(VALUE(SUBSTITUTE(SUBSTITUTE(SUBSTITUTE(INDEX(貼り付け!$A$1:$BZ$3001,2148,$C$1)&amp;"",",",""),"¥",""),"￥","")),0))</f>
        <v/>
      </c>
      <c r="D2149">
        <f>IF($D$1=0,0,IFERROR(VALUE(SUBSTITUTE(SUBSTITUTE(SUBSTITUTE(INDEX(貼り付け!$A$1:$BZ$3001,2148,$D$1)&amp;"",",",""),"¥",""),"￥","")),0))</f>
        <v/>
      </c>
      <c r="E2149">
        <f>IF($E$1=0,0,IFERROR(VALUE(SUBSTITUTE(SUBSTITUTE(SUBSTITUTE(INDEX(貼り付け!$A$1:$BZ$3001,2148,$E$1)&amp;"",",",""),"¥",""),"￥","")),0))</f>
        <v/>
      </c>
      <c r="F2149">
        <f>IF($F$1=0,0,IFERROR(VALUE(SUBSTITUTE(SUBSTITUTE(SUBSTITUTE(INDEX(貼り付け!$A$1:$BZ$3001,2148,$F$1)&amp;"",",",""),"¥",""),"￥","")),0))</f>
        <v/>
      </c>
      <c r="G2149">
        <f>IF(ISNUMBER(B2149),YEAR(B2149),"")</f>
        <v/>
      </c>
      <c r="H2149">
        <f>IF(ISNUMBER(B2149),MONTH(B2149),"")</f>
        <v/>
      </c>
      <c r="I2149">
        <f>IFERROR(IF($B$1=0,"",IF(ISNUMBER(INDEX(貼り付け!$A$1:$BZ$3001,2148,$B$1)),"",SUBSTITUTE(SUBSTITUTE(SUBSTITUTE(SUBSTITUTE(TRIM(LEFT(INDEX(貼り付け!$A$1:$BZ$3001,2148,$B$1)&amp;"",FIND(" ",TRIM(INDEX(貼り付け!$A$1:$BZ$3001,2148,$B$1)&amp;"")&amp;" ")-1)),"/","-"),"年","-"),"月","-"),"日",""))),"")</f>
        <v/>
      </c>
      <c r="J2149">
        <f>IFERROR(MID(I2149,FIND("-",I2149)+1,99),"")</f>
        <v/>
      </c>
    </row>
    <row r="2150">
      <c r="B2150">
        <f>IFERROR(IF($B$1=0,"",IF(INDEX(貼り付け!$A$1:$BZ$3001,2149,$B$1)="","",IF(ISNUMBER(INDEX(貼り付け!$A$1:$BZ$3001,2149,$B$1)),INT(INDEX(貼り付け!$A$1:$BZ$3001,2149,$B$1)),DATE(VALUE(LEFT(I2150,FIND("-",I2150)-1)),VALUE(LEFT(J2150,FIND("-",J2150)-1)),VALUE(MID(J2150,FIND("-",J2150)+1,99)))))),"")</f>
        <v/>
      </c>
      <c r="C2150">
        <f>IF($C$1=0,0,IFERROR(VALUE(SUBSTITUTE(SUBSTITUTE(SUBSTITUTE(INDEX(貼り付け!$A$1:$BZ$3001,2149,$C$1)&amp;"",",",""),"¥",""),"￥","")),0))</f>
        <v/>
      </c>
      <c r="D2150">
        <f>IF($D$1=0,0,IFERROR(VALUE(SUBSTITUTE(SUBSTITUTE(SUBSTITUTE(INDEX(貼り付け!$A$1:$BZ$3001,2149,$D$1)&amp;"",",",""),"¥",""),"￥","")),0))</f>
        <v/>
      </c>
      <c r="E2150">
        <f>IF($E$1=0,0,IFERROR(VALUE(SUBSTITUTE(SUBSTITUTE(SUBSTITUTE(INDEX(貼り付け!$A$1:$BZ$3001,2149,$E$1)&amp;"",",",""),"¥",""),"￥","")),0))</f>
        <v/>
      </c>
      <c r="F2150">
        <f>IF($F$1=0,0,IFERROR(VALUE(SUBSTITUTE(SUBSTITUTE(SUBSTITUTE(INDEX(貼り付け!$A$1:$BZ$3001,2149,$F$1)&amp;"",",",""),"¥",""),"￥","")),0))</f>
        <v/>
      </c>
      <c r="G2150">
        <f>IF(ISNUMBER(B2150),YEAR(B2150),"")</f>
        <v/>
      </c>
      <c r="H2150">
        <f>IF(ISNUMBER(B2150),MONTH(B2150),"")</f>
        <v/>
      </c>
      <c r="I2150">
        <f>IFERROR(IF($B$1=0,"",IF(ISNUMBER(INDEX(貼り付け!$A$1:$BZ$3001,2149,$B$1)),"",SUBSTITUTE(SUBSTITUTE(SUBSTITUTE(SUBSTITUTE(TRIM(LEFT(INDEX(貼り付け!$A$1:$BZ$3001,2149,$B$1)&amp;"",FIND(" ",TRIM(INDEX(貼り付け!$A$1:$BZ$3001,2149,$B$1)&amp;"")&amp;" ")-1)),"/","-"),"年","-"),"月","-"),"日",""))),"")</f>
        <v/>
      </c>
      <c r="J2150">
        <f>IFERROR(MID(I2150,FIND("-",I2150)+1,99),"")</f>
        <v/>
      </c>
    </row>
    <row r="2151">
      <c r="B2151">
        <f>IFERROR(IF($B$1=0,"",IF(INDEX(貼り付け!$A$1:$BZ$3001,2150,$B$1)="","",IF(ISNUMBER(INDEX(貼り付け!$A$1:$BZ$3001,2150,$B$1)),INT(INDEX(貼り付け!$A$1:$BZ$3001,2150,$B$1)),DATE(VALUE(LEFT(I2151,FIND("-",I2151)-1)),VALUE(LEFT(J2151,FIND("-",J2151)-1)),VALUE(MID(J2151,FIND("-",J2151)+1,99)))))),"")</f>
        <v/>
      </c>
      <c r="C2151">
        <f>IF($C$1=0,0,IFERROR(VALUE(SUBSTITUTE(SUBSTITUTE(SUBSTITUTE(INDEX(貼り付け!$A$1:$BZ$3001,2150,$C$1)&amp;"",",",""),"¥",""),"￥","")),0))</f>
        <v/>
      </c>
      <c r="D2151">
        <f>IF($D$1=0,0,IFERROR(VALUE(SUBSTITUTE(SUBSTITUTE(SUBSTITUTE(INDEX(貼り付け!$A$1:$BZ$3001,2150,$D$1)&amp;"",",",""),"¥",""),"￥","")),0))</f>
        <v/>
      </c>
      <c r="E2151">
        <f>IF($E$1=0,0,IFERROR(VALUE(SUBSTITUTE(SUBSTITUTE(SUBSTITUTE(INDEX(貼り付け!$A$1:$BZ$3001,2150,$E$1)&amp;"",",",""),"¥",""),"￥","")),0))</f>
        <v/>
      </c>
      <c r="F2151">
        <f>IF($F$1=0,0,IFERROR(VALUE(SUBSTITUTE(SUBSTITUTE(SUBSTITUTE(INDEX(貼り付け!$A$1:$BZ$3001,2150,$F$1)&amp;"",",",""),"¥",""),"￥","")),0))</f>
        <v/>
      </c>
      <c r="G2151">
        <f>IF(ISNUMBER(B2151),YEAR(B2151),"")</f>
        <v/>
      </c>
      <c r="H2151">
        <f>IF(ISNUMBER(B2151),MONTH(B2151),"")</f>
        <v/>
      </c>
      <c r="I2151">
        <f>IFERROR(IF($B$1=0,"",IF(ISNUMBER(INDEX(貼り付け!$A$1:$BZ$3001,2150,$B$1)),"",SUBSTITUTE(SUBSTITUTE(SUBSTITUTE(SUBSTITUTE(TRIM(LEFT(INDEX(貼り付け!$A$1:$BZ$3001,2150,$B$1)&amp;"",FIND(" ",TRIM(INDEX(貼り付け!$A$1:$BZ$3001,2150,$B$1)&amp;"")&amp;" ")-1)),"/","-"),"年","-"),"月","-"),"日",""))),"")</f>
        <v/>
      </c>
      <c r="J2151">
        <f>IFERROR(MID(I2151,FIND("-",I2151)+1,99),"")</f>
        <v/>
      </c>
    </row>
    <row r="2152">
      <c r="B2152">
        <f>IFERROR(IF($B$1=0,"",IF(INDEX(貼り付け!$A$1:$BZ$3001,2151,$B$1)="","",IF(ISNUMBER(INDEX(貼り付け!$A$1:$BZ$3001,2151,$B$1)),INT(INDEX(貼り付け!$A$1:$BZ$3001,2151,$B$1)),DATE(VALUE(LEFT(I2152,FIND("-",I2152)-1)),VALUE(LEFT(J2152,FIND("-",J2152)-1)),VALUE(MID(J2152,FIND("-",J2152)+1,99)))))),"")</f>
        <v/>
      </c>
      <c r="C2152">
        <f>IF($C$1=0,0,IFERROR(VALUE(SUBSTITUTE(SUBSTITUTE(SUBSTITUTE(INDEX(貼り付け!$A$1:$BZ$3001,2151,$C$1)&amp;"",",",""),"¥",""),"￥","")),0))</f>
        <v/>
      </c>
      <c r="D2152">
        <f>IF($D$1=0,0,IFERROR(VALUE(SUBSTITUTE(SUBSTITUTE(SUBSTITUTE(INDEX(貼り付け!$A$1:$BZ$3001,2151,$D$1)&amp;"",",",""),"¥",""),"￥","")),0))</f>
        <v/>
      </c>
      <c r="E2152">
        <f>IF($E$1=0,0,IFERROR(VALUE(SUBSTITUTE(SUBSTITUTE(SUBSTITUTE(INDEX(貼り付け!$A$1:$BZ$3001,2151,$E$1)&amp;"",",",""),"¥",""),"￥","")),0))</f>
        <v/>
      </c>
      <c r="F2152">
        <f>IF($F$1=0,0,IFERROR(VALUE(SUBSTITUTE(SUBSTITUTE(SUBSTITUTE(INDEX(貼り付け!$A$1:$BZ$3001,2151,$F$1)&amp;"",",",""),"¥",""),"￥","")),0))</f>
        <v/>
      </c>
      <c r="G2152">
        <f>IF(ISNUMBER(B2152),YEAR(B2152),"")</f>
        <v/>
      </c>
      <c r="H2152">
        <f>IF(ISNUMBER(B2152),MONTH(B2152),"")</f>
        <v/>
      </c>
      <c r="I2152">
        <f>IFERROR(IF($B$1=0,"",IF(ISNUMBER(INDEX(貼り付け!$A$1:$BZ$3001,2151,$B$1)),"",SUBSTITUTE(SUBSTITUTE(SUBSTITUTE(SUBSTITUTE(TRIM(LEFT(INDEX(貼り付け!$A$1:$BZ$3001,2151,$B$1)&amp;"",FIND(" ",TRIM(INDEX(貼り付け!$A$1:$BZ$3001,2151,$B$1)&amp;"")&amp;" ")-1)),"/","-"),"年","-"),"月","-"),"日",""))),"")</f>
        <v/>
      </c>
      <c r="J2152">
        <f>IFERROR(MID(I2152,FIND("-",I2152)+1,99),"")</f>
        <v/>
      </c>
    </row>
    <row r="2153">
      <c r="B2153">
        <f>IFERROR(IF($B$1=0,"",IF(INDEX(貼り付け!$A$1:$BZ$3001,2152,$B$1)="","",IF(ISNUMBER(INDEX(貼り付け!$A$1:$BZ$3001,2152,$B$1)),INT(INDEX(貼り付け!$A$1:$BZ$3001,2152,$B$1)),DATE(VALUE(LEFT(I2153,FIND("-",I2153)-1)),VALUE(LEFT(J2153,FIND("-",J2153)-1)),VALUE(MID(J2153,FIND("-",J2153)+1,99)))))),"")</f>
        <v/>
      </c>
      <c r="C2153">
        <f>IF($C$1=0,0,IFERROR(VALUE(SUBSTITUTE(SUBSTITUTE(SUBSTITUTE(INDEX(貼り付け!$A$1:$BZ$3001,2152,$C$1)&amp;"",",",""),"¥",""),"￥","")),0))</f>
        <v/>
      </c>
      <c r="D2153">
        <f>IF($D$1=0,0,IFERROR(VALUE(SUBSTITUTE(SUBSTITUTE(SUBSTITUTE(INDEX(貼り付け!$A$1:$BZ$3001,2152,$D$1)&amp;"",",",""),"¥",""),"￥","")),0))</f>
        <v/>
      </c>
      <c r="E2153">
        <f>IF($E$1=0,0,IFERROR(VALUE(SUBSTITUTE(SUBSTITUTE(SUBSTITUTE(INDEX(貼り付け!$A$1:$BZ$3001,2152,$E$1)&amp;"",",",""),"¥",""),"￥","")),0))</f>
        <v/>
      </c>
      <c r="F2153">
        <f>IF($F$1=0,0,IFERROR(VALUE(SUBSTITUTE(SUBSTITUTE(SUBSTITUTE(INDEX(貼り付け!$A$1:$BZ$3001,2152,$F$1)&amp;"",",",""),"¥",""),"￥","")),0))</f>
        <v/>
      </c>
      <c r="G2153">
        <f>IF(ISNUMBER(B2153),YEAR(B2153),"")</f>
        <v/>
      </c>
      <c r="H2153">
        <f>IF(ISNUMBER(B2153),MONTH(B2153),"")</f>
        <v/>
      </c>
      <c r="I2153">
        <f>IFERROR(IF($B$1=0,"",IF(ISNUMBER(INDEX(貼り付け!$A$1:$BZ$3001,2152,$B$1)),"",SUBSTITUTE(SUBSTITUTE(SUBSTITUTE(SUBSTITUTE(TRIM(LEFT(INDEX(貼り付け!$A$1:$BZ$3001,2152,$B$1)&amp;"",FIND(" ",TRIM(INDEX(貼り付け!$A$1:$BZ$3001,2152,$B$1)&amp;"")&amp;" ")-1)),"/","-"),"年","-"),"月","-"),"日",""))),"")</f>
        <v/>
      </c>
      <c r="J2153">
        <f>IFERROR(MID(I2153,FIND("-",I2153)+1,99),"")</f>
        <v/>
      </c>
    </row>
    <row r="2154">
      <c r="B2154">
        <f>IFERROR(IF($B$1=0,"",IF(INDEX(貼り付け!$A$1:$BZ$3001,2153,$B$1)="","",IF(ISNUMBER(INDEX(貼り付け!$A$1:$BZ$3001,2153,$B$1)),INT(INDEX(貼り付け!$A$1:$BZ$3001,2153,$B$1)),DATE(VALUE(LEFT(I2154,FIND("-",I2154)-1)),VALUE(LEFT(J2154,FIND("-",J2154)-1)),VALUE(MID(J2154,FIND("-",J2154)+1,99)))))),"")</f>
        <v/>
      </c>
      <c r="C2154">
        <f>IF($C$1=0,0,IFERROR(VALUE(SUBSTITUTE(SUBSTITUTE(SUBSTITUTE(INDEX(貼り付け!$A$1:$BZ$3001,2153,$C$1)&amp;"",",",""),"¥",""),"￥","")),0))</f>
        <v/>
      </c>
      <c r="D2154">
        <f>IF($D$1=0,0,IFERROR(VALUE(SUBSTITUTE(SUBSTITUTE(SUBSTITUTE(INDEX(貼り付け!$A$1:$BZ$3001,2153,$D$1)&amp;"",",",""),"¥",""),"￥","")),0))</f>
        <v/>
      </c>
      <c r="E2154">
        <f>IF($E$1=0,0,IFERROR(VALUE(SUBSTITUTE(SUBSTITUTE(SUBSTITUTE(INDEX(貼り付け!$A$1:$BZ$3001,2153,$E$1)&amp;"",",",""),"¥",""),"￥","")),0))</f>
        <v/>
      </c>
      <c r="F2154">
        <f>IF($F$1=0,0,IFERROR(VALUE(SUBSTITUTE(SUBSTITUTE(SUBSTITUTE(INDEX(貼り付け!$A$1:$BZ$3001,2153,$F$1)&amp;"",",",""),"¥",""),"￥","")),0))</f>
        <v/>
      </c>
      <c r="G2154">
        <f>IF(ISNUMBER(B2154),YEAR(B2154),"")</f>
        <v/>
      </c>
      <c r="H2154">
        <f>IF(ISNUMBER(B2154),MONTH(B2154),"")</f>
        <v/>
      </c>
      <c r="I2154">
        <f>IFERROR(IF($B$1=0,"",IF(ISNUMBER(INDEX(貼り付け!$A$1:$BZ$3001,2153,$B$1)),"",SUBSTITUTE(SUBSTITUTE(SUBSTITUTE(SUBSTITUTE(TRIM(LEFT(INDEX(貼り付け!$A$1:$BZ$3001,2153,$B$1)&amp;"",FIND(" ",TRIM(INDEX(貼り付け!$A$1:$BZ$3001,2153,$B$1)&amp;"")&amp;" ")-1)),"/","-"),"年","-"),"月","-"),"日",""))),"")</f>
        <v/>
      </c>
      <c r="J2154">
        <f>IFERROR(MID(I2154,FIND("-",I2154)+1,99),"")</f>
        <v/>
      </c>
    </row>
    <row r="2155">
      <c r="B2155">
        <f>IFERROR(IF($B$1=0,"",IF(INDEX(貼り付け!$A$1:$BZ$3001,2154,$B$1)="","",IF(ISNUMBER(INDEX(貼り付け!$A$1:$BZ$3001,2154,$B$1)),INT(INDEX(貼り付け!$A$1:$BZ$3001,2154,$B$1)),DATE(VALUE(LEFT(I2155,FIND("-",I2155)-1)),VALUE(LEFT(J2155,FIND("-",J2155)-1)),VALUE(MID(J2155,FIND("-",J2155)+1,99)))))),"")</f>
        <v/>
      </c>
      <c r="C2155">
        <f>IF($C$1=0,0,IFERROR(VALUE(SUBSTITUTE(SUBSTITUTE(SUBSTITUTE(INDEX(貼り付け!$A$1:$BZ$3001,2154,$C$1)&amp;"",",",""),"¥",""),"￥","")),0))</f>
        <v/>
      </c>
      <c r="D2155">
        <f>IF($D$1=0,0,IFERROR(VALUE(SUBSTITUTE(SUBSTITUTE(SUBSTITUTE(INDEX(貼り付け!$A$1:$BZ$3001,2154,$D$1)&amp;"",",",""),"¥",""),"￥","")),0))</f>
        <v/>
      </c>
      <c r="E2155">
        <f>IF($E$1=0,0,IFERROR(VALUE(SUBSTITUTE(SUBSTITUTE(SUBSTITUTE(INDEX(貼り付け!$A$1:$BZ$3001,2154,$E$1)&amp;"",",",""),"¥",""),"￥","")),0))</f>
        <v/>
      </c>
      <c r="F2155">
        <f>IF($F$1=0,0,IFERROR(VALUE(SUBSTITUTE(SUBSTITUTE(SUBSTITUTE(INDEX(貼り付け!$A$1:$BZ$3001,2154,$F$1)&amp;"",",",""),"¥",""),"￥","")),0))</f>
        <v/>
      </c>
      <c r="G2155">
        <f>IF(ISNUMBER(B2155),YEAR(B2155),"")</f>
        <v/>
      </c>
      <c r="H2155">
        <f>IF(ISNUMBER(B2155),MONTH(B2155),"")</f>
        <v/>
      </c>
      <c r="I2155">
        <f>IFERROR(IF($B$1=0,"",IF(ISNUMBER(INDEX(貼り付け!$A$1:$BZ$3001,2154,$B$1)),"",SUBSTITUTE(SUBSTITUTE(SUBSTITUTE(SUBSTITUTE(TRIM(LEFT(INDEX(貼り付け!$A$1:$BZ$3001,2154,$B$1)&amp;"",FIND(" ",TRIM(INDEX(貼り付け!$A$1:$BZ$3001,2154,$B$1)&amp;"")&amp;" ")-1)),"/","-"),"年","-"),"月","-"),"日",""))),"")</f>
        <v/>
      </c>
      <c r="J2155">
        <f>IFERROR(MID(I2155,FIND("-",I2155)+1,99),"")</f>
        <v/>
      </c>
    </row>
    <row r="2156">
      <c r="B2156">
        <f>IFERROR(IF($B$1=0,"",IF(INDEX(貼り付け!$A$1:$BZ$3001,2155,$B$1)="","",IF(ISNUMBER(INDEX(貼り付け!$A$1:$BZ$3001,2155,$B$1)),INT(INDEX(貼り付け!$A$1:$BZ$3001,2155,$B$1)),DATE(VALUE(LEFT(I2156,FIND("-",I2156)-1)),VALUE(LEFT(J2156,FIND("-",J2156)-1)),VALUE(MID(J2156,FIND("-",J2156)+1,99)))))),"")</f>
        <v/>
      </c>
      <c r="C2156">
        <f>IF($C$1=0,0,IFERROR(VALUE(SUBSTITUTE(SUBSTITUTE(SUBSTITUTE(INDEX(貼り付け!$A$1:$BZ$3001,2155,$C$1)&amp;"",",",""),"¥",""),"￥","")),0))</f>
        <v/>
      </c>
      <c r="D2156">
        <f>IF($D$1=0,0,IFERROR(VALUE(SUBSTITUTE(SUBSTITUTE(SUBSTITUTE(INDEX(貼り付け!$A$1:$BZ$3001,2155,$D$1)&amp;"",",",""),"¥",""),"￥","")),0))</f>
        <v/>
      </c>
      <c r="E2156">
        <f>IF($E$1=0,0,IFERROR(VALUE(SUBSTITUTE(SUBSTITUTE(SUBSTITUTE(INDEX(貼り付け!$A$1:$BZ$3001,2155,$E$1)&amp;"",",",""),"¥",""),"￥","")),0))</f>
        <v/>
      </c>
      <c r="F2156">
        <f>IF($F$1=0,0,IFERROR(VALUE(SUBSTITUTE(SUBSTITUTE(SUBSTITUTE(INDEX(貼り付け!$A$1:$BZ$3001,2155,$F$1)&amp;"",",",""),"¥",""),"￥","")),0))</f>
        <v/>
      </c>
      <c r="G2156">
        <f>IF(ISNUMBER(B2156),YEAR(B2156),"")</f>
        <v/>
      </c>
      <c r="H2156">
        <f>IF(ISNUMBER(B2156),MONTH(B2156),"")</f>
        <v/>
      </c>
      <c r="I2156">
        <f>IFERROR(IF($B$1=0,"",IF(ISNUMBER(INDEX(貼り付け!$A$1:$BZ$3001,2155,$B$1)),"",SUBSTITUTE(SUBSTITUTE(SUBSTITUTE(SUBSTITUTE(TRIM(LEFT(INDEX(貼り付け!$A$1:$BZ$3001,2155,$B$1)&amp;"",FIND(" ",TRIM(INDEX(貼り付け!$A$1:$BZ$3001,2155,$B$1)&amp;"")&amp;" ")-1)),"/","-"),"年","-"),"月","-"),"日",""))),"")</f>
        <v/>
      </c>
      <c r="J2156">
        <f>IFERROR(MID(I2156,FIND("-",I2156)+1,99),"")</f>
        <v/>
      </c>
    </row>
    <row r="2157">
      <c r="B2157">
        <f>IFERROR(IF($B$1=0,"",IF(INDEX(貼り付け!$A$1:$BZ$3001,2156,$B$1)="","",IF(ISNUMBER(INDEX(貼り付け!$A$1:$BZ$3001,2156,$B$1)),INT(INDEX(貼り付け!$A$1:$BZ$3001,2156,$B$1)),DATE(VALUE(LEFT(I2157,FIND("-",I2157)-1)),VALUE(LEFT(J2157,FIND("-",J2157)-1)),VALUE(MID(J2157,FIND("-",J2157)+1,99)))))),"")</f>
        <v/>
      </c>
      <c r="C2157">
        <f>IF($C$1=0,0,IFERROR(VALUE(SUBSTITUTE(SUBSTITUTE(SUBSTITUTE(INDEX(貼り付け!$A$1:$BZ$3001,2156,$C$1)&amp;"",",",""),"¥",""),"￥","")),0))</f>
        <v/>
      </c>
      <c r="D2157">
        <f>IF($D$1=0,0,IFERROR(VALUE(SUBSTITUTE(SUBSTITUTE(SUBSTITUTE(INDEX(貼り付け!$A$1:$BZ$3001,2156,$D$1)&amp;"",",",""),"¥",""),"￥","")),0))</f>
        <v/>
      </c>
      <c r="E2157">
        <f>IF($E$1=0,0,IFERROR(VALUE(SUBSTITUTE(SUBSTITUTE(SUBSTITUTE(INDEX(貼り付け!$A$1:$BZ$3001,2156,$E$1)&amp;"",",",""),"¥",""),"￥","")),0))</f>
        <v/>
      </c>
      <c r="F2157">
        <f>IF($F$1=0,0,IFERROR(VALUE(SUBSTITUTE(SUBSTITUTE(SUBSTITUTE(INDEX(貼り付け!$A$1:$BZ$3001,2156,$F$1)&amp;"",",",""),"¥",""),"￥","")),0))</f>
        <v/>
      </c>
      <c r="G2157">
        <f>IF(ISNUMBER(B2157),YEAR(B2157),"")</f>
        <v/>
      </c>
      <c r="H2157">
        <f>IF(ISNUMBER(B2157),MONTH(B2157),"")</f>
        <v/>
      </c>
      <c r="I2157">
        <f>IFERROR(IF($B$1=0,"",IF(ISNUMBER(INDEX(貼り付け!$A$1:$BZ$3001,2156,$B$1)),"",SUBSTITUTE(SUBSTITUTE(SUBSTITUTE(SUBSTITUTE(TRIM(LEFT(INDEX(貼り付け!$A$1:$BZ$3001,2156,$B$1)&amp;"",FIND(" ",TRIM(INDEX(貼り付け!$A$1:$BZ$3001,2156,$B$1)&amp;"")&amp;" ")-1)),"/","-"),"年","-"),"月","-"),"日",""))),"")</f>
        <v/>
      </c>
      <c r="J2157">
        <f>IFERROR(MID(I2157,FIND("-",I2157)+1,99),"")</f>
        <v/>
      </c>
    </row>
    <row r="2158">
      <c r="B2158">
        <f>IFERROR(IF($B$1=0,"",IF(INDEX(貼り付け!$A$1:$BZ$3001,2157,$B$1)="","",IF(ISNUMBER(INDEX(貼り付け!$A$1:$BZ$3001,2157,$B$1)),INT(INDEX(貼り付け!$A$1:$BZ$3001,2157,$B$1)),DATE(VALUE(LEFT(I2158,FIND("-",I2158)-1)),VALUE(LEFT(J2158,FIND("-",J2158)-1)),VALUE(MID(J2158,FIND("-",J2158)+1,99)))))),"")</f>
        <v/>
      </c>
      <c r="C2158">
        <f>IF($C$1=0,0,IFERROR(VALUE(SUBSTITUTE(SUBSTITUTE(SUBSTITUTE(INDEX(貼り付け!$A$1:$BZ$3001,2157,$C$1)&amp;"",",",""),"¥",""),"￥","")),0))</f>
        <v/>
      </c>
      <c r="D2158">
        <f>IF($D$1=0,0,IFERROR(VALUE(SUBSTITUTE(SUBSTITUTE(SUBSTITUTE(INDEX(貼り付け!$A$1:$BZ$3001,2157,$D$1)&amp;"",",",""),"¥",""),"￥","")),0))</f>
        <v/>
      </c>
      <c r="E2158">
        <f>IF($E$1=0,0,IFERROR(VALUE(SUBSTITUTE(SUBSTITUTE(SUBSTITUTE(INDEX(貼り付け!$A$1:$BZ$3001,2157,$E$1)&amp;"",",",""),"¥",""),"￥","")),0))</f>
        <v/>
      </c>
      <c r="F2158">
        <f>IF($F$1=0,0,IFERROR(VALUE(SUBSTITUTE(SUBSTITUTE(SUBSTITUTE(INDEX(貼り付け!$A$1:$BZ$3001,2157,$F$1)&amp;"",",",""),"¥",""),"￥","")),0))</f>
        <v/>
      </c>
      <c r="G2158">
        <f>IF(ISNUMBER(B2158),YEAR(B2158),"")</f>
        <v/>
      </c>
      <c r="H2158">
        <f>IF(ISNUMBER(B2158),MONTH(B2158),"")</f>
        <v/>
      </c>
      <c r="I2158">
        <f>IFERROR(IF($B$1=0,"",IF(ISNUMBER(INDEX(貼り付け!$A$1:$BZ$3001,2157,$B$1)),"",SUBSTITUTE(SUBSTITUTE(SUBSTITUTE(SUBSTITUTE(TRIM(LEFT(INDEX(貼り付け!$A$1:$BZ$3001,2157,$B$1)&amp;"",FIND(" ",TRIM(INDEX(貼り付け!$A$1:$BZ$3001,2157,$B$1)&amp;"")&amp;" ")-1)),"/","-"),"年","-"),"月","-"),"日",""))),"")</f>
        <v/>
      </c>
      <c r="J2158">
        <f>IFERROR(MID(I2158,FIND("-",I2158)+1,99),"")</f>
        <v/>
      </c>
    </row>
    <row r="2159">
      <c r="B2159">
        <f>IFERROR(IF($B$1=0,"",IF(INDEX(貼り付け!$A$1:$BZ$3001,2158,$B$1)="","",IF(ISNUMBER(INDEX(貼り付け!$A$1:$BZ$3001,2158,$B$1)),INT(INDEX(貼り付け!$A$1:$BZ$3001,2158,$B$1)),DATE(VALUE(LEFT(I2159,FIND("-",I2159)-1)),VALUE(LEFT(J2159,FIND("-",J2159)-1)),VALUE(MID(J2159,FIND("-",J2159)+1,99)))))),"")</f>
        <v/>
      </c>
      <c r="C2159">
        <f>IF($C$1=0,0,IFERROR(VALUE(SUBSTITUTE(SUBSTITUTE(SUBSTITUTE(INDEX(貼り付け!$A$1:$BZ$3001,2158,$C$1)&amp;"",",",""),"¥",""),"￥","")),0))</f>
        <v/>
      </c>
      <c r="D2159">
        <f>IF($D$1=0,0,IFERROR(VALUE(SUBSTITUTE(SUBSTITUTE(SUBSTITUTE(INDEX(貼り付け!$A$1:$BZ$3001,2158,$D$1)&amp;"",",",""),"¥",""),"￥","")),0))</f>
        <v/>
      </c>
      <c r="E2159">
        <f>IF($E$1=0,0,IFERROR(VALUE(SUBSTITUTE(SUBSTITUTE(SUBSTITUTE(INDEX(貼り付け!$A$1:$BZ$3001,2158,$E$1)&amp;"",",",""),"¥",""),"￥","")),0))</f>
        <v/>
      </c>
      <c r="F2159">
        <f>IF($F$1=0,0,IFERROR(VALUE(SUBSTITUTE(SUBSTITUTE(SUBSTITUTE(INDEX(貼り付け!$A$1:$BZ$3001,2158,$F$1)&amp;"",",",""),"¥",""),"￥","")),0))</f>
        <v/>
      </c>
      <c r="G2159">
        <f>IF(ISNUMBER(B2159),YEAR(B2159),"")</f>
        <v/>
      </c>
      <c r="H2159">
        <f>IF(ISNUMBER(B2159),MONTH(B2159),"")</f>
        <v/>
      </c>
      <c r="I2159">
        <f>IFERROR(IF($B$1=0,"",IF(ISNUMBER(INDEX(貼り付け!$A$1:$BZ$3001,2158,$B$1)),"",SUBSTITUTE(SUBSTITUTE(SUBSTITUTE(SUBSTITUTE(TRIM(LEFT(INDEX(貼り付け!$A$1:$BZ$3001,2158,$B$1)&amp;"",FIND(" ",TRIM(INDEX(貼り付け!$A$1:$BZ$3001,2158,$B$1)&amp;"")&amp;" ")-1)),"/","-"),"年","-"),"月","-"),"日",""))),"")</f>
        <v/>
      </c>
      <c r="J2159">
        <f>IFERROR(MID(I2159,FIND("-",I2159)+1,99),"")</f>
        <v/>
      </c>
    </row>
    <row r="2160">
      <c r="B2160">
        <f>IFERROR(IF($B$1=0,"",IF(INDEX(貼り付け!$A$1:$BZ$3001,2159,$B$1)="","",IF(ISNUMBER(INDEX(貼り付け!$A$1:$BZ$3001,2159,$B$1)),INT(INDEX(貼り付け!$A$1:$BZ$3001,2159,$B$1)),DATE(VALUE(LEFT(I2160,FIND("-",I2160)-1)),VALUE(LEFT(J2160,FIND("-",J2160)-1)),VALUE(MID(J2160,FIND("-",J2160)+1,99)))))),"")</f>
        <v/>
      </c>
      <c r="C2160">
        <f>IF($C$1=0,0,IFERROR(VALUE(SUBSTITUTE(SUBSTITUTE(SUBSTITUTE(INDEX(貼り付け!$A$1:$BZ$3001,2159,$C$1)&amp;"",",",""),"¥",""),"￥","")),0))</f>
        <v/>
      </c>
      <c r="D2160">
        <f>IF($D$1=0,0,IFERROR(VALUE(SUBSTITUTE(SUBSTITUTE(SUBSTITUTE(INDEX(貼り付け!$A$1:$BZ$3001,2159,$D$1)&amp;"",",",""),"¥",""),"￥","")),0))</f>
        <v/>
      </c>
      <c r="E2160">
        <f>IF($E$1=0,0,IFERROR(VALUE(SUBSTITUTE(SUBSTITUTE(SUBSTITUTE(INDEX(貼り付け!$A$1:$BZ$3001,2159,$E$1)&amp;"",",",""),"¥",""),"￥","")),0))</f>
        <v/>
      </c>
      <c r="F2160">
        <f>IF($F$1=0,0,IFERROR(VALUE(SUBSTITUTE(SUBSTITUTE(SUBSTITUTE(INDEX(貼り付け!$A$1:$BZ$3001,2159,$F$1)&amp;"",",",""),"¥",""),"￥","")),0))</f>
        <v/>
      </c>
      <c r="G2160">
        <f>IF(ISNUMBER(B2160),YEAR(B2160),"")</f>
        <v/>
      </c>
      <c r="H2160">
        <f>IF(ISNUMBER(B2160),MONTH(B2160),"")</f>
        <v/>
      </c>
      <c r="I2160">
        <f>IFERROR(IF($B$1=0,"",IF(ISNUMBER(INDEX(貼り付け!$A$1:$BZ$3001,2159,$B$1)),"",SUBSTITUTE(SUBSTITUTE(SUBSTITUTE(SUBSTITUTE(TRIM(LEFT(INDEX(貼り付け!$A$1:$BZ$3001,2159,$B$1)&amp;"",FIND(" ",TRIM(INDEX(貼り付け!$A$1:$BZ$3001,2159,$B$1)&amp;"")&amp;" ")-1)),"/","-"),"年","-"),"月","-"),"日",""))),"")</f>
        <v/>
      </c>
      <c r="J2160">
        <f>IFERROR(MID(I2160,FIND("-",I2160)+1,99),"")</f>
        <v/>
      </c>
    </row>
    <row r="2161">
      <c r="B2161">
        <f>IFERROR(IF($B$1=0,"",IF(INDEX(貼り付け!$A$1:$BZ$3001,2160,$B$1)="","",IF(ISNUMBER(INDEX(貼り付け!$A$1:$BZ$3001,2160,$B$1)),INT(INDEX(貼り付け!$A$1:$BZ$3001,2160,$B$1)),DATE(VALUE(LEFT(I2161,FIND("-",I2161)-1)),VALUE(LEFT(J2161,FIND("-",J2161)-1)),VALUE(MID(J2161,FIND("-",J2161)+1,99)))))),"")</f>
        <v/>
      </c>
      <c r="C2161">
        <f>IF($C$1=0,0,IFERROR(VALUE(SUBSTITUTE(SUBSTITUTE(SUBSTITUTE(INDEX(貼り付け!$A$1:$BZ$3001,2160,$C$1)&amp;"",",",""),"¥",""),"￥","")),0))</f>
        <v/>
      </c>
      <c r="D2161">
        <f>IF($D$1=0,0,IFERROR(VALUE(SUBSTITUTE(SUBSTITUTE(SUBSTITUTE(INDEX(貼り付け!$A$1:$BZ$3001,2160,$D$1)&amp;"",",",""),"¥",""),"￥","")),0))</f>
        <v/>
      </c>
      <c r="E2161">
        <f>IF($E$1=0,0,IFERROR(VALUE(SUBSTITUTE(SUBSTITUTE(SUBSTITUTE(INDEX(貼り付け!$A$1:$BZ$3001,2160,$E$1)&amp;"",",",""),"¥",""),"￥","")),0))</f>
        <v/>
      </c>
      <c r="F2161">
        <f>IF($F$1=0,0,IFERROR(VALUE(SUBSTITUTE(SUBSTITUTE(SUBSTITUTE(INDEX(貼り付け!$A$1:$BZ$3001,2160,$F$1)&amp;"",",",""),"¥",""),"￥","")),0))</f>
        <v/>
      </c>
      <c r="G2161">
        <f>IF(ISNUMBER(B2161),YEAR(B2161),"")</f>
        <v/>
      </c>
      <c r="H2161">
        <f>IF(ISNUMBER(B2161),MONTH(B2161),"")</f>
        <v/>
      </c>
      <c r="I2161">
        <f>IFERROR(IF($B$1=0,"",IF(ISNUMBER(INDEX(貼り付け!$A$1:$BZ$3001,2160,$B$1)),"",SUBSTITUTE(SUBSTITUTE(SUBSTITUTE(SUBSTITUTE(TRIM(LEFT(INDEX(貼り付け!$A$1:$BZ$3001,2160,$B$1)&amp;"",FIND(" ",TRIM(INDEX(貼り付け!$A$1:$BZ$3001,2160,$B$1)&amp;"")&amp;" ")-1)),"/","-"),"年","-"),"月","-"),"日",""))),"")</f>
        <v/>
      </c>
      <c r="J2161">
        <f>IFERROR(MID(I2161,FIND("-",I2161)+1,99),"")</f>
        <v/>
      </c>
    </row>
    <row r="2162">
      <c r="B2162">
        <f>IFERROR(IF($B$1=0,"",IF(INDEX(貼り付け!$A$1:$BZ$3001,2161,$B$1)="","",IF(ISNUMBER(INDEX(貼り付け!$A$1:$BZ$3001,2161,$B$1)),INT(INDEX(貼り付け!$A$1:$BZ$3001,2161,$B$1)),DATE(VALUE(LEFT(I2162,FIND("-",I2162)-1)),VALUE(LEFT(J2162,FIND("-",J2162)-1)),VALUE(MID(J2162,FIND("-",J2162)+1,99)))))),"")</f>
        <v/>
      </c>
      <c r="C2162">
        <f>IF($C$1=0,0,IFERROR(VALUE(SUBSTITUTE(SUBSTITUTE(SUBSTITUTE(INDEX(貼り付け!$A$1:$BZ$3001,2161,$C$1)&amp;"",",",""),"¥",""),"￥","")),0))</f>
        <v/>
      </c>
      <c r="D2162">
        <f>IF($D$1=0,0,IFERROR(VALUE(SUBSTITUTE(SUBSTITUTE(SUBSTITUTE(INDEX(貼り付け!$A$1:$BZ$3001,2161,$D$1)&amp;"",",",""),"¥",""),"￥","")),0))</f>
        <v/>
      </c>
      <c r="E2162">
        <f>IF($E$1=0,0,IFERROR(VALUE(SUBSTITUTE(SUBSTITUTE(SUBSTITUTE(INDEX(貼り付け!$A$1:$BZ$3001,2161,$E$1)&amp;"",",",""),"¥",""),"￥","")),0))</f>
        <v/>
      </c>
      <c r="F2162">
        <f>IF($F$1=0,0,IFERROR(VALUE(SUBSTITUTE(SUBSTITUTE(SUBSTITUTE(INDEX(貼り付け!$A$1:$BZ$3001,2161,$F$1)&amp;"",",",""),"¥",""),"￥","")),0))</f>
        <v/>
      </c>
      <c r="G2162">
        <f>IF(ISNUMBER(B2162),YEAR(B2162),"")</f>
        <v/>
      </c>
      <c r="H2162">
        <f>IF(ISNUMBER(B2162),MONTH(B2162),"")</f>
        <v/>
      </c>
      <c r="I2162">
        <f>IFERROR(IF($B$1=0,"",IF(ISNUMBER(INDEX(貼り付け!$A$1:$BZ$3001,2161,$B$1)),"",SUBSTITUTE(SUBSTITUTE(SUBSTITUTE(SUBSTITUTE(TRIM(LEFT(INDEX(貼り付け!$A$1:$BZ$3001,2161,$B$1)&amp;"",FIND(" ",TRIM(INDEX(貼り付け!$A$1:$BZ$3001,2161,$B$1)&amp;"")&amp;" ")-1)),"/","-"),"年","-"),"月","-"),"日",""))),"")</f>
        <v/>
      </c>
      <c r="J2162">
        <f>IFERROR(MID(I2162,FIND("-",I2162)+1,99),"")</f>
        <v/>
      </c>
    </row>
    <row r="2163">
      <c r="B2163">
        <f>IFERROR(IF($B$1=0,"",IF(INDEX(貼り付け!$A$1:$BZ$3001,2162,$B$1)="","",IF(ISNUMBER(INDEX(貼り付け!$A$1:$BZ$3001,2162,$B$1)),INT(INDEX(貼り付け!$A$1:$BZ$3001,2162,$B$1)),DATE(VALUE(LEFT(I2163,FIND("-",I2163)-1)),VALUE(LEFT(J2163,FIND("-",J2163)-1)),VALUE(MID(J2163,FIND("-",J2163)+1,99)))))),"")</f>
        <v/>
      </c>
      <c r="C2163">
        <f>IF($C$1=0,0,IFERROR(VALUE(SUBSTITUTE(SUBSTITUTE(SUBSTITUTE(INDEX(貼り付け!$A$1:$BZ$3001,2162,$C$1)&amp;"",",",""),"¥",""),"￥","")),0))</f>
        <v/>
      </c>
      <c r="D2163">
        <f>IF($D$1=0,0,IFERROR(VALUE(SUBSTITUTE(SUBSTITUTE(SUBSTITUTE(INDEX(貼り付け!$A$1:$BZ$3001,2162,$D$1)&amp;"",",",""),"¥",""),"￥","")),0))</f>
        <v/>
      </c>
      <c r="E2163">
        <f>IF($E$1=0,0,IFERROR(VALUE(SUBSTITUTE(SUBSTITUTE(SUBSTITUTE(INDEX(貼り付け!$A$1:$BZ$3001,2162,$E$1)&amp;"",",",""),"¥",""),"￥","")),0))</f>
        <v/>
      </c>
      <c r="F2163">
        <f>IF($F$1=0,0,IFERROR(VALUE(SUBSTITUTE(SUBSTITUTE(SUBSTITUTE(INDEX(貼り付け!$A$1:$BZ$3001,2162,$F$1)&amp;"",",",""),"¥",""),"￥","")),0))</f>
        <v/>
      </c>
      <c r="G2163">
        <f>IF(ISNUMBER(B2163),YEAR(B2163),"")</f>
        <v/>
      </c>
      <c r="H2163">
        <f>IF(ISNUMBER(B2163),MONTH(B2163),"")</f>
        <v/>
      </c>
      <c r="I2163">
        <f>IFERROR(IF($B$1=0,"",IF(ISNUMBER(INDEX(貼り付け!$A$1:$BZ$3001,2162,$B$1)),"",SUBSTITUTE(SUBSTITUTE(SUBSTITUTE(SUBSTITUTE(TRIM(LEFT(INDEX(貼り付け!$A$1:$BZ$3001,2162,$B$1)&amp;"",FIND(" ",TRIM(INDEX(貼り付け!$A$1:$BZ$3001,2162,$B$1)&amp;"")&amp;" ")-1)),"/","-"),"年","-"),"月","-"),"日",""))),"")</f>
        <v/>
      </c>
      <c r="J2163">
        <f>IFERROR(MID(I2163,FIND("-",I2163)+1,99),"")</f>
        <v/>
      </c>
    </row>
    <row r="2164">
      <c r="B2164">
        <f>IFERROR(IF($B$1=0,"",IF(INDEX(貼り付け!$A$1:$BZ$3001,2163,$B$1)="","",IF(ISNUMBER(INDEX(貼り付け!$A$1:$BZ$3001,2163,$B$1)),INT(INDEX(貼り付け!$A$1:$BZ$3001,2163,$B$1)),DATE(VALUE(LEFT(I2164,FIND("-",I2164)-1)),VALUE(LEFT(J2164,FIND("-",J2164)-1)),VALUE(MID(J2164,FIND("-",J2164)+1,99)))))),"")</f>
        <v/>
      </c>
      <c r="C2164">
        <f>IF($C$1=0,0,IFERROR(VALUE(SUBSTITUTE(SUBSTITUTE(SUBSTITUTE(INDEX(貼り付け!$A$1:$BZ$3001,2163,$C$1)&amp;"",",",""),"¥",""),"￥","")),0))</f>
        <v/>
      </c>
      <c r="D2164">
        <f>IF($D$1=0,0,IFERROR(VALUE(SUBSTITUTE(SUBSTITUTE(SUBSTITUTE(INDEX(貼り付け!$A$1:$BZ$3001,2163,$D$1)&amp;"",",",""),"¥",""),"￥","")),0))</f>
        <v/>
      </c>
      <c r="E2164">
        <f>IF($E$1=0,0,IFERROR(VALUE(SUBSTITUTE(SUBSTITUTE(SUBSTITUTE(INDEX(貼り付け!$A$1:$BZ$3001,2163,$E$1)&amp;"",",",""),"¥",""),"￥","")),0))</f>
        <v/>
      </c>
      <c r="F2164">
        <f>IF($F$1=0,0,IFERROR(VALUE(SUBSTITUTE(SUBSTITUTE(SUBSTITUTE(INDEX(貼り付け!$A$1:$BZ$3001,2163,$F$1)&amp;"",",",""),"¥",""),"￥","")),0))</f>
        <v/>
      </c>
      <c r="G2164">
        <f>IF(ISNUMBER(B2164),YEAR(B2164),"")</f>
        <v/>
      </c>
      <c r="H2164">
        <f>IF(ISNUMBER(B2164),MONTH(B2164),"")</f>
        <v/>
      </c>
      <c r="I2164">
        <f>IFERROR(IF($B$1=0,"",IF(ISNUMBER(INDEX(貼り付け!$A$1:$BZ$3001,2163,$B$1)),"",SUBSTITUTE(SUBSTITUTE(SUBSTITUTE(SUBSTITUTE(TRIM(LEFT(INDEX(貼り付け!$A$1:$BZ$3001,2163,$B$1)&amp;"",FIND(" ",TRIM(INDEX(貼り付け!$A$1:$BZ$3001,2163,$B$1)&amp;"")&amp;" ")-1)),"/","-"),"年","-"),"月","-"),"日",""))),"")</f>
        <v/>
      </c>
      <c r="J2164">
        <f>IFERROR(MID(I2164,FIND("-",I2164)+1,99),"")</f>
        <v/>
      </c>
    </row>
    <row r="2165">
      <c r="B2165">
        <f>IFERROR(IF($B$1=0,"",IF(INDEX(貼り付け!$A$1:$BZ$3001,2164,$B$1)="","",IF(ISNUMBER(INDEX(貼り付け!$A$1:$BZ$3001,2164,$B$1)),INT(INDEX(貼り付け!$A$1:$BZ$3001,2164,$B$1)),DATE(VALUE(LEFT(I2165,FIND("-",I2165)-1)),VALUE(LEFT(J2165,FIND("-",J2165)-1)),VALUE(MID(J2165,FIND("-",J2165)+1,99)))))),"")</f>
        <v/>
      </c>
      <c r="C2165">
        <f>IF($C$1=0,0,IFERROR(VALUE(SUBSTITUTE(SUBSTITUTE(SUBSTITUTE(INDEX(貼り付け!$A$1:$BZ$3001,2164,$C$1)&amp;"",",",""),"¥",""),"￥","")),0))</f>
        <v/>
      </c>
      <c r="D2165">
        <f>IF($D$1=0,0,IFERROR(VALUE(SUBSTITUTE(SUBSTITUTE(SUBSTITUTE(INDEX(貼り付け!$A$1:$BZ$3001,2164,$D$1)&amp;"",",",""),"¥",""),"￥","")),0))</f>
        <v/>
      </c>
      <c r="E2165">
        <f>IF($E$1=0,0,IFERROR(VALUE(SUBSTITUTE(SUBSTITUTE(SUBSTITUTE(INDEX(貼り付け!$A$1:$BZ$3001,2164,$E$1)&amp;"",",",""),"¥",""),"￥","")),0))</f>
        <v/>
      </c>
      <c r="F2165">
        <f>IF($F$1=0,0,IFERROR(VALUE(SUBSTITUTE(SUBSTITUTE(SUBSTITUTE(INDEX(貼り付け!$A$1:$BZ$3001,2164,$F$1)&amp;"",",",""),"¥",""),"￥","")),0))</f>
        <v/>
      </c>
      <c r="G2165">
        <f>IF(ISNUMBER(B2165),YEAR(B2165),"")</f>
        <v/>
      </c>
      <c r="H2165">
        <f>IF(ISNUMBER(B2165),MONTH(B2165),"")</f>
        <v/>
      </c>
      <c r="I2165">
        <f>IFERROR(IF($B$1=0,"",IF(ISNUMBER(INDEX(貼り付け!$A$1:$BZ$3001,2164,$B$1)),"",SUBSTITUTE(SUBSTITUTE(SUBSTITUTE(SUBSTITUTE(TRIM(LEFT(INDEX(貼り付け!$A$1:$BZ$3001,2164,$B$1)&amp;"",FIND(" ",TRIM(INDEX(貼り付け!$A$1:$BZ$3001,2164,$B$1)&amp;"")&amp;" ")-1)),"/","-"),"年","-"),"月","-"),"日",""))),"")</f>
        <v/>
      </c>
      <c r="J2165">
        <f>IFERROR(MID(I2165,FIND("-",I2165)+1,99),"")</f>
        <v/>
      </c>
    </row>
    <row r="2166">
      <c r="B2166">
        <f>IFERROR(IF($B$1=0,"",IF(INDEX(貼り付け!$A$1:$BZ$3001,2165,$B$1)="","",IF(ISNUMBER(INDEX(貼り付け!$A$1:$BZ$3001,2165,$B$1)),INT(INDEX(貼り付け!$A$1:$BZ$3001,2165,$B$1)),DATE(VALUE(LEFT(I2166,FIND("-",I2166)-1)),VALUE(LEFT(J2166,FIND("-",J2166)-1)),VALUE(MID(J2166,FIND("-",J2166)+1,99)))))),"")</f>
        <v/>
      </c>
      <c r="C2166">
        <f>IF($C$1=0,0,IFERROR(VALUE(SUBSTITUTE(SUBSTITUTE(SUBSTITUTE(INDEX(貼り付け!$A$1:$BZ$3001,2165,$C$1)&amp;"",",",""),"¥",""),"￥","")),0))</f>
        <v/>
      </c>
      <c r="D2166">
        <f>IF($D$1=0,0,IFERROR(VALUE(SUBSTITUTE(SUBSTITUTE(SUBSTITUTE(INDEX(貼り付け!$A$1:$BZ$3001,2165,$D$1)&amp;"",",",""),"¥",""),"￥","")),0))</f>
        <v/>
      </c>
      <c r="E2166">
        <f>IF($E$1=0,0,IFERROR(VALUE(SUBSTITUTE(SUBSTITUTE(SUBSTITUTE(INDEX(貼り付け!$A$1:$BZ$3001,2165,$E$1)&amp;"",",",""),"¥",""),"￥","")),0))</f>
        <v/>
      </c>
      <c r="F2166">
        <f>IF($F$1=0,0,IFERROR(VALUE(SUBSTITUTE(SUBSTITUTE(SUBSTITUTE(INDEX(貼り付け!$A$1:$BZ$3001,2165,$F$1)&amp;"",",",""),"¥",""),"￥","")),0))</f>
        <v/>
      </c>
      <c r="G2166">
        <f>IF(ISNUMBER(B2166),YEAR(B2166),"")</f>
        <v/>
      </c>
      <c r="H2166">
        <f>IF(ISNUMBER(B2166),MONTH(B2166),"")</f>
        <v/>
      </c>
      <c r="I2166">
        <f>IFERROR(IF($B$1=0,"",IF(ISNUMBER(INDEX(貼り付け!$A$1:$BZ$3001,2165,$B$1)),"",SUBSTITUTE(SUBSTITUTE(SUBSTITUTE(SUBSTITUTE(TRIM(LEFT(INDEX(貼り付け!$A$1:$BZ$3001,2165,$B$1)&amp;"",FIND(" ",TRIM(INDEX(貼り付け!$A$1:$BZ$3001,2165,$B$1)&amp;"")&amp;" ")-1)),"/","-"),"年","-"),"月","-"),"日",""))),"")</f>
        <v/>
      </c>
      <c r="J2166">
        <f>IFERROR(MID(I2166,FIND("-",I2166)+1,99),"")</f>
        <v/>
      </c>
    </row>
    <row r="2167">
      <c r="B2167">
        <f>IFERROR(IF($B$1=0,"",IF(INDEX(貼り付け!$A$1:$BZ$3001,2166,$B$1)="","",IF(ISNUMBER(INDEX(貼り付け!$A$1:$BZ$3001,2166,$B$1)),INT(INDEX(貼り付け!$A$1:$BZ$3001,2166,$B$1)),DATE(VALUE(LEFT(I2167,FIND("-",I2167)-1)),VALUE(LEFT(J2167,FIND("-",J2167)-1)),VALUE(MID(J2167,FIND("-",J2167)+1,99)))))),"")</f>
        <v/>
      </c>
      <c r="C2167">
        <f>IF($C$1=0,0,IFERROR(VALUE(SUBSTITUTE(SUBSTITUTE(SUBSTITUTE(INDEX(貼り付け!$A$1:$BZ$3001,2166,$C$1)&amp;"",",",""),"¥",""),"￥","")),0))</f>
        <v/>
      </c>
      <c r="D2167">
        <f>IF($D$1=0,0,IFERROR(VALUE(SUBSTITUTE(SUBSTITUTE(SUBSTITUTE(INDEX(貼り付け!$A$1:$BZ$3001,2166,$D$1)&amp;"",",",""),"¥",""),"￥","")),0))</f>
        <v/>
      </c>
      <c r="E2167">
        <f>IF($E$1=0,0,IFERROR(VALUE(SUBSTITUTE(SUBSTITUTE(SUBSTITUTE(INDEX(貼り付け!$A$1:$BZ$3001,2166,$E$1)&amp;"",",",""),"¥",""),"￥","")),0))</f>
        <v/>
      </c>
      <c r="F2167">
        <f>IF($F$1=0,0,IFERROR(VALUE(SUBSTITUTE(SUBSTITUTE(SUBSTITUTE(INDEX(貼り付け!$A$1:$BZ$3001,2166,$F$1)&amp;"",",",""),"¥",""),"￥","")),0))</f>
        <v/>
      </c>
      <c r="G2167">
        <f>IF(ISNUMBER(B2167),YEAR(B2167),"")</f>
        <v/>
      </c>
      <c r="H2167">
        <f>IF(ISNUMBER(B2167),MONTH(B2167),"")</f>
        <v/>
      </c>
      <c r="I2167">
        <f>IFERROR(IF($B$1=0,"",IF(ISNUMBER(INDEX(貼り付け!$A$1:$BZ$3001,2166,$B$1)),"",SUBSTITUTE(SUBSTITUTE(SUBSTITUTE(SUBSTITUTE(TRIM(LEFT(INDEX(貼り付け!$A$1:$BZ$3001,2166,$B$1)&amp;"",FIND(" ",TRIM(INDEX(貼り付け!$A$1:$BZ$3001,2166,$B$1)&amp;"")&amp;" ")-1)),"/","-"),"年","-"),"月","-"),"日",""))),"")</f>
        <v/>
      </c>
      <c r="J2167">
        <f>IFERROR(MID(I2167,FIND("-",I2167)+1,99),"")</f>
        <v/>
      </c>
    </row>
    <row r="2168">
      <c r="B2168">
        <f>IFERROR(IF($B$1=0,"",IF(INDEX(貼り付け!$A$1:$BZ$3001,2167,$B$1)="","",IF(ISNUMBER(INDEX(貼り付け!$A$1:$BZ$3001,2167,$B$1)),INT(INDEX(貼り付け!$A$1:$BZ$3001,2167,$B$1)),DATE(VALUE(LEFT(I2168,FIND("-",I2168)-1)),VALUE(LEFT(J2168,FIND("-",J2168)-1)),VALUE(MID(J2168,FIND("-",J2168)+1,99)))))),"")</f>
        <v/>
      </c>
      <c r="C2168">
        <f>IF($C$1=0,0,IFERROR(VALUE(SUBSTITUTE(SUBSTITUTE(SUBSTITUTE(INDEX(貼り付け!$A$1:$BZ$3001,2167,$C$1)&amp;"",",",""),"¥",""),"￥","")),0))</f>
        <v/>
      </c>
      <c r="D2168">
        <f>IF($D$1=0,0,IFERROR(VALUE(SUBSTITUTE(SUBSTITUTE(SUBSTITUTE(INDEX(貼り付け!$A$1:$BZ$3001,2167,$D$1)&amp;"",",",""),"¥",""),"￥","")),0))</f>
        <v/>
      </c>
      <c r="E2168">
        <f>IF($E$1=0,0,IFERROR(VALUE(SUBSTITUTE(SUBSTITUTE(SUBSTITUTE(INDEX(貼り付け!$A$1:$BZ$3001,2167,$E$1)&amp;"",",",""),"¥",""),"￥","")),0))</f>
        <v/>
      </c>
      <c r="F2168">
        <f>IF($F$1=0,0,IFERROR(VALUE(SUBSTITUTE(SUBSTITUTE(SUBSTITUTE(INDEX(貼り付け!$A$1:$BZ$3001,2167,$F$1)&amp;"",",",""),"¥",""),"￥","")),0))</f>
        <v/>
      </c>
      <c r="G2168">
        <f>IF(ISNUMBER(B2168),YEAR(B2168),"")</f>
        <v/>
      </c>
      <c r="H2168">
        <f>IF(ISNUMBER(B2168),MONTH(B2168),"")</f>
        <v/>
      </c>
      <c r="I2168">
        <f>IFERROR(IF($B$1=0,"",IF(ISNUMBER(INDEX(貼り付け!$A$1:$BZ$3001,2167,$B$1)),"",SUBSTITUTE(SUBSTITUTE(SUBSTITUTE(SUBSTITUTE(TRIM(LEFT(INDEX(貼り付け!$A$1:$BZ$3001,2167,$B$1)&amp;"",FIND(" ",TRIM(INDEX(貼り付け!$A$1:$BZ$3001,2167,$B$1)&amp;"")&amp;" ")-1)),"/","-"),"年","-"),"月","-"),"日",""))),"")</f>
        <v/>
      </c>
      <c r="J2168">
        <f>IFERROR(MID(I2168,FIND("-",I2168)+1,99),"")</f>
        <v/>
      </c>
    </row>
    <row r="2169">
      <c r="B2169">
        <f>IFERROR(IF($B$1=0,"",IF(INDEX(貼り付け!$A$1:$BZ$3001,2168,$B$1)="","",IF(ISNUMBER(INDEX(貼り付け!$A$1:$BZ$3001,2168,$B$1)),INT(INDEX(貼り付け!$A$1:$BZ$3001,2168,$B$1)),DATE(VALUE(LEFT(I2169,FIND("-",I2169)-1)),VALUE(LEFT(J2169,FIND("-",J2169)-1)),VALUE(MID(J2169,FIND("-",J2169)+1,99)))))),"")</f>
        <v/>
      </c>
      <c r="C2169">
        <f>IF($C$1=0,0,IFERROR(VALUE(SUBSTITUTE(SUBSTITUTE(SUBSTITUTE(INDEX(貼り付け!$A$1:$BZ$3001,2168,$C$1)&amp;"",",",""),"¥",""),"￥","")),0))</f>
        <v/>
      </c>
      <c r="D2169">
        <f>IF($D$1=0,0,IFERROR(VALUE(SUBSTITUTE(SUBSTITUTE(SUBSTITUTE(INDEX(貼り付け!$A$1:$BZ$3001,2168,$D$1)&amp;"",",",""),"¥",""),"￥","")),0))</f>
        <v/>
      </c>
      <c r="E2169">
        <f>IF($E$1=0,0,IFERROR(VALUE(SUBSTITUTE(SUBSTITUTE(SUBSTITUTE(INDEX(貼り付け!$A$1:$BZ$3001,2168,$E$1)&amp;"",",",""),"¥",""),"￥","")),0))</f>
        <v/>
      </c>
      <c r="F2169">
        <f>IF($F$1=0,0,IFERROR(VALUE(SUBSTITUTE(SUBSTITUTE(SUBSTITUTE(INDEX(貼り付け!$A$1:$BZ$3001,2168,$F$1)&amp;"",",",""),"¥",""),"￥","")),0))</f>
        <v/>
      </c>
      <c r="G2169">
        <f>IF(ISNUMBER(B2169),YEAR(B2169),"")</f>
        <v/>
      </c>
      <c r="H2169">
        <f>IF(ISNUMBER(B2169),MONTH(B2169),"")</f>
        <v/>
      </c>
      <c r="I2169">
        <f>IFERROR(IF($B$1=0,"",IF(ISNUMBER(INDEX(貼り付け!$A$1:$BZ$3001,2168,$B$1)),"",SUBSTITUTE(SUBSTITUTE(SUBSTITUTE(SUBSTITUTE(TRIM(LEFT(INDEX(貼り付け!$A$1:$BZ$3001,2168,$B$1)&amp;"",FIND(" ",TRIM(INDEX(貼り付け!$A$1:$BZ$3001,2168,$B$1)&amp;"")&amp;" ")-1)),"/","-"),"年","-"),"月","-"),"日",""))),"")</f>
        <v/>
      </c>
      <c r="J2169">
        <f>IFERROR(MID(I2169,FIND("-",I2169)+1,99),"")</f>
        <v/>
      </c>
    </row>
    <row r="2170">
      <c r="B2170">
        <f>IFERROR(IF($B$1=0,"",IF(INDEX(貼り付け!$A$1:$BZ$3001,2169,$B$1)="","",IF(ISNUMBER(INDEX(貼り付け!$A$1:$BZ$3001,2169,$B$1)),INT(INDEX(貼り付け!$A$1:$BZ$3001,2169,$B$1)),DATE(VALUE(LEFT(I2170,FIND("-",I2170)-1)),VALUE(LEFT(J2170,FIND("-",J2170)-1)),VALUE(MID(J2170,FIND("-",J2170)+1,99)))))),"")</f>
        <v/>
      </c>
      <c r="C2170">
        <f>IF($C$1=0,0,IFERROR(VALUE(SUBSTITUTE(SUBSTITUTE(SUBSTITUTE(INDEX(貼り付け!$A$1:$BZ$3001,2169,$C$1)&amp;"",",",""),"¥",""),"￥","")),0))</f>
        <v/>
      </c>
      <c r="D2170">
        <f>IF($D$1=0,0,IFERROR(VALUE(SUBSTITUTE(SUBSTITUTE(SUBSTITUTE(INDEX(貼り付け!$A$1:$BZ$3001,2169,$D$1)&amp;"",",",""),"¥",""),"￥","")),0))</f>
        <v/>
      </c>
      <c r="E2170">
        <f>IF($E$1=0,0,IFERROR(VALUE(SUBSTITUTE(SUBSTITUTE(SUBSTITUTE(INDEX(貼り付け!$A$1:$BZ$3001,2169,$E$1)&amp;"",",",""),"¥",""),"￥","")),0))</f>
        <v/>
      </c>
      <c r="F2170">
        <f>IF($F$1=0,0,IFERROR(VALUE(SUBSTITUTE(SUBSTITUTE(SUBSTITUTE(INDEX(貼り付け!$A$1:$BZ$3001,2169,$F$1)&amp;"",",",""),"¥",""),"￥","")),0))</f>
        <v/>
      </c>
      <c r="G2170">
        <f>IF(ISNUMBER(B2170),YEAR(B2170),"")</f>
        <v/>
      </c>
      <c r="H2170">
        <f>IF(ISNUMBER(B2170),MONTH(B2170),"")</f>
        <v/>
      </c>
      <c r="I2170">
        <f>IFERROR(IF($B$1=0,"",IF(ISNUMBER(INDEX(貼り付け!$A$1:$BZ$3001,2169,$B$1)),"",SUBSTITUTE(SUBSTITUTE(SUBSTITUTE(SUBSTITUTE(TRIM(LEFT(INDEX(貼り付け!$A$1:$BZ$3001,2169,$B$1)&amp;"",FIND(" ",TRIM(INDEX(貼り付け!$A$1:$BZ$3001,2169,$B$1)&amp;"")&amp;" ")-1)),"/","-"),"年","-"),"月","-"),"日",""))),"")</f>
        <v/>
      </c>
      <c r="J2170">
        <f>IFERROR(MID(I2170,FIND("-",I2170)+1,99),"")</f>
        <v/>
      </c>
    </row>
    <row r="2171">
      <c r="B2171">
        <f>IFERROR(IF($B$1=0,"",IF(INDEX(貼り付け!$A$1:$BZ$3001,2170,$B$1)="","",IF(ISNUMBER(INDEX(貼り付け!$A$1:$BZ$3001,2170,$B$1)),INT(INDEX(貼り付け!$A$1:$BZ$3001,2170,$B$1)),DATE(VALUE(LEFT(I2171,FIND("-",I2171)-1)),VALUE(LEFT(J2171,FIND("-",J2171)-1)),VALUE(MID(J2171,FIND("-",J2171)+1,99)))))),"")</f>
        <v/>
      </c>
      <c r="C2171">
        <f>IF($C$1=0,0,IFERROR(VALUE(SUBSTITUTE(SUBSTITUTE(SUBSTITUTE(INDEX(貼り付け!$A$1:$BZ$3001,2170,$C$1)&amp;"",",",""),"¥",""),"￥","")),0))</f>
        <v/>
      </c>
      <c r="D2171">
        <f>IF($D$1=0,0,IFERROR(VALUE(SUBSTITUTE(SUBSTITUTE(SUBSTITUTE(INDEX(貼り付け!$A$1:$BZ$3001,2170,$D$1)&amp;"",",",""),"¥",""),"￥","")),0))</f>
        <v/>
      </c>
      <c r="E2171">
        <f>IF($E$1=0,0,IFERROR(VALUE(SUBSTITUTE(SUBSTITUTE(SUBSTITUTE(INDEX(貼り付け!$A$1:$BZ$3001,2170,$E$1)&amp;"",",",""),"¥",""),"￥","")),0))</f>
        <v/>
      </c>
      <c r="F2171">
        <f>IF($F$1=0,0,IFERROR(VALUE(SUBSTITUTE(SUBSTITUTE(SUBSTITUTE(INDEX(貼り付け!$A$1:$BZ$3001,2170,$F$1)&amp;"",",",""),"¥",""),"￥","")),0))</f>
        <v/>
      </c>
      <c r="G2171">
        <f>IF(ISNUMBER(B2171),YEAR(B2171),"")</f>
        <v/>
      </c>
      <c r="H2171">
        <f>IF(ISNUMBER(B2171),MONTH(B2171),"")</f>
        <v/>
      </c>
      <c r="I2171">
        <f>IFERROR(IF($B$1=0,"",IF(ISNUMBER(INDEX(貼り付け!$A$1:$BZ$3001,2170,$B$1)),"",SUBSTITUTE(SUBSTITUTE(SUBSTITUTE(SUBSTITUTE(TRIM(LEFT(INDEX(貼り付け!$A$1:$BZ$3001,2170,$B$1)&amp;"",FIND(" ",TRIM(INDEX(貼り付け!$A$1:$BZ$3001,2170,$B$1)&amp;"")&amp;" ")-1)),"/","-"),"年","-"),"月","-"),"日",""))),"")</f>
        <v/>
      </c>
      <c r="J2171">
        <f>IFERROR(MID(I2171,FIND("-",I2171)+1,99),"")</f>
        <v/>
      </c>
    </row>
    <row r="2172">
      <c r="B2172">
        <f>IFERROR(IF($B$1=0,"",IF(INDEX(貼り付け!$A$1:$BZ$3001,2171,$B$1)="","",IF(ISNUMBER(INDEX(貼り付け!$A$1:$BZ$3001,2171,$B$1)),INT(INDEX(貼り付け!$A$1:$BZ$3001,2171,$B$1)),DATE(VALUE(LEFT(I2172,FIND("-",I2172)-1)),VALUE(LEFT(J2172,FIND("-",J2172)-1)),VALUE(MID(J2172,FIND("-",J2172)+1,99)))))),"")</f>
        <v/>
      </c>
      <c r="C2172">
        <f>IF($C$1=0,0,IFERROR(VALUE(SUBSTITUTE(SUBSTITUTE(SUBSTITUTE(INDEX(貼り付け!$A$1:$BZ$3001,2171,$C$1)&amp;"",",",""),"¥",""),"￥","")),0))</f>
        <v/>
      </c>
      <c r="D2172">
        <f>IF($D$1=0,0,IFERROR(VALUE(SUBSTITUTE(SUBSTITUTE(SUBSTITUTE(INDEX(貼り付け!$A$1:$BZ$3001,2171,$D$1)&amp;"",",",""),"¥",""),"￥","")),0))</f>
        <v/>
      </c>
      <c r="E2172">
        <f>IF($E$1=0,0,IFERROR(VALUE(SUBSTITUTE(SUBSTITUTE(SUBSTITUTE(INDEX(貼り付け!$A$1:$BZ$3001,2171,$E$1)&amp;"",",",""),"¥",""),"￥","")),0))</f>
        <v/>
      </c>
      <c r="F2172">
        <f>IF($F$1=0,0,IFERROR(VALUE(SUBSTITUTE(SUBSTITUTE(SUBSTITUTE(INDEX(貼り付け!$A$1:$BZ$3001,2171,$F$1)&amp;"",",",""),"¥",""),"￥","")),0))</f>
        <v/>
      </c>
      <c r="G2172">
        <f>IF(ISNUMBER(B2172),YEAR(B2172),"")</f>
        <v/>
      </c>
      <c r="H2172">
        <f>IF(ISNUMBER(B2172),MONTH(B2172),"")</f>
        <v/>
      </c>
      <c r="I2172">
        <f>IFERROR(IF($B$1=0,"",IF(ISNUMBER(INDEX(貼り付け!$A$1:$BZ$3001,2171,$B$1)),"",SUBSTITUTE(SUBSTITUTE(SUBSTITUTE(SUBSTITUTE(TRIM(LEFT(INDEX(貼り付け!$A$1:$BZ$3001,2171,$B$1)&amp;"",FIND(" ",TRIM(INDEX(貼り付け!$A$1:$BZ$3001,2171,$B$1)&amp;"")&amp;" ")-1)),"/","-"),"年","-"),"月","-"),"日",""))),"")</f>
        <v/>
      </c>
      <c r="J2172">
        <f>IFERROR(MID(I2172,FIND("-",I2172)+1,99),"")</f>
        <v/>
      </c>
    </row>
    <row r="2173">
      <c r="B2173">
        <f>IFERROR(IF($B$1=0,"",IF(INDEX(貼り付け!$A$1:$BZ$3001,2172,$B$1)="","",IF(ISNUMBER(INDEX(貼り付け!$A$1:$BZ$3001,2172,$B$1)),INT(INDEX(貼り付け!$A$1:$BZ$3001,2172,$B$1)),DATE(VALUE(LEFT(I2173,FIND("-",I2173)-1)),VALUE(LEFT(J2173,FIND("-",J2173)-1)),VALUE(MID(J2173,FIND("-",J2173)+1,99)))))),"")</f>
        <v/>
      </c>
      <c r="C2173">
        <f>IF($C$1=0,0,IFERROR(VALUE(SUBSTITUTE(SUBSTITUTE(SUBSTITUTE(INDEX(貼り付け!$A$1:$BZ$3001,2172,$C$1)&amp;"",",",""),"¥",""),"￥","")),0))</f>
        <v/>
      </c>
      <c r="D2173">
        <f>IF($D$1=0,0,IFERROR(VALUE(SUBSTITUTE(SUBSTITUTE(SUBSTITUTE(INDEX(貼り付け!$A$1:$BZ$3001,2172,$D$1)&amp;"",",",""),"¥",""),"￥","")),0))</f>
        <v/>
      </c>
      <c r="E2173">
        <f>IF($E$1=0,0,IFERROR(VALUE(SUBSTITUTE(SUBSTITUTE(SUBSTITUTE(INDEX(貼り付け!$A$1:$BZ$3001,2172,$E$1)&amp;"",",",""),"¥",""),"￥","")),0))</f>
        <v/>
      </c>
      <c r="F2173">
        <f>IF($F$1=0,0,IFERROR(VALUE(SUBSTITUTE(SUBSTITUTE(SUBSTITUTE(INDEX(貼り付け!$A$1:$BZ$3001,2172,$F$1)&amp;"",",",""),"¥",""),"￥","")),0))</f>
        <v/>
      </c>
      <c r="G2173">
        <f>IF(ISNUMBER(B2173),YEAR(B2173),"")</f>
        <v/>
      </c>
      <c r="H2173">
        <f>IF(ISNUMBER(B2173),MONTH(B2173),"")</f>
        <v/>
      </c>
      <c r="I2173">
        <f>IFERROR(IF($B$1=0,"",IF(ISNUMBER(INDEX(貼り付け!$A$1:$BZ$3001,2172,$B$1)),"",SUBSTITUTE(SUBSTITUTE(SUBSTITUTE(SUBSTITUTE(TRIM(LEFT(INDEX(貼り付け!$A$1:$BZ$3001,2172,$B$1)&amp;"",FIND(" ",TRIM(INDEX(貼り付け!$A$1:$BZ$3001,2172,$B$1)&amp;"")&amp;" ")-1)),"/","-"),"年","-"),"月","-"),"日",""))),"")</f>
        <v/>
      </c>
      <c r="J2173">
        <f>IFERROR(MID(I2173,FIND("-",I2173)+1,99),"")</f>
        <v/>
      </c>
    </row>
    <row r="2174">
      <c r="B2174">
        <f>IFERROR(IF($B$1=0,"",IF(INDEX(貼り付け!$A$1:$BZ$3001,2173,$B$1)="","",IF(ISNUMBER(INDEX(貼り付け!$A$1:$BZ$3001,2173,$B$1)),INT(INDEX(貼り付け!$A$1:$BZ$3001,2173,$B$1)),DATE(VALUE(LEFT(I2174,FIND("-",I2174)-1)),VALUE(LEFT(J2174,FIND("-",J2174)-1)),VALUE(MID(J2174,FIND("-",J2174)+1,99)))))),"")</f>
        <v/>
      </c>
      <c r="C2174">
        <f>IF($C$1=0,0,IFERROR(VALUE(SUBSTITUTE(SUBSTITUTE(SUBSTITUTE(INDEX(貼り付け!$A$1:$BZ$3001,2173,$C$1)&amp;"",",",""),"¥",""),"￥","")),0))</f>
        <v/>
      </c>
      <c r="D2174">
        <f>IF($D$1=0,0,IFERROR(VALUE(SUBSTITUTE(SUBSTITUTE(SUBSTITUTE(INDEX(貼り付け!$A$1:$BZ$3001,2173,$D$1)&amp;"",",",""),"¥",""),"￥","")),0))</f>
        <v/>
      </c>
      <c r="E2174">
        <f>IF($E$1=0,0,IFERROR(VALUE(SUBSTITUTE(SUBSTITUTE(SUBSTITUTE(INDEX(貼り付け!$A$1:$BZ$3001,2173,$E$1)&amp;"",",",""),"¥",""),"￥","")),0))</f>
        <v/>
      </c>
      <c r="F2174">
        <f>IF($F$1=0,0,IFERROR(VALUE(SUBSTITUTE(SUBSTITUTE(SUBSTITUTE(INDEX(貼り付け!$A$1:$BZ$3001,2173,$F$1)&amp;"",",",""),"¥",""),"￥","")),0))</f>
        <v/>
      </c>
      <c r="G2174">
        <f>IF(ISNUMBER(B2174),YEAR(B2174),"")</f>
        <v/>
      </c>
      <c r="H2174">
        <f>IF(ISNUMBER(B2174),MONTH(B2174),"")</f>
        <v/>
      </c>
      <c r="I2174">
        <f>IFERROR(IF($B$1=0,"",IF(ISNUMBER(INDEX(貼り付け!$A$1:$BZ$3001,2173,$B$1)),"",SUBSTITUTE(SUBSTITUTE(SUBSTITUTE(SUBSTITUTE(TRIM(LEFT(INDEX(貼り付け!$A$1:$BZ$3001,2173,$B$1)&amp;"",FIND(" ",TRIM(INDEX(貼り付け!$A$1:$BZ$3001,2173,$B$1)&amp;"")&amp;" ")-1)),"/","-"),"年","-"),"月","-"),"日",""))),"")</f>
        <v/>
      </c>
      <c r="J2174">
        <f>IFERROR(MID(I2174,FIND("-",I2174)+1,99),"")</f>
        <v/>
      </c>
    </row>
    <row r="2175">
      <c r="B2175">
        <f>IFERROR(IF($B$1=0,"",IF(INDEX(貼り付け!$A$1:$BZ$3001,2174,$B$1)="","",IF(ISNUMBER(INDEX(貼り付け!$A$1:$BZ$3001,2174,$B$1)),INT(INDEX(貼り付け!$A$1:$BZ$3001,2174,$B$1)),DATE(VALUE(LEFT(I2175,FIND("-",I2175)-1)),VALUE(LEFT(J2175,FIND("-",J2175)-1)),VALUE(MID(J2175,FIND("-",J2175)+1,99)))))),"")</f>
        <v/>
      </c>
      <c r="C2175">
        <f>IF($C$1=0,0,IFERROR(VALUE(SUBSTITUTE(SUBSTITUTE(SUBSTITUTE(INDEX(貼り付け!$A$1:$BZ$3001,2174,$C$1)&amp;"",",",""),"¥",""),"￥","")),0))</f>
        <v/>
      </c>
      <c r="D2175">
        <f>IF($D$1=0,0,IFERROR(VALUE(SUBSTITUTE(SUBSTITUTE(SUBSTITUTE(INDEX(貼り付け!$A$1:$BZ$3001,2174,$D$1)&amp;"",",",""),"¥",""),"￥","")),0))</f>
        <v/>
      </c>
      <c r="E2175">
        <f>IF($E$1=0,0,IFERROR(VALUE(SUBSTITUTE(SUBSTITUTE(SUBSTITUTE(INDEX(貼り付け!$A$1:$BZ$3001,2174,$E$1)&amp;"",",",""),"¥",""),"￥","")),0))</f>
        <v/>
      </c>
      <c r="F2175">
        <f>IF($F$1=0,0,IFERROR(VALUE(SUBSTITUTE(SUBSTITUTE(SUBSTITUTE(INDEX(貼り付け!$A$1:$BZ$3001,2174,$F$1)&amp;"",",",""),"¥",""),"￥","")),0))</f>
        <v/>
      </c>
      <c r="G2175">
        <f>IF(ISNUMBER(B2175),YEAR(B2175),"")</f>
        <v/>
      </c>
      <c r="H2175">
        <f>IF(ISNUMBER(B2175),MONTH(B2175),"")</f>
        <v/>
      </c>
      <c r="I2175">
        <f>IFERROR(IF($B$1=0,"",IF(ISNUMBER(INDEX(貼り付け!$A$1:$BZ$3001,2174,$B$1)),"",SUBSTITUTE(SUBSTITUTE(SUBSTITUTE(SUBSTITUTE(TRIM(LEFT(INDEX(貼り付け!$A$1:$BZ$3001,2174,$B$1)&amp;"",FIND(" ",TRIM(INDEX(貼り付け!$A$1:$BZ$3001,2174,$B$1)&amp;"")&amp;" ")-1)),"/","-"),"年","-"),"月","-"),"日",""))),"")</f>
        <v/>
      </c>
      <c r="J2175">
        <f>IFERROR(MID(I2175,FIND("-",I2175)+1,99),"")</f>
        <v/>
      </c>
    </row>
    <row r="2176">
      <c r="B2176">
        <f>IFERROR(IF($B$1=0,"",IF(INDEX(貼り付け!$A$1:$BZ$3001,2175,$B$1)="","",IF(ISNUMBER(INDEX(貼り付け!$A$1:$BZ$3001,2175,$B$1)),INT(INDEX(貼り付け!$A$1:$BZ$3001,2175,$B$1)),DATE(VALUE(LEFT(I2176,FIND("-",I2176)-1)),VALUE(LEFT(J2176,FIND("-",J2176)-1)),VALUE(MID(J2176,FIND("-",J2176)+1,99)))))),"")</f>
        <v/>
      </c>
      <c r="C2176">
        <f>IF($C$1=0,0,IFERROR(VALUE(SUBSTITUTE(SUBSTITUTE(SUBSTITUTE(INDEX(貼り付け!$A$1:$BZ$3001,2175,$C$1)&amp;"",",",""),"¥",""),"￥","")),0))</f>
        <v/>
      </c>
      <c r="D2176">
        <f>IF($D$1=0,0,IFERROR(VALUE(SUBSTITUTE(SUBSTITUTE(SUBSTITUTE(INDEX(貼り付け!$A$1:$BZ$3001,2175,$D$1)&amp;"",",",""),"¥",""),"￥","")),0))</f>
        <v/>
      </c>
      <c r="E2176">
        <f>IF($E$1=0,0,IFERROR(VALUE(SUBSTITUTE(SUBSTITUTE(SUBSTITUTE(INDEX(貼り付け!$A$1:$BZ$3001,2175,$E$1)&amp;"",",",""),"¥",""),"￥","")),0))</f>
        <v/>
      </c>
      <c r="F2176">
        <f>IF($F$1=0,0,IFERROR(VALUE(SUBSTITUTE(SUBSTITUTE(SUBSTITUTE(INDEX(貼り付け!$A$1:$BZ$3001,2175,$F$1)&amp;"",",",""),"¥",""),"￥","")),0))</f>
        <v/>
      </c>
      <c r="G2176">
        <f>IF(ISNUMBER(B2176),YEAR(B2176),"")</f>
        <v/>
      </c>
      <c r="H2176">
        <f>IF(ISNUMBER(B2176),MONTH(B2176),"")</f>
        <v/>
      </c>
      <c r="I2176">
        <f>IFERROR(IF($B$1=0,"",IF(ISNUMBER(INDEX(貼り付け!$A$1:$BZ$3001,2175,$B$1)),"",SUBSTITUTE(SUBSTITUTE(SUBSTITUTE(SUBSTITUTE(TRIM(LEFT(INDEX(貼り付け!$A$1:$BZ$3001,2175,$B$1)&amp;"",FIND(" ",TRIM(INDEX(貼り付け!$A$1:$BZ$3001,2175,$B$1)&amp;"")&amp;" ")-1)),"/","-"),"年","-"),"月","-"),"日",""))),"")</f>
        <v/>
      </c>
      <c r="J2176">
        <f>IFERROR(MID(I2176,FIND("-",I2176)+1,99),"")</f>
        <v/>
      </c>
    </row>
    <row r="2177">
      <c r="B2177">
        <f>IFERROR(IF($B$1=0,"",IF(INDEX(貼り付け!$A$1:$BZ$3001,2176,$B$1)="","",IF(ISNUMBER(INDEX(貼り付け!$A$1:$BZ$3001,2176,$B$1)),INT(INDEX(貼り付け!$A$1:$BZ$3001,2176,$B$1)),DATE(VALUE(LEFT(I2177,FIND("-",I2177)-1)),VALUE(LEFT(J2177,FIND("-",J2177)-1)),VALUE(MID(J2177,FIND("-",J2177)+1,99)))))),"")</f>
        <v/>
      </c>
      <c r="C2177">
        <f>IF($C$1=0,0,IFERROR(VALUE(SUBSTITUTE(SUBSTITUTE(SUBSTITUTE(INDEX(貼り付け!$A$1:$BZ$3001,2176,$C$1)&amp;"",",",""),"¥",""),"￥","")),0))</f>
        <v/>
      </c>
      <c r="D2177">
        <f>IF($D$1=0,0,IFERROR(VALUE(SUBSTITUTE(SUBSTITUTE(SUBSTITUTE(INDEX(貼り付け!$A$1:$BZ$3001,2176,$D$1)&amp;"",",",""),"¥",""),"￥","")),0))</f>
        <v/>
      </c>
      <c r="E2177">
        <f>IF($E$1=0,0,IFERROR(VALUE(SUBSTITUTE(SUBSTITUTE(SUBSTITUTE(INDEX(貼り付け!$A$1:$BZ$3001,2176,$E$1)&amp;"",",",""),"¥",""),"￥","")),0))</f>
        <v/>
      </c>
      <c r="F2177">
        <f>IF($F$1=0,0,IFERROR(VALUE(SUBSTITUTE(SUBSTITUTE(SUBSTITUTE(INDEX(貼り付け!$A$1:$BZ$3001,2176,$F$1)&amp;"",",",""),"¥",""),"￥","")),0))</f>
        <v/>
      </c>
      <c r="G2177">
        <f>IF(ISNUMBER(B2177),YEAR(B2177),"")</f>
        <v/>
      </c>
      <c r="H2177">
        <f>IF(ISNUMBER(B2177),MONTH(B2177),"")</f>
        <v/>
      </c>
      <c r="I2177">
        <f>IFERROR(IF($B$1=0,"",IF(ISNUMBER(INDEX(貼り付け!$A$1:$BZ$3001,2176,$B$1)),"",SUBSTITUTE(SUBSTITUTE(SUBSTITUTE(SUBSTITUTE(TRIM(LEFT(INDEX(貼り付け!$A$1:$BZ$3001,2176,$B$1)&amp;"",FIND(" ",TRIM(INDEX(貼り付け!$A$1:$BZ$3001,2176,$B$1)&amp;"")&amp;" ")-1)),"/","-"),"年","-"),"月","-"),"日",""))),"")</f>
        <v/>
      </c>
      <c r="J2177">
        <f>IFERROR(MID(I2177,FIND("-",I2177)+1,99),"")</f>
        <v/>
      </c>
    </row>
    <row r="2178">
      <c r="B2178">
        <f>IFERROR(IF($B$1=0,"",IF(INDEX(貼り付け!$A$1:$BZ$3001,2177,$B$1)="","",IF(ISNUMBER(INDEX(貼り付け!$A$1:$BZ$3001,2177,$B$1)),INT(INDEX(貼り付け!$A$1:$BZ$3001,2177,$B$1)),DATE(VALUE(LEFT(I2178,FIND("-",I2178)-1)),VALUE(LEFT(J2178,FIND("-",J2178)-1)),VALUE(MID(J2178,FIND("-",J2178)+1,99)))))),"")</f>
        <v/>
      </c>
      <c r="C2178">
        <f>IF($C$1=0,0,IFERROR(VALUE(SUBSTITUTE(SUBSTITUTE(SUBSTITUTE(INDEX(貼り付け!$A$1:$BZ$3001,2177,$C$1)&amp;"",",",""),"¥",""),"￥","")),0))</f>
        <v/>
      </c>
      <c r="D2178">
        <f>IF($D$1=0,0,IFERROR(VALUE(SUBSTITUTE(SUBSTITUTE(SUBSTITUTE(INDEX(貼り付け!$A$1:$BZ$3001,2177,$D$1)&amp;"",",",""),"¥",""),"￥","")),0))</f>
        <v/>
      </c>
      <c r="E2178">
        <f>IF($E$1=0,0,IFERROR(VALUE(SUBSTITUTE(SUBSTITUTE(SUBSTITUTE(INDEX(貼り付け!$A$1:$BZ$3001,2177,$E$1)&amp;"",",",""),"¥",""),"￥","")),0))</f>
        <v/>
      </c>
      <c r="F2178">
        <f>IF($F$1=0,0,IFERROR(VALUE(SUBSTITUTE(SUBSTITUTE(SUBSTITUTE(INDEX(貼り付け!$A$1:$BZ$3001,2177,$F$1)&amp;"",",",""),"¥",""),"￥","")),0))</f>
        <v/>
      </c>
      <c r="G2178">
        <f>IF(ISNUMBER(B2178),YEAR(B2178),"")</f>
        <v/>
      </c>
      <c r="H2178">
        <f>IF(ISNUMBER(B2178),MONTH(B2178),"")</f>
        <v/>
      </c>
      <c r="I2178">
        <f>IFERROR(IF($B$1=0,"",IF(ISNUMBER(INDEX(貼り付け!$A$1:$BZ$3001,2177,$B$1)),"",SUBSTITUTE(SUBSTITUTE(SUBSTITUTE(SUBSTITUTE(TRIM(LEFT(INDEX(貼り付け!$A$1:$BZ$3001,2177,$B$1)&amp;"",FIND(" ",TRIM(INDEX(貼り付け!$A$1:$BZ$3001,2177,$B$1)&amp;"")&amp;" ")-1)),"/","-"),"年","-"),"月","-"),"日",""))),"")</f>
        <v/>
      </c>
      <c r="J2178">
        <f>IFERROR(MID(I2178,FIND("-",I2178)+1,99),"")</f>
        <v/>
      </c>
    </row>
    <row r="2179">
      <c r="B2179">
        <f>IFERROR(IF($B$1=0,"",IF(INDEX(貼り付け!$A$1:$BZ$3001,2178,$B$1)="","",IF(ISNUMBER(INDEX(貼り付け!$A$1:$BZ$3001,2178,$B$1)),INT(INDEX(貼り付け!$A$1:$BZ$3001,2178,$B$1)),DATE(VALUE(LEFT(I2179,FIND("-",I2179)-1)),VALUE(LEFT(J2179,FIND("-",J2179)-1)),VALUE(MID(J2179,FIND("-",J2179)+1,99)))))),"")</f>
        <v/>
      </c>
      <c r="C2179">
        <f>IF($C$1=0,0,IFERROR(VALUE(SUBSTITUTE(SUBSTITUTE(SUBSTITUTE(INDEX(貼り付け!$A$1:$BZ$3001,2178,$C$1)&amp;"",",",""),"¥",""),"￥","")),0))</f>
        <v/>
      </c>
      <c r="D2179">
        <f>IF($D$1=0,0,IFERROR(VALUE(SUBSTITUTE(SUBSTITUTE(SUBSTITUTE(INDEX(貼り付け!$A$1:$BZ$3001,2178,$D$1)&amp;"",",",""),"¥",""),"￥","")),0))</f>
        <v/>
      </c>
      <c r="E2179">
        <f>IF($E$1=0,0,IFERROR(VALUE(SUBSTITUTE(SUBSTITUTE(SUBSTITUTE(INDEX(貼り付け!$A$1:$BZ$3001,2178,$E$1)&amp;"",",",""),"¥",""),"￥","")),0))</f>
        <v/>
      </c>
      <c r="F2179">
        <f>IF($F$1=0,0,IFERROR(VALUE(SUBSTITUTE(SUBSTITUTE(SUBSTITUTE(INDEX(貼り付け!$A$1:$BZ$3001,2178,$F$1)&amp;"",",",""),"¥",""),"￥","")),0))</f>
        <v/>
      </c>
      <c r="G2179">
        <f>IF(ISNUMBER(B2179),YEAR(B2179),"")</f>
        <v/>
      </c>
      <c r="H2179">
        <f>IF(ISNUMBER(B2179),MONTH(B2179),"")</f>
        <v/>
      </c>
      <c r="I2179">
        <f>IFERROR(IF($B$1=0,"",IF(ISNUMBER(INDEX(貼り付け!$A$1:$BZ$3001,2178,$B$1)),"",SUBSTITUTE(SUBSTITUTE(SUBSTITUTE(SUBSTITUTE(TRIM(LEFT(INDEX(貼り付け!$A$1:$BZ$3001,2178,$B$1)&amp;"",FIND(" ",TRIM(INDEX(貼り付け!$A$1:$BZ$3001,2178,$B$1)&amp;"")&amp;" ")-1)),"/","-"),"年","-"),"月","-"),"日",""))),"")</f>
        <v/>
      </c>
      <c r="J2179">
        <f>IFERROR(MID(I2179,FIND("-",I2179)+1,99),"")</f>
        <v/>
      </c>
    </row>
    <row r="2180">
      <c r="B2180">
        <f>IFERROR(IF($B$1=0,"",IF(INDEX(貼り付け!$A$1:$BZ$3001,2179,$B$1)="","",IF(ISNUMBER(INDEX(貼り付け!$A$1:$BZ$3001,2179,$B$1)),INT(INDEX(貼り付け!$A$1:$BZ$3001,2179,$B$1)),DATE(VALUE(LEFT(I2180,FIND("-",I2180)-1)),VALUE(LEFT(J2180,FIND("-",J2180)-1)),VALUE(MID(J2180,FIND("-",J2180)+1,99)))))),"")</f>
        <v/>
      </c>
      <c r="C2180">
        <f>IF($C$1=0,0,IFERROR(VALUE(SUBSTITUTE(SUBSTITUTE(SUBSTITUTE(INDEX(貼り付け!$A$1:$BZ$3001,2179,$C$1)&amp;"",",",""),"¥",""),"￥","")),0))</f>
        <v/>
      </c>
      <c r="D2180">
        <f>IF($D$1=0,0,IFERROR(VALUE(SUBSTITUTE(SUBSTITUTE(SUBSTITUTE(INDEX(貼り付け!$A$1:$BZ$3001,2179,$D$1)&amp;"",",",""),"¥",""),"￥","")),0))</f>
        <v/>
      </c>
      <c r="E2180">
        <f>IF($E$1=0,0,IFERROR(VALUE(SUBSTITUTE(SUBSTITUTE(SUBSTITUTE(INDEX(貼り付け!$A$1:$BZ$3001,2179,$E$1)&amp;"",",",""),"¥",""),"￥","")),0))</f>
        <v/>
      </c>
      <c r="F2180">
        <f>IF($F$1=0,0,IFERROR(VALUE(SUBSTITUTE(SUBSTITUTE(SUBSTITUTE(INDEX(貼り付け!$A$1:$BZ$3001,2179,$F$1)&amp;"",",",""),"¥",""),"￥","")),0))</f>
        <v/>
      </c>
      <c r="G2180">
        <f>IF(ISNUMBER(B2180),YEAR(B2180),"")</f>
        <v/>
      </c>
      <c r="H2180">
        <f>IF(ISNUMBER(B2180),MONTH(B2180),"")</f>
        <v/>
      </c>
      <c r="I2180">
        <f>IFERROR(IF($B$1=0,"",IF(ISNUMBER(INDEX(貼り付け!$A$1:$BZ$3001,2179,$B$1)),"",SUBSTITUTE(SUBSTITUTE(SUBSTITUTE(SUBSTITUTE(TRIM(LEFT(INDEX(貼り付け!$A$1:$BZ$3001,2179,$B$1)&amp;"",FIND(" ",TRIM(INDEX(貼り付け!$A$1:$BZ$3001,2179,$B$1)&amp;"")&amp;" ")-1)),"/","-"),"年","-"),"月","-"),"日",""))),"")</f>
        <v/>
      </c>
      <c r="J2180">
        <f>IFERROR(MID(I2180,FIND("-",I2180)+1,99),"")</f>
        <v/>
      </c>
    </row>
    <row r="2181">
      <c r="B2181">
        <f>IFERROR(IF($B$1=0,"",IF(INDEX(貼り付け!$A$1:$BZ$3001,2180,$B$1)="","",IF(ISNUMBER(INDEX(貼り付け!$A$1:$BZ$3001,2180,$B$1)),INT(INDEX(貼り付け!$A$1:$BZ$3001,2180,$B$1)),DATE(VALUE(LEFT(I2181,FIND("-",I2181)-1)),VALUE(LEFT(J2181,FIND("-",J2181)-1)),VALUE(MID(J2181,FIND("-",J2181)+1,99)))))),"")</f>
        <v/>
      </c>
      <c r="C2181">
        <f>IF($C$1=0,0,IFERROR(VALUE(SUBSTITUTE(SUBSTITUTE(SUBSTITUTE(INDEX(貼り付け!$A$1:$BZ$3001,2180,$C$1)&amp;"",",",""),"¥",""),"￥","")),0))</f>
        <v/>
      </c>
      <c r="D2181">
        <f>IF($D$1=0,0,IFERROR(VALUE(SUBSTITUTE(SUBSTITUTE(SUBSTITUTE(INDEX(貼り付け!$A$1:$BZ$3001,2180,$D$1)&amp;"",",",""),"¥",""),"￥","")),0))</f>
        <v/>
      </c>
      <c r="E2181">
        <f>IF($E$1=0,0,IFERROR(VALUE(SUBSTITUTE(SUBSTITUTE(SUBSTITUTE(INDEX(貼り付け!$A$1:$BZ$3001,2180,$E$1)&amp;"",",",""),"¥",""),"￥","")),0))</f>
        <v/>
      </c>
      <c r="F2181">
        <f>IF($F$1=0,0,IFERROR(VALUE(SUBSTITUTE(SUBSTITUTE(SUBSTITUTE(INDEX(貼り付け!$A$1:$BZ$3001,2180,$F$1)&amp;"",",",""),"¥",""),"￥","")),0))</f>
        <v/>
      </c>
      <c r="G2181">
        <f>IF(ISNUMBER(B2181),YEAR(B2181),"")</f>
        <v/>
      </c>
      <c r="H2181">
        <f>IF(ISNUMBER(B2181),MONTH(B2181),"")</f>
        <v/>
      </c>
      <c r="I2181">
        <f>IFERROR(IF($B$1=0,"",IF(ISNUMBER(INDEX(貼り付け!$A$1:$BZ$3001,2180,$B$1)),"",SUBSTITUTE(SUBSTITUTE(SUBSTITUTE(SUBSTITUTE(TRIM(LEFT(INDEX(貼り付け!$A$1:$BZ$3001,2180,$B$1)&amp;"",FIND(" ",TRIM(INDEX(貼り付け!$A$1:$BZ$3001,2180,$B$1)&amp;"")&amp;" ")-1)),"/","-"),"年","-"),"月","-"),"日",""))),"")</f>
        <v/>
      </c>
      <c r="J2181">
        <f>IFERROR(MID(I2181,FIND("-",I2181)+1,99),"")</f>
        <v/>
      </c>
    </row>
    <row r="2182">
      <c r="B2182">
        <f>IFERROR(IF($B$1=0,"",IF(INDEX(貼り付け!$A$1:$BZ$3001,2181,$B$1)="","",IF(ISNUMBER(INDEX(貼り付け!$A$1:$BZ$3001,2181,$B$1)),INT(INDEX(貼り付け!$A$1:$BZ$3001,2181,$B$1)),DATE(VALUE(LEFT(I2182,FIND("-",I2182)-1)),VALUE(LEFT(J2182,FIND("-",J2182)-1)),VALUE(MID(J2182,FIND("-",J2182)+1,99)))))),"")</f>
        <v/>
      </c>
      <c r="C2182">
        <f>IF($C$1=0,0,IFERROR(VALUE(SUBSTITUTE(SUBSTITUTE(SUBSTITUTE(INDEX(貼り付け!$A$1:$BZ$3001,2181,$C$1)&amp;"",",",""),"¥",""),"￥","")),0))</f>
        <v/>
      </c>
      <c r="D2182">
        <f>IF($D$1=0,0,IFERROR(VALUE(SUBSTITUTE(SUBSTITUTE(SUBSTITUTE(INDEX(貼り付け!$A$1:$BZ$3001,2181,$D$1)&amp;"",",",""),"¥",""),"￥","")),0))</f>
        <v/>
      </c>
      <c r="E2182">
        <f>IF($E$1=0,0,IFERROR(VALUE(SUBSTITUTE(SUBSTITUTE(SUBSTITUTE(INDEX(貼り付け!$A$1:$BZ$3001,2181,$E$1)&amp;"",",",""),"¥",""),"￥","")),0))</f>
        <v/>
      </c>
      <c r="F2182">
        <f>IF($F$1=0,0,IFERROR(VALUE(SUBSTITUTE(SUBSTITUTE(SUBSTITUTE(INDEX(貼り付け!$A$1:$BZ$3001,2181,$F$1)&amp;"",",",""),"¥",""),"￥","")),0))</f>
        <v/>
      </c>
      <c r="G2182">
        <f>IF(ISNUMBER(B2182),YEAR(B2182),"")</f>
        <v/>
      </c>
      <c r="H2182">
        <f>IF(ISNUMBER(B2182),MONTH(B2182),"")</f>
        <v/>
      </c>
      <c r="I2182">
        <f>IFERROR(IF($B$1=0,"",IF(ISNUMBER(INDEX(貼り付け!$A$1:$BZ$3001,2181,$B$1)),"",SUBSTITUTE(SUBSTITUTE(SUBSTITUTE(SUBSTITUTE(TRIM(LEFT(INDEX(貼り付け!$A$1:$BZ$3001,2181,$B$1)&amp;"",FIND(" ",TRIM(INDEX(貼り付け!$A$1:$BZ$3001,2181,$B$1)&amp;"")&amp;" ")-1)),"/","-"),"年","-"),"月","-"),"日",""))),"")</f>
        <v/>
      </c>
      <c r="J2182">
        <f>IFERROR(MID(I2182,FIND("-",I2182)+1,99),"")</f>
        <v/>
      </c>
    </row>
    <row r="2183">
      <c r="B2183">
        <f>IFERROR(IF($B$1=0,"",IF(INDEX(貼り付け!$A$1:$BZ$3001,2182,$B$1)="","",IF(ISNUMBER(INDEX(貼り付け!$A$1:$BZ$3001,2182,$B$1)),INT(INDEX(貼り付け!$A$1:$BZ$3001,2182,$B$1)),DATE(VALUE(LEFT(I2183,FIND("-",I2183)-1)),VALUE(LEFT(J2183,FIND("-",J2183)-1)),VALUE(MID(J2183,FIND("-",J2183)+1,99)))))),"")</f>
        <v/>
      </c>
      <c r="C2183">
        <f>IF($C$1=0,0,IFERROR(VALUE(SUBSTITUTE(SUBSTITUTE(SUBSTITUTE(INDEX(貼り付け!$A$1:$BZ$3001,2182,$C$1)&amp;"",",",""),"¥",""),"￥","")),0))</f>
        <v/>
      </c>
      <c r="D2183">
        <f>IF($D$1=0,0,IFERROR(VALUE(SUBSTITUTE(SUBSTITUTE(SUBSTITUTE(INDEX(貼り付け!$A$1:$BZ$3001,2182,$D$1)&amp;"",",",""),"¥",""),"￥","")),0))</f>
        <v/>
      </c>
      <c r="E2183">
        <f>IF($E$1=0,0,IFERROR(VALUE(SUBSTITUTE(SUBSTITUTE(SUBSTITUTE(INDEX(貼り付け!$A$1:$BZ$3001,2182,$E$1)&amp;"",",",""),"¥",""),"￥","")),0))</f>
        <v/>
      </c>
      <c r="F2183">
        <f>IF($F$1=0,0,IFERROR(VALUE(SUBSTITUTE(SUBSTITUTE(SUBSTITUTE(INDEX(貼り付け!$A$1:$BZ$3001,2182,$F$1)&amp;"",",",""),"¥",""),"￥","")),0))</f>
        <v/>
      </c>
      <c r="G2183">
        <f>IF(ISNUMBER(B2183),YEAR(B2183),"")</f>
        <v/>
      </c>
      <c r="H2183">
        <f>IF(ISNUMBER(B2183),MONTH(B2183),"")</f>
        <v/>
      </c>
      <c r="I2183">
        <f>IFERROR(IF($B$1=0,"",IF(ISNUMBER(INDEX(貼り付け!$A$1:$BZ$3001,2182,$B$1)),"",SUBSTITUTE(SUBSTITUTE(SUBSTITUTE(SUBSTITUTE(TRIM(LEFT(INDEX(貼り付け!$A$1:$BZ$3001,2182,$B$1)&amp;"",FIND(" ",TRIM(INDEX(貼り付け!$A$1:$BZ$3001,2182,$B$1)&amp;"")&amp;" ")-1)),"/","-"),"年","-"),"月","-"),"日",""))),"")</f>
        <v/>
      </c>
      <c r="J2183">
        <f>IFERROR(MID(I2183,FIND("-",I2183)+1,99),"")</f>
        <v/>
      </c>
    </row>
    <row r="2184">
      <c r="B2184">
        <f>IFERROR(IF($B$1=0,"",IF(INDEX(貼り付け!$A$1:$BZ$3001,2183,$B$1)="","",IF(ISNUMBER(INDEX(貼り付け!$A$1:$BZ$3001,2183,$B$1)),INT(INDEX(貼り付け!$A$1:$BZ$3001,2183,$B$1)),DATE(VALUE(LEFT(I2184,FIND("-",I2184)-1)),VALUE(LEFT(J2184,FIND("-",J2184)-1)),VALUE(MID(J2184,FIND("-",J2184)+1,99)))))),"")</f>
        <v/>
      </c>
      <c r="C2184">
        <f>IF($C$1=0,0,IFERROR(VALUE(SUBSTITUTE(SUBSTITUTE(SUBSTITUTE(INDEX(貼り付け!$A$1:$BZ$3001,2183,$C$1)&amp;"",",",""),"¥",""),"￥","")),0))</f>
        <v/>
      </c>
      <c r="D2184">
        <f>IF($D$1=0,0,IFERROR(VALUE(SUBSTITUTE(SUBSTITUTE(SUBSTITUTE(INDEX(貼り付け!$A$1:$BZ$3001,2183,$D$1)&amp;"",",",""),"¥",""),"￥","")),0))</f>
        <v/>
      </c>
      <c r="E2184">
        <f>IF($E$1=0,0,IFERROR(VALUE(SUBSTITUTE(SUBSTITUTE(SUBSTITUTE(INDEX(貼り付け!$A$1:$BZ$3001,2183,$E$1)&amp;"",",",""),"¥",""),"￥","")),0))</f>
        <v/>
      </c>
      <c r="F2184">
        <f>IF($F$1=0,0,IFERROR(VALUE(SUBSTITUTE(SUBSTITUTE(SUBSTITUTE(INDEX(貼り付け!$A$1:$BZ$3001,2183,$F$1)&amp;"",",",""),"¥",""),"￥","")),0))</f>
        <v/>
      </c>
      <c r="G2184">
        <f>IF(ISNUMBER(B2184),YEAR(B2184),"")</f>
        <v/>
      </c>
      <c r="H2184">
        <f>IF(ISNUMBER(B2184),MONTH(B2184),"")</f>
        <v/>
      </c>
      <c r="I2184">
        <f>IFERROR(IF($B$1=0,"",IF(ISNUMBER(INDEX(貼り付け!$A$1:$BZ$3001,2183,$B$1)),"",SUBSTITUTE(SUBSTITUTE(SUBSTITUTE(SUBSTITUTE(TRIM(LEFT(INDEX(貼り付け!$A$1:$BZ$3001,2183,$B$1)&amp;"",FIND(" ",TRIM(INDEX(貼り付け!$A$1:$BZ$3001,2183,$B$1)&amp;"")&amp;" ")-1)),"/","-"),"年","-"),"月","-"),"日",""))),"")</f>
        <v/>
      </c>
      <c r="J2184">
        <f>IFERROR(MID(I2184,FIND("-",I2184)+1,99),"")</f>
        <v/>
      </c>
    </row>
    <row r="2185">
      <c r="B2185">
        <f>IFERROR(IF($B$1=0,"",IF(INDEX(貼り付け!$A$1:$BZ$3001,2184,$B$1)="","",IF(ISNUMBER(INDEX(貼り付け!$A$1:$BZ$3001,2184,$B$1)),INT(INDEX(貼り付け!$A$1:$BZ$3001,2184,$B$1)),DATE(VALUE(LEFT(I2185,FIND("-",I2185)-1)),VALUE(LEFT(J2185,FIND("-",J2185)-1)),VALUE(MID(J2185,FIND("-",J2185)+1,99)))))),"")</f>
        <v/>
      </c>
      <c r="C2185">
        <f>IF($C$1=0,0,IFERROR(VALUE(SUBSTITUTE(SUBSTITUTE(SUBSTITUTE(INDEX(貼り付け!$A$1:$BZ$3001,2184,$C$1)&amp;"",",",""),"¥",""),"￥","")),0))</f>
        <v/>
      </c>
      <c r="D2185">
        <f>IF($D$1=0,0,IFERROR(VALUE(SUBSTITUTE(SUBSTITUTE(SUBSTITUTE(INDEX(貼り付け!$A$1:$BZ$3001,2184,$D$1)&amp;"",",",""),"¥",""),"￥","")),0))</f>
        <v/>
      </c>
      <c r="E2185">
        <f>IF($E$1=0,0,IFERROR(VALUE(SUBSTITUTE(SUBSTITUTE(SUBSTITUTE(INDEX(貼り付け!$A$1:$BZ$3001,2184,$E$1)&amp;"",",",""),"¥",""),"￥","")),0))</f>
        <v/>
      </c>
      <c r="F2185">
        <f>IF($F$1=0,0,IFERROR(VALUE(SUBSTITUTE(SUBSTITUTE(SUBSTITUTE(INDEX(貼り付け!$A$1:$BZ$3001,2184,$F$1)&amp;"",",",""),"¥",""),"￥","")),0))</f>
        <v/>
      </c>
      <c r="G2185">
        <f>IF(ISNUMBER(B2185),YEAR(B2185),"")</f>
        <v/>
      </c>
      <c r="H2185">
        <f>IF(ISNUMBER(B2185),MONTH(B2185),"")</f>
        <v/>
      </c>
      <c r="I2185">
        <f>IFERROR(IF($B$1=0,"",IF(ISNUMBER(INDEX(貼り付け!$A$1:$BZ$3001,2184,$B$1)),"",SUBSTITUTE(SUBSTITUTE(SUBSTITUTE(SUBSTITUTE(TRIM(LEFT(INDEX(貼り付け!$A$1:$BZ$3001,2184,$B$1)&amp;"",FIND(" ",TRIM(INDEX(貼り付け!$A$1:$BZ$3001,2184,$B$1)&amp;"")&amp;" ")-1)),"/","-"),"年","-"),"月","-"),"日",""))),"")</f>
        <v/>
      </c>
      <c r="J2185">
        <f>IFERROR(MID(I2185,FIND("-",I2185)+1,99),"")</f>
        <v/>
      </c>
    </row>
    <row r="2186">
      <c r="B2186">
        <f>IFERROR(IF($B$1=0,"",IF(INDEX(貼り付け!$A$1:$BZ$3001,2185,$B$1)="","",IF(ISNUMBER(INDEX(貼り付け!$A$1:$BZ$3001,2185,$B$1)),INT(INDEX(貼り付け!$A$1:$BZ$3001,2185,$B$1)),DATE(VALUE(LEFT(I2186,FIND("-",I2186)-1)),VALUE(LEFT(J2186,FIND("-",J2186)-1)),VALUE(MID(J2186,FIND("-",J2186)+1,99)))))),"")</f>
        <v/>
      </c>
      <c r="C2186">
        <f>IF($C$1=0,0,IFERROR(VALUE(SUBSTITUTE(SUBSTITUTE(SUBSTITUTE(INDEX(貼り付け!$A$1:$BZ$3001,2185,$C$1)&amp;"",",",""),"¥",""),"￥","")),0))</f>
        <v/>
      </c>
      <c r="D2186">
        <f>IF($D$1=0,0,IFERROR(VALUE(SUBSTITUTE(SUBSTITUTE(SUBSTITUTE(INDEX(貼り付け!$A$1:$BZ$3001,2185,$D$1)&amp;"",",",""),"¥",""),"￥","")),0))</f>
        <v/>
      </c>
      <c r="E2186">
        <f>IF($E$1=0,0,IFERROR(VALUE(SUBSTITUTE(SUBSTITUTE(SUBSTITUTE(INDEX(貼り付け!$A$1:$BZ$3001,2185,$E$1)&amp;"",",",""),"¥",""),"￥","")),0))</f>
        <v/>
      </c>
      <c r="F2186">
        <f>IF($F$1=0,0,IFERROR(VALUE(SUBSTITUTE(SUBSTITUTE(SUBSTITUTE(INDEX(貼り付け!$A$1:$BZ$3001,2185,$F$1)&amp;"",",",""),"¥",""),"￥","")),0))</f>
        <v/>
      </c>
      <c r="G2186">
        <f>IF(ISNUMBER(B2186),YEAR(B2186),"")</f>
        <v/>
      </c>
      <c r="H2186">
        <f>IF(ISNUMBER(B2186),MONTH(B2186),"")</f>
        <v/>
      </c>
      <c r="I2186">
        <f>IFERROR(IF($B$1=0,"",IF(ISNUMBER(INDEX(貼り付け!$A$1:$BZ$3001,2185,$B$1)),"",SUBSTITUTE(SUBSTITUTE(SUBSTITUTE(SUBSTITUTE(TRIM(LEFT(INDEX(貼り付け!$A$1:$BZ$3001,2185,$B$1)&amp;"",FIND(" ",TRIM(INDEX(貼り付け!$A$1:$BZ$3001,2185,$B$1)&amp;"")&amp;" ")-1)),"/","-"),"年","-"),"月","-"),"日",""))),"")</f>
        <v/>
      </c>
      <c r="J2186">
        <f>IFERROR(MID(I2186,FIND("-",I2186)+1,99),"")</f>
        <v/>
      </c>
    </row>
    <row r="2187">
      <c r="B2187">
        <f>IFERROR(IF($B$1=0,"",IF(INDEX(貼り付け!$A$1:$BZ$3001,2186,$B$1)="","",IF(ISNUMBER(INDEX(貼り付け!$A$1:$BZ$3001,2186,$B$1)),INT(INDEX(貼り付け!$A$1:$BZ$3001,2186,$B$1)),DATE(VALUE(LEFT(I2187,FIND("-",I2187)-1)),VALUE(LEFT(J2187,FIND("-",J2187)-1)),VALUE(MID(J2187,FIND("-",J2187)+1,99)))))),"")</f>
        <v/>
      </c>
      <c r="C2187">
        <f>IF($C$1=0,0,IFERROR(VALUE(SUBSTITUTE(SUBSTITUTE(SUBSTITUTE(INDEX(貼り付け!$A$1:$BZ$3001,2186,$C$1)&amp;"",",",""),"¥",""),"￥","")),0))</f>
        <v/>
      </c>
      <c r="D2187">
        <f>IF($D$1=0,0,IFERROR(VALUE(SUBSTITUTE(SUBSTITUTE(SUBSTITUTE(INDEX(貼り付け!$A$1:$BZ$3001,2186,$D$1)&amp;"",",",""),"¥",""),"￥","")),0))</f>
        <v/>
      </c>
      <c r="E2187">
        <f>IF($E$1=0,0,IFERROR(VALUE(SUBSTITUTE(SUBSTITUTE(SUBSTITUTE(INDEX(貼り付け!$A$1:$BZ$3001,2186,$E$1)&amp;"",",",""),"¥",""),"￥","")),0))</f>
        <v/>
      </c>
      <c r="F2187">
        <f>IF($F$1=0,0,IFERROR(VALUE(SUBSTITUTE(SUBSTITUTE(SUBSTITUTE(INDEX(貼り付け!$A$1:$BZ$3001,2186,$F$1)&amp;"",",",""),"¥",""),"￥","")),0))</f>
        <v/>
      </c>
      <c r="G2187">
        <f>IF(ISNUMBER(B2187),YEAR(B2187),"")</f>
        <v/>
      </c>
      <c r="H2187">
        <f>IF(ISNUMBER(B2187),MONTH(B2187),"")</f>
        <v/>
      </c>
      <c r="I2187">
        <f>IFERROR(IF($B$1=0,"",IF(ISNUMBER(INDEX(貼り付け!$A$1:$BZ$3001,2186,$B$1)),"",SUBSTITUTE(SUBSTITUTE(SUBSTITUTE(SUBSTITUTE(TRIM(LEFT(INDEX(貼り付け!$A$1:$BZ$3001,2186,$B$1)&amp;"",FIND(" ",TRIM(INDEX(貼り付け!$A$1:$BZ$3001,2186,$B$1)&amp;"")&amp;" ")-1)),"/","-"),"年","-"),"月","-"),"日",""))),"")</f>
        <v/>
      </c>
      <c r="J2187">
        <f>IFERROR(MID(I2187,FIND("-",I2187)+1,99),"")</f>
        <v/>
      </c>
    </row>
    <row r="2188">
      <c r="B2188">
        <f>IFERROR(IF($B$1=0,"",IF(INDEX(貼り付け!$A$1:$BZ$3001,2187,$B$1)="","",IF(ISNUMBER(INDEX(貼り付け!$A$1:$BZ$3001,2187,$B$1)),INT(INDEX(貼り付け!$A$1:$BZ$3001,2187,$B$1)),DATE(VALUE(LEFT(I2188,FIND("-",I2188)-1)),VALUE(LEFT(J2188,FIND("-",J2188)-1)),VALUE(MID(J2188,FIND("-",J2188)+1,99)))))),"")</f>
        <v/>
      </c>
      <c r="C2188">
        <f>IF($C$1=0,0,IFERROR(VALUE(SUBSTITUTE(SUBSTITUTE(SUBSTITUTE(INDEX(貼り付け!$A$1:$BZ$3001,2187,$C$1)&amp;"",",",""),"¥",""),"￥","")),0))</f>
        <v/>
      </c>
      <c r="D2188">
        <f>IF($D$1=0,0,IFERROR(VALUE(SUBSTITUTE(SUBSTITUTE(SUBSTITUTE(INDEX(貼り付け!$A$1:$BZ$3001,2187,$D$1)&amp;"",",",""),"¥",""),"￥","")),0))</f>
        <v/>
      </c>
      <c r="E2188">
        <f>IF($E$1=0,0,IFERROR(VALUE(SUBSTITUTE(SUBSTITUTE(SUBSTITUTE(INDEX(貼り付け!$A$1:$BZ$3001,2187,$E$1)&amp;"",",",""),"¥",""),"￥","")),0))</f>
        <v/>
      </c>
      <c r="F2188">
        <f>IF($F$1=0,0,IFERROR(VALUE(SUBSTITUTE(SUBSTITUTE(SUBSTITUTE(INDEX(貼り付け!$A$1:$BZ$3001,2187,$F$1)&amp;"",",",""),"¥",""),"￥","")),0))</f>
        <v/>
      </c>
      <c r="G2188">
        <f>IF(ISNUMBER(B2188),YEAR(B2188),"")</f>
        <v/>
      </c>
      <c r="H2188">
        <f>IF(ISNUMBER(B2188),MONTH(B2188),"")</f>
        <v/>
      </c>
      <c r="I2188">
        <f>IFERROR(IF($B$1=0,"",IF(ISNUMBER(INDEX(貼り付け!$A$1:$BZ$3001,2187,$B$1)),"",SUBSTITUTE(SUBSTITUTE(SUBSTITUTE(SUBSTITUTE(TRIM(LEFT(INDEX(貼り付け!$A$1:$BZ$3001,2187,$B$1)&amp;"",FIND(" ",TRIM(INDEX(貼り付け!$A$1:$BZ$3001,2187,$B$1)&amp;"")&amp;" ")-1)),"/","-"),"年","-"),"月","-"),"日",""))),"")</f>
        <v/>
      </c>
      <c r="J2188">
        <f>IFERROR(MID(I2188,FIND("-",I2188)+1,99),"")</f>
        <v/>
      </c>
    </row>
    <row r="2189">
      <c r="B2189">
        <f>IFERROR(IF($B$1=0,"",IF(INDEX(貼り付け!$A$1:$BZ$3001,2188,$B$1)="","",IF(ISNUMBER(INDEX(貼り付け!$A$1:$BZ$3001,2188,$B$1)),INT(INDEX(貼り付け!$A$1:$BZ$3001,2188,$B$1)),DATE(VALUE(LEFT(I2189,FIND("-",I2189)-1)),VALUE(LEFT(J2189,FIND("-",J2189)-1)),VALUE(MID(J2189,FIND("-",J2189)+1,99)))))),"")</f>
        <v/>
      </c>
      <c r="C2189">
        <f>IF($C$1=0,0,IFERROR(VALUE(SUBSTITUTE(SUBSTITUTE(SUBSTITUTE(INDEX(貼り付け!$A$1:$BZ$3001,2188,$C$1)&amp;"",",",""),"¥",""),"￥","")),0))</f>
        <v/>
      </c>
      <c r="D2189">
        <f>IF($D$1=0,0,IFERROR(VALUE(SUBSTITUTE(SUBSTITUTE(SUBSTITUTE(INDEX(貼り付け!$A$1:$BZ$3001,2188,$D$1)&amp;"",",",""),"¥",""),"￥","")),0))</f>
        <v/>
      </c>
      <c r="E2189">
        <f>IF($E$1=0,0,IFERROR(VALUE(SUBSTITUTE(SUBSTITUTE(SUBSTITUTE(INDEX(貼り付け!$A$1:$BZ$3001,2188,$E$1)&amp;"",",",""),"¥",""),"￥","")),0))</f>
        <v/>
      </c>
      <c r="F2189">
        <f>IF($F$1=0,0,IFERROR(VALUE(SUBSTITUTE(SUBSTITUTE(SUBSTITUTE(INDEX(貼り付け!$A$1:$BZ$3001,2188,$F$1)&amp;"",",",""),"¥",""),"￥","")),0))</f>
        <v/>
      </c>
      <c r="G2189">
        <f>IF(ISNUMBER(B2189),YEAR(B2189),"")</f>
        <v/>
      </c>
      <c r="H2189">
        <f>IF(ISNUMBER(B2189),MONTH(B2189),"")</f>
        <v/>
      </c>
      <c r="I2189">
        <f>IFERROR(IF($B$1=0,"",IF(ISNUMBER(INDEX(貼り付け!$A$1:$BZ$3001,2188,$B$1)),"",SUBSTITUTE(SUBSTITUTE(SUBSTITUTE(SUBSTITUTE(TRIM(LEFT(INDEX(貼り付け!$A$1:$BZ$3001,2188,$B$1)&amp;"",FIND(" ",TRIM(INDEX(貼り付け!$A$1:$BZ$3001,2188,$B$1)&amp;"")&amp;" ")-1)),"/","-"),"年","-"),"月","-"),"日",""))),"")</f>
        <v/>
      </c>
      <c r="J2189">
        <f>IFERROR(MID(I2189,FIND("-",I2189)+1,99),"")</f>
        <v/>
      </c>
    </row>
    <row r="2190">
      <c r="B2190">
        <f>IFERROR(IF($B$1=0,"",IF(INDEX(貼り付け!$A$1:$BZ$3001,2189,$B$1)="","",IF(ISNUMBER(INDEX(貼り付け!$A$1:$BZ$3001,2189,$B$1)),INT(INDEX(貼り付け!$A$1:$BZ$3001,2189,$B$1)),DATE(VALUE(LEFT(I2190,FIND("-",I2190)-1)),VALUE(LEFT(J2190,FIND("-",J2190)-1)),VALUE(MID(J2190,FIND("-",J2190)+1,99)))))),"")</f>
        <v/>
      </c>
      <c r="C2190">
        <f>IF($C$1=0,0,IFERROR(VALUE(SUBSTITUTE(SUBSTITUTE(SUBSTITUTE(INDEX(貼り付け!$A$1:$BZ$3001,2189,$C$1)&amp;"",",",""),"¥",""),"￥","")),0))</f>
        <v/>
      </c>
      <c r="D2190">
        <f>IF($D$1=0,0,IFERROR(VALUE(SUBSTITUTE(SUBSTITUTE(SUBSTITUTE(INDEX(貼り付け!$A$1:$BZ$3001,2189,$D$1)&amp;"",",",""),"¥",""),"￥","")),0))</f>
        <v/>
      </c>
      <c r="E2190">
        <f>IF($E$1=0,0,IFERROR(VALUE(SUBSTITUTE(SUBSTITUTE(SUBSTITUTE(INDEX(貼り付け!$A$1:$BZ$3001,2189,$E$1)&amp;"",",",""),"¥",""),"￥","")),0))</f>
        <v/>
      </c>
      <c r="F2190">
        <f>IF($F$1=0,0,IFERROR(VALUE(SUBSTITUTE(SUBSTITUTE(SUBSTITUTE(INDEX(貼り付け!$A$1:$BZ$3001,2189,$F$1)&amp;"",",",""),"¥",""),"￥","")),0))</f>
        <v/>
      </c>
      <c r="G2190">
        <f>IF(ISNUMBER(B2190),YEAR(B2190),"")</f>
        <v/>
      </c>
      <c r="H2190">
        <f>IF(ISNUMBER(B2190),MONTH(B2190),"")</f>
        <v/>
      </c>
      <c r="I2190">
        <f>IFERROR(IF($B$1=0,"",IF(ISNUMBER(INDEX(貼り付け!$A$1:$BZ$3001,2189,$B$1)),"",SUBSTITUTE(SUBSTITUTE(SUBSTITUTE(SUBSTITUTE(TRIM(LEFT(INDEX(貼り付け!$A$1:$BZ$3001,2189,$B$1)&amp;"",FIND(" ",TRIM(INDEX(貼り付け!$A$1:$BZ$3001,2189,$B$1)&amp;"")&amp;" ")-1)),"/","-"),"年","-"),"月","-"),"日",""))),"")</f>
        <v/>
      </c>
      <c r="J2190">
        <f>IFERROR(MID(I2190,FIND("-",I2190)+1,99),"")</f>
        <v/>
      </c>
    </row>
    <row r="2191">
      <c r="B2191">
        <f>IFERROR(IF($B$1=0,"",IF(INDEX(貼り付け!$A$1:$BZ$3001,2190,$B$1)="","",IF(ISNUMBER(INDEX(貼り付け!$A$1:$BZ$3001,2190,$B$1)),INT(INDEX(貼り付け!$A$1:$BZ$3001,2190,$B$1)),DATE(VALUE(LEFT(I2191,FIND("-",I2191)-1)),VALUE(LEFT(J2191,FIND("-",J2191)-1)),VALUE(MID(J2191,FIND("-",J2191)+1,99)))))),"")</f>
        <v/>
      </c>
      <c r="C2191">
        <f>IF($C$1=0,0,IFERROR(VALUE(SUBSTITUTE(SUBSTITUTE(SUBSTITUTE(INDEX(貼り付け!$A$1:$BZ$3001,2190,$C$1)&amp;"",",",""),"¥",""),"￥","")),0))</f>
        <v/>
      </c>
      <c r="D2191">
        <f>IF($D$1=0,0,IFERROR(VALUE(SUBSTITUTE(SUBSTITUTE(SUBSTITUTE(INDEX(貼り付け!$A$1:$BZ$3001,2190,$D$1)&amp;"",",",""),"¥",""),"￥","")),0))</f>
        <v/>
      </c>
      <c r="E2191">
        <f>IF($E$1=0,0,IFERROR(VALUE(SUBSTITUTE(SUBSTITUTE(SUBSTITUTE(INDEX(貼り付け!$A$1:$BZ$3001,2190,$E$1)&amp;"",",",""),"¥",""),"￥","")),0))</f>
        <v/>
      </c>
      <c r="F2191">
        <f>IF($F$1=0,0,IFERROR(VALUE(SUBSTITUTE(SUBSTITUTE(SUBSTITUTE(INDEX(貼り付け!$A$1:$BZ$3001,2190,$F$1)&amp;"",",",""),"¥",""),"￥","")),0))</f>
        <v/>
      </c>
      <c r="G2191">
        <f>IF(ISNUMBER(B2191),YEAR(B2191),"")</f>
        <v/>
      </c>
      <c r="H2191">
        <f>IF(ISNUMBER(B2191),MONTH(B2191),"")</f>
        <v/>
      </c>
      <c r="I2191">
        <f>IFERROR(IF($B$1=0,"",IF(ISNUMBER(INDEX(貼り付け!$A$1:$BZ$3001,2190,$B$1)),"",SUBSTITUTE(SUBSTITUTE(SUBSTITUTE(SUBSTITUTE(TRIM(LEFT(INDEX(貼り付け!$A$1:$BZ$3001,2190,$B$1)&amp;"",FIND(" ",TRIM(INDEX(貼り付け!$A$1:$BZ$3001,2190,$B$1)&amp;"")&amp;" ")-1)),"/","-"),"年","-"),"月","-"),"日",""))),"")</f>
        <v/>
      </c>
      <c r="J2191">
        <f>IFERROR(MID(I2191,FIND("-",I2191)+1,99),"")</f>
        <v/>
      </c>
    </row>
    <row r="2192">
      <c r="B2192">
        <f>IFERROR(IF($B$1=0,"",IF(INDEX(貼り付け!$A$1:$BZ$3001,2191,$B$1)="","",IF(ISNUMBER(INDEX(貼り付け!$A$1:$BZ$3001,2191,$B$1)),INT(INDEX(貼り付け!$A$1:$BZ$3001,2191,$B$1)),DATE(VALUE(LEFT(I2192,FIND("-",I2192)-1)),VALUE(LEFT(J2192,FIND("-",J2192)-1)),VALUE(MID(J2192,FIND("-",J2192)+1,99)))))),"")</f>
        <v/>
      </c>
      <c r="C2192">
        <f>IF($C$1=0,0,IFERROR(VALUE(SUBSTITUTE(SUBSTITUTE(SUBSTITUTE(INDEX(貼り付け!$A$1:$BZ$3001,2191,$C$1)&amp;"",",",""),"¥",""),"￥","")),0))</f>
        <v/>
      </c>
      <c r="D2192">
        <f>IF($D$1=0,0,IFERROR(VALUE(SUBSTITUTE(SUBSTITUTE(SUBSTITUTE(INDEX(貼り付け!$A$1:$BZ$3001,2191,$D$1)&amp;"",",",""),"¥",""),"￥","")),0))</f>
        <v/>
      </c>
      <c r="E2192">
        <f>IF($E$1=0,0,IFERROR(VALUE(SUBSTITUTE(SUBSTITUTE(SUBSTITUTE(INDEX(貼り付け!$A$1:$BZ$3001,2191,$E$1)&amp;"",",",""),"¥",""),"￥","")),0))</f>
        <v/>
      </c>
      <c r="F2192">
        <f>IF($F$1=0,0,IFERROR(VALUE(SUBSTITUTE(SUBSTITUTE(SUBSTITUTE(INDEX(貼り付け!$A$1:$BZ$3001,2191,$F$1)&amp;"",",",""),"¥",""),"￥","")),0))</f>
        <v/>
      </c>
      <c r="G2192">
        <f>IF(ISNUMBER(B2192),YEAR(B2192),"")</f>
        <v/>
      </c>
      <c r="H2192">
        <f>IF(ISNUMBER(B2192),MONTH(B2192),"")</f>
        <v/>
      </c>
      <c r="I2192">
        <f>IFERROR(IF($B$1=0,"",IF(ISNUMBER(INDEX(貼り付け!$A$1:$BZ$3001,2191,$B$1)),"",SUBSTITUTE(SUBSTITUTE(SUBSTITUTE(SUBSTITUTE(TRIM(LEFT(INDEX(貼り付け!$A$1:$BZ$3001,2191,$B$1)&amp;"",FIND(" ",TRIM(INDEX(貼り付け!$A$1:$BZ$3001,2191,$B$1)&amp;"")&amp;" ")-1)),"/","-"),"年","-"),"月","-"),"日",""))),"")</f>
        <v/>
      </c>
      <c r="J2192">
        <f>IFERROR(MID(I2192,FIND("-",I2192)+1,99),"")</f>
        <v/>
      </c>
    </row>
    <row r="2193">
      <c r="B2193">
        <f>IFERROR(IF($B$1=0,"",IF(INDEX(貼り付け!$A$1:$BZ$3001,2192,$B$1)="","",IF(ISNUMBER(INDEX(貼り付け!$A$1:$BZ$3001,2192,$B$1)),INT(INDEX(貼り付け!$A$1:$BZ$3001,2192,$B$1)),DATE(VALUE(LEFT(I2193,FIND("-",I2193)-1)),VALUE(LEFT(J2193,FIND("-",J2193)-1)),VALUE(MID(J2193,FIND("-",J2193)+1,99)))))),"")</f>
        <v/>
      </c>
      <c r="C2193">
        <f>IF($C$1=0,0,IFERROR(VALUE(SUBSTITUTE(SUBSTITUTE(SUBSTITUTE(INDEX(貼り付け!$A$1:$BZ$3001,2192,$C$1)&amp;"",",",""),"¥",""),"￥","")),0))</f>
        <v/>
      </c>
      <c r="D2193">
        <f>IF($D$1=0,0,IFERROR(VALUE(SUBSTITUTE(SUBSTITUTE(SUBSTITUTE(INDEX(貼り付け!$A$1:$BZ$3001,2192,$D$1)&amp;"",",",""),"¥",""),"￥","")),0))</f>
        <v/>
      </c>
      <c r="E2193">
        <f>IF($E$1=0,0,IFERROR(VALUE(SUBSTITUTE(SUBSTITUTE(SUBSTITUTE(INDEX(貼り付け!$A$1:$BZ$3001,2192,$E$1)&amp;"",",",""),"¥",""),"￥","")),0))</f>
        <v/>
      </c>
      <c r="F2193">
        <f>IF($F$1=0,0,IFERROR(VALUE(SUBSTITUTE(SUBSTITUTE(SUBSTITUTE(INDEX(貼り付け!$A$1:$BZ$3001,2192,$F$1)&amp;"",",",""),"¥",""),"￥","")),0))</f>
        <v/>
      </c>
      <c r="G2193">
        <f>IF(ISNUMBER(B2193),YEAR(B2193),"")</f>
        <v/>
      </c>
      <c r="H2193">
        <f>IF(ISNUMBER(B2193),MONTH(B2193),"")</f>
        <v/>
      </c>
      <c r="I2193">
        <f>IFERROR(IF($B$1=0,"",IF(ISNUMBER(INDEX(貼り付け!$A$1:$BZ$3001,2192,$B$1)),"",SUBSTITUTE(SUBSTITUTE(SUBSTITUTE(SUBSTITUTE(TRIM(LEFT(INDEX(貼り付け!$A$1:$BZ$3001,2192,$B$1)&amp;"",FIND(" ",TRIM(INDEX(貼り付け!$A$1:$BZ$3001,2192,$B$1)&amp;"")&amp;" ")-1)),"/","-"),"年","-"),"月","-"),"日",""))),"")</f>
        <v/>
      </c>
      <c r="J2193">
        <f>IFERROR(MID(I2193,FIND("-",I2193)+1,99),"")</f>
        <v/>
      </c>
    </row>
    <row r="2194">
      <c r="B2194">
        <f>IFERROR(IF($B$1=0,"",IF(INDEX(貼り付け!$A$1:$BZ$3001,2193,$B$1)="","",IF(ISNUMBER(INDEX(貼り付け!$A$1:$BZ$3001,2193,$B$1)),INT(INDEX(貼り付け!$A$1:$BZ$3001,2193,$B$1)),DATE(VALUE(LEFT(I2194,FIND("-",I2194)-1)),VALUE(LEFT(J2194,FIND("-",J2194)-1)),VALUE(MID(J2194,FIND("-",J2194)+1,99)))))),"")</f>
        <v/>
      </c>
      <c r="C2194">
        <f>IF($C$1=0,0,IFERROR(VALUE(SUBSTITUTE(SUBSTITUTE(SUBSTITUTE(INDEX(貼り付け!$A$1:$BZ$3001,2193,$C$1)&amp;"",",",""),"¥",""),"￥","")),0))</f>
        <v/>
      </c>
      <c r="D2194">
        <f>IF($D$1=0,0,IFERROR(VALUE(SUBSTITUTE(SUBSTITUTE(SUBSTITUTE(INDEX(貼り付け!$A$1:$BZ$3001,2193,$D$1)&amp;"",",",""),"¥",""),"￥","")),0))</f>
        <v/>
      </c>
      <c r="E2194">
        <f>IF($E$1=0,0,IFERROR(VALUE(SUBSTITUTE(SUBSTITUTE(SUBSTITUTE(INDEX(貼り付け!$A$1:$BZ$3001,2193,$E$1)&amp;"",",",""),"¥",""),"￥","")),0))</f>
        <v/>
      </c>
      <c r="F2194">
        <f>IF($F$1=0,0,IFERROR(VALUE(SUBSTITUTE(SUBSTITUTE(SUBSTITUTE(INDEX(貼り付け!$A$1:$BZ$3001,2193,$F$1)&amp;"",",",""),"¥",""),"￥","")),0))</f>
        <v/>
      </c>
      <c r="G2194">
        <f>IF(ISNUMBER(B2194),YEAR(B2194),"")</f>
        <v/>
      </c>
      <c r="H2194">
        <f>IF(ISNUMBER(B2194),MONTH(B2194),"")</f>
        <v/>
      </c>
      <c r="I2194">
        <f>IFERROR(IF($B$1=0,"",IF(ISNUMBER(INDEX(貼り付け!$A$1:$BZ$3001,2193,$B$1)),"",SUBSTITUTE(SUBSTITUTE(SUBSTITUTE(SUBSTITUTE(TRIM(LEFT(INDEX(貼り付け!$A$1:$BZ$3001,2193,$B$1)&amp;"",FIND(" ",TRIM(INDEX(貼り付け!$A$1:$BZ$3001,2193,$B$1)&amp;"")&amp;" ")-1)),"/","-"),"年","-"),"月","-"),"日",""))),"")</f>
        <v/>
      </c>
      <c r="J2194">
        <f>IFERROR(MID(I2194,FIND("-",I2194)+1,99),"")</f>
        <v/>
      </c>
    </row>
    <row r="2195">
      <c r="B2195">
        <f>IFERROR(IF($B$1=0,"",IF(INDEX(貼り付け!$A$1:$BZ$3001,2194,$B$1)="","",IF(ISNUMBER(INDEX(貼り付け!$A$1:$BZ$3001,2194,$B$1)),INT(INDEX(貼り付け!$A$1:$BZ$3001,2194,$B$1)),DATE(VALUE(LEFT(I2195,FIND("-",I2195)-1)),VALUE(LEFT(J2195,FIND("-",J2195)-1)),VALUE(MID(J2195,FIND("-",J2195)+1,99)))))),"")</f>
        <v/>
      </c>
      <c r="C2195">
        <f>IF($C$1=0,0,IFERROR(VALUE(SUBSTITUTE(SUBSTITUTE(SUBSTITUTE(INDEX(貼り付け!$A$1:$BZ$3001,2194,$C$1)&amp;"",",",""),"¥",""),"￥","")),0))</f>
        <v/>
      </c>
      <c r="D2195">
        <f>IF($D$1=0,0,IFERROR(VALUE(SUBSTITUTE(SUBSTITUTE(SUBSTITUTE(INDEX(貼り付け!$A$1:$BZ$3001,2194,$D$1)&amp;"",",",""),"¥",""),"￥","")),0))</f>
        <v/>
      </c>
      <c r="E2195">
        <f>IF($E$1=0,0,IFERROR(VALUE(SUBSTITUTE(SUBSTITUTE(SUBSTITUTE(INDEX(貼り付け!$A$1:$BZ$3001,2194,$E$1)&amp;"",",",""),"¥",""),"￥","")),0))</f>
        <v/>
      </c>
      <c r="F2195">
        <f>IF($F$1=0,0,IFERROR(VALUE(SUBSTITUTE(SUBSTITUTE(SUBSTITUTE(INDEX(貼り付け!$A$1:$BZ$3001,2194,$F$1)&amp;"",",",""),"¥",""),"￥","")),0))</f>
        <v/>
      </c>
      <c r="G2195">
        <f>IF(ISNUMBER(B2195),YEAR(B2195),"")</f>
        <v/>
      </c>
      <c r="H2195">
        <f>IF(ISNUMBER(B2195),MONTH(B2195),"")</f>
        <v/>
      </c>
      <c r="I2195">
        <f>IFERROR(IF($B$1=0,"",IF(ISNUMBER(INDEX(貼り付け!$A$1:$BZ$3001,2194,$B$1)),"",SUBSTITUTE(SUBSTITUTE(SUBSTITUTE(SUBSTITUTE(TRIM(LEFT(INDEX(貼り付け!$A$1:$BZ$3001,2194,$B$1)&amp;"",FIND(" ",TRIM(INDEX(貼り付け!$A$1:$BZ$3001,2194,$B$1)&amp;"")&amp;" ")-1)),"/","-"),"年","-"),"月","-"),"日",""))),"")</f>
        <v/>
      </c>
      <c r="J2195">
        <f>IFERROR(MID(I2195,FIND("-",I2195)+1,99),"")</f>
        <v/>
      </c>
    </row>
    <row r="2196">
      <c r="B2196">
        <f>IFERROR(IF($B$1=0,"",IF(INDEX(貼り付け!$A$1:$BZ$3001,2195,$B$1)="","",IF(ISNUMBER(INDEX(貼り付け!$A$1:$BZ$3001,2195,$B$1)),INT(INDEX(貼り付け!$A$1:$BZ$3001,2195,$B$1)),DATE(VALUE(LEFT(I2196,FIND("-",I2196)-1)),VALUE(LEFT(J2196,FIND("-",J2196)-1)),VALUE(MID(J2196,FIND("-",J2196)+1,99)))))),"")</f>
        <v/>
      </c>
      <c r="C2196">
        <f>IF($C$1=0,0,IFERROR(VALUE(SUBSTITUTE(SUBSTITUTE(SUBSTITUTE(INDEX(貼り付け!$A$1:$BZ$3001,2195,$C$1)&amp;"",",",""),"¥",""),"￥","")),0))</f>
        <v/>
      </c>
      <c r="D2196">
        <f>IF($D$1=0,0,IFERROR(VALUE(SUBSTITUTE(SUBSTITUTE(SUBSTITUTE(INDEX(貼り付け!$A$1:$BZ$3001,2195,$D$1)&amp;"",",",""),"¥",""),"￥","")),0))</f>
        <v/>
      </c>
      <c r="E2196">
        <f>IF($E$1=0,0,IFERROR(VALUE(SUBSTITUTE(SUBSTITUTE(SUBSTITUTE(INDEX(貼り付け!$A$1:$BZ$3001,2195,$E$1)&amp;"",",",""),"¥",""),"￥","")),0))</f>
        <v/>
      </c>
      <c r="F2196">
        <f>IF($F$1=0,0,IFERROR(VALUE(SUBSTITUTE(SUBSTITUTE(SUBSTITUTE(INDEX(貼り付け!$A$1:$BZ$3001,2195,$F$1)&amp;"",",",""),"¥",""),"￥","")),0))</f>
        <v/>
      </c>
      <c r="G2196">
        <f>IF(ISNUMBER(B2196),YEAR(B2196),"")</f>
        <v/>
      </c>
      <c r="H2196">
        <f>IF(ISNUMBER(B2196),MONTH(B2196),"")</f>
        <v/>
      </c>
      <c r="I2196">
        <f>IFERROR(IF($B$1=0,"",IF(ISNUMBER(INDEX(貼り付け!$A$1:$BZ$3001,2195,$B$1)),"",SUBSTITUTE(SUBSTITUTE(SUBSTITUTE(SUBSTITUTE(TRIM(LEFT(INDEX(貼り付け!$A$1:$BZ$3001,2195,$B$1)&amp;"",FIND(" ",TRIM(INDEX(貼り付け!$A$1:$BZ$3001,2195,$B$1)&amp;"")&amp;" ")-1)),"/","-"),"年","-"),"月","-"),"日",""))),"")</f>
        <v/>
      </c>
      <c r="J2196">
        <f>IFERROR(MID(I2196,FIND("-",I2196)+1,99),"")</f>
        <v/>
      </c>
    </row>
    <row r="2197">
      <c r="B2197">
        <f>IFERROR(IF($B$1=0,"",IF(INDEX(貼り付け!$A$1:$BZ$3001,2196,$B$1)="","",IF(ISNUMBER(INDEX(貼り付け!$A$1:$BZ$3001,2196,$B$1)),INT(INDEX(貼り付け!$A$1:$BZ$3001,2196,$B$1)),DATE(VALUE(LEFT(I2197,FIND("-",I2197)-1)),VALUE(LEFT(J2197,FIND("-",J2197)-1)),VALUE(MID(J2197,FIND("-",J2197)+1,99)))))),"")</f>
        <v/>
      </c>
      <c r="C2197">
        <f>IF($C$1=0,0,IFERROR(VALUE(SUBSTITUTE(SUBSTITUTE(SUBSTITUTE(INDEX(貼り付け!$A$1:$BZ$3001,2196,$C$1)&amp;"",",",""),"¥",""),"￥","")),0))</f>
        <v/>
      </c>
      <c r="D2197">
        <f>IF($D$1=0,0,IFERROR(VALUE(SUBSTITUTE(SUBSTITUTE(SUBSTITUTE(INDEX(貼り付け!$A$1:$BZ$3001,2196,$D$1)&amp;"",",",""),"¥",""),"￥","")),0))</f>
        <v/>
      </c>
      <c r="E2197">
        <f>IF($E$1=0,0,IFERROR(VALUE(SUBSTITUTE(SUBSTITUTE(SUBSTITUTE(INDEX(貼り付け!$A$1:$BZ$3001,2196,$E$1)&amp;"",",",""),"¥",""),"￥","")),0))</f>
        <v/>
      </c>
      <c r="F2197">
        <f>IF($F$1=0,0,IFERROR(VALUE(SUBSTITUTE(SUBSTITUTE(SUBSTITUTE(INDEX(貼り付け!$A$1:$BZ$3001,2196,$F$1)&amp;"",",",""),"¥",""),"￥","")),0))</f>
        <v/>
      </c>
      <c r="G2197">
        <f>IF(ISNUMBER(B2197),YEAR(B2197),"")</f>
        <v/>
      </c>
      <c r="H2197">
        <f>IF(ISNUMBER(B2197),MONTH(B2197),"")</f>
        <v/>
      </c>
      <c r="I2197">
        <f>IFERROR(IF($B$1=0,"",IF(ISNUMBER(INDEX(貼り付け!$A$1:$BZ$3001,2196,$B$1)),"",SUBSTITUTE(SUBSTITUTE(SUBSTITUTE(SUBSTITUTE(TRIM(LEFT(INDEX(貼り付け!$A$1:$BZ$3001,2196,$B$1)&amp;"",FIND(" ",TRIM(INDEX(貼り付け!$A$1:$BZ$3001,2196,$B$1)&amp;"")&amp;" ")-1)),"/","-"),"年","-"),"月","-"),"日",""))),"")</f>
        <v/>
      </c>
      <c r="J2197">
        <f>IFERROR(MID(I2197,FIND("-",I2197)+1,99),"")</f>
        <v/>
      </c>
    </row>
    <row r="2198">
      <c r="B2198">
        <f>IFERROR(IF($B$1=0,"",IF(INDEX(貼り付け!$A$1:$BZ$3001,2197,$B$1)="","",IF(ISNUMBER(INDEX(貼り付け!$A$1:$BZ$3001,2197,$B$1)),INT(INDEX(貼り付け!$A$1:$BZ$3001,2197,$B$1)),DATE(VALUE(LEFT(I2198,FIND("-",I2198)-1)),VALUE(LEFT(J2198,FIND("-",J2198)-1)),VALUE(MID(J2198,FIND("-",J2198)+1,99)))))),"")</f>
        <v/>
      </c>
      <c r="C2198">
        <f>IF($C$1=0,0,IFERROR(VALUE(SUBSTITUTE(SUBSTITUTE(SUBSTITUTE(INDEX(貼り付け!$A$1:$BZ$3001,2197,$C$1)&amp;"",",",""),"¥",""),"￥","")),0))</f>
        <v/>
      </c>
      <c r="D2198">
        <f>IF($D$1=0,0,IFERROR(VALUE(SUBSTITUTE(SUBSTITUTE(SUBSTITUTE(INDEX(貼り付け!$A$1:$BZ$3001,2197,$D$1)&amp;"",",",""),"¥",""),"￥","")),0))</f>
        <v/>
      </c>
      <c r="E2198">
        <f>IF($E$1=0,0,IFERROR(VALUE(SUBSTITUTE(SUBSTITUTE(SUBSTITUTE(INDEX(貼り付け!$A$1:$BZ$3001,2197,$E$1)&amp;"",",",""),"¥",""),"￥","")),0))</f>
        <v/>
      </c>
      <c r="F2198">
        <f>IF($F$1=0,0,IFERROR(VALUE(SUBSTITUTE(SUBSTITUTE(SUBSTITUTE(INDEX(貼り付け!$A$1:$BZ$3001,2197,$F$1)&amp;"",",",""),"¥",""),"￥","")),0))</f>
        <v/>
      </c>
      <c r="G2198">
        <f>IF(ISNUMBER(B2198),YEAR(B2198),"")</f>
        <v/>
      </c>
      <c r="H2198">
        <f>IF(ISNUMBER(B2198),MONTH(B2198),"")</f>
        <v/>
      </c>
      <c r="I2198">
        <f>IFERROR(IF($B$1=0,"",IF(ISNUMBER(INDEX(貼り付け!$A$1:$BZ$3001,2197,$B$1)),"",SUBSTITUTE(SUBSTITUTE(SUBSTITUTE(SUBSTITUTE(TRIM(LEFT(INDEX(貼り付け!$A$1:$BZ$3001,2197,$B$1)&amp;"",FIND(" ",TRIM(INDEX(貼り付け!$A$1:$BZ$3001,2197,$B$1)&amp;"")&amp;" ")-1)),"/","-"),"年","-"),"月","-"),"日",""))),"")</f>
        <v/>
      </c>
      <c r="J2198">
        <f>IFERROR(MID(I2198,FIND("-",I2198)+1,99),"")</f>
        <v/>
      </c>
    </row>
    <row r="2199">
      <c r="B2199">
        <f>IFERROR(IF($B$1=0,"",IF(INDEX(貼り付け!$A$1:$BZ$3001,2198,$B$1)="","",IF(ISNUMBER(INDEX(貼り付け!$A$1:$BZ$3001,2198,$B$1)),INT(INDEX(貼り付け!$A$1:$BZ$3001,2198,$B$1)),DATE(VALUE(LEFT(I2199,FIND("-",I2199)-1)),VALUE(LEFT(J2199,FIND("-",J2199)-1)),VALUE(MID(J2199,FIND("-",J2199)+1,99)))))),"")</f>
        <v/>
      </c>
      <c r="C2199">
        <f>IF($C$1=0,0,IFERROR(VALUE(SUBSTITUTE(SUBSTITUTE(SUBSTITUTE(INDEX(貼り付け!$A$1:$BZ$3001,2198,$C$1)&amp;"",",",""),"¥",""),"￥","")),0))</f>
        <v/>
      </c>
      <c r="D2199">
        <f>IF($D$1=0,0,IFERROR(VALUE(SUBSTITUTE(SUBSTITUTE(SUBSTITUTE(INDEX(貼り付け!$A$1:$BZ$3001,2198,$D$1)&amp;"",",",""),"¥",""),"￥","")),0))</f>
        <v/>
      </c>
      <c r="E2199">
        <f>IF($E$1=0,0,IFERROR(VALUE(SUBSTITUTE(SUBSTITUTE(SUBSTITUTE(INDEX(貼り付け!$A$1:$BZ$3001,2198,$E$1)&amp;"",",",""),"¥",""),"￥","")),0))</f>
        <v/>
      </c>
      <c r="F2199">
        <f>IF($F$1=0,0,IFERROR(VALUE(SUBSTITUTE(SUBSTITUTE(SUBSTITUTE(INDEX(貼り付け!$A$1:$BZ$3001,2198,$F$1)&amp;"",",",""),"¥",""),"￥","")),0))</f>
        <v/>
      </c>
      <c r="G2199">
        <f>IF(ISNUMBER(B2199),YEAR(B2199),"")</f>
        <v/>
      </c>
      <c r="H2199">
        <f>IF(ISNUMBER(B2199),MONTH(B2199),"")</f>
        <v/>
      </c>
      <c r="I2199">
        <f>IFERROR(IF($B$1=0,"",IF(ISNUMBER(INDEX(貼り付け!$A$1:$BZ$3001,2198,$B$1)),"",SUBSTITUTE(SUBSTITUTE(SUBSTITUTE(SUBSTITUTE(TRIM(LEFT(INDEX(貼り付け!$A$1:$BZ$3001,2198,$B$1)&amp;"",FIND(" ",TRIM(INDEX(貼り付け!$A$1:$BZ$3001,2198,$B$1)&amp;"")&amp;" ")-1)),"/","-"),"年","-"),"月","-"),"日",""))),"")</f>
        <v/>
      </c>
      <c r="J2199">
        <f>IFERROR(MID(I2199,FIND("-",I2199)+1,99),"")</f>
        <v/>
      </c>
    </row>
    <row r="2200">
      <c r="B2200">
        <f>IFERROR(IF($B$1=0,"",IF(INDEX(貼り付け!$A$1:$BZ$3001,2199,$B$1)="","",IF(ISNUMBER(INDEX(貼り付け!$A$1:$BZ$3001,2199,$B$1)),INT(INDEX(貼り付け!$A$1:$BZ$3001,2199,$B$1)),DATE(VALUE(LEFT(I2200,FIND("-",I2200)-1)),VALUE(LEFT(J2200,FIND("-",J2200)-1)),VALUE(MID(J2200,FIND("-",J2200)+1,99)))))),"")</f>
        <v/>
      </c>
      <c r="C2200">
        <f>IF($C$1=0,0,IFERROR(VALUE(SUBSTITUTE(SUBSTITUTE(SUBSTITUTE(INDEX(貼り付け!$A$1:$BZ$3001,2199,$C$1)&amp;"",",",""),"¥",""),"￥","")),0))</f>
        <v/>
      </c>
      <c r="D2200">
        <f>IF($D$1=0,0,IFERROR(VALUE(SUBSTITUTE(SUBSTITUTE(SUBSTITUTE(INDEX(貼り付け!$A$1:$BZ$3001,2199,$D$1)&amp;"",",",""),"¥",""),"￥","")),0))</f>
        <v/>
      </c>
      <c r="E2200">
        <f>IF($E$1=0,0,IFERROR(VALUE(SUBSTITUTE(SUBSTITUTE(SUBSTITUTE(INDEX(貼り付け!$A$1:$BZ$3001,2199,$E$1)&amp;"",",",""),"¥",""),"￥","")),0))</f>
        <v/>
      </c>
      <c r="F2200">
        <f>IF($F$1=0,0,IFERROR(VALUE(SUBSTITUTE(SUBSTITUTE(SUBSTITUTE(INDEX(貼り付け!$A$1:$BZ$3001,2199,$F$1)&amp;"",",",""),"¥",""),"￥","")),0))</f>
        <v/>
      </c>
      <c r="G2200">
        <f>IF(ISNUMBER(B2200),YEAR(B2200),"")</f>
        <v/>
      </c>
      <c r="H2200">
        <f>IF(ISNUMBER(B2200),MONTH(B2200),"")</f>
        <v/>
      </c>
      <c r="I2200">
        <f>IFERROR(IF($B$1=0,"",IF(ISNUMBER(INDEX(貼り付け!$A$1:$BZ$3001,2199,$B$1)),"",SUBSTITUTE(SUBSTITUTE(SUBSTITUTE(SUBSTITUTE(TRIM(LEFT(INDEX(貼り付け!$A$1:$BZ$3001,2199,$B$1)&amp;"",FIND(" ",TRIM(INDEX(貼り付け!$A$1:$BZ$3001,2199,$B$1)&amp;"")&amp;" ")-1)),"/","-"),"年","-"),"月","-"),"日",""))),"")</f>
        <v/>
      </c>
      <c r="J2200">
        <f>IFERROR(MID(I2200,FIND("-",I2200)+1,99),"")</f>
        <v/>
      </c>
    </row>
    <row r="2201">
      <c r="B2201">
        <f>IFERROR(IF($B$1=0,"",IF(INDEX(貼り付け!$A$1:$BZ$3001,2200,$B$1)="","",IF(ISNUMBER(INDEX(貼り付け!$A$1:$BZ$3001,2200,$B$1)),INT(INDEX(貼り付け!$A$1:$BZ$3001,2200,$B$1)),DATE(VALUE(LEFT(I2201,FIND("-",I2201)-1)),VALUE(LEFT(J2201,FIND("-",J2201)-1)),VALUE(MID(J2201,FIND("-",J2201)+1,99)))))),"")</f>
        <v/>
      </c>
      <c r="C2201">
        <f>IF($C$1=0,0,IFERROR(VALUE(SUBSTITUTE(SUBSTITUTE(SUBSTITUTE(INDEX(貼り付け!$A$1:$BZ$3001,2200,$C$1)&amp;"",",",""),"¥",""),"￥","")),0))</f>
        <v/>
      </c>
      <c r="D2201">
        <f>IF($D$1=0,0,IFERROR(VALUE(SUBSTITUTE(SUBSTITUTE(SUBSTITUTE(INDEX(貼り付け!$A$1:$BZ$3001,2200,$D$1)&amp;"",",",""),"¥",""),"￥","")),0))</f>
        <v/>
      </c>
      <c r="E2201">
        <f>IF($E$1=0,0,IFERROR(VALUE(SUBSTITUTE(SUBSTITUTE(SUBSTITUTE(INDEX(貼り付け!$A$1:$BZ$3001,2200,$E$1)&amp;"",",",""),"¥",""),"￥","")),0))</f>
        <v/>
      </c>
      <c r="F2201">
        <f>IF($F$1=0,0,IFERROR(VALUE(SUBSTITUTE(SUBSTITUTE(SUBSTITUTE(INDEX(貼り付け!$A$1:$BZ$3001,2200,$F$1)&amp;"",",",""),"¥",""),"￥","")),0))</f>
        <v/>
      </c>
      <c r="G2201">
        <f>IF(ISNUMBER(B2201),YEAR(B2201),"")</f>
        <v/>
      </c>
      <c r="H2201">
        <f>IF(ISNUMBER(B2201),MONTH(B2201),"")</f>
        <v/>
      </c>
      <c r="I2201">
        <f>IFERROR(IF($B$1=0,"",IF(ISNUMBER(INDEX(貼り付け!$A$1:$BZ$3001,2200,$B$1)),"",SUBSTITUTE(SUBSTITUTE(SUBSTITUTE(SUBSTITUTE(TRIM(LEFT(INDEX(貼り付け!$A$1:$BZ$3001,2200,$B$1)&amp;"",FIND(" ",TRIM(INDEX(貼り付け!$A$1:$BZ$3001,2200,$B$1)&amp;"")&amp;" ")-1)),"/","-"),"年","-"),"月","-"),"日",""))),"")</f>
        <v/>
      </c>
      <c r="J2201">
        <f>IFERROR(MID(I2201,FIND("-",I2201)+1,99),"")</f>
        <v/>
      </c>
    </row>
    <row r="2202">
      <c r="B2202">
        <f>IFERROR(IF($B$1=0,"",IF(INDEX(貼り付け!$A$1:$BZ$3001,2201,$B$1)="","",IF(ISNUMBER(INDEX(貼り付け!$A$1:$BZ$3001,2201,$B$1)),INT(INDEX(貼り付け!$A$1:$BZ$3001,2201,$B$1)),DATE(VALUE(LEFT(I2202,FIND("-",I2202)-1)),VALUE(LEFT(J2202,FIND("-",J2202)-1)),VALUE(MID(J2202,FIND("-",J2202)+1,99)))))),"")</f>
        <v/>
      </c>
      <c r="C2202">
        <f>IF($C$1=0,0,IFERROR(VALUE(SUBSTITUTE(SUBSTITUTE(SUBSTITUTE(INDEX(貼り付け!$A$1:$BZ$3001,2201,$C$1)&amp;"",",",""),"¥",""),"￥","")),0))</f>
        <v/>
      </c>
      <c r="D2202">
        <f>IF($D$1=0,0,IFERROR(VALUE(SUBSTITUTE(SUBSTITUTE(SUBSTITUTE(INDEX(貼り付け!$A$1:$BZ$3001,2201,$D$1)&amp;"",",",""),"¥",""),"￥","")),0))</f>
        <v/>
      </c>
      <c r="E2202">
        <f>IF($E$1=0,0,IFERROR(VALUE(SUBSTITUTE(SUBSTITUTE(SUBSTITUTE(INDEX(貼り付け!$A$1:$BZ$3001,2201,$E$1)&amp;"",",",""),"¥",""),"￥","")),0))</f>
        <v/>
      </c>
      <c r="F2202">
        <f>IF($F$1=0,0,IFERROR(VALUE(SUBSTITUTE(SUBSTITUTE(SUBSTITUTE(INDEX(貼り付け!$A$1:$BZ$3001,2201,$F$1)&amp;"",",",""),"¥",""),"￥","")),0))</f>
        <v/>
      </c>
      <c r="G2202">
        <f>IF(ISNUMBER(B2202),YEAR(B2202),"")</f>
        <v/>
      </c>
      <c r="H2202">
        <f>IF(ISNUMBER(B2202),MONTH(B2202),"")</f>
        <v/>
      </c>
      <c r="I2202">
        <f>IFERROR(IF($B$1=0,"",IF(ISNUMBER(INDEX(貼り付け!$A$1:$BZ$3001,2201,$B$1)),"",SUBSTITUTE(SUBSTITUTE(SUBSTITUTE(SUBSTITUTE(TRIM(LEFT(INDEX(貼り付け!$A$1:$BZ$3001,2201,$B$1)&amp;"",FIND(" ",TRIM(INDEX(貼り付け!$A$1:$BZ$3001,2201,$B$1)&amp;"")&amp;" ")-1)),"/","-"),"年","-"),"月","-"),"日",""))),"")</f>
        <v/>
      </c>
      <c r="J2202">
        <f>IFERROR(MID(I2202,FIND("-",I2202)+1,99),"")</f>
        <v/>
      </c>
    </row>
    <row r="2203">
      <c r="B2203">
        <f>IFERROR(IF($B$1=0,"",IF(INDEX(貼り付け!$A$1:$BZ$3001,2202,$B$1)="","",IF(ISNUMBER(INDEX(貼り付け!$A$1:$BZ$3001,2202,$B$1)),INT(INDEX(貼り付け!$A$1:$BZ$3001,2202,$B$1)),DATE(VALUE(LEFT(I2203,FIND("-",I2203)-1)),VALUE(LEFT(J2203,FIND("-",J2203)-1)),VALUE(MID(J2203,FIND("-",J2203)+1,99)))))),"")</f>
        <v/>
      </c>
      <c r="C2203">
        <f>IF($C$1=0,0,IFERROR(VALUE(SUBSTITUTE(SUBSTITUTE(SUBSTITUTE(INDEX(貼り付け!$A$1:$BZ$3001,2202,$C$1)&amp;"",",",""),"¥",""),"￥","")),0))</f>
        <v/>
      </c>
      <c r="D2203">
        <f>IF($D$1=0,0,IFERROR(VALUE(SUBSTITUTE(SUBSTITUTE(SUBSTITUTE(INDEX(貼り付け!$A$1:$BZ$3001,2202,$D$1)&amp;"",",",""),"¥",""),"￥","")),0))</f>
        <v/>
      </c>
      <c r="E2203">
        <f>IF($E$1=0,0,IFERROR(VALUE(SUBSTITUTE(SUBSTITUTE(SUBSTITUTE(INDEX(貼り付け!$A$1:$BZ$3001,2202,$E$1)&amp;"",",",""),"¥",""),"￥","")),0))</f>
        <v/>
      </c>
      <c r="F2203">
        <f>IF($F$1=0,0,IFERROR(VALUE(SUBSTITUTE(SUBSTITUTE(SUBSTITUTE(INDEX(貼り付け!$A$1:$BZ$3001,2202,$F$1)&amp;"",",",""),"¥",""),"￥","")),0))</f>
        <v/>
      </c>
      <c r="G2203">
        <f>IF(ISNUMBER(B2203),YEAR(B2203),"")</f>
        <v/>
      </c>
      <c r="H2203">
        <f>IF(ISNUMBER(B2203),MONTH(B2203),"")</f>
        <v/>
      </c>
      <c r="I2203">
        <f>IFERROR(IF($B$1=0,"",IF(ISNUMBER(INDEX(貼り付け!$A$1:$BZ$3001,2202,$B$1)),"",SUBSTITUTE(SUBSTITUTE(SUBSTITUTE(SUBSTITUTE(TRIM(LEFT(INDEX(貼り付け!$A$1:$BZ$3001,2202,$B$1)&amp;"",FIND(" ",TRIM(INDEX(貼り付け!$A$1:$BZ$3001,2202,$B$1)&amp;"")&amp;" ")-1)),"/","-"),"年","-"),"月","-"),"日",""))),"")</f>
        <v/>
      </c>
      <c r="J2203">
        <f>IFERROR(MID(I2203,FIND("-",I2203)+1,99),"")</f>
        <v/>
      </c>
    </row>
    <row r="2204">
      <c r="B2204">
        <f>IFERROR(IF($B$1=0,"",IF(INDEX(貼り付け!$A$1:$BZ$3001,2203,$B$1)="","",IF(ISNUMBER(INDEX(貼り付け!$A$1:$BZ$3001,2203,$B$1)),INT(INDEX(貼り付け!$A$1:$BZ$3001,2203,$B$1)),DATE(VALUE(LEFT(I2204,FIND("-",I2204)-1)),VALUE(LEFT(J2204,FIND("-",J2204)-1)),VALUE(MID(J2204,FIND("-",J2204)+1,99)))))),"")</f>
        <v/>
      </c>
      <c r="C2204">
        <f>IF($C$1=0,0,IFERROR(VALUE(SUBSTITUTE(SUBSTITUTE(SUBSTITUTE(INDEX(貼り付け!$A$1:$BZ$3001,2203,$C$1)&amp;"",",",""),"¥",""),"￥","")),0))</f>
        <v/>
      </c>
      <c r="D2204">
        <f>IF($D$1=0,0,IFERROR(VALUE(SUBSTITUTE(SUBSTITUTE(SUBSTITUTE(INDEX(貼り付け!$A$1:$BZ$3001,2203,$D$1)&amp;"",",",""),"¥",""),"￥","")),0))</f>
        <v/>
      </c>
      <c r="E2204">
        <f>IF($E$1=0,0,IFERROR(VALUE(SUBSTITUTE(SUBSTITUTE(SUBSTITUTE(INDEX(貼り付け!$A$1:$BZ$3001,2203,$E$1)&amp;"",",",""),"¥",""),"￥","")),0))</f>
        <v/>
      </c>
      <c r="F2204">
        <f>IF($F$1=0,0,IFERROR(VALUE(SUBSTITUTE(SUBSTITUTE(SUBSTITUTE(INDEX(貼り付け!$A$1:$BZ$3001,2203,$F$1)&amp;"",",",""),"¥",""),"￥","")),0))</f>
        <v/>
      </c>
      <c r="G2204">
        <f>IF(ISNUMBER(B2204),YEAR(B2204),"")</f>
        <v/>
      </c>
      <c r="H2204">
        <f>IF(ISNUMBER(B2204),MONTH(B2204),"")</f>
        <v/>
      </c>
      <c r="I2204">
        <f>IFERROR(IF($B$1=0,"",IF(ISNUMBER(INDEX(貼り付け!$A$1:$BZ$3001,2203,$B$1)),"",SUBSTITUTE(SUBSTITUTE(SUBSTITUTE(SUBSTITUTE(TRIM(LEFT(INDEX(貼り付け!$A$1:$BZ$3001,2203,$B$1)&amp;"",FIND(" ",TRIM(INDEX(貼り付け!$A$1:$BZ$3001,2203,$B$1)&amp;"")&amp;" ")-1)),"/","-"),"年","-"),"月","-"),"日",""))),"")</f>
        <v/>
      </c>
      <c r="J2204">
        <f>IFERROR(MID(I2204,FIND("-",I2204)+1,99),"")</f>
        <v/>
      </c>
    </row>
    <row r="2205">
      <c r="B2205">
        <f>IFERROR(IF($B$1=0,"",IF(INDEX(貼り付け!$A$1:$BZ$3001,2204,$B$1)="","",IF(ISNUMBER(INDEX(貼り付け!$A$1:$BZ$3001,2204,$B$1)),INT(INDEX(貼り付け!$A$1:$BZ$3001,2204,$B$1)),DATE(VALUE(LEFT(I2205,FIND("-",I2205)-1)),VALUE(LEFT(J2205,FIND("-",J2205)-1)),VALUE(MID(J2205,FIND("-",J2205)+1,99)))))),"")</f>
        <v/>
      </c>
      <c r="C2205">
        <f>IF($C$1=0,0,IFERROR(VALUE(SUBSTITUTE(SUBSTITUTE(SUBSTITUTE(INDEX(貼り付け!$A$1:$BZ$3001,2204,$C$1)&amp;"",",",""),"¥",""),"￥","")),0))</f>
        <v/>
      </c>
      <c r="D2205">
        <f>IF($D$1=0,0,IFERROR(VALUE(SUBSTITUTE(SUBSTITUTE(SUBSTITUTE(INDEX(貼り付け!$A$1:$BZ$3001,2204,$D$1)&amp;"",",",""),"¥",""),"￥","")),0))</f>
        <v/>
      </c>
      <c r="E2205">
        <f>IF($E$1=0,0,IFERROR(VALUE(SUBSTITUTE(SUBSTITUTE(SUBSTITUTE(INDEX(貼り付け!$A$1:$BZ$3001,2204,$E$1)&amp;"",",",""),"¥",""),"￥","")),0))</f>
        <v/>
      </c>
      <c r="F2205">
        <f>IF($F$1=0,0,IFERROR(VALUE(SUBSTITUTE(SUBSTITUTE(SUBSTITUTE(INDEX(貼り付け!$A$1:$BZ$3001,2204,$F$1)&amp;"",",",""),"¥",""),"￥","")),0))</f>
        <v/>
      </c>
      <c r="G2205">
        <f>IF(ISNUMBER(B2205),YEAR(B2205),"")</f>
        <v/>
      </c>
      <c r="H2205">
        <f>IF(ISNUMBER(B2205),MONTH(B2205),"")</f>
        <v/>
      </c>
      <c r="I2205">
        <f>IFERROR(IF($B$1=0,"",IF(ISNUMBER(INDEX(貼り付け!$A$1:$BZ$3001,2204,$B$1)),"",SUBSTITUTE(SUBSTITUTE(SUBSTITUTE(SUBSTITUTE(TRIM(LEFT(INDEX(貼り付け!$A$1:$BZ$3001,2204,$B$1)&amp;"",FIND(" ",TRIM(INDEX(貼り付け!$A$1:$BZ$3001,2204,$B$1)&amp;"")&amp;" ")-1)),"/","-"),"年","-"),"月","-"),"日",""))),"")</f>
        <v/>
      </c>
      <c r="J2205">
        <f>IFERROR(MID(I2205,FIND("-",I2205)+1,99),"")</f>
        <v/>
      </c>
    </row>
    <row r="2206">
      <c r="B2206">
        <f>IFERROR(IF($B$1=0,"",IF(INDEX(貼り付け!$A$1:$BZ$3001,2205,$B$1)="","",IF(ISNUMBER(INDEX(貼り付け!$A$1:$BZ$3001,2205,$B$1)),INT(INDEX(貼り付け!$A$1:$BZ$3001,2205,$B$1)),DATE(VALUE(LEFT(I2206,FIND("-",I2206)-1)),VALUE(LEFT(J2206,FIND("-",J2206)-1)),VALUE(MID(J2206,FIND("-",J2206)+1,99)))))),"")</f>
        <v/>
      </c>
      <c r="C2206">
        <f>IF($C$1=0,0,IFERROR(VALUE(SUBSTITUTE(SUBSTITUTE(SUBSTITUTE(INDEX(貼り付け!$A$1:$BZ$3001,2205,$C$1)&amp;"",",",""),"¥",""),"￥","")),0))</f>
        <v/>
      </c>
      <c r="D2206">
        <f>IF($D$1=0,0,IFERROR(VALUE(SUBSTITUTE(SUBSTITUTE(SUBSTITUTE(INDEX(貼り付け!$A$1:$BZ$3001,2205,$D$1)&amp;"",",",""),"¥",""),"￥","")),0))</f>
        <v/>
      </c>
      <c r="E2206">
        <f>IF($E$1=0,0,IFERROR(VALUE(SUBSTITUTE(SUBSTITUTE(SUBSTITUTE(INDEX(貼り付け!$A$1:$BZ$3001,2205,$E$1)&amp;"",",",""),"¥",""),"￥","")),0))</f>
        <v/>
      </c>
      <c r="F2206">
        <f>IF($F$1=0,0,IFERROR(VALUE(SUBSTITUTE(SUBSTITUTE(SUBSTITUTE(INDEX(貼り付け!$A$1:$BZ$3001,2205,$F$1)&amp;"",",",""),"¥",""),"￥","")),0))</f>
        <v/>
      </c>
      <c r="G2206">
        <f>IF(ISNUMBER(B2206),YEAR(B2206),"")</f>
        <v/>
      </c>
      <c r="H2206">
        <f>IF(ISNUMBER(B2206),MONTH(B2206),"")</f>
        <v/>
      </c>
      <c r="I2206">
        <f>IFERROR(IF($B$1=0,"",IF(ISNUMBER(INDEX(貼り付け!$A$1:$BZ$3001,2205,$B$1)),"",SUBSTITUTE(SUBSTITUTE(SUBSTITUTE(SUBSTITUTE(TRIM(LEFT(INDEX(貼り付け!$A$1:$BZ$3001,2205,$B$1)&amp;"",FIND(" ",TRIM(INDEX(貼り付け!$A$1:$BZ$3001,2205,$B$1)&amp;"")&amp;" ")-1)),"/","-"),"年","-"),"月","-"),"日",""))),"")</f>
        <v/>
      </c>
      <c r="J2206">
        <f>IFERROR(MID(I2206,FIND("-",I2206)+1,99),"")</f>
        <v/>
      </c>
    </row>
    <row r="2207">
      <c r="B2207">
        <f>IFERROR(IF($B$1=0,"",IF(INDEX(貼り付け!$A$1:$BZ$3001,2206,$B$1)="","",IF(ISNUMBER(INDEX(貼り付け!$A$1:$BZ$3001,2206,$B$1)),INT(INDEX(貼り付け!$A$1:$BZ$3001,2206,$B$1)),DATE(VALUE(LEFT(I2207,FIND("-",I2207)-1)),VALUE(LEFT(J2207,FIND("-",J2207)-1)),VALUE(MID(J2207,FIND("-",J2207)+1,99)))))),"")</f>
        <v/>
      </c>
      <c r="C2207">
        <f>IF($C$1=0,0,IFERROR(VALUE(SUBSTITUTE(SUBSTITUTE(SUBSTITUTE(INDEX(貼り付け!$A$1:$BZ$3001,2206,$C$1)&amp;"",",",""),"¥",""),"￥","")),0))</f>
        <v/>
      </c>
      <c r="D2207">
        <f>IF($D$1=0,0,IFERROR(VALUE(SUBSTITUTE(SUBSTITUTE(SUBSTITUTE(INDEX(貼り付け!$A$1:$BZ$3001,2206,$D$1)&amp;"",",",""),"¥",""),"￥","")),0))</f>
        <v/>
      </c>
      <c r="E2207">
        <f>IF($E$1=0,0,IFERROR(VALUE(SUBSTITUTE(SUBSTITUTE(SUBSTITUTE(INDEX(貼り付け!$A$1:$BZ$3001,2206,$E$1)&amp;"",",",""),"¥",""),"￥","")),0))</f>
        <v/>
      </c>
      <c r="F2207">
        <f>IF($F$1=0,0,IFERROR(VALUE(SUBSTITUTE(SUBSTITUTE(SUBSTITUTE(INDEX(貼り付け!$A$1:$BZ$3001,2206,$F$1)&amp;"",",",""),"¥",""),"￥","")),0))</f>
        <v/>
      </c>
      <c r="G2207">
        <f>IF(ISNUMBER(B2207),YEAR(B2207),"")</f>
        <v/>
      </c>
      <c r="H2207">
        <f>IF(ISNUMBER(B2207),MONTH(B2207),"")</f>
        <v/>
      </c>
      <c r="I2207">
        <f>IFERROR(IF($B$1=0,"",IF(ISNUMBER(INDEX(貼り付け!$A$1:$BZ$3001,2206,$B$1)),"",SUBSTITUTE(SUBSTITUTE(SUBSTITUTE(SUBSTITUTE(TRIM(LEFT(INDEX(貼り付け!$A$1:$BZ$3001,2206,$B$1)&amp;"",FIND(" ",TRIM(INDEX(貼り付け!$A$1:$BZ$3001,2206,$B$1)&amp;"")&amp;" ")-1)),"/","-"),"年","-"),"月","-"),"日",""))),"")</f>
        <v/>
      </c>
      <c r="J2207">
        <f>IFERROR(MID(I2207,FIND("-",I2207)+1,99),"")</f>
        <v/>
      </c>
    </row>
    <row r="2208">
      <c r="B2208">
        <f>IFERROR(IF($B$1=0,"",IF(INDEX(貼り付け!$A$1:$BZ$3001,2207,$B$1)="","",IF(ISNUMBER(INDEX(貼り付け!$A$1:$BZ$3001,2207,$B$1)),INT(INDEX(貼り付け!$A$1:$BZ$3001,2207,$B$1)),DATE(VALUE(LEFT(I2208,FIND("-",I2208)-1)),VALUE(LEFT(J2208,FIND("-",J2208)-1)),VALUE(MID(J2208,FIND("-",J2208)+1,99)))))),"")</f>
        <v/>
      </c>
      <c r="C2208">
        <f>IF($C$1=0,0,IFERROR(VALUE(SUBSTITUTE(SUBSTITUTE(SUBSTITUTE(INDEX(貼り付け!$A$1:$BZ$3001,2207,$C$1)&amp;"",",",""),"¥",""),"￥","")),0))</f>
        <v/>
      </c>
      <c r="D2208">
        <f>IF($D$1=0,0,IFERROR(VALUE(SUBSTITUTE(SUBSTITUTE(SUBSTITUTE(INDEX(貼り付け!$A$1:$BZ$3001,2207,$D$1)&amp;"",",",""),"¥",""),"￥","")),0))</f>
        <v/>
      </c>
      <c r="E2208">
        <f>IF($E$1=0,0,IFERROR(VALUE(SUBSTITUTE(SUBSTITUTE(SUBSTITUTE(INDEX(貼り付け!$A$1:$BZ$3001,2207,$E$1)&amp;"",",",""),"¥",""),"￥","")),0))</f>
        <v/>
      </c>
      <c r="F2208">
        <f>IF($F$1=0,0,IFERROR(VALUE(SUBSTITUTE(SUBSTITUTE(SUBSTITUTE(INDEX(貼り付け!$A$1:$BZ$3001,2207,$F$1)&amp;"",",",""),"¥",""),"￥","")),0))</f>
        <v/>
      </c>
      <c r="G2208">
        <f>IF(ISNUMBER(B2208),YEAR(B2208),"")</f>
        <v/>
      </c>
      <c r="H2208">
        <f>IF(ISNUMBER(B2208),MONTH(B2208),"")</f>
        <v/>
      </c>
      <c r="I2208">
        <f>IFERROR(IF($B$1=0,"",IF(ISNUMBER(INDEX(貼り付け!$A$1:$BZ$3001,2207,$B$1)),"",SUBSTITUTE(SUBSTITUTE(SUBSTITUTE(SUBSTITUTE(TRIM(LEFT(INDEX(貼り付け!$A$1:$BZ$3001,2207,$B$1)&amp;"",FIND(" ",TRIM(INDEX(貼り付け!$A$1:$BZ$3001,2207,$B$1)&amp;"")&amp;" ")-1)),"/","-"),"年","-"),"月","-"),"日",""))),"")</f>
        <v/>
      </c>
      <c r="J2208">
        <f>IFERROR(MID(I2208,FIND("-",I2208)+1,99),"")</f>
        <v/>
      </c>
    </row>
    <row r="2209">
      <c r="B2209">
        <f>IFERROR(IF($B$1=0,"",IF(INDEX(貼り付け!$A$1:$BZ$3001,2208,$B$1)="","",IF(ISNUMBER(INDEX(貼り付け!$A$1:$BZ$3001,2208,$B$1)),INT(INDEX(貼り付け!$A$1:$BZ$3001,2208,$B$1)),DATE(VALUE(LEFT(I2209,FIND("-",I2209)-1)),VALUE(LEFT(J2209,FIND("-",J2209)-1)),VALUE(MID(J2209,FIND("-",J2209)+1,99)))))),"")</f>
        <v/>
      </c>
      <c r="C2209">
        <f>IF($C$1=0,0,IFERROR(VALUE(SUBSTITUTE(SUBSTITUTE(SUBSTITUTE(INDEX(貼り付け!$A$1:$BZ$3001,2208,$C$1)&amp;"",",",""),"¥",""),"￥","")),0))</f>
        <v/>
      </c>
      <c r="D2209">
        <f>IF($D$1=0,0,IFERROR(VALUE(SUBSTITUTE(SUBSTITUTE(SUBSTITUTE(INDEX(貼り付け!$A$1:$BZ$3001,2208,$D$1)&amp;"",",",""),"¥",""),"￥","")),0))</f>
        <v/>
      </c>
      <c r="E2209">
        <f>IF($E$1=0,0,IFERROR(VALUE(SUBSTITUTE(SUBSTITUTE(SUBSTITUTE(INDEX(貼り付け!$A$1:$BZ$3001,2208,$E$1)&amp;"",",",""),"¥",""),"￥","")),0))</f>
        <v/>
      </c>
      <c r="F2209">
        <f>IF($F$1=0,0,IFERROR(VALUE(SUBSTITUTE(SUBSTITUTE(SUBSTITUTE(INDEX(貼り付け!$A$1:$BZ$3001,2208,$F$1)&amp;"",",",""),"¥",""),"￥","")),0))</f>
        <v/>
      </c>
      <c r="G2209">
        <f>IF(ISNUMBER(B2209),YEAR(B2209),"")</f>
        <v/>
      </c>
      <c r="H2209">
        <f>IF(ISNUMBER(B2209),MONTH(B2209),"")</f>
        <v/>
      </c>
      <c r="I2209">
        <f>IFERROR(IF($B$1=0,"",IF(ISNUMBER(INDEX(貼り付け!$A$1:$BZ$3001,2208,$B$1)),"",SUBSTITUTE(SUBSTITUTE(SUBSTITUTE(SUBSTITUTE(TRIM(LEFT(INDEX(貼り付け!$A$1:$BZ$3001,2208,$B$1)&amp;"",FIND(" ",TRIM(INDEX(貼り付け!$A$1:$BZ$3001,2208,$B$1)&amp;"")&amp;" ")-1)),"/","-"),"年","-"),"月","-"),"日",""))),"")</f>
        <v/>
      </c>
      <c r="J2209">
        <f>IFERROR(MID(I2209,FIND("-",I2209)+1,99),"")</f>
        <v/>
      </c>
    </row>
    <row r="2210">
      <c r="B2210">
        <f>IFERROR(IF($B$1=0,"",IF(INDEX(貼り付け!$A$1:$BZ$3001,2209,$B$1)="","",IF(ISNUMBER(INDEX(貼り付け!$A$1:$BZ$3001,2209,$B$1)),INT(INDEX(貼り付け!$A$1:$BZ$3001,2209,$B$1)),DATE(VALUE(LEFT(I2210,FIND("-",I2210)-1)),VALUE(LEFT(J2210,FIND("-",J2210)-1)),VALUE(MID(J2210,FIND("-",J2210)+1,99)))))),"")</f>
        <v/>
      </c>
      <c r="C2210">
        <f>IF($C$1=0,0,IFERROR(VALUE(SUBSTITUTE(SUBSTITUTE(SUBSTITUTE(INDEX(貼り付け!$A$1:$BZ$3001,2209,$C$1)&amp;"",",",""),"¥",""),"￥","")),0))</f>
        <v/>
      </c>
      <c r="D2210">
        <f>IF($D$1=0,0,IFERROR(VALUE(SUBSTITUTE(SUBSTITUTE(SUBSTITUTE(INDEX(貼り付け!$A$1:$BZ$3001,2209,$D$1)&amp;"",",",""),"¥",""),"￥","")),0))</f>
        <v/>
      </c>
      <c r="E2210">
        <f>IF($E$1=0,0,IFERROR(VALUE(SUBSTITUTE(SUBSTITUTE(SUBSTITUTE(INDEX(貼り付け!$A$1:$BZ$3001,2209,$E$1)&amp;"",",",""),"¥",""),"￥","")),0))</f>
        <v/>
      </c>
      <c r="F2210">
        <f>IF($F$1=0,0,IFERROR(VALUE(SUBSTITUTE(SUBSTITUTE(SUBSTITUTE(INDEX(貼り付け!$A$1:$BZ$3001,2209,$F$1)&amp;"",",",""),"¥",""),"￥","")),0))</f>
        <v/>
      </c>
      <c r="G2210">
        <f>IF(ISNUMBER(B2210),YEAR(B2210),"")</f>
        <v/>
      </c>
      <c r="H2210">
        <f>IF(ISNUMBER(B2210),MONTH(B2210),"")</f>
        <v/>
      </c>
      <c r="I2210">
        <f>IFERROR(IF($B$1=0,"",IF(ISNUMBER(INDEX(貼り付け!$A$1:$BZ$3001,2209,$B$1)),"",SUBSTITUTE(SUBSTITUTE(SUBSTITUTE(SUBSTITUTE(TRIM(LEFT(INDEX(貼り付け!$A$1:$BZ$3001,2209,$B$1)&amp;"",FIND(" ",TRIM(INDEX(貼り付け!$A$1:$BZ$3001,2209,$B$1)&amp;"")&amp;" ")-1)),"/","-"),"年","-"),"月","-"),"日",""))),"")</f>
        <v/>
      </c>
      <c r="J2210">
        <f>IFERROR(MID(I2210,FIND("-",I2210)+1,99),"")</f>
        <v/>
      </c>
    </row>
    <row r="2211">
      <c r="B2211">
        <f>IFERROR(IF($B$1=0,"",IF(INDEX(貼り付け!$A$1:$BZ$3001,2210,$B$1)="","",IF(ISNUMBER(INDEX(貼り付け!$A$1:$BZ$3001,2210,$B$1)),INT(INDEX(貼り付け!$A$1:$BZ$3001,2210,$B$1)),DATE(VALUE(LEFT(I2211,FIND("-",I2211)-1)),VALUE(LEFT(J2211,FIND("-",J2211)-1)),VALUE(MID(J2211,FIND("-",J2211)+1,99)))))),"")</f>
        <v/>
      </c>
      <c r="C2211">
        <f>IF($C$1=0,0,IFERROR(VALUE(SUBSTITUTE(SUBSTITUTE(SUBSTITUTE(INDEX(貼り付け!$A$1:$BZ$3001,2210,$C$1)&amp;"",",",""),"¥",""),"￥","")),0))</f>
        <v/>
      </c>
      <c r="D2211">
        <f>IF($D$1=0,0,IFERROR(VALUE(SUBSTITUTE(SUBSTITUTE(SUBSTITUTE(INDEX(貼り付け!$A$1:$BZ$3001,2210,$D$1)&amp;"",",",""),"¥",""),"￥","")),0))</f>
        <v/>
      </c>
      <c r="E2211">
        <f>IF($E$1=0,0,IFERROR(VALUE(SUBSTITUTE(SUBSTITUTE(SUBSTITUTE(INDEX(貼り付け!$A$1:$BZ$3001,2210,$E$1)&amp;"",",",""),"¥",""),"￥","")),0))</f>
        <v/>
      </c>
      <c r="F2211">
        <f>IF($F$1=0,0,IFERROR(VALUE(SUBSTITUTE(SUBSTITUTE(SUBSTITUTE(INDEX(貼り付け!$A$1:$BZ$3001,2210,$F$1)&amp;"",",",""),"¥",""),"￥","")),0))</f>
        <v/>
      </c>
      <c r="G2211">
        <f>IF(ISNUMBER(B2211),YEAR(B2211),"")</f>
        <v/>
      </c>
      <c r="H2211">
        <f>IF(ISNUMBER(B2211),MONTH(B2211),"")</f>
        <v/>
      </c>
      <c r="I2211">
        <f>IFERROR(IF($B$1=0,"",IF(ISNUMBER(INDEX(貼り付け!$A$1:$BZ$3001,2210,$B$1)),"",SUBSTITUTE(SUBSTITUTE(SUBSTITUTE(SUBSTITUTE(TRIM(LEFT(INDEX(貼り付け!$A$1:$BZ$3001,2210,$B$1)&amp;"",FIND(" ",TRIM(INDEX(貼り付け!$A$1:$BZ$3001,2210,$B$1)&amp;"")&amp;" ")-1)),"/","-"),"年","-"),"月","-"),"日",""))),"")</f>
        <v/>
      </c>
      <c r="J2211">
        <f>IFERROR(MID(I2211,FIND("-",I2211)+1,99),"")</f>
        <v/>
      </c>
    </row>
    <row r="2212">
      <c r="B2212">
        <f>IFERROR(IF($B$1=0,"",IF(INDEX(貼り付け!$A$1:$BZ$3001,2211,$B$1)="","",IF(ISNUMBER(INDEX(貼り付け!$A$1:$BZ$3001,2211,$B$1)),INT(INDEX(貼り付け!$A$1:$BZ$3001,2211,$B$1)),DATE(VALUE(LEFT(I2212,FIND("-",I2212)-1)),VALUE(LEFT(J2212,FIND("-",J2212)-1)),VALUE(MID(J2212,FIND("-",J2212)+1,99)))))),"")</f>
        <v/>
      </c>
      <c r="C2212">
        <f>IF($C$1=0,0,IFERROR(VALUE(SUBSTITUTE(SUBSTITUTE(SUBSTITUTE(INDEX(貼り付け!$A$1:$BZ$3001,2211,$C$1)&amp;"",",",""),"¥",""),"￥","")),0))</f>
        <v/>
      </c>
      <c r="D2212">
        <f>IF($D$1=0,0,IFERROR(VALUE(SUBSTITUTE(SUBSTITUTE(SUBSTITUTE(INDEX(貼り付け!$A$1:$BZ$3001,2211,$D$1)&amp;"",",",""),"¥",""),"￥","")),0))</f>
        <v/>
      </c>
      <c r="E2212">
        <f>IF($E$1=0,0,IFERROR(VALUE(SUBSTITUTE(SUBSTITUTE(SUBSTITUTE(INDEX(貼り付け!$A$1:$BZ$3001,2211,$E$1)&amp;"",",",""),"¥",""),"￥","")),0))</f>
        <v/>
      </c>
      <c r="F2212">
        <f>IF($F$1=0,0,IFERROR(VALUE(SUBSTITUTE(SUBSTITUTE(SUBSTITUTE(INDEX(貼り付け!$A$1:$BZ$3001,2211,$F$1)&amp;"",",",""),"¥",""),"￥","")),0))</f>
        <v/>
      </c>
      <c r="G2212">
        <f>IF(ISNUMBER(B2212),YEAR(B2212),"")</f>
        <v/>
      </c>
      <c r="H2212">
        <f>IF(ISNUMBER(B2212),MONTH(B2212),"")</f>
        <v/>
      </c>
      <c r="I2212">
        <f>IFERROR(IF($B$1=0,"",IF(ISNUMBER(INDEX(貼り付け!$A$1:$BZ$3001,2211,$B$1)),"",SUBSTITUTE(SUBSTITUTE(SUBSTITUTE(SUBSTITUTE(TRIM(LEFT(INDEX(貼り付け!$A$1:$BZ$3001,2211,$B$1)&amp;"",FIND(" ",TRIM(INDEX(貼り付け!$A$1:$BZ$3001,2211,$B$1)&amp;"")&amp;" ")-1)),"/","-"),"年","-"),"月","-"),"日",""))),"")</f>
        <v/>
      </c>
      <c r="J2212">
        <f>IFERROR(MID(I2212,FIND("-",I2212)+1,99),"")</f>
        <v/>
      </c>
    </row>
    <row r="2213">
      <c r="B2213">
        <f>IFERROR(IF($B$1=0,"",IF(INDEX(貼り付け!$A$1:$BZ$3001,2212,$B$1)="","",IF(ISNUMBER(INDEX(貼り付け!$A$1:$BZ$3001,2212,$B$1)),INT(INDEX(貼り付け!$A$1:$BZ$3001,2212,$B$1)),DATE(VALUE(LEFT(I2213,FIND("-",I2213)-1)),VALUE(LEFT(J2213,FIND("-",J2213)-1)),VALUE(MID(J2213,FIND("-",J2213)+1,99)))))),"")</f>
        <v/>
      </c>
      <c r="C2213">
        <f>IF($C$1=0,0,IFERROR(VALUE(SUBSTITUTE(SUBSTITUTE(SUBSTITUTE(INDEX(貼り付け!$A$1:$BZ$3001,2212,$C$1)&amp;"",",",""),"¥",""),"￥","")),0))</f>
        <v/>
      </c>
      <c r="D2213">
        <f>IF($D$1=0,0,IFERROR(VALUE(SUBSTITUTE(SUBSTITUTE(SUBSTITUTE(INDEX(貼り付け!$A$1:$BZ$3001,2212,$D$1)&amp;"",",",""),"¥",""),"￥","")),0))</f>
        <v/>
      </c>
      <c r="E2213">
        <f>IF($E$1=0,0,IFERROR(VALUE(SUBSTITUTE(SUBSTITUTE(SUBSTITUTE(INDEX(貼り付け!$A$1:$BZ$3001,2212,$E$1)&amp;"",",",""),"¥",""),"￥","")),0))</f>
        <v/>
      </c>
      <c r="F2213">
        <f>IF($F$1=0,0,IFERROR(VALUE(SUBSTITUTE(SUBSTITUTE(SUBSTITUTE(INDEX(貼り付け!$A$1:$BZ$3001,2212,$F$1)&amp;"",",",""),"¥",""),"￥","")),0))</f>
        <v/>
      </c>
      <c r="G2213">
        <f>IF(ISNUMBER(B2213),YEAR(B2213),"")</f>
        <v/>
      </c>
      <c r="H2213">
        <f>IF(ISNUMBER(B2213),MONTH(B2213),"")</f>
        <v/>
      </c>
      <c r="I2213">
        <f>IFERROR(IF($B$1=0,"",IF(ISNUMBER(INDEX(貼り付け!$A$1:$BZ$3001,2212,$B$1)),"",SUBSTITUTE(SUBSTITUTE(SUBSTITUTE(SUBSTITUTE(TRIM(LEFT(INDEX(貼り付け!$A$1:$BZ$3001,2212,$B$1)&amp;"",FIND(" ",TRIM(INDEX(貼り付け!$A$1:$BZ$3001,2212,$B$1)&amp;"")&amp;" ")-1)),"/","-"),"年","-"),"月","-"),"日",""))),"")</f>
        <v/>
      </c>
      <c r="J2213">
        <f>IFERROR(MID(I2213,FIND("-",I2213)+1,99),"")</f>
        <v/>
      </c>
    </row>
    <row r="2214">
      <c r="B2214">
        <f>IFERROR(IF($B$1=0,"",IF(INDEX(貼り付け!$A$1:$BZ$3001,2213,$B$1)="","",IF(ISNUMBER(INDEX(貼り付け!$A$1:$BZ$3001,2213,$B$1)),INT(INDEX(貼り付け!$A$1:$BZ$3001,2213,$B$1)),DATE(VALUE(LEFT(I2214,FIND("-",I2214)-1)),VALUE(LEFT(J2214,FIND("-",J2214)-1)),VALUE(MID(J2214,FIND("-",J2214)+1,99)))))),"")</f>
        <v/>
      </c>
      <c r="C2214">
        <f>IF($C$1=0,0,IFERROR(VALUE(SUBSTITUTE(SUBSTITUTE(SUBSTITUTE(INDEX(貼り付け!$A$1:$BZ$3001,2213,$C$1)&amp;"",",",""),"¥",""),"￥","")),0))</f>
        <v/>
      </c>
      <c r="D2214">
        <f>IF($D$1=0,0,IFERROR(VALUE(SUBSTITUTE(SUBSTITUTE(SUBSTITUTE(INDEX(貼り付け!$A$1:$BZ$3001,2213,$D$1)&amp;"",",",""),"¥",""),"￥","")),0))</f>
        <v/>
      </c>
      <c r="E2214">
        <f>IF($E$1=0,0,IFERROR(VALUE(SUBSTITUTE(SUBSTITUTE(SUBSTITUTE(INDEX(貼り付け!$A$1:$BZ$3001,2213,$E$1)&amp;"",",",""),"¥",""),"￥","")),0))</f>
        <v/>
      </c>
      <c r="F2214">
        <f>IF($F$1=0,0,IFERROR(VALUE(SUBSTITUTE(SUBSTITUTE(SUBSTITUTE(INDEX(貼り付け!$A$1:$BZ$3001,2213,$F$1)&amp;"",",",""),"¥",""),"￥","")),0))</f>
        <v/>
      </c>
      <c r="G2214">
        <f>IF(ISNUMBER(B2214),YEAR(B2214),"")</f>
        <v/>
      </c>
      <c r="H2214">
        <f>IF(ISNUMBER(B2214),MONTH(B2214),"")</f>
        <v/>
      </c>
      <c r="I2214">
        <f>IFERROR(IF($B$1=0,"",IF(ISNUMBER(INDEX(貼り付け!$A$1:$BZ$3001,2213,$B$1)),"",SUBSTITUTE(SUBSTITUTE(SUBSTITUTE(SUBSTITUTE(TRIM(LEFT(INDEX(貼り付け!$A$1:$BZ$3001,2213,$B$1)&amp;"",FIND(" ",TRIM(INDEX(貼り付け!$A$1:$BZ$3001,2213,$B$1)&amp;"")&amp;" ")-1)),"/","-"),"年","-"),"月","-"),"日",""))),"")</f>
        <v/>
      </c>
      <c r="J2214">
        <f>IFERROR(MID(I2214,FIND("-",I2214)+1,99),"")</f>
        <v/>
      </c>
    </row>
    <row r="2215">
      <c r="B2215">
        <f>IFERROR(IF($B$1=0,"",IF(INDEX(貼り付け!$A$1:$BZ$3001,2214,$B$1)="","",IF(ISNUMBER(INDEX(貼り付け!$A$1:$BZ$3001,2214,$B$1)),INT(INDEX(貼り付け!$A$1:$BZ$3001,2214,$B$1)),DATE(VALUE(LEFT(I2215,FIND("-",I2215)-1)),VALUE(LEFT(J2215,FIND("-",J2215)-1)),VALUE(MID(J2215,FIND("-",J2215)+1,99)))))),"")</f>
        <v/>
      </c>
      <c r="C2215">
        <f>IF($C$1=0,0,IFERROR(VALUE(SUBSTITUTE(SUBSTITUTE(SUBSTITUTE(INDEX(貼り付け!$A$1:$BZ$3001,2214,$C$1)&amp;"",",",""),"¥",""),"￥","")),0))</f>
        <v/>
      </c>
      <c r="D2215">
        <f>IF($D$1=0,0,IFERROR(VALUE(SUBSTITUTE(SUBSTITUTE(SUBSTITUTE(INDEX(貼り付け!$A$1:$BZ$3001,2214,$D$1)&amp;"",",",""),"¥",""),"￥","")),0))</f>
        <v/>
      </c>
      <c r="E2215">
        <f>IF($E$1=0,0,IFERROR(VALUE(SUBSTITUTE(SUBSTITUTE(SUBSTITUTE(INDEX(貼り付け!$A$1:$BZ$3001,2214,$E$1)&amp;"",",",""),"¥",""),"￥","")),0))</f>
        <v/>
      </c>
      <c r="F2215">
        <f>IF($F$1=0,0,IFERROR(VALUE(SUBSTITUTE(SUBSTITUTE(SUBSTITUTE(INDEX(貼り付け!$A$1:$BZ$3001,2214,$F$1)&amp;"",",",""),"¥",""),"￥","")),0))</f>
        <v/>
      </c>
      <c r="G2215">
        <f>IF(ISNUMBER(B2215),YEAR(B2215),"")</f>
        <v/>
      </c>
      <c r="H2215">
        <f>IF(ISNUMBER(B2215),MONTH(B2215),"")</f>
        <v/>
      </c>
      <c r="I2215">
        <f>IFERROR(IF($B$1=0,"",IF(ISNUMBER(INDEX(貼り付け!$A$1:$BZ$3001,2214,$B$1)),"",SUBSTITUTE(SUBSTITUTE(SUBSTITUTE(SUBSTITUTE(TRIM(LEFT(INDEX(貼り付け!$A$1:$BZ$3001,2214,$B$1)&amp;"",FIND(" ",TRIM(INDEX(貼り付け!$A$1:$BZ$3001,2214,$B$1)&amp;"")&amp;" ")-1)),"/","-"),"年","-"),"月","-"),"日",""))),"")</f>
        <v/>
      </c>
      <c r="J2215">
        <f>IFERROR(MID(I2215,FIND("-",I2215)+1,99),"")</f>
        <v/>
      </c>
    </row>
    <row r="2216">
      <c r="B2216">
        <f>IFERROR(IF($B$1=0,"",IF(INDEX(貼り付け!$A$1:$BZ$3001,2215,$B$1)="","",IF(ISNUMBER(INDEX(貼り付け!$A$1:$BZ$3001,2215,$B$1)),INT(INDEX(貼り付け!$A$1:$BZ$3001,2215,$B$1)),DATE(VALUE(LEFT(I2216,FIND("-",I2216)-1)),VALUE(LEFT(J2216,FIND("-",J2216)-1)),VALUE(MID(J2216,FIND("-",J2216)+1,99)))))),"")</f>
        <v/>
      </c>
      <c r="C2216">
        <f>IF($C$1=0,0,IFERROR(VALUE(SUBSTITUTE(SUBSTITUTE(SUBSTITUTE(INDEX(貼り付け!$A$1:$BZ$3001,2215,$C$1)&amp;"",",",""),"¥",""),"￥","")),0))</f>
        <v/>
      </c>
      <c r="D2216">
        <f>IF($D$1=0,0,IFERROR(VALUE(SUBSTITUTE(SUBSTITUTE(SUBSTITUTE(INDEX(貼り付け!$A$1:$BZ$3001,2215,$D$1)&amp;"",",",""),"¥",""),"￥","")),0))</f>
        <v/>
      </c>
      <c r="E2216">
        <f>IF($E$1=0,0,IFERROR(VALUE(SUBSTITUTE(SUBSTITUTE(SUBSTITUTE(INDEX(貼り付け!$A$1:$BZ$3001,2215,$E$1)&amp;"",",",""),"¥",""),"￥","")),0))</f>
        <v/>
      </c>
      <c r="F2216">
        <f>IF($F$1=0,0,IFERROR(VALUE(SUBSTITUTE(SUBSTITUTE(SUBSTITUTE(INDEX(貼り付け!$A$1:$BZ$3001,2215,$F$1)&amp;"",",",""),"¥",""),"￥","")),0))</f>
        <v/>
      </c>
      <c r="G2216">
        <f>IF(ISNUMBER(B2216),YEAR(B2216),"")</f>
        <v/>
      </c>
      <c r="H2216">
        <f>IF(ISNUMBER(B2216),MONTH(B2216),"")</f>
        <v/>
      </c>
      <c r="I2216">
        <f>IFERROR(IF($B$1=0,"",IF(ISNUMBER(INDEX(貼り付け!$A$1:$BZ$3001,2215,$B$1)),"",SUBSTITUTE(SUBSTITUTE(SUBSTITUTE(SUBSTITUTE(TRIM(LEFT(INDEX(貼り付け!$A$1:$BZ$3001,2215,$B$1)&amp;"",FIND(" ",TRIM(INDEX(貼り付け!$A$1:$BZ$3001,2215,$B$1)&amp;"")&amp;" ")-1)),"/","-"),"年","-"),"月","-"),"日",""))),"")</f>
        <v/>
      </c>
      <c r="J2216">
        <f>IFERROR(MID(I2216,FIND("-",I2216)+1,99),"")</f>
        <v/>
      </c>
    </row>
    <row r="2217">
      <c r="B2217">
        <f>IFERROR(IF($B$1=0,"",IF(INDEX(貼り付け!$A$1:$BZ$3001,2216,$B$1)="","",IF(ISNUMBER(INDEX(貼り付け!$A$1:$BZ$3001,2216,$B$1)),INT(INDEX(貼り付け!$A$1:$BZ$3001,2216,$B$1)),DATE(VALUE(LEFT(I2217,FIND("-",I2217)-1)),VALUE(LEFT(J2217,FIND("-",J2217)-1)),VALUE(MID(J2217,FIND("-",J2217)+1,99)))))),"")</f>
        <v/>
      </c>
      <c r="C2217">
        <f>IF($C$1=0,0,IFERROR(VALUE(SUBSTITUTE(SUBSTITUTE(SUBSTITUTE(INDEX(貼り付け!$A$1:$BZ$3001,2216,$C$1)&amp;"",",",""),"¥",""),"￥","")),0))</f>
        <v/>
      </c>
      <c r="D2217">
        <f>IF($D$1=0,0,IFERROR(VALUE(SUBSTITUTE(SUBSTITUTE(SUBSTITUTE(INDEX(貼り付け!$A$1:$BZ$3001,2216,$D$1)&amp;"",",",""),"¥",""),"￥","")),0))</f>
        <v/>
      </c>
      <c r="E2217">
        <f>IF($E$1=0,0,IFERROR(VALUE(SUBSTITUTE(SUBSTITUTE(SUBSTITUTE(INDEX(貼り付け!$A$1:$BZ$3001,2216,$E$1)&amp;"",",",""),"¥",""),"￥","")),0))</f>
        <v/>
      </c>
      <c r="F2217">
        <f>IF($F$1=0,0,IFERROR(VALUE(SUBSTITUTE(SUBSTITUTE(SUBSTITUTE(INDEX(貼り付け!$A$1:$BZ$3001,2216,$F$1)&amp;"",",",""),"¥",""),"￥","")),0))</f>
        <v/>
      </c>
      <c r="G2217">
        <f>IF(ISNUMBER(B2217),YEAR(B2217),"")</f>
        <v/>
      </c>
      <c r="H2217">
        <f>IF(ISNUMBER(B2217),MONTH(B2217),"")</f>
        <v/>
      </c>
      <c r="I2217">
        <f>IFERROR(IF($B$1=0,"",IF(ISNUMBER(INDEX(貼り付け!$A$1:$BZ$3001,2216,$B$1)),"",SUBSTITUTE(SUBSTITUTE(SUBSTITUTE(SUBSTITUTE(TRIM(LEFT(INDEX(貼り付け!$A$1:$BZ$3001,2216,$B$1)&amp;"",FIND(" ",TRIM(INDEX(貼り付け!$A$1:$BZ$3001,2216,$B$1)&amp;"")&amp;" ")-1)),"/","-"),"年","-"),"月","-"),"日",""))),"")</f>
        <v/>
      </c>
      <c r="J2217">
        <f>IFERROR(MID(I2217,FIND("-",I2217)+1,99),"")</f>
        <v/>
      </c>
    </row>
    <row r="2218">
      <c r="B2218">
        <f>IFERROR(IF($B$1=0,"",IF(INDEX(貼り付け!$A$1:$BZ$3001,2217,$B$1)="","",IF(ISNUMBER(INDEX(貼り付け!$A$1:$BZ$3001,2217,$B$1)),INT(INDEX(貼り付け!$A$1:$BZ$3001,2217,$B$1)),DATE(VALUE(LEFT(I2218,FIND("-",I2218)-1)),VALUE(LEFT(J2218,FIND("-",J2218)-1)),VALUE(MID(J2218,FIND("-",J2218)+1,99)))))),"")</f>
        <v/>
      </c>
      <c r="C2218">
        <f>IF($C$1=0,0,IFERROR(VALUE(SUBSTITUTE(SUBSTITUTE(SUBSTITUTE(INDEX(貼り付け!$A$1:$BZ$3001,2217,$C$1)&amp;"",",",""),"¥",""),"￥","")),0))</f>
        <v/>
      </c>
      <c r="D2218">
        <f>IF($D$1=0,0,IFERROR(VALUE(SUBSTITUTE(SUBSTITUTE(SUBSTITUTE(INDEX(貼り付け!$A$1:$BZ$3001,2217,$D$1)&amp;"",",",""),"¥",""),"￥","")),0))</f>
        <v/>
      </c>
      <c r="E2218">
        <f>IF($E$1=0,0,IFERROR(VALUE(SUBSTITUTE(SUBSTITUTE(SUBSTITUTE(INDEX(貼り付け!$A$1:$BZ$3001,2217,$E$1)&amp;"",",",""),"¥",""),"￥","")),0))</f>
        <v/>
      </c>
      <c r="F2218">
        <f>IF($F$1=0,0,IFERROR(VALUE(SUBSTITUTE(SUBSTITUTE(SUBSTITUTE(INDEX(貼り付け!$A$1:$BZ$3001,2217,$F$1)&amp;"",",",""),"¥",""),"￥","")),0))</f>
        <v/>
      </c>
      <c r="G2218">
        <f>IF(ISNUMBER(B2218),YEAR(B2218),"")</f>
        <v/>
      </c>
      <c r="H2218">
        <f>IF(ISNUMBER(B2218),MONTH(B2218),"")</f>
        <v/>
      </c>
      <c r="I2218">
        <f>IFERROR(IF($B$1=0,"",IF(ISNUMBER(INDEX(貼り付け!$A$1:$BZ$3001,2217,$B$1)),"",SUBSTITUTE(SUBSTITUTE(SUBSTITUTE(SUBSTITUTE(TRIM(LEFT(INDEX(貼り付け!$A$1:$BZ$3001,2217,$B$1)&amp;"",FIND(" ",TRIM(INDEX(貼り付け!$A$1:$BZ$3001,2217,$B$1)&amp;"")&amp;" ")-1)),"/","-"),"年","-"),"月","-"),"日",""))),"")</f>
        <v/>
      </c>
      <c r="J2218">
        <f>IFERROR(MID(I2218,FIND("-",I2218)+1,99),"")</f>
        <v/>
      </c>
    </row>
    <row r="2219">
      <c r="B2219">
        <f>IFERROR(IF($B$1=0,"",IF(INDEX(貼り付け!$A$1:$BZ$3001,2218,$B$1)="","",IF(ISNUMBER(INDEX(貼り付け!$A$1:$BZ$3001,2218,$B$1)),INT(INDEX(貼り付け!$A$1:$BZ$3001,2218,$B$1)),DATE(VALUE(LEFT(I2219,FIND("-",I2219)-1)),VALUE(LEFT(J2219,FIND("-",J2219)-1)),VALUE(MID(J2219,FIND("-",J2219)+1,99)))))),"")</f>
        <v/>
      </c>
      <c r="C2219">
        <f>IF($C$1=0,0,IFERROR(VALUE(SUBSTITUTE(SUBSTITUTE(SUBSTITUTE(INDEX(貼り付け!$A$1:$BZ$3001,2218,$C$1)&amp;"",",",""),"¥",""),"￥","")),0))</f>
        <v/>
      </c>
      <c r="D2219">
        <f>IF($D$1=0,0,IFERROR(VALUE(SUBSTITUTE(SUBSTITUTE(SUBSTITUTE(INDEX(貼り付け!$A$1:$BZ$3001,2218,$D$1)&amp;"",",",""),"¥",""),"￥","")),0))</f>
        <v/>
      </c>
      <c r="E2219">
        <f>IF($E$1=0,0,IFERROR(VALUE(SUBSTITUTE(SUBSTITUTE(SUBSTITUTE(INDEX(貼り付け!$A$1:$BZ$3001,2218,$E$1)&amp;"",",",""),"¥",""),"￥","")),0))</f>
        <v/>
      </c>
      <c r="F2219">
        <f>IF($F$1=0,0,IFERROR(VALUE(SUBSTITUTE(SUBSTITUTE(SUBSTITUTE(INDEX(貼り付け!$A$1:$BZ$3001,2218,$F$1)&amp;"",",",""),"¥",""),"￥","")),0))</f>
        <v/>
      </c>
      <c r="G2219">
        <f>IF(ISNUMBER(B2219),YEAR(B2219),"")</f>
        <v/>
      </c>
      <c r="H2219">
        <f>IF(ISNUMBER(B2219),MONTH(B2219),"")</f>
        <v/>
      </c>
      <c r="I2219">
        <f>IFERROR(IF($B$1=0,"",IF(ISNUMBER(INDEX(貼り付け!$A$1:$BZ$3001,2218,$B$1)),"",SUBSTITUTE(SUBSTITUTE(SUBSTITUTE(SUBSTITUTE(TRIM(LEFT(INDEX(貼り付け!$A$1:$BZ$3001,2218,$B$1)&amp;"",FIND(" ",TRIM(INDEX(貼り付け!$A$1:$BZ$3001,2218,$B$1)&amp;"")&amp;" ")-1)),"/","-"),"年","-"),"月","-"),"日",""))),"")</f>
        <v/>
      </c>
      <c r="J2219">
        <f>IFERROR(MID(I2219,FIND("-",I2219)+1,99),"")</f>
        <v/>
      </c>
    </row>
    <row r="2220">
      <c r="B2220">
        <f>IFERROR(IF($B$1=0,"",IF(INDEX(貼り付け!$A$1:$BZ$3001,2219,$B$1)="","",IF(ISNUMBER(INDEX(貼り付け!$A$1:$BZ$3001,2219,$B$1)),INT(INDEX(貼り付け!$A$1:$BZ$3001,2219,$B$1)),DATE(VALUE(LEFT(I2220,FIND("-",I2220)-1)),VALUE(LEFT(J2220,FIND("-",J2220)-1)),VALUE(MID(J2220,FIND("-",J2220)+1,99)))))),"")</f>
        <v/>
      </c>
      <c r="C2220">
        <f>IF($C$1=0,0,IFERROR(VALUE(SUBSTITUTE(SUBSTITUTE(SUBSTITUTE(INDEX(貼り付け!$A$1:$BZ$3001,2219,$C$1)&amp;"",",",""),"¥",""),"￥","")),0))</f>
        <v/>
      </c>
      <c r="D2220">
        <f>IF($D$1=0,0,IFERROR(VALUE(SUBSTITUTE(SUBSTITUTE(SUBSTITUTE(INDEX(貼り付け!$A$1:$BZ$3001,2219,$D$1)&amp;"",",",""),"¥",""),"￥","")),0))</f>
        <v/>
      </c>
      <c r="E2220">
        <f>IF($E$1=0,0,IFERROR(VALUE(SUBSTITUTE(SUBSTITUTE(SUBSTITUTE(INDEX(貼り付け!$A$1:$BZ$3001,2219,$E$1)&amp;"",",",""),"¥",""),"￥","")),0))</f>
        <v/>
      </c>
      <c r="F2220">
        <f>IF($F$1=0,0,IFERROR(VALUE(SUBSTITUTE(SUBSTITUTE(SUBSTITUTE(INDEX(貼り付け!$A$1:$BZ$3001,2219,$F$1)&amp;"",",",""),"¥",""),"￥","")),0))</f>
        <v/>
      </c>
      <c r="G2220">
        <f>IF(ISNUMBER(B2220),YEAR(B2220),"")</f>
        <v/>
      </c>
      <c r="H2220">
        <f>IF(ISNUMBER(B2220),MONTH(B2220),"")</f>
        <v/>
      </c>
      <c r="I2220">
        <f>IFERROR(IF($B$1=0,"",IF(ISNUMBER(INDEX(貼り付け!$A$1:$BZ$3001,2219,$B$1)),"",SUBSTITUTE(SUBSTITUTE(SUBSTITUTE(SUBSTITUTE(TRIM(LEFT(INDEX(貼り付け!$A$1:$BZ$3001,2219,$B$1)&amp;"",FIND(" ",TRIM(INDEX(貼り付け!$A$1:$BZ$3001,2219,$B$1)&amp;"")&amp;" ")-1)),"/","-"),"年","-"),"月","-"),"日",""))),"")</f>
        <v/>
      </c>
      <c r="J2220">
        <f>IFERROR(MID(I2220,FIND("-",I2220)+1,99),"")</f>
        <v/>
      </c>
    </row>
    <row r="2221">
      <c r="B2221">
        <f>IFERROR(IF($B$1=0,"",IF(INDEX(貼り付け!$A$1:$BZ$3001,2220,$B$1)="","",IF(ISNUMBER(INDEX(貼り付け!$A$1:$BZ$3001,2220,$B$1)),INT(INDEX(貼り付け!$A$1:$BZ$3001,2220,$B$1)),DATE(VALUE(LEFT(I2221,FIND("-",I2221)-1)),VALUE(LEFT(J2221,FIND("-",J2221)-1)),VALUE(MID(J2221,FIND("-",J2221)+1,99)))))),"")</f>
        <v/>
      </c>
      <c r="C2221">
        <f>IF($C$1=0,0,IFERROR(VALUE(SUBSTITUTE(SUBSTITUTE(SUBSTITUTE(INDEX(貼り付け!$A$1:$BZ$3001,2220,$C$1)&amp;"",",",""),"¥",""),"￥","")),0))</f>
        <v/>
      </c>
      <c r="D2221">
        <f>IF($D$1=0,0,IFERROR(VALUE(SUBSTITUTE(SUBSTITUTE(SUBSTITUTE(INDEX(貼り付け!$A$1:$BZ$3001,2220,$D$1)&amp;"",",",""),"¥",""),"￥","")),0))</f>
        <v/>
      </c>
      <c r="E2221">
        <f>IF($E$1=0,0,IFERROR(VALUE(SUBSTITUTE(SUBSTITUTE(SUBSTITUTE(INDEX(貼り付け!$A$1:$BZ$3001,2220,$E$1)&amp;"",",",""),"¥",""),"￥","")),0))</f>
        <v/>
      </c>
      <c r="F2221">
        <f>IF($F$1=0,0,IFERROR(VALUE(SUBSTITUTE(SUBSTITUTE(SUBSTITUTE(INDEX(貼り付け!$A$1:$BZ$3001,2220,$F$1)&amp;"",",",""),"¥",""),"￥","")),0))</f>
        <v/>
      </c>
      <c r="G2221">
        <f>IF(ISNUMBER(B2221),YEAR(B2221),"")</f>
        <v/>
      </c>
      <c r="H2221">
        <f>IF(ISNUMBER(B2221),MONTH(B2221),"")</f>
        <v/>
      </c>
      <c r="I2221">
        <f>IFERROR(IF($B$1=0,"",IF(ISNUMBER(INDEX(貼り付け!$A$1:$BZ$3001,2220,$B$1)),"",SUBSTITUTE(SUBSTITUTE(SUBSTITUTE(SUBSTITUTE(TRIM(LEFT(INDEX(貼り付け!$A$1:$BZ$3001,2220,$B$1)&amp;"",FIND(" ",TRIM(INDEX(貼り付け!$A$1:$BZ$3001,2220,$B$1)&amp;"")&amp;" ")-1)),"/","-"),"年","-"),"月","-"),"日",""))),"")</f>
        <v/>
      </c>
      <c r="J2221">
        <f>IFERROR(MID(I2221,FIND("-",I2221)+1,99),"")</f>
        <v/>
      </c>
    </row>
    <row r="2222">
      <c r="B2222">
        <f>IFERROR(IF($B$1=0,"",IF(INDEX(貼り付け!$A$1:$BZ$3001,2221,$B$1)="","",IF(ISNUMBER(INDEX(貼り付け!$A$1:$BZ$3001,2221,$B$1)),INT(INDEX(貼り付け!$A$1:$BZ$3001,2221,$B$1)),DATE(VALUE(LEFT(I2222,FIND("-",I2222)-1)),VALUE(LEFT(J2222,FIND("-",J2222)-1)),VALUE(MID(J2222,FIND("-",J2222)+1,99)))))),"")</f>
        <v/>
      </c>
      <c r="C2222">
        <f>IF($C$1=0,0,IFERROR(VALUE(SUBSTITUTE(SUBSTITUTE(SUBSTITUTE(INDEX(貼り付け!$A$1:$BZ$3001,2221,$C$1)&amp;"",",",""),"¥",""),"￥","")),0))</f>
        <v/>
      </c>
      <c r="D2222">
        <f>IF($D$1=0,0,IFERROR(VALUE(SUBSTITUTE(SUBSTITUTE(SUBSTITUTE(INDEX(貼り付け!$A$1:$BZ$3001,2221,$D$1)&amp;"",",",""),"¥",""),"￥","")),0))</f>
        <v/>
      </c>
      <c r="E2222">
        <f>IF($E$1=0,0,IFERROR(VALUE(SUBSTITUTE(SUBSTITUTE(SUBSTITUTE(INDEX(貼り付け!$A$1:$BZ$3001,2221,$E$1)&amp;"",",",""),"¥",""),"￥","")),0))</f>
        <v/>
      </c>
      <c r="F2222">
        <f>IF($F$1=0,0,IFERROR(VALUE(SUBSTITUTE(SUBSTITUTE(SUBSTITUTE(INDEX(貼り付け!$A$1:$BZ$3001,2221,$F$1)&amp;"",",",""),"¥",""),"￥","")),0))</f>
        <v/>
      </c>
      <c r="G2222">
        <f>IF(ISNUMBER(B2222),YEAR(B2222),"")</f>
        <v/>
      </c>
      <c r="H2222">
        <f>IF(ISNUMBER(B2222),MONTH(B2222),"")</f>
        <v/>
      </c>
      <c r="I2222">
        <f>IFERROR(IF($B$1=0,"",IF(ISNUMBER(INDEX(貼り付け!$A$1:$BZ$3001,2221,$B$1)),"",SUBSTITUTE(SUBSTITUTE(SUBSTITUTE(SUBSTITUTE(TRIM(LEFT(INDEX(貼り付け!$A$1:$BZ$3001,2221,$B$1)&amp;"",FIND(" ",TRIM(INDEX(貼り付け!$A$1:$BZ$3001,2221,$B$1)&amp;"")&amp;" ")-1)),"/","-"),"年","-"),"月","-"),"日",""))),"")</f>
        <v/>
      </c>
      <c r="J2222">
        <f>IFERROR(MID(I2222,FIND("-",I2222)+1,99),"")</f>
        <v/>
      </c>
    </row>
    <row r="2223">
      <c r="B2223">
        <f>IFERROR(IF($B$1=0,"",IF(INDEX(貼り付け!$A$1:$BZ$3001,2222,$B$1)="","",IF(ISNUMBER(INDEX(貼り付け!$A$1:$BZ$3001,2222,$B$1)),INT(INDEX(貼り付け!$A$1:$BZ$3001,2222,$B$1)),DATE(VALUE(LEFT(I2223,FIND("-",I2223)-1)),VALUE(LEFT(J2223,FIND("-",J2223)-1)),VALUE(MID(J2223,FIND("-",J2223)+1,99)))))),"")</f>
        <v/>
      </c>
      <c r="C2223">
        <f>IF($C$1=0,0,IFERROR(VALUE(SUBSTITUTE(SUBSTITUTE(SUBSTITUTE(INDEX(貼り付け!$A$1:$BZ$3001,2222,$C$1)&amp;"",",",""),"¥",""),"￥","")),0))</f>
        <v/>
      </c>
      <c r="D2223">
        <f>IF($D$1=0,0,IFERROR(VALUE(SUBSTITUTE(SUBSTITUTE(SUBSTITUTE(INDEX(貼り付け!$A$1:$BZ$3001,2222,$D$1)&amp;"",",",""),"¥",""),"￥","")),0))</f>
        <v/>
      </c>
      <c r="E2223">
        <f>IF($E$1=0,0,IFERROR(VALUE(SUBSTITUTE(SUBSTITUTE(SUBSTITUTE(INDEX(貼り付け!$A$1:$BZ$3001,2222,$E$1)&amp;"",",",""),"¥",""),"￥","")),0))</f>
        <v/>
      </c>
      <c r="F2223">
        <f>IF($F$1=0,0,IFERROR(VALUE(SUBSTITUTE(SUBSTITUTE(SUBSTITUTE(INDEX(貼り付け!$A$1:$BZ$3001,2222,$F$1)&amp;"",",",""),"¥",""),"￥","")),0))</f>
        <v/>
      </c>
      <c r="G2223">
        <f>IF(ISNUMBER(B2223),YEAR(B2223),"")</f>
        <v/>
      </c>
      <c r="H2223">
        <f>IF(ISNUMBER(B2223),MONTH(B2223),"")</f>
        <v/>
      </c>
      <c r="I2223">
        <f>IFERROR(IF($B$1=0,"",IF(ISNUMBER(INDEX(貼り付け!$A$1:$BZ$3001,2222,$B$1)),"",SUBSTITUTE(SUBSTITUTE(SUBSTITUTE(SUBSTITUTE(TRIM(LEFT(INDEX(貼り付け!$A$1:$BZ$3001,2222,$B$1)&amp;"",FIND(" ",TRIM(INDEX(貼り付け!$A$1:$BZ$3001,2222,$B$1)&amp;"")&amp;" ")-1)),"/","-"),"年","-"),"月","-"),"日",""))),"")</f>
        <v/>
      </c>
      <c r="J2223">
        <f>IFERROR(MID(I2223,FIND("-",I2223)+1,99),"")</f>
        <v/>
      </c>
    </row>
    <row r="2224">
      <c r="B2224">
        <f>IFERROR(IF($B$1=0,"",IF(INDEX(貼り付け!$A$1:$BZ$3001,2223,$B$1)="","",IF(ISNUMBER(INDEX(貼り付け!$A$1:$BZ$3001,2223,$B$1)),INT(INDEX(貼り付け!$A$1:$BZ$3001,2223,$B$1)),DATE(VALUE(LEFT(I2224,FIND("-",I2224)-1)),VALUE(LEFT(J2224,FIND("-",J2224)-1)),VALUE(MID(J2224,FIND("-",J2224)+1,99)))))),"")</f>
        <v/>
      </c>
      <c r="C2224">
        <f>IF($C$1=0,0,IFERROR(VALUE(SUBSTITUTE(SUBSTITUTE(SUBSTITUTE(INDEX(貼り付け!$A$1:$BZ$3001,2223,$C$1)&amp;"",",",""),"¥",""),"￥","")),0))</f>
        <v/>
      </c>
      <c r="D2224">
        <f>IF($D$1=0,0,IFERROR(VALUE(SUBSTITUTE(SUBSTITUTE(SUBSTITUTE(INDEX(貼り付け!$A$1:$BZ$3001,2223,$D$1)&amp;"",",",""),"¥",""),"￥","")),0))</f>
        <v/>
      </c>
      <c r="E2224">
        <f>IF($E$1=0,0,IFERROR(VALUE(SUBSTITUTE(SUBSTITUTE(SUBSTITUTE(INDEX(貼り付け!$A$1:$BZ$3001,2223,$E$1)&amp;"",",",""),"¥",""),"￥","")),0))</f>
        <v/>
      </c>
      <c r="F2224">
        <f>IF($F$1=0,0,IFERROR(VALUE(SUBSTITUTE(SUBSTITUTE(SUBSTITUTE(INDEX(貼り付け!$A$1:$BZ$3001,2223,$F$1)&amp;"",",",""),"¥",""),"￥","")),0))</f>
        <v/>
      </c>
      <c r="G2224">
        <f>IF(ISNUMBER(B2224),YEAR(B2224),"")</f>
        <v/>
      </c>
      <c r="H2224">
        <f>IF(ISNUMBER(B2224),MONTH(B2224),"")</f>
        <v/>
      </c>
      <c r="I2224">
        <f>IFERROR(IF($B$1=0,"",IF(ISNUMBER(INDEX(貼り付け!$A$1:$BZ$3001,2223,$B$1)),"",SUBSTITUTE(SUBSTITUTE(SUBSTITUTE(SUBSTITUTE(TRIM(LEFT(INDEX(貼り付け!$A$1:$BZ$3001,2223,$B$1)&amp;"",FIND(" ",TRIM(INDEX(貼り付け!$A$1:$BZ$3001,2223,$B$1)&amp;"")&amp;" ")-1)),"/","-"),"年","-"),"月","-"),"日",""))),"")</f>
        <v/>
      </c>
      <c r="J2224">
        <f>IFERROR(MID(I2224,FIND("-",I2224)+1,99),"")</f>
        <v/>
      </c>
    </row>
    <row r="2225">
      <c r="B2225">
        <f>IFERROR(IF($B$1=0,"",IF(INDEX(貼り付け!$A$1:$BZ$3001,2224,$B$1)="","",IF(ISNUMBER(INDEX(貼り付け!$A$1:$BZ$3001,2224,$B$1)),INT(INDEX(貼り付け!$A$1:$BZ$3001,2224,$B$1)),DATE(VALUE(LEFT(I2225,FIND("-",I2225)-1)),VALUE(LEFT(J2225,FIND("-",J2225)-1)),VALUE(MID(J2225,FIND("-",J2225)+1,99)))))),"")</f>
        <v/>
      </c>
      <c r="C2225">
        <f>IF($C$1=0,0,IFERROR(VALUE(SUBSTITUTE(SUBSTITUTE(SUBSTITUTE(INDEX(貼り付け!$A$1:$BZ$3001,2224,$C$1)&amp;"",",",""),"¥",""),"￥","")),0))</f>
        <v/>
      </c>
      <c r="D2225">
        <f>IF($D$1=0,0,IFERROR(VALUE(SUBSTITUTE(SUBSTITUTE(SUBSTITUTE(INDEX(貼り付け!$A$1:$BZ$3001,2224,$D$1)&amp;"",",",""),"¥",""),"￥","")),0))</f>
        <v/>
      </c>
      <c r="E2225">
        <f>IF($E$1=0,0,IFERROR(VALUE(SUBSTITUTE(SUBSTITUTE(SUBSTITUTE(INDEX(貼り付け!$A$1:$BZ$3001,2224,$E$1)&amp;"",",",""),"¥",""),"￥","")),0))</f>
        <v/>
      </c>
      <c r="F2225">
        <f>IF($F$1=0,0,IFERROR(VALUE(SUBSTITUTE(SUBSTITUTE(SUBSTITUTE(INDEX(貼り付け!$A$1:$BZ$3001,2224,$F$1)&amp;"",",",""),"¥",""),"￥","")),0))</f>
        <v/>
      </c>
      <c r="G2225">
        <f>IF(ISNUMBER(B2225),YEAR(B2225),"")</f>
        <v/>
      </c>
      <c r="H2225">
        <f>IF(ISNUMBER(B2225),MONTH(B2225),"")</f>
        <v/>
      </c>
      <c r="I2225">
        <f>IFERROR(IF($B$1=0,"",IF(ISNUMBER(INDEX(貼り付け!$A$1:$BZ$3001,2224,$B$1)),"",SUBSTITUTE(SUBSTITUTE(SUBSTITUTE(SUBSTITUTE(TRIM(LEFT(INDEX(貼り付け!$A$1:$BZ$3001,2224,$B$1)&amp;"",FIND(" ",TRIM(INDEX(貼り付け!$A$1:$BZ$3001,2224,$B$1)&amp;"")&amp;" ")-1)),"/","-"),"年","-"),"月","-"),"日",""))),"")</f>
        <v/>
      </c>
      <c r="J2225">
        <f>IFERROR(MID(I2225,FIND("-",I2225)+1,99),"")</f>
        <v/>
      </c>
    </row>
    <row r="2226">
      <c r="B2226">
        <f>IFERROR(IF($B$1=0,"",IF(INDEX(貼り付け!$A$1:$BZ$3001,2225,$B$1)="","",IF(ISNUMBER(INDEX(貼り付け!$A$1:$BZ$3001,2225,$B$1)),INT(INDEX(貼り付け!$A$1:$BZ$3001,2225,$B$1)),DATE(VALUE(LEFT(I2226,FIND("-",I2226)-1)),VALUE(LEFT(J2226,FIND("-",J2226)-1)),VALUE(MID(J2226,FIND("-",J2226)+1,99)))))),"")</f>
        <v/>
      </c>
      <c r="C2226">
        <f>IF($C$1=0,0,IFERROR(VALUE(SUBSTITUTE(SUBSTITUTE(SUBSTITUTE(INDEX(貼り付け!$A$1:$BZ$3001,2225,$C$1)&amp;"",",",""),"¥",""),"￥","")),0))</f>
        <v/>
      </c>
      <c r="D2226">
        <f>IF($D$1=0,0,IFERROR(VALUE(SUBSTITUTE(SUBSTITUTE(SUBSTITUTE(INDEX(貼り付け!$A$1:$BZ$3001,2225,$D$1)&amp;"",",",""),"¥",""),"￥","")),0))</f>
        <v/>
      </c>
      <c r="E2226">
        <f>IF($E$1=0,0,IFERROR(VALUE(SUBSTITUTE(SUBSTITUTE(SUBSTITUTE(INDEX(貼り付け!$A$1:$BZ$3001,2225,$E$1)&amp;"",",",""),"¥",""),"￥","")),0))</f>
        <v/>
      </c>
      <c r="F2226">
        <f>IF($F$1=0,0,IFERROR(VALUE(SUBSTITUTE(SUBSTITUTE(SUBSTITUTE(INDEX(貼り付け!$A$1:$BZ$3001,2225,$F$1)&amp;"",",",""),"¥",""),"￥","")),0))</f>
        <v/>
      </c>
      <c r="G2226">
        <f>IF(ISNUMBER(B2226),YEAR(B2226),"")</f>
        <v/>
      </c>
      <c r="H2226">
        <f>IF(ISNUMBER(B2226),MONTH(B2226),"")</f>
        <v/>
      </c>
      <c r="I2226">
        <f>IFERROR(IF($B$1=0,"",IF(ISNUMBER(INDEX(貼り付け!$A$1:$BZ$3001,2225,$B$1)),"",SUBSTITUTE(SUBSTITUTE(SUBSTITUTE(SUBSTITUTE(TRIM(LEFT(INDEX(貼り付け!$A$1:$BZ$3001,2225,$B$1)&amp;"",FIND(" ",TRIM(INDEX(貼り付け!$A$1:$BZ$3001,2225,$B$1)&amp;"")&amp;" ")-1)),"/","-"),"年","-"),"月","-"),"日",""))),"")</f>
        <v/>
      </c>
      <c r="J2226">
        <f>IFERROR(MID(I2226,FIND("-",I2226)+1,99),"")</f>
        <v/>
      </c>
    </row>
    <row r="2227">
      <c r="B2227">
        <f>IFERROR(IF($B$1=0,"",IF(INDEX(貼り付け!$A$1:$BZ$3001,2226,$B$1)="","",IF(ISNUMBER(INDEX(貼り付け!$A$1:$BZ$3001,2226,$B$1)),INT(INDEX(貼り付け!$A$1:$BZ$3001,2226,$B$1)),DATE(VALUE(LEFT(I2227,FIND("-",I2227)-1)),VALUE(LEFT(J2227,FIND("-",J2227)-1)),VALUE(MID(J2227,FIND("-",J2227)+1,99)))))),"")</f>
        <v/>
      </c>
      <c r="C2227">
        <f>IF($C$1=0,0,IFERROR(VALUE(SUBSTITUTE(SUBSTITUTE(SUBSTITUTE(INDEX(貼り付け!$A$1:$BZ$3001,2226,$C$1)&amp;"",",",""),"¥",""),"￥","")),0))</f>
        <v/>
      </c>
      <c r="D2227">
        <f>IF($D$1=0,0,IFERROR(VALUE(SUBSTITUTE(SUBSTITUTE(SUBSTITUTE(INDEX(貼り付け!$A$1:$BZ$3001,2226,$D$1)&amp;"",",",""),"¥",""),"￥","")),0))</f>
        <v/>
      </c>
      <c r="E2227">
        <f>IF($E$1=0,0,IFERROR(VALUE(SUBSTITUTE(SUBSTITUTE(SUBSTITUTE(INDEX(貼り付け!$A$1:$BZ$3001,2226,$E$1)&amp;"",",",""),"¥",""),"￥","")),0))</f>
        <v/>
      </c>
      <c r="F2227">
        <f>IF($F$1=0,0,IFERROR(VALUE(SUBSTITUTE(SUBSTITUTE(SUBSTITUTE(INDEX(貼り付け!$A$1:$BZ$3001,2226,$F$1)&amp;"",",",""),"¥",""),"￥","")),0))</f>
        <v/>
      </c>
      <c r="G2227">
        <f>IF(ISNUMBER(B2227),YEAR(B2227),"")</f>
        <v/>
      </c>
      <c r="H2227">
        <f>IF(ISNUMBER(B2227),MONTH(B2227),"")</f>
        <v/>
      </c>
      <c r="I2227">
        <f>IFERROR(IF($B$1=0,"",IF(ISNUMBER(INDEX(貼り付け!$A$1:$BZ$3001,2226,$B$1)),"",SUBSTITUTE(SUBSTITUTE(SUBSTITUTE(SUBSTITUTE(TRIM(LEFT(INDEX(貼り付け!$A$1:$BZ$3001,2226,$B$1)&amp;"",FIND(" ",TRIM(INDEX(貼り付け!$A$1:$BZ$3001,2226,$B$1)&amp;"")&amp;" ")-1)),"/","-"),"年","-"),"月","-"),"日",""))),"")</f>
        <v/>
      </c>
      <c r="J2227">
        <f>IFERROR(MID(I2227,FIND("-",I2227)+1,99),"")</f>
        <v/>
      </c>
    </row>
    <row r="2228">
      <c r="B2228">
        <f>IFERROR(IF($B$1=0,"",IF(INDEX(貼り付け!$A$1:$BZ$3001,2227,$B$1)="","",IF(ISNUMBER(INDEX(貼り付け!$A$1:$BZ$3001,2227,$B$1)),INT(INDEX(貼り付け!$A$1:$BZ$3001,2227,$B$1)),DATE(VALUE(LEFT(I2228,FIND("-",I2228)-1)),VALUE(LEFT(J2228,FIND("-",J2228)-1)),VALUE(MID(J2228,FIND("-",J2228)+1,99)))))),"")</f>
        <v/>
      </c>
      <c r="C2228">
        <f>IF($C$1=0,0,IFERROR(VALUE(SUBSTITUTE(SUBSTITUTE(SUBSTITUTE(INDEX(貼り付け!$A$1:$BZ$3001,2227,$C$1)&amp;"",",",""),"¥",""),"￥","")),0))</f>
        <v/>
      </c>
      <c r="D2228">
        <f>IF($D$1=0,0,IFERROR(VALUE(SUBSTITUTE(SUBSTITUTE(SUBSTITUTE(INDEX(貼り付け!$A$1:$BZ$3001,2227,$D$1)&amp;"",",",""),"¥",""),"￥","")),0))</f>
        <v/>
      </c>
      <c r="E2228">
        <f>IF($E$1=0,0,IFERROR(VALUE(SUBSTITUTE(SUBSTITUTE(SUBSTITUTE(INDEX(貼り付け!$A$1:$BZ$3001,2227,$E$1)&amp;"",",",""),"¥",""),"￥","")),0))</f>
        <v/>
      </c>
      <c r="F2228">
        <f>IF($F$1=0,0,IFERROR(VALUE(SUBSTITUTE(SUBSTITUTE(SUBSTITUTE(INDEX(貼り付け!$A$1:$BZ$3001,2227,$F$1)&amp;"",",",""),"¥",""),"￥","")),0))</f>
        <v/>
      </c>
      <c r="G2228">
        <f>IF(ISNUMBER(B2228),YEAR(B2228),"")</f>
        <v/>
      </c>
      <c r="H2228">
        <f>IF(ISNUMBER(B2228),MONTH(B2228),"")</f>
        <v/>
      </c>
      <c r="I2228">
        <f>IFERROR(IF($B$1=0,"",IF(ISNUMBER(INDEX(貼り付け!$A$1:$BZ$3001,2227,$B$1)),"",SUBSTITUTE(SUBSTITUTE(SUBSTITUTE(SUBSTITUTE(TRIM(LEFT(INDEX(貼り付け!$A$1:$BZ$3001,2227,$B$1)&amp;"",FIND(" ",TRIM(INDEX(貼り付け!$A$1:$BZ$3001,2227,$B$1)&amp;"")&amp;" ")-1)),"/","-"),"年","-"),"月","-"),"日",""))),"")</f>
        <v/>
      </c>
      <c r="J2228">
        <f>IFERROR(MID(I2228,FIND("-",I2228)+1,99),"")</f>
        <v/>
      </c>
    </row>
    <row r="2229">
      <c r="B2229">
        <f>IFERROR(IF($B$1=0,"",IF(INDEX(貼り付け!$A$1:$BZ$3001,2228,$B$1)="","",IF(ISNUMBER(INDEX(貼り付け!$A$1:$BZ$3001,2228,$B$1)),INT(INDEX(貼り付け!$A$1:$BZ$3001,2228,$B$1)),DATE(VALUE(LEFT(I2229,FIND("-",I2229)-1)),VALUE(LEFT(J2229,FIND("-",J2229)-1)),VALUE(MID(J2229,FIND("-",J2229)+1,99)))))),"")</f>
        <v/>
      </c>
      <c r="C2229">
        <f>IF($C$1=0,0,IFERROR(VALUE(SUBSTITUTE(SUBSTITUTE(SUBSTITUTE(INDEX(貼り付け!$A$1:$BZ$3001,2228,$C$1)&amp;"",",",""),"¥",""),"￥","")),0))</f>
        <v/>
      </c>
      <c r="D2229">
        <f>IF($D$1=0,0,IFERROR(VALUE(SUBSTITUTE(SUBSTITUTE(SUBSTITUTE(INDEX(貼り付け!$A$1:$BZ$3001,2228,$D$1)&amp;"",",",""),"¥",""),"￥","")),0))</f>
        <v/>
      </c>
      <c r="E2229">
        <f>IF($E$1=0,0,IFERROR(VALUE(SUBSTITUTE(SUBSTITUTE(SUBSTITUTE(INDEX(貼り付け!$A$1:$BZ$3001,2228,$E$1)&amp;"",",",""),"¥",""),"￥","")),0))</f>
        <v/>
      </c>
      <c r="F2229">
        <f>IF($F$1=0,0,IFERROR(VALUE(SUBSTITUTE(SUBSTITUTE(SUBSTITUTE(INDEX(貼り付け!$A$1:$BZ$3001,2228,$F$1)&amp;"",",",""),"¥",""),"￥","")),0))</f>
        <v/>
      </c>
      <c r="G2229">
        <f>IF(ISNUMBER(B2229),YEAR(B2229),"")</f>
        <v/>
      </c>
      <c r="H2229">
        <f>IF(ISNUMBER(B2229),MONTH(B2229),"")</f>
        <v/>
      </c>
      <c r="I2229">
        <f>IFERROR(IF($B$1=0,"",IF(ISNUMBER(INDEX(貼り付け!$A$1:$BZ$3001,2228,$B$1)),"",SUBSTITUTE(SUBSTITUTE(SUBSTITUTE(SUBSTITUTE(TRIM(LEFT(INDEX(貼り付け!$A$1:$BZ$3001,2228,$B$1)&amp;"",FIND(" ",TRIM(INDEX(貼り付け!$A$1:$BZ$3001,2228,$B$1)&amp;"")&amp;" ")-1)),"/","-"),"年","-"),"月","-"),"日",""))),"")</f>
        <v/>
      </c>
      <c r="J2229">
        <f>IFERROR(MID(I2229,FIND("-",I2229)+1,99),"")</f>
        <v/>
      </c>
    </row>
    <row r="2230">
      <c r="B2230">
        <f>IFERROR(IF($B$1=0,"",IF(INDEX(貼り付け!$A$1:$BZ$3001,2229,$B$1)="","",IF(ISNUMBER(INDEX(貼り付け!$A$1:$BZ$3001,2229,$B$1)),INT(INDEX(貼り付け!$A$1:$BZ$3001,2229,$B$1)),DATE(VALUE(LEFT(I2230,FIND("-",I2230)-1)),VALUE(LEFT(J2230,FIND("-",J2230)-1)),VALUE(MID(J2230,FIND("-",J2230)+1,99)))))),"")</f>
        <v/>
      </c>
      <c r="C2230">
        <f>IF($C$1=0,0,IFERROR(VALUE(SUBSTITUTE(SUBSTITUTE(SUBSTITUTE(INDEX(貼り付け!$A$1:$BZ$3001,2229,$C$1)&amp;"",",",""),"¥",""),"￥","")),0))</f>
        <v/>
      </c>
      <c r="D2230">
        <f>IF($D$1=0,0,IFERROR(VALUE(SUBSTITUTE(SUBSTITUTE(SUBSTITUTE(INDEX(貼り付け!$A$1:$BZ$3001,2229,$D$1)&amp;"",",",""),"¥",""),"￥","")),0))</f>
        <v/>
      </c>
      <c r="E2230">
        <f>IF($E$1=0,0,IFERROR(VALUE(SUBSTITUTE(SUBSTITUTE(SUBSTITUTE(INDEX(貼り付け!$A$1:$BZ$3001,2229,$E$1)&amp;"",",",""),"¥",""),"￥","")),0))</f>
        <v/>
      </c>
      <c r="F2230">
        <f>IF($F$1=0,0,IFERROR(VALUE(SUBSTITUTE(SUBSTITUTE(SUBSTITUTE(INDEX(貼り付け!$A$1:$BZ$3001,2229,$F$1)&amp;"",",",""),"¥",""),"￥","")),0))</f>
        <v/>
      </c>
      <c r="G2230">
        <f>IF(ISNUMBER(B2230),YEAR(B2230),"")</f>
        <v/>
      </c>
      <c r="H2230">
        <f>IF(ISNUMBER(B2230),MONTH(B2230),"")</f>
        <v/>
      </c>
      <c r="I2230">
        <f>IFERROR(IF($B$1=0,"",IF(ISNUMBER(INDEX(貼り付け!$A$1:$BZ$3001,2229,$B$1)),"",SUBSTITUTE(SUBSTITUTE(SUBSTITUTE(SUBSTITUTE(TRIM(LEFT(INDEX(貼り付け!$A$1:$BZ$3001,2229,$B$1)&amp;"",FIND(" ",TRIM(INDEX(貼り付け!$A$1:$BZ$3001,2229,$B$1)&amp;"")&amp;" ")-1)),"/","-"),"年","-"),"月","-"),"日",""))),"")</f>
        <v/>
      </c>
      <c r="J2230">
        <f>IFERROR(MID(I2230,FIND("-",I2230)+1,99),"")</f>
        <v/>
      </c>
    </row>
    <row r="2231">
      <c r="B2231">
        <f>IFERROR(IF($B$1=0,"",IF(INDEX(貼り付け!$A$1:$BZ$3001,2230,$B$1)="","",IF(ISNUMBER(INDEX(貼り付け!$A$1:$BZ$3001,2230,$B$1)),INT(INDEX(貼り付け!$A$1:$BZ$3001,2230,$B$1)),DATE(VALUE(LEFT(I2231,FIND("-",I2231)-1)),VALUE(LEFT(J2231,FIND("-",J2231)-1)),VALUE(MID(J2231,FIND("-",J2231)+1,99)))))),"")</f>
        <v/>
      </c>
      <c r="C2231">
        <f>IF($C$1=0,0,IFERROR(VALUE(SUBSTITUTE(SUBSTITUTE(SUBSTITUTE(INDEX(貼り付け!$A$1:$BZ$3001,2230,$C$1)&amp;"",",",""),"¥",""),"￥","")),0))</f>
        <v/>
      </c>
      <c r="D2231">
        <f>IF($D$1=0,0,IFERROR(VALUE(SUBSTITUTE(SUBSTITUTE(SUBSTITUTE(INDEX(貼り付け!$A$1:$BZ$3001,2230,$D$1)&amp;"",",",""),"¥",""),"￥","")),0))</f>
        <v/>
      </c>
      <c r="E2231">
        <f>IF($E$1=0,0,IFERROR(VALUE(SUBSTITUTE(SUBSTITUTE(SUBSTITUTE(INDEX(貼り付け!$A$1:$BZ$3001,2230,$E$1)&amp;"",",",""),"¥",""),"￥","")),0))</f>
        <v/>
      </c>
      <c r="F2231">
        <f>IF($F$1=0,0,IFERROR(VALUE(SUBSTITUTE(SUBSTITUTE(SUBSTITUTE(INDEX(貼り付け!$A$1:$BZ$3001,2230,$F$1)&amp;"",",",""),"¥",""),"￥","")),0))</f>
        <v/>
      </c>
      <c r="G2231">
        <f>IF(ISNUMBER(B2231),YEAR(B2231),"")</f>
        <v/>
      </c>
      <c r="H2231">
        <f>IF(ISNUMBER(B2231),MONTH(B2231),"")</f>
        <v/>
      </c>
      <c r="I2231">
        <f>IFERROR(IF($B$1=0,"",IF(ISNUMBER(INDEX(貼り付け!$A$1:$BZ$3001,2230,$B$1)),"",SUBSTITUTE(SUBSTITUTE(SUBSTITUTE(SUBSTITUTE(TRIM(LEFT(INDEX(貼り付け!$A$1:$BZ$3001,2230,$B$1)&amp;"",FIND(" ",TRIM(INDEX(貼り付け!$A$1:$BZ$3001,2230,$B$1)&amp;"")&amp;" ")-1)),"/","-"),"年","-"),"月","-"),"日",""))),"")</f>
        <v/>
      </c>
      <c r="J2231">
        <f>IFERROR(MID(I2231,FIND("-",I2231)+1,99),"")</f>
        <v/>
      </c>
    </row>
    <row r="2232">
      <c r="B2232">
        <f>IFERROR(IF($B$1=0,"",IF(INDEX(貼り付け!$A$1:$BZ$3001,2231,$B$1)="","",IF(ISNUMBER(INDEX(貼り付け!$A$1:$BZ$3001,2231,$B$1)),INT(INDEX(貼り付け!$A$1:$BZ$3001,2231,$B$1)),DATE(VALUE(LEFT(I2232,FIND("-",I2232)-1)),VALUE(LEFT(J2232,FIND("-",J2232)-1)),VALUE(MID(J2232,FIND("-",J2232)+1,99)))))),"")</f>
        <v/>
      </c>
      <c r="C2232">
        <f>IF($C$1=0,0,IFERROR(VALUE(SUBSTITUTE(SUBSTITUTE(SUBSTITUTE(INDEX(貼り付け!$A$1:$BZ$3001,2231,$C$1)&amp;"",",",""),"¥",""),"￥","")),0))</f>
        <v/>
      </c>
      <c r="D2232">
        <f>IF($D$1=0,0,IFERROR(VALUE(SUBSTITUTE(SUBSTITUTE(SUBSTITUTE(INDEX(貼り付け!$A$1:$BZ$3001,2231,$D$1)&amp;"",",",""),"¥",""),"￥","")),0))</f>
        <v/>
      </c>
      <c r="E2232">
        <f>IF($E$1=0,0,IFERROR(VALUE(SUBSTITUTE(SUBSTITUTE(SUBSTITUTE(INDEX(貼り付け!$A$1:$BZ$3001,2231,$E$1)&amp;"",",",""),"¥",""),"￥","")),0))</f>
        <v/>
      </c>
      <c r="F2232">
        <f>IF($F$1=0,0,IFERROR(VALUE(SUBSTITUTE(SUBSTITUTE(SUBSTITUTE(INDEX(貼り付け!$A$1:$BZ$3001,2231,$F$1)&amp;"",",",""),"¥",""),"￥","")),0))</f>
        <v/>
      </c>
      <c r="G2232">
        <f>IF(ISNUMBER(B2232),YEAR(B2232),"")</f>
        <v/>
      </c>
      <c r="H2232">
        <f>IF(ISNUMBER(B2232),MONTH(B2232),"")</f>
        <v/>
      </c>
      <c r="I2232">
        <f>IFERROR(IF($B$1=0,"",IF(ISNUMBER(INDEX(貼り付け!$A$1:$BZ$3001,2231,$B$1)),"",SUBSTITUTE(SUBSTITUTE(SUBSTITUTE(SUBSTITUTE(TRIM(LEFT(INDEX(貼り付け!$A$1:$BZ$3001,2231,$B$1)&amp;"",FIND(" ",TRIM(INDEX(貼り付け!$A$1:$BZ$3001,2231,$B$1)&amp;"")&amp;" ")-1)),"/","-"),"年","-"),"月","-"),"日",""))),"")</f>
        <v/>
      </c>
      <c r="J2232">
        <f>IFERROR(MID(I2232,FIND("-",I2232)+1,99),"")</f>
        <v/>
      </c>
    </row>
    <row r="2233">
      <c r="B2233">
        <f>IFERROR(IF($B$1=0,"",IF(INDEX(貼り付け!$A$1:$BZ$3001,2232,$B$1)="","",IF(ISNUMBER(INDEX(貼り付け!$A$1:$BZ$3001,2232,$B$1)),INT(INDEX(貼り付け!$A$1:$BZ$3001,2232,$B$1)),DATE(VALUE(LEFT(I2233,FIND("-",I2233)-1)),VALUE(LEFT(J2233,FIND("-",J2233)-1)),VALUE(MID(J2233,FIND("-",J2233)+1,99)))))),"")</f>
        <v/>
      </c>
      <c r="C2233">
        <f>IF($C$1=0,0,IFERROR(VALUE(SUBSTITUTE(SUBSTITUTE(SUBSTITUTE(INDEX(貼り付け!$A$1:$BZ$3001,2232,$C$1)&amp;"",",",""),"¥",""),"￥","")),0))</f>
        <v/>
      </c>
      <c r="D2233">
        <f>IF($D$1=0,0,IFERROR(VALUE(SUBSTITUTE(SUBSTITUTE(SUBSTITUTE(INDEX(貼り付け!$A$1:$BZ$3001,2232,$D$1)&amp;"",",",""),"¥",""),"￥","")),0))</f>
        <v/>
      </c>
      <c r="E2233">
        <f>IF($E$1=0,0,IFERROR(VALUE(SUBSTITUTE(SUBSTITUTE(SUBSTITUTE(INDEX(貼り付け!$A$1:$BZ$3001,2232,$E$1)&amp;"",",",""),"¥",""),"￥","")),0))</f>
        <v/>
      </c>
      <c r="F2233">
        <f>IF($F$1=0,0,IFERROR(VALUE(SUBSTITUTE(SUBSTITUTE(SUBSTITUTE(INDEX(貼り付け!$A$1:$BZ$3001,2232,$F$1)&amp;"",",",""),"¥",""),"￥","")),0))</f>
        <v/>
      </c>
      <c r="G2233">
        <f>IF(ISNUMBER(B2233),YEAR(B2233),"")</f>
        <v/>
      </c>
      <c r="H2233">
        <f>IF(ISNUMBER(B2233),MONTH(B2233),"")</f>
        <v/>
      </c>
      <c r="I2233">
        <f>IFERROR(IF($B$1=0,"",IF(ISNUMBER(INDEX(貼り付け!$A$1:$BZ$3001,2232,$B$1)),"",SUBSTITUTE(SUBSTITUTE(SUBSTITUTE(SUBSTITUTE(TRIM(LEFT(INDEX(貼り付け!$A$1:$BZ$3001,2232,$B$1)&amp;"",FIND(" ",TRIM(INDEX(貼り付け!$A$1:$BZ$3001,2232,$B$1)&amp;"")&amp;" ")-1)),"/","-"),"年","-"),"月","-"),"日",""))),"")</f>
        <v/>
      </c>
      <c r="J2233">
        <f>IFERROR(MID(I2233,FIND("-",I2233)+1,99),"")</f>
        <v/>
      </c>
    </row>
    <row r="2234">
      <c r="B2234">
        <f>IFERROR(IF($B$1=0,"",IF(INDEX(貼り付け!$A$1:$BZ$3001,2233,$B$1)="","",IF(ISNUMBER(INDEX(貼り付け!$A$1:$BZ$3001,2233,$B$1)),INT(INDEX(貼り付け!$A$1:$BZ$3001,2233,$B$1)),DATE(VALUE(LEFT(I2234,FIND("-",I2234)-1)),VALUE(LEFT(J2234,FIND("-",J2234)-1)),VALUE(MID(J2234,FIND("-",J2234)+1,99)))))),"")</f>
        <v/>
      </c>
      <c r="C2234">
        <f>IF($C$1=0,0,IFERROR(VALUE(SUBSTITUTE(SUBSTITUTE(SUBSTITUTE(INDEX(貼り付け!$A$1:$BZ$3001,2233,$C$1)&amp;"",",",""),"¥",""),"￥","")),0))</f>
        <v/>
      </c>
      <c r="D2234">
        <f>IF($D$1=0,0,IFERROR(VALUE(SUBSTITUTE(SUBSTITUTE(SUBSTITUTE(INDEX(貼り付け!$A$1:$BZ$3001,2233,$D$1)&amp;"",",",""),"¥",""),"￥","")),0))</f>
        <v/>
      </c>
      <c r="E2234">
        <f>IF($E$1=0,0,IFERROR(VALUE(SUBSTITUTE(SUBSTITUTE(SUBSTITUTE(INDEX(貼り付け!$A$1:$BZ$3001,2233,$E$1)&amp;"",",",""),"¥",""),"￥","")),0))</f>
        <v/>
      </c>
      <c r="F2234">
        <f>IF($F$1=0,0,IFERROR(VALUE(SUBSTITUTE(SUBSTITUTE(SUBSTITUTE(INDEX(貼り付け!$A$1:$BZ$3001,2233,$F$1)&amp;"",",",""),"¥",""),"￥","")),0))</f>
        <v/>
      </c>
      <c r="G2234">
        <f>IF(ISNUMBER(B2234),YEAR(B2234),"")</f>
        <v/>
      </c>
      <c r="H2234">
        <f>IF(ISNUMBER(B2234),MONTH(B2234),"")</f>
        <v/>
      </c>
      <c r="I2234">
        <f>IFERROR(IF($B$1=0,"",IF(ISNUMBER(INDEX(貼り付け!$A$1:$BZ$3001,2233,$B$1)),"",SUBSTITUTE(SUBSTITUTE(SUBSTITUTE(SUBSTITUTE(TRIM(LEFT(INDEX(貼り付け!$A$1:$BZ$3001,2233,$B$1)&amp;"",FIND(" ",TRIM(INDEX(貼り付け!$A$1:$BZ$3001,2233,$B$1)&amp;"")&amp;" ")-1)),"/","-"),"年","-"),"月","-"),"日",""))),"")</f>
        <v/>
      </c>
      <c r="J2234">
        <f>IFERROR(MID(I2234,FIND("-",I2234)+1,99),"")</f>
        <v/>
      </c>
    </row>
    <row r="2235">
      <c r="B2235">
        <f>IFERROR(IF($B$1=0,"",IF(INDEX(貼り付け!$A$1:$BZ$3001,2234,$B$1)="","",IF(ISNUMBER(INDEX(貼り付け!$A$1:$BZ$3001,2234,$B$1)),INT(INDEX(貼り付け!$A$1:$BZ$3001,2234,$B$1)),DATE(VALUE(LEFT(I2235,FIND("-",I2235)-1)),VALUE(LEFT(J2235,FIND("-",J2235)-1)),VALUE(MID(J2235,FIND("-",J2235)+1,99)))))),"")</f>
        <v/>
      </c>
      <c r="C2235">
        <f>IF($C$1=0,0,IFERROR(VALUE(SUBSTITUTE(SUBSTITUTE(SUBSTITUTE(INDEX(貼り付け!$A$1:$BZ$3001,2234,$C$1)&amp;"",",",""),"¥",""),"￥","")),0))</f>
        <v/>
      </c>
      <c r="D2235">
        <f>IF($D$1=0,0,IFERROR(VALUE(SUBSTITUTE(SUBSTITUTE(SUBSTITUTE(INDEX(貼り付け!$A$1:$BZ$3001,2234,$D$1)&amp;"",",",""),"¥",""),"￥","")),0))</f>
        <v/>
      </c>
      <c r="E2235">
        <f>IF($E$1=0,0,IFERROR(VALUE(SUBSTITUTE(SUBSTITUTE(SUBSTITUTE(INDEX(貼り付け!$A$1:$BZ$3001,2234,$E$1)&amp;"",",",""),"¥",""),"￥","")),0))</f>
        <v/>
      </c>
      <c r="F2235">
        <f>IF($F$1=0,0,IFERROR(VALUE(SUBSTITUTE(SUBSTITUTE(SUBSTITUTE(INDEX(貼り付け!$A$1:$BZ$3001,2234,$F$1)&amp;"",",",""),"¥",""),"￥","")),0))</f>
        <v/>
      </c>
      <c r="G2235">
        <f>IF(ISNUMBER(B2235),YEAR(B2235),"")</f>
        <v/>
      </c>
      <c r="H2235">
        <f>IF(ISNUMBER(B2235),MONTH(B2235),"")</f>
        <v/>
      </c>
      <c r="I2235">
        <f>IFERROR(IF($B$1=0,"",IF(ISNUMBER(INDEX(貼り付け!$A$1:$BZ$3001,2234,$B$1)),"",SUBSTITUTE(SUBSTITUTE(SUBSTITUTE(SUBSTITUTE(TRIM(LEFT(INDEX(貼り付け!$A$1:$BZ$3001,2234,$B$1)&amp;"",FIND(" ",TRIM(INDEX(貼り付け!$A$1:$BZ$3001,2234,$B$1)&amp;"")&amp;" ")-1)),"/","-"),"年","-"),"月","-"),"日",""))),"")</f>
        <v/>
      </c>
      <c r="J2235">
        <f>IFERROR(MID(I2235,FIND("-",I2235)+1,99),"")</f>
        <v/>
      </c>
    </row>
    <row r="2236">
      <c r="B2236">
        <f>IFERROR(IF($B$1=0,"",IF(INDEX(貼り付け!$A$1:$BZ$3001,2235,$B$1)="","",IF(ISNUMBER(INDEX(貼り付け!$A$1:$BZ$3001,2235,$B$1)),INT(INDEX(貼り付け!$A$1:$BZ$3001,2235,$B$1)),DATE(VALUE(LEFT(I2236,FIND("-",I2236)-1)),VALUE(LEFT(J2236,FIND("-",J2236)-1)),VALUE(MID(J2236,FIND("-",J2236)+1,99)))))),"")</f>
        <v/>
      </c>
      <c r="C2236">
        <f>IF($C$1=0,0,IFERROR(VALUE(SUBSTITUTE(SUBSTITUTE(SUBSTITUTE(INDEX(貼り付け!$A$1:$BZ$3001,2235,$C$1)&amp;"",",",""),"¥",""),"￥","")),0))</f>
        <v/>
      </c>
      <c r="D2236">
        <f>IF($D$1=0,0,IFERROR(VALUE(SUBSTITUTE(SUBSTITUTE(SUBSTITUTE(INDEX(貼り付け!$A$1:$BZ$3001,2235,$D$1)&amp;"",",",""),"¥",""),"￥","")),0))</f>
        <v/>
      </c>
      <c r="E2236">
        <f>IF($E$1=0,0,IFERROR(VALUE(SUBSTITUTE(SUBSTITUTE(SUBSTITUTE(INDEX(貼り付け!$A$1:$BZ$3001,2235,$E$1)&amp;"",",",""),"¥",""),"￥","")),0))</f>
        <v/>
      </c>
      <c r="F2236">
        <f>IF($F$1=0,0,IFERROR(VALUE(SUBSTITUTE(SUBSTITUTE(SUBSTITUTE(INDEX(貼り付け!$A$1:$BZ$3001,2235,$F$1)&amp;"",",",""),"¥",""),"￥","")),0))</f>
        <v/>
      </c>
      <c r="G2236">
        <f>IF(ISNUMBER(B2236),YEAR(B2236),"")</f>
        <v/>
      </c>
      <c r="H2236">
        <f>IF(ISNUMBER(B2236),MONTH(B2236),"")</f>
        <v/>
      </c>
      <c r="I2236">
        <f>IFERROR(IF($B$1=0,"",IF(ISNUMBER(INDEX(貼り付け!$A$1:$BZ$3001,2235,$B$1)),"",SUBSTITUTE(SUBSTITUTE(SUBSTITUTE(SUBSTITUTE(TRIM(LEFT(INDEX(貼り付け!$A$1:$BZ$3001,2235,$B$1)&amp;"",FIND(" ",TRIM(INDEX(貼り付け!$A$1:$BZ$3001,2235,$B$1)&amp;"")&amp;" ")-1)),"/","-"),"年","-"),"月","-"),"日",""))),"")</f>
        <v/>
      </c>
      <c r="J2236">
        <f>IFERROR(MID(I2236,FIND("-",I2236)+1,99),"")</f>
        <v/>
      </c>
    </row>
    <row r="2237">
      <c r="B2237">
        <f>IFERROR(IF($B$1=0,"",IF(INDEX(貼り付け!$A$1:$BZ$3001,2236,$B$1)="","",IF(ISNUMBER(INDEX(貼り付け!$A$1:$BZ$3001,2236,$B$1)),INT(INDEX(貼り付け!$A$1:$BZ$3001,2236,$B$1)),DATE(VALUE(LEFT(I2237,FIND("-",I2237)-1)),VALUE(LEFT(J2237,FIND("-",J2237)-1)),VALUE(MID(J2237,FIND("-",J2237)+1,99)))))),"")</f>
        <v/>
      </c>
      <c r="C2237">
        <f>IF($C$1=0,0,IFERROR(VALUE(SUBSTITUTE(SUBSTITUTE(SUBSTITUTE(INDEX(貼り付け!$A$1:$BZ$3001,2236,$C$1)&amp;"",",",""),"¥",""),"￥","")),0))</f>
        <v/>
      </c>
      <c r="D2237">
        <f>IF($D$1=0,0,IFERROR(VALUE(SUBSTITUTE(SUBSTITUTE(SUBSTITUTE(INDEX(貼り付け!$A$1:$BZ$3001,2236,$D$1)&amp;"",",",""),"¥",""),"￥","")),0))</f>
        <v/>
      </c>
      <c r="E2237">
        <f>IF($E$1=0,0,IFERROR(VALUE(SUBSTITUTE(SUBSTITUTE(SUBSTITUTE(INDEX(貼り付け!$A$1:$BZ$3001,2236,$E$1)&amp;"",",",""),"¥",""),"￥","")),0))</f>
        <v/>
      </c>
      <c r="F2237">
        <f>IF($F$1=0,0,IFERROR(VALUE(SUBSTITUTE(SUBSTITUTE(SUBSTITUTE(INDEX(貼り付け!$A$1:$BZ$3001,2236,$F$1)&amp;"",",",""),"¥",""),"￥","")),0))</f>
        <v/>
      </c>
      <c r="G2237">
        <f>IF(ISNUMBER(B2237),YEAR(B2237),"")</f>
        <v/>
      </c>
      <c r="H2237">
        <f>IF(ISNUMBER(B2237),MONTH(B2237),"")</f>
        <v/>
      </c>
      <c r="I2237">
        <f>IFERROR(IF($B$1=0,"",IF(ISNUMBER(INDEX(貼り付け!$A$1:$BZ$3001,2236,$B$1)),"",SUBSTITUTE(SUBSTITUTE(SUBSTITUTE(SUBSTITUTE(TRIM(LEFT(INDEX(貼り付け!$A$1:$BZ$3001,2236,$B$1)&amp;"",FIND(" ",TRIM(INDEX(貼り付け!$A$1:$BZ$3001,2236,$B$1)&amp;"")&amp;" ")-1)),"/","-"),"年","-"),"月","-"),"日",""))),"")</f>
        <v/>
      </c>
      <c r="J2237">
        <f>IFERROR(MID(I2237,FIND("-",I2237)+1,99),"")</f>
        <v/>
      </c>
    </row>
    <row r="2238">
      <c r="B2238">
        <f>IFERROR(IF($B$1=0,"",IF(INDEX(貼り付け!$A$1:$BZ$3001,2237,$B$1)="","",IF(ISNUMBER(INDEX(貼り付け!$A$1:$BZ$3001,2237,$B$1)),INT(INDEX(貼り付け!$A$1:$BZ$3001,2237,$B$1)),DATE(VALUE(LEFT(I2238,FIND("-",I2238)-1)),VALUE(LEFT(J2238,FIND("-",J2238)-1)),VALUE(MID(J2238,FIND("-",J2238)+1,99)))))),"")</f>
        <v/>
      </c>
      <c r="C2238">
        <f>IF($C$1=0,0,IFERROR(VALUE(SUBSTITUTE(SUBSTITUTE(SUBSTITUTE(INDEX(貼り付け!$A$1:$BZ$3001,2237,$C$1)&amp;"",",",""),"¥",""),"￥","")),0))</f>
        <v/>
      </c>
      <c r="D2238">
        <f>IF($D$1=0,0,IFERROR(VALUE(SUBSTITUTE(SUBSTITUTE(SUBSTITUTE(INDEX(貼り付け!$A$1:$BZ$3001,2237,$D$1)&amp;"",",",""),"¥",""),"￥","")),0))</f>
        <v/>
      </c>
      <c r="E2238">
        <f>IF($E$1=0,0,IFERROR(VALUE(SUBSTITUTE(SUBSTITUTE(SUBSTITUTE(INDEX(貼り付け!$A$1:$BZ$3001,2237,$E$1)&amp;"",",",""),"¥",""),"￥","")),0))</f>
        <v/>
      </c>
      <c r="F2238">
        <f>IF($F$1=0,0,IFERROR(VALUE(SUBSTITUTE(SUBSTITUTE(SUBSTITUTE(INDEX(貼り付け!$A$1:$BZ$3001,2237,$F$1)&amp;"",",",""),"¥",""),"￥","")),0))</f>
        <v/>
      </c>
      <c r="G2238">
        <f>IF(ISNUMBER(B2238),YEAR(B2238),"")</f>
        <v/>
      </c>
      <c r="H2238">
        <f>IF(ISNUMBER(B2238),MONTH(B2238),"")</f>
        <v/>
      </c>
      <c r="I2238">
        <f>IFERROR(IF($B$1=0,"",IF(ISNUMBER(INDEX(貼り付け!$A$1:$BZ$3001,2237,$B$1)),"",SUBSTITUTE(SUBSTITUTE(SUBSTITUTE(SUBSTITUTE(TRIM(LEFT(INDEX(貼り付け!$A$1:$BZ$3001,2237,$B$1)&amp;"",FIND(" ",TRIM(INDEX(貼り付け!$A$1:$BZ$3001,2237,$B$1)&amp;"")&amp;" ")-1)),"/","-"),"年","-"),"月","-"),"日",""))),"")</f>
        <v/>
      </c>
      <c r="J2238">
        <f>IFERROR(MID(I2238,FIND("-",I2238)+1,99),"")</f>
        <v/>
      </c>
    </row>
    <row r="2239">
      <c r="B2239">
        <f>IFERROR(IF($B$1=0,"",IF(INDEX(貼り付け!$A$1:$BZ$3001,2238,$B$1)="","",IF(ISNUMBER(INDEX(貼り付け!$A$1:$BZ$3001,2238,$B$1)),INT(INDEX(貼り付け!$A$1:$BZ$3001,2238,$B$1)),DATE(VALUE(LEFT(I2239,FIND("-",I2239)-1)),VALUE(LEFT(J2239,FIND("-",J2239)-1)),VALUE(MID(J2239,FIND("-",J2239)+1,99)))))),"")</f>
        <v/>
      </c>
      <c r="C2239">
        <f>IF($C$1=0,0,IFERROR(VALUE(SUBSTITUTE(SUBSTITUTE(SUBSTITUTE(INDEX(貼り付け!$A$1:$BZ$3001,2238,$C$1)&amp;"",",",""),"¥",""),"￥","")),0))</f>
        <v/>
      </c>
      <c r="D2239">
        <f>IF($D$1=0,0,IFERROR(VALUE(SUBSTITUTE(SUBSTITUTE(SUBSTITUTE(INDEX(貼り付け!$A$1:$BZ$3001,2238,$D$1)&amp;"",",",""),"¥",""),"￥","")),0))</f>
        <v/>
      </c>
      <c r="E2239">
        <f>IF($E$1=0,0,IFERROR(VALUE(SUBSTITUTE(SUBSTITUTE(SUBSTITUTE(INDEX(貼り付け!$A$1:$BZ$3001,2238,$E$1)&amp;"",",",""),"¥",""),"￥","")),0))</f>
        <v/>
      </c>
      <c r="F2239">
        <f>IF($F$1=0,0,IFERROR(VALUE(SUBSTITUTE(SUBSTITUTE(SUBSTITUTE(INDEX(貼り付け!$A$1:$BZ$3001,2238,$F$1)&amp;"",",",""),"¥",""),"￥","")),0))</f>
        <v/>
      </c>
      <c r="G2239">
        <f>IF(ISNUMBER(B2239),YEAR(B2239),"")</f>
        <v/>
      </c>
      <c r="H2239">
        <f>IF(ISNUMBER(B2239),MONTH(B2239),"")</f>
        <v/>
      </c>
      <c r="I2239">
        <f>IFERROR(IF($B$1=0,"",IF(ISNUMBER(INDEX(貼り付け!$A$1:$BZ$3001,2238,$B$1)),"",SUBSTITUTE(SUBSTITUTE(SUBSTITUTE(SUBSTITUTE(TRIM(LEFT(INDEX(貼り付け!$A$1:$BZ$3001,2238,$B$1)&amp;"",FIND(" ",TRIM(INDEX(貼り付け!$A$1:$BZ$3001,2238,$B$1)&amp;"")&amp;" ")-1)),"/","-"),"年","-"),"月","-"),"日",""))),"")</f>
        <v/>
      </c>
      <c r="J2239">
        <f>IFERROR(MID(I2239,FIND("-",I2239)+1,99),"")</f>
        <v/>
      </c>
    </row>
    <row r="2240">
      <c r="B2240">
        <f>IFERROR(IF($B$1=0,"",IF(INDEX(貼り付け!$A$1:$BZ$3001,2239,$B$1)="","",IF(ISNUMBER(INDEX(貼り付け!$A$1:$BZ$3001,2239,$B$1)),INT(INDEX(貼り付け!$A$1:$BZ$3001,2239,$B$1)),DATE(VALUE(LEFT(I2240,FIND("-",I2240)-1)),VALUE(LEFT(J2240,FIND("-",J2240)-1)),VALUE(MID(J2240,FIND("-",J2240)+1,99)))))),"")</f>
        <v/>
      </c>
      <c r="C2240">
        <f>IF($C$1=0,0,IFERROR(VALUE(SUBSTITUTE(SUBSTITUTE(SUBSTITUTE(INDEX(貼り付け!$A$1:$BZ$3001,2239,$C$1)&amp;"",",",""),"¥",""),"￥","")),0))</f>
        <v/>
      </c>
      <c r="D2240">
        <f>IF($D$1=0,0,IFERROR(VALUE(SUBSTITUTE(SUBSTITUTE(SUBSTITUTE(INDEX(貼り付け!$A$1:$BZ$3001,2239,$D$1)&amp;"",",",""),"¥",""),"￥","")),0))</f>
        <v/>
      </c>
      <c r="E2240">
        <f>IF($E$1=0,0,IFERROR(VALUE(SUBSTITUTE(SUBSTITUTE(SUBSTITUTE(INDEX(貼り付け!$A$1:$BZ$3001,2239,$E$1)&amp;"",",",""),"¥",""),"￥","")),0))</f>
        <v/>
      </c>
      <c r="F2240">
        <f>IF($F$1=0,0,IFERROR(VALUE(SUBSTITUTE(SUBSTITUTE(SUBSTITUTE(INDEX(貼り付け!$A$1:$BZ$3001,2239,$F$1)&amp;"",",",""),"¥",""),"￥","")),0))</f>
        <v/>
      </c>
      <c r="G2240">
        <f>IF(ISNUMBER(B2240),YEAR(B2240),"")</f>
        <v/>
      </c>
      <c r="H2240">
        <f>IF(ISNUMBER(B2240),MONTH(B2240),"")</f>
        <v/>
      </c>
      <c r="I2240">
        <f>IFERROR(IF($B$1=0,"",IF(ISNUMBER(INDEX(貼り付け!$A$1:$BZ$3001,2239,$B$1)),"",SUBSTITUTE(SUBSTITUTE(SUBSTITUTE(SUBSTITUTE(TRIM(LEFT(INDEX(貼り付け!$A$1:$BZ$3001,2239,$B$1)&amp;"",FIND(" ",TRIM(INDEX(貼り付け!$A$1:$BZ$3001,2239,$B$1)&amp;"")&amp;" ")-1)),"/","-"),"年","-"),"月","-"),"日",""))),"")</f>
        <v/>
      </c>
      <c r="J2240">
        <f>IFERROR(MID(I2240,FIND("-",I2240)+1,99),"")</f>
        <v/>
      </c>
    </row>
    <row r="2241">
      <c r="B2241">
        <f>IFERROR(IF($B$1=0,"",IF(INDEX(貼り付け!$A$1:$BZ$3001,2240,$B$1)="","",IF(ISNUMBER(INDEX(貼り付け!$A$1:$BZ$3001,2240,$B$1)),INT(INDEX(貼り付け!$A$1:$BZ$3001,2240,$B$1)),DATE(VALUE(LEFT(I2241,FIND("-",I2241)-1)),VALUE(LEFT(J2241,FIND("-",J2241)-1)),VALUE(MID(J2241,FIND("-",J2241)+1,99)))))),"")</f>
        <v/>
      </c>
      <c r="C2241">
        <f>IF($C$1=0,0,IFERROR(VALUE(SUBSTITUTE(SUBSTITUTE(SUBSTITUTE(INDEX(貼り付け!$A$1:$BZ$3001,2240,$C$1)&amp;"",",",""),"¥",""),"￥","")),0))</f>
        <v/>
      </c>
      <c r="D2241">
        <f>IF($D$1=0,0,IFERROR(VALUE(SUBSTITUTE(SUBSTITUTE(SUBSTITUTE(INDEX(貼り付け!$A$1:$BZ$3001,2240,$D$1)&amp;"",",",""),"¥",""),"￥","")),0))</f>
        <v/>
      </c>
      <c r="E2241">
        <f>IF($E$1=0,0,IFERROR(VALUE(SUBSTITUTE(SUBSTITUTE(SUBSTITUTE(INDEX(貼り付け!$A$1:$BZ$3001,2240,$E$1)&amp;"",",",""),"¥",""),"￥","")),0))</f>
        <v/>
      </c>
      <c r="F2241">
        <f>IF($F$1=0,0,IFERROR(VALUE(SUBSTITUTE(SUBSTITUTE(SUBSTITUTE(INDEX(貼り付け!$A$1:$BZ$3001,2240,$F$1)&amp;"",",",""),"¥",""),"￥","")),0))</f>
        <v/>
      </c>
      <c r="G2241">
        <f>IF(ISNUMBER(B2241),YEAR(B2241),"")</f>
        <v/>
      </c>
      <c r="H2241">
        <f>IF(ISNUMBER(B2241),MONTH(B2241),"")</f>
        <v/>
      </c>
      <c r="I2241">
        <f>IFERROR(IF($B$1=0,"",IF(ISNUMBER(INDEX(貼り付け!$A$1:$BZ$3001,2240,$B$1)),"",SUBSTITUTE(SUBSTITUTE(SUBSTITUTE(SUBSTITUTE(TRIM(LEFT(INDEX(貼り付け!$A$1:$BZ$3001,2240,$B$1)&amp;"",FIND(" ",TRIM(INDEX(貼り付け!$A$1:$BZ$3001,2240,$B$1)&amp;"")&amp;" ")-1)),"/","-"),"年","-"),"月","-"),"日",""))),"")</f>
        <v/>
      </c>
      <c r="J2241">
        <f>IFERROR(MID(I2241,FIND("-",I2241)+1,99),"")</f>
        <v/>
      </c>
    </row>
    <row r="2242">
      <c r="B2242">
        <f>IFERROR(IF($B$1=0,"",IF(INDEX(貼り付け!$A$1:$BZ$3001,2241,$B$1)="","",IF(ISNUMBER(INDEX(貼り付け!$A$1:$BZ$3001,2241,$B$1)),INT(INDEX(貼り付け!$A$1:$BZ$3001,2241,$B$1)),DATE(VALUE(LEFT(I2242,FIND("-",I2242)-1)),VALUE(LEFT(J2242,FIND("-",J2242)-1)),VALUE(MID(J2242,FIND("-",J2242)+1,99)))))),"")</f>
        <v/>
      </c>
      <c r="C2242">
        <f>IF($C$1=0,0,IFERROR(VALUE(SUBSTITUTE(SUBSTITUTE(SUBSTITUTE(INDEX(貼り付け!$A$1:$BZ$3001,2241,$C$1)&amp;"",",",""),"¥",""),"￥","")),0))</f>
        <v/>
      </c>
      <c r="D2242">
        <f>IF($D$1=0,0,IFERROR(VALUE(SUBSTITUTE(SUBSTITUTE(SUBSTITUTE(INDEX(貼り付け!$A$1:$BZ$3001,2241,$D$1)&amp;"",",",""),"¥",""),"￥","")),0))</f>
        <v/>
      </c>
      <c r="E2242">
        <f>IF($E$1=0,0,IFERROR(VALUE(SUBSTITUTE(SUBSTITUTE(SUBSTITUTE(INDEX(貼り付け!$A$1:$BZ$3001,2241,$E$1)&amp;"",",",""),"¥",""),"￥","")),0))</f>
        <v/>
      </c>
      <c r="F2242">
        <f>IF($F$1=0,0,IFERROR(VALUE(SUBSTITUTE(SUBSTITUTE(SUBSTITUTE(INDEX(貼り付け!$A$1:$BZ$3001,2241,$F$1)&amp;"",",",""),"¥",""),"￥","")),0))</f>
        <v/>
      </c>
      <c r="G2242">
        <f>IF(ISNUMBER(B2242),YEAR(B2242),"")</f>
        <v/>
      </c>
      <c r="H2242">
        <f>IF(ISNUMBER(B2242),MONTH(B2242),"")</f>
        <v/>
      </c>
      <c r="I2242">
        <f>IFERROR(IF($B$1=0,"",IF(ISNUMBER(INDEX(貼り付け!$A$1:$BZ$3001,2241,$B$1)),"",SUBSTITUTE(SUBSTITUTE(SUBSTITUTE(SUBSTITUTE(TRIM(LEFT(INDEX(貼り付け!$A$1:$BZ$3001,2241,$B$1)&amp;"",FIND(" ",TRIM(INDEX(貼り付け!$A$1:$BZ$3001,2241,$B$1)&amp;"")&amp;" ")-1)),"/","-"),"年","-"),"月","-"),"日",""))),"")</f>
        <v/>
      </c>
      <c r="J2242">
        <f>IFERROR(MID(I2242,FIND("-",I2242)+1,99),"")</f>
        <v/>
      </c>
    </row>
    <row r="2243">
      <c r="B2243">
        <f>IFERROR(IF($B$1=0,"",IF(INDEX(貼り付け!$A$1:$BZ$3001,2242,$B$1)="","",IF(ISNUMBER(INDEX(貼り付け!$A$1:$BZ$3001,2242,$B$1)),INT(INDEX(貼り付け!$A$1:$BZ$3001,2242,$B$1)),DATE(VALUE(LEFT(I2243,FIND("-",I2243)-1)),VALUE(LEFT(J2243,FIND("-",J2243)-1)),VALUE(MID(J2243,FIND("-",J2243)+1,99)))))),"")</f>
        <v/>
      </c>
      <c r="C2243">
        <f>IF($C$1=0,0,IFERROR(VALUE(SUBSTITUTE(SUBSTITUTE(SUBSTITUTE(INDEX(貼り付け!$A$1:$BZ$3001,2242,$C$1)&amp;"",",",""),"¥",""),"￥","")),0))</f>
        <v/>
      </c>
      <c r="D2243">
        <f>IF($D$1=0,0,IFERROR(VALUE(SUBSTITUTE(SUBSTITUTE(SUBSTITUTE(INDEX(貼り付け!$A$1:$BZ$3001,2242,$D$1)&amp;"",",",""),"¥",""),"￥","")),0))</f>
        <v/>
      </c>
      <c r="E2243">
        <f>IF($E$1=0,0,IFERROR(VALUE(SUBSTITUTE(SUBSTITUTE(SUBSTITUTE(INDEX(貼り付け!$A$1:$BZ$3001,2242,$E$1)&amp;"",",",""),"¥",""),"￥","")),0))</f>
        <v/>
      </c>
      <c r="F2243">
        <f>IF($F$1=0,0,IFERROR(VALUE(SUBSTITUTE(SUBSTITUTE(SUBSTITUTE(INDEX(貼り付け!$A$1:$BZ$3001,2242,$F$1)&amp;"",",",""),"¥",""),"￥","")),0))</f>
        <v/>
      </c>
      <c r="G2243">
        <f>IF(ISNUMBER(B2243),YEAR(B2243),"")</f>
        <v/>
      </c>
      <c r="H2243">
        <f>IF(ISNUMBER(B2243),MONTH(B2243),"")</f>
        <v/>
      </c>
      <c r="I2243">
        <f>IFERROR(IF($B$1=0,"",IF(ISNUMBER(INDEX(貼り付け!$A$1:$BZ$3001,2242,$B$1)),"",SUBSTITUTE(SUBSTITUTE(SUBSTITUTE(SUBSTITUTE(TRIM(LEFT(INDEX(貼り付け!$A$1:$BZ$3001,2242,$B$1)&amp;"",FIND(" ",TRIM(INDEX(貼り付け!$A$1:$BZ$3001,2242,$B$1)&amp;"")&amp;" ")-1)),"/","-"),"年","-"),"月","-"),"日",""))),"")</f>
        <v/>
      </c>
      <c r="J2243">
        <f>IFERROR(MID(I2243,FIND("-",I2243)+1,99),"")</f>
        <v/>
      </c>
    </row>
    <row r="2244">
      <c r="B2244">
        <f>IFERROR(IF($B$1=0,"",IF(INDEX(貼り付け!$A$1:$BZ$3001,2243,$B$1)="","",IF(ISNUMBER(INDEX(貼り付け!$A$1:$BZ$3001,2243,$B$1)),INT(INDEX(貼り付け!$A$1:$BZ$3001,2243,$B$1)),DATE(VALUE(LEFT(I2244,FIND("-",I2244)-1)),VALUE(LEFT(J2244,FIND("-",J2244)-1)),VALUE(MID(J2244,FIND("-",J2244)+1,99)))))),"")</f>
        <v/>
      </c>
      <c r="C2244">
        <f>IF($C$1=0,0,IFERROR(VALUE(SUBSTITUTE(SUBSTITUTE(SUBSTITUTE(INDEX(貼り付け!$A$1:$BZ$3001,2243,$C$1)&amp;"",",",""),"¥",""),"￥","")),0))</f>
        <v/>
      </c>
      <c r="D2244">
        <f>IF($D$1=0,0,IFERROR(VALUE(SUBSTITUTE(SUBSTITUTE(SUBSTITUTE(INDEX(貼り付け!$A$1:$BZ$3001,2243,$D$1)&amp;"",",",""),"¥",""),"￥","")),0))</f>
        <v/>
      </c>
      <c r="E2244">
        <f>IF($E$1=0,0,IFERROR(VALUE(SUBSTITUTE(SUBSTITUTE(SUBSTITUTE(INDEX(貼り付け!$A$1:$BZ$3001,2243,$E$1)&amp;"",",",""),"¥",""),"￥","")),0))</f>
        <v/>
      </c>
      <c r="F2244">
        <f>IF($F$1=0,0,IFERROR(VALUE(SUBSTITUTE(SUBSTITUTE(SUBSTITUTE(INDEX(貼り付け!$A$1:$BZ$3001,2243,$F$1)&amp;"",",",""),"¥",""),"￥","")),0))</f>
        <v/>
      </c>
      <c r="G2244">
        <f>IF(ISNUMBER(B2244),YEAR(B2244),"")</f>
        <v/>
      </c>
      <c r="H2244">
        <f>IF(ISNUMBER(B2244),MONTH(B2244),"")</f>
        <v/>
      </c>
      <c r="I2244">
        <f>IFERROR(IF($B$1=0,"",IF(ISNUMBER(INDEX(貼り付け!$A$1:$BZ$3001,2243,$B$1)),"",SUBSTITUTE(SUBSTITUTE(SUBSTITUTE(SUBSTITUTE(TRIM(LEFT(INDEX(貼り付け!$A$1:$BZ$3001,2243,$B$1)&amp;"",FIND(" ",TRIM(INDEX(貼り付け!$A$1:$BZ$3001,2243,$B$1)&amp;"")&amp;" ")-1)),"/","-"),"年","-"),"月","-"),"日",""))),"")</f>
        <v/>
      </c>
      <c r="J2244">
        <f>IFERROR(MID(I2244,FIND("-",I2244)+1,99),"")</f>
        <v/>
      </c>
    </row>
    <row r="2245">
      <c r="B2245">
        <f>IFERROR(IF($B$1=0,"",IF(INDEX(貼り付け!$A$1:$BZ$3001,2244,$B$1)="","",IF(ISNUMBER(INDEX(貼り付け!$A$1:$BZ$3001,2244,$B$1)),INT(INDEX(貼り付け!$A$1:$BZ$3001,2244,$B$1)),DATE(VALUE(LEFT(I2245,FIND("-",I2245)-1)),VALUE(LEFT(J2245,FIND("-",J2245)-1)),VALUE(MID(J2245,FIND("-",J2245)+1,99)))))),"")</f>
        <v/>
      </c>
      <c r="C2245">
        <f>IF($C$1=0,0,IFERROR(VALUE(SUBSTITUTE(SUBSTITUTE(SUBSTITUTE(INDEX(貼り付け!$A$1:$BZ$3001,2244,$C$1)&amp;"",",",""),"¥",""),"￥","")),0))</f>
        <v/>
      </c>
      <c r="D2245">
        <f>IF($D$1=0,0,IFERROR(VALUE(SUBSTITUTE(SUBSTITUTE(SUBSTITUTE(INDEX(貼り付け!$A$1:$BZ$3001,2244,$D$1)&amp;"",",",""),"¥",""),"￥","")),0))</f>
        <v/>
      </c>
      <c r="E2245">
        <f>IF($E$1=0,0,IFERROR(VALUE(SUBSTITUTE(SUBSTITUTE(SUBSTITUTE(INDEX(貼り付け!$A$1:$BZ$3001,2244,$E$1)&amp;"",",",""),"¥",""),"￥","")),0))</f>
        <v/>
      </c>
      <c r="F2245">
        <f>IF($F$1=0,0,IFERROR(VALUE(SUBSTITUTE(SUBSTITUTE(SUBSTITUTE(INDEX(貼り付け!$A$1:$BZ$3001,2244,$F$1)&amp;"",",",""),"¥",""),"￥","")),0))</f>
        <v/>
      </c>
      <c r="G2245">
        <f>IF(ISNUMBER(B2245),YEAR(B2245),"")</f>
        <v/>
      </c>
      <c r="H2245">
        <f>IF(ISNUMBER(B2245),MONTH(B2245),"")</f>
        <v/>
      </c>
      <c r="I2245">
        <f>IFERROR(IF($B$1=0,"",IF(ISNUMBER(INDEX(貼り付け!$A$1:$BZ$3001,2244,$B$1)),"",SUBSTITUTE(SUBSTITUTE(SUBSTITUTE(SUBSTITUTE(TRIM(LEFT(INDEX(貼り付け!$A$1:$BZ$3001,2244,$B$1)&amp;"",FIND(" ",TRIM(INDEX(貼り付け!$A$1:$BZ$3001,2244,$B$1)&amp;"")&amp;" ")-1)),"/","-"),"年","-"),"月","-"),"日",""))),"")</f>
        <v/>
      </c>
      <c r="J2245">
        <f>IFERROR(MID(I2245,FIND("-",I2245)+1,99),"")</f>
        <v/>
      </c>
    </row>
    <row r="2246">
      <c r="B2246">
        <f>IFERROR(IF($B$1=0,"",IF(INDEX(貼り付け!$A$1:$BZ$3001,2245,$B$1)="","",IF(ISNUMBER(INDEX(貼り付け!$A$1:$BZ$3001,2245,$B$1)),INT(INDEX(貼り付け!$A$1:$BZ$3001,2245,$B$1)),DATE(VALUE(LEFT(I2246,FIND("-",I2246)-1)),VALUE(LEFT(J2246,FIND("-",J2246)-1)),VALUE(MID(J2246,FIND("-",J2246)+1,99)))))),"")</f>
        <v/>
      </c>
      <c r="C2246">
        <f>IF($C$1=0,0,IFERROR(VALUE(SUBSTITUTE(SUBSTITUTE(SUBSTITUTE(INDEX(貼り付け!$A$1:$BZ$3001,2245,$C$1)&amp;"",",",""),"¥",""),"￥","")),0))</f>
        <v/>
      </c>
      <c r="D2246">
        <f>IF($D$1=0,0,IFERROR(VALUE(SUBSTITUTE(SUBSTITUTE(SUBSTITUTE(INDEX(貼り付け!$A$1:$BZ$3001,2245,$D$1)&amp;"",",",""),"¥",""),"￥","")),0))</f>
        <v/>
      </c>
      <c r="E2246">
        <f>IF($E$1=0,0,IFERROR(VALUE(SUBSTITUTE(SUBSTITUTE(SUBSTITUTE(INDEX(貼り付け!$A$1:$BZ$3001,2245,$E$1)&amp;"",",",""),"¥",""),"￥","")),0))</f>
        <v/>
      </c>
      <c r="F2246">
        <f>IF($F$1=0,0,IFERROR(VALUE(SUBSTITUTE(SUBSTITUTE(SUBSTITUTE(INDEX(貼り付け!$A$1:$BZ$3001,2245,$F$1)&amp;"",",",""),"¥",""),"￥","")),0))</f>
        <v/>
      </c>
      <c r="G2246">
        <f>IF(ISNUMBER(B2246),YEAR(B2246),"")</f>
        <v/>
      </c>
      <c r="H2246">
        <f>IF(ISNUMBER(B2246),MONTH(B2246),"")</f>
        <v/>
      </c>
      <c r="I2246">
        <f>IFERROR(IF($B$1=0,"",IF(ISNUMBER(INDEX(貼り付け!$A$1:$BZ$3001,2245,$B$1)),"",SUBSTITUTE(SUBSTITUTE(SUBSTITUTE(SUBSTITUTE(TRIM(LEFT(INDEX(貼り付け!$A$1:$BZ$3001,2245,$B$1)&amp;"",FIND(" ",TRIM(INDEX(貼り付け!$A$1:$BZ$3001,2245,$B$1)&amp;"")&amp;" ")-1)),"/","-"),"年","-"),"月","-"),"日",""))),"")</f>
        <v/>
      </c>
      <c r="J2246">
        <f>IFERROR(MID(I2246,FIND("-",I2246)+1,99),"")</f>
        <v/>
      </c>
    </row>
    <row r="2247">
      <c r="B2247">
        <f>IFERROR(IF($B$1=0,"",IF(INDEX(貼り付け!$A$1:$BZ$3001,2246,$B$1)="","",IF(ISNUMBER(INDEX(貼り付け!$A$1:$BZ$3001,2246,$B$1)),INT(INDEX(貼り付け!$A$1:$BZ$3001,2246,$B$1)),DATE(VALUE(LEFT(I2247,FIND("-",I2247)-1)),VALUE(LEFT(J2247,FIND("-",J2247)-1)),VALUE(MID(J2247,FIND("-",J2247)+1,99)))))),"")</f>
        <v/>
      </c>
      <c r="C2247">
        <f>IF($C$1=0,0,IFERROR(VALUE(SUBSTITUTE(SUBSTITUTE(SUBSTITUTE(INDEX(貼り付け!$A$1:$BZ$3001,2246,$C$1)&amp;"",",",""),"¥",""),"￥","")),0))</f>
        <v/>
      </c>
      <c r="D2247">
        <f>IF($D$1=0,0,IFERROR(VALUE(SUBSTITUTE(SUBSTITUTE(SUBSTITUTE(INDEX(貼り付け!$A$1:$BZ$3001,2246,$D$1)&amp;"",",",""),"¥",""),"￥","")),0))</f>
        <v/>
      </c>
      <c r="E2247">
        <f>IF($E$1=0,0,IFERROR(VALUE(SUBSTITUTE(SUBSTITUTE(SUBSTITUTE(INDEX(貼り付け!$A$1:$BZ$3001,2246,$E$1)&amp;"",",",""),"¥",""),"￥","")),0))</f>
        <v/>
      </c>
      <c r="F2247">
        <f>IF($F$1=0,0,IFERROR(VALUE(SUBSTITUTE(SUBSTITUTE(SUBSTITUTE(INDEX(貼り付け!$A$1:$BZ$3001,2246,$F$1)&amp;"",",",""),"¥",""),"￥","")),0))</f>
        <v/>
      </c>
      <c r="G2247">
        <f>IF(ISNUMBER(B2247),YEAR(B2247),"")</f>
        <v/>
      </c>
      <c r="H2247">
        <f>IF(ISNUMBER(B2247),MONTH(B2247),"")</f>
        <v/>
      </c>
      <c r="I2247">
        <f>IFERROR(IF($B$1=0,"",IF(ISNUMBER(INDEX(貼り付け!$A$1:$BZ$3001,2246,$B$1)),"",SUBSTITUTE(SUBSTITUTE(SUBSTITUTE(SUBSTITUTE(TRIM(LEFT(INDEX(貼り付け!$A$1:$BZ$3001,2246,$B$1)&amp;"",FIND(" ",TRIM(INDEX(貼り付け!$A$1:$BZ$3001,2246,$B$1)&amp;"")&amp;" ")-1)),"/","-"),"年","-"),"月","-"),"日",""))),"")</f>
        <v/>
      </c>
      <c r="J2247">
        <f>IFERROR(MID(I2247,FIND("-",I2247)+1,99),"")</f>
        <v/>
      </c>
    </row>
    <row r="2248">
      <c r="B2248">
        <f>IFERROR(IF($B$1=0,"",IF(INDEX(貼り付け!$A$1:$BZ$3001,2247,$B$1)="","",IF(ISNUMBER(INDEX(貼り付け!$A$1:$BZ$3001,2247,$B$1)),INT(INDEX(貼り付け!$A$1:$BZ$3001,2247,$B$1)),DATE(VALUE(LEFT(I2248,FIND("-",I2248)-1)),VALUE(LEFT(J2248,FIND("-",J2248)-1)),VALUE(MID(J2248,FIND("-",J2248)+1,99)))))),"")</f>
        <v/>
      </c>
      <c r="C2248">
        <f>IF($C$1=0,0,IFERROR(VALUE(SUBSTITUTE(SUBSTITUTE(SUBSTITUTE(INDEX(貼り付け!$A$1:$BZ$3001,2247,$C$1)&amp;"",",",""),"¥",""),"￥","")),0))</f>
        <v/>
      </c>
      <c r="D2248">
        <f>IF($D$1=0,0,IFERROR(VALUE(SUBSTITUTE(SUBSTITUTE(SUBSTITUTE(INDEX(貼り付け!$A$1:$BZ$3001,2247,$D$1)&amp;"",",",""),"¥",""),"￥","")),0))</f>
        <v/>
      </c>
      <c r="E2248">
        <f>IF($E$1=0,0,IFERROR(VALUE(SUBSTITUTE(SUBSTITUTE(SUBSTITUTE(INDEX(貼り付け!$A$1:$BZ$3001,2247,$E$1)&amp;"",",",""),"¥",""),"￥","")),0))</f>
        <v/>
      </c>
      <c r="F2248">
        <f>IF($F$1=0,0,IFERROR(VALUE(SUBSTITUTE(SUBSTITUTE(SUBSTITUTE(INDEX(貼り付け!$A$1:$BZ$3001,2247,$F$1)&amp;"",",",""),"¥",""),"￥","")),0))</f>
        <v/>
      </c>
      <c r="G2248">
        <f>IF(ISNUMBER(B2248),YEAR(B2248),"")</f>
        <v/>
      </c>
      <c r="H2248">
        <f>IF(ISNUMBER(B2248),MONTH(B2248),"")</f>
        <v/>
      </c>
      <c r="I2248">
        <f>IFERROR(IF($B$1=0,"",IF(ISNUMBER(INDEX(貼り付け!$A$1:$BZ$3001,2247,$B$1)),"",SUBSTITUTE(SUBSTITUTE(SUBSTITUTE(SUBSTITUTE(TRIM(LEFT(INDEX(貼り付け!$A$1:$BZ$3001,2247,$B$1)&amp;"",FIND(" ",TRIM(INDEX(貼り付け!$A$1:$BZ$3001,2247,$B$1)&amp;"")&amp;" ")-1)),"/","-"),"年","-"),"月","-"),"日",""))),"")</f>
        <v/>
      </c>
      <c r="J2248">
        <f>IFERROR(MID(I2248,FIND("-",I2248)+1,99),"")</f>
        <v/>
      </c>
    </row>
    <row r="2249">
      <c r="B2249">
        <f>IFERROR(IF($B$1=0,"",IF(INDEX(貼り付け!$A$1:$BZ$3001,2248,$B$1)="","",IF(ISNUMBER(INDEX(貼り付け!$A$1:$BZ$3001,2248,$B$1)),INT(INDEX(貼り付け!$A$1:$BZ$3001,2248,$B$1)),DATE(VALUE(LEFT(I2249,FIND("-",I2249)-1)),VALUE(LEFT(J2249,FIND("-",J2249)-1)),VALUE(MID(J2249,FIND("-",J2249)+1,99)))))),"")</f>
        <v/>
      </c>
      <c r="C2249">
        <f>IF($C$1=0,0,IFERROR(VALUE(SUBSTITUTE(SUBSTITUTE(SUBSTITUTE(INDEX(貼り付け!$A$1:$BZ$3001,2248,$C$1)&amp;"",",",""),"¥",""),"￥","")),0))</f>
        <v/>
      </c>
      <c r="D2249">
        <f>IF($D$1=0,0,IFERROR(VALUE(SUBSTITUTE(SUBSTITUTE(SUBSTITUTE(INDEX(貼り付け!$A$1:$BZ$3001,2248,$D$1)&amp;"",",",""),"¥",""),"￥","")),0))</f>
        <v/>
      </c>
      <c r="E2249">
        <f>IF($E$1=0,0,IFERROR(VALUE(SUBSTITUTE(SUBSTITUTE(SUBSTITUTE(INDEX(貼り付け!$A$1:$BZ$3001,2248,$E$1)&amp;"",",",""),"¥",""),"￥","")),0))</f>
        <v/>
      </c>
      <c r="F2249">
        <f>IF($F$1=0,0,IFERROR(VALUE(SUBSTITUTE(SUBSTITUTE(SUBSTITUTE(INDEX(貼り付け!$A$1:$BZ$3001,2248,$F$1)&amp;"",",",""),"¥",""),"￥","")),0))</f>
        <v/>
      </c>
      <c r="G2249">
        <f>IF(ISNUMBER(B2249),YEAR(B2249),"")</f>
        <v/>
      </c>
      <c r="H2249">
        <f>IF(ISNUMBER(B2249),MONTH(B2249),"")</f>
        <v/>
      </c>
      <c r="I2249">
        <f>IFERROR(IF($B$1=0,"",IF(ISNUMBER(INDEX(貼り付け!$A$1:$BZ$3001,2248,$B$1)),"",SUBSTITUTE(SUBSTITUTE(SUBSTITUTE(SUBSTITUTE(TRIM(LEFT(INDEX(貼り付け!$A$1:$BZ$3001,2248,$B$1)&amp;"",FIND(" ",TRIM(INDEX(貼り付け!$A$1:$BZ$3001,2248,$B$1)&amp;"")&amp;" ")-1)),"/","-"),"年","-"),"月","-"),"日",""))),"")</f>
        <v/>
      </c>
      <c r="J2249">
        <f>IFERROR(MID(I2249,FIND("-",I2249)+1,99),"")</f>
        <v/>
      </c>
    </row>
    <row r="2250">
      <c r="B2250">
        <f>IFERROR(IF($B$1=0,"",IF(INDEX(貼り付け!$A$1:$BZ$3001,2249,$B$1)="","",IF(ISNUMBER(INDEX(貼り付け!$A$1:$BZ$3001,2249,$B$1)),INT(INDEX(貼り付け!$A$1:$BZ$3001,2249,$B$1)),DATE(VALUE(LEFT(I2250,FIND("-",I2250)-1)),VALUE(LEFT(J2250,FIND("-",J2250)-1)),VALUE(MID(J2250,FIND("-",J2250)+1,99)))))),"")</f>
        <v/>
      </c>
      <c r="C2250">
        <f>IF($C$1=0,0,IFERROR(VALUE(SUBSTITUTE(SUBSTITUTE(SUBSTITUTE(INDEX(貼り付け!$A$1:$BZ$3001,2249,$C$1)&amp;"",",",""),"¥",""),"￥","")),0))</f>
        <v/>
      </c>
      <c r="D2250">
        <f>IF($D$1=0,0,IFERROR(VALUE(SUBSTITUTE(SUBSTITUTE(SUBSTITUTE(INDEX(貼り付け!$A$1:$BZ$3001,2249,$D$1)&amp;"",",",""),"¥",""),"￥","")),0))</f>
        <v/>
      </c>
      <c r="E2250">
        <f>IF($E$1=0,0,IFERROR(VALUE(SUBSTITUTE(SUBSTITUTE(SUBSTITUTE(INDEX(貼り付け!$A$1:$BZ$3001,2249,$E$1)&amp;"",",",""),"¥",""),"￥","")),0))</f>
        <v/>
      </c>
      <c r="F2250">
        <f>IF($F$1=0,0,IFERROR(VALUE(SUBSTITUTE(SUBSTITUTE(SUBSTITUTE(INDEX(貼り付け!$A$1:$BZ$3001,2249,$F$1)&amp;"",",",""),"¥",""),"￥","")),0))</f>
        <v/>
      </c>
      <c r="G2250">
        <f>IF(ISNUMBER(B2250),YEAR(B2250),"")</f>
        <v/>
      </c>
      <c r="H2250">
        <f>IF(ISNUMBER(B2250),MONTH(B2250),"")</f>
        <v/>
      </c>
      <c r="I2250">
        <f>IFERROR(IF($B$1=0,"",IF(ISNUMBER(INDEX(貼り付け!$A$1:$BZ$3001,2249,$B$1)),"",SUBSTITUTE(SUBSTITUTE(SUBSTITUTE(SUBSTITUTE(TRIM(LEFT(INDEX(貼り付け!$A$1:$BZ$3001,2249,$B$1)&amp;"",FIND(" ",TRIM(INDEX(貼り付け!$A$1:$BZ$3001,2249,$B$1)&amp;"")&amp;" ")-1)),"/","-"),"年","-"),"月","-"),"日",""))),"")</f>
        <v/>
      </c>
      <c r="J2250">
        <f>IFERROR(MID(I2250,FIND("-",I2250)+1,99),"")</f>
        <v/>
      </c>
    </row>
    <row r="2251">
      <c r="B2251">
        <f>IFERROR(IF($B$1=0,"",IF(INDEX(貼り付け!$A$1:$BZ$3001,2250,$B$1)="","",IF(ISNUMBER(INDEX(貼り付け!$A$1:$BZ$3001,2250,$B$1)),INT(INDEX(貼り付け!$A$1:$BZ$3001,2250,$B$1)),DATE(VALUE(LEFT(I2251,FIND("-",I2251)-1)),VALUE(LEFT(J2251,FIND("-",J2251)-1)),VALUE(MID(J2251,FIND("-",J2251)+1,99)))))),"")</f>
        <v/>
      </c>
      <c r="C2251">
        <f>IF($C$1=0,0,IFERROR(VALUE(SUBSTITUTE(SUBSTITUTE(SUBSTITUTE(INDEX(貼り付け!$A$1:$BZ$3001,2250,$C$1)&amp;"",",",""),"¥",""),"￥","")),0))</f>
        <v/>
      </c>
      <c r="D2251">
        <f>IF($D$1=0,0,IFERROR(VALUE(SUBSTITUTE(SUBSTITUTE(SUBSTITUTE(INDEX(貼り付け!$A$1:$BZ$3001,2250,$D$1)&amp;"",",",""),"¥",""),"￥","")),0))</f>
        <v/>
      </c>
      <c r="E2251">
        <f>IF($E$1=0,0,IFERROR(VALUE(SUBSTITUTE(SUBSTITUTE(SUBSTITUTE(INDEX(貼り付け!$A$1:$BZ$3001,2250,$E$1)&amp;"",",",""),"¥",""),"￥","")),0))</f>
        <v/>
      </c>
      <c r="F2251">
        <f>IF($F$1=0,0,IFERROR(VALUE(SUBSTITUTE(SUBSTITUTE(SUBSTITUTE(INDEX(貼り付け!$A$1:$BZ$3001,2250,$F$1)&amp;"",",",""),"¥",""),"￥","")),0))</f>
        <v/>
      </c>
      <c r="G2251">
        <f>IF(ISNUMBER(B2251),YEAR(B2251),"")</f>
        <v/>
      </c>
      <c r="H2251">
        <f>IF(ISNUMBER(B2251),MONTH(B2251),"")</f>
        <v/>
      </c>
      <c r="I2251">
        <f>IFERROR(IF($B$1=0,"",IF(ISNUMBER(INDEX(貼り付け!$A$1:$BZ$3001,2250,$B$1)),"",SUBSTITUTE(SUBSTITUTE(SUBSTITUTE(SUBSTITUTE(TRIM(LEFT(INDEX(貼り付け!$A$1:$BZ$3001,2250,$B$1)&amp;"",FIND(" ",TRIM(INDEX(貼り付け!$A$1:$BZ$3001,2250,$B$1)&amp;"")&amp;" ")-1)),"/","-"),"年","-"),"月","-"),"日",""))),"")</f>
        <v/>
      </c>
      <c r="J2251">
        <f>IFERROR(MID(I2251,FIND("-",I2251)+1,99),"")</f>
        <v/>
      </c>
    </row>
    <row r="2252">
      <c r="B2252">
        <f>IFERROR(IF($B$1=0,"",IF(INDEX(貼り付け!$A$1:$BZ$3001,2251,$B$1)="","",IF(ISNUMBER(INDEX(貼り付け!$A$1:$BZ$3001,2251,$B$1)),INT(INDEX(貼り付け!$A$1:$BZ$3001,2251,$B$1)),DATE(VALUE(LEFT(I2252,FIND("-",I2252)-1)),VALUE(LEFT(J2252,FIND("-",J2252)-1)),VALUE(MID(J2252,FIND("-",J2252)+1,99)))))),"")</f>
        <v/>
      </c>
      <c r="C2252">
        <f>IF($C$1=0,0,IFERROR(VALUE(SUBSTITUTE(SUBSTITUTE(SUBSTITUTE(INDEX(貼り付け!$A$1:$BZ$3001,2251,$C$1)&amp;"",",",""),"¥",""),"￥","")),0))</f>
        <v/>
      </c>
      <c r="D2252">
        <f>IF($D$1=0,0,IFERROR(VALUE(SUBSTITUTE(SUBSTITUTE(SUBSTITUTE(INDEX(貼り付け!$A$1:$BZ$3001,2251,$D$1)&amp;"",",",""),"¥",""),"￥","")),0))</f>
        <v/>
      </c>
      <c r="E2252">
        <f>IF($E$1=0,0,IFERROR(VALUE(SUBSTITUTE(SUBSTITUTE(SUBSTITUTE(INDEX(貼り付け!$A$1:$BZ$3001,2251,$E$1)&amp;"",",",""),"¥",""),"￥","")),0))</f>
        <v/>
      </c>
      <c r="F2252">
        <f>IF($F$1=0,0,IFERROR(VALUE(SUBSTITUTE(SUBSTITUTE(SUBSTITUTE(INDEX(貼り付け!$A$1:$BZ$3001,2251,$F$1)&amp;"",",",""),"¥",""),"￥","")),0))</f>
        <v/>
      </c>
      <c r="G2252">
        <f>IF(ISNUMBER(B2252),YEAR(B2252),"")</f>
        <v/>
      </c>
      <c r="H2252">
        <f>IF(ISNUMBER(B2252),MONTH(B2252),"")</f>
        <v/>
      </c>
      <c r="I2252">
        <f>IFERROR(IF($B$1=0,"",IF(ISNUMBER(INDEX(貼り付け!$A$1:$BZ$3001,2251,$B$1)),"",SUBSTITUTE(SUBSTITUTE(SUBSTITUTE(SUBSTITUTE(TRIM(LEFT(INDEX(貼り付け!$A$1:$BZ$3001,2251,$B$1)&amp;"",FIND(" ",TRIM(INDEX(貼り付け!$A$1:$BZ$3001,2251,$B$1)&amp;"")&amp;" ")-1)),"/","-"),"年","-"),"月","-"),"日",""))),"")</f>
        <v/>
      </c>
      <c r="J2252">
        <f>IFERROR(MID(I2252,FIND("-",I2252)+1,99),"")</f>
        <v/>
      </c>
    </row>
    <row r="2253">
      <c r="B2253">
        <f>IFERROR(IF($B$1=0,"",IF(INDEX(貼り付け!$A$1:$BZ$3001,2252,$B$1)="","",IF(ISNUMBER(INDEX(貼り付け!$A$1:$BZ$3001,2252,$B$1)),INT(INDEX(貼り付け!$A$1:$BZ$3001,2252,$B$1)),DATE(VALUE(LEFT(I2253,FIND("-",I2253)-1)),VALUE(LEFT(J2253,FIND("-",J2253)-1)),VALUE(MID(J2253,FIND("-",J2253)+1,99)))))),"")</f>
        <v/>
      </c>
      <c r="C2253">
        <f>IF($C$1=0,0,IFERROR(VALUE(SUBSTITUTE(SUBSTITUTE(SUBSTITUTE(INDEX(貼り付け!$A$1:$BZ$3001,2252,$C$1)&amp;"",",",""),"¥",""),"￥","")),0))</f>
        <v/>
      </c>
      <c r="D2253">
        <f>IF($D$1=0,0,IFERROR(VALUE(SUBSTITUTE(SUBSTITUTE(SUBSTITUTE(INDEX(貼り付け!$A$1:$BZ$3001,2252,$D$1)&amp;"",",",""),"¥",""),"￥","")),0))</f>
        <v/>
      </c>
      <c r="E2253">
        <f>IF($E$1=0,0,IFERROR(VALUE(SUBSTITUTE(SUBSTITUTE(SUBSTITUTE(INDEX(貼り付け!$A$1:$BZ$3001,2252,$E$1)&amp;"",",",""),"¥",""),"￥","")),0))</f>
        <v/>
      </c>
      <c r="F2253">
        <f>IF($F$1=0,0,IFERROR(VALUE(SUBSTITUTE(SUBSTITUTE(SUBSTITUTE(INDEX(貼り付け!$A$1:$BZ$3001,2252,$F$1)&amp;"",",",""),"¥",""),"￥","")),0))</f>
        <v/>
      </c>
      <c r="G2253">
        <f>IF(ISNUMBER(B2253),YEAR(B2253),"")</f>
        <v/>
      </c>
      <c r="H2253">
        <f>IF(ISNUMBER(B2253),MONTH(B2253),"")</f>
        <v/>
      </c>
      <c r="I2253">
        <f>IFERROR(IF($B$1=0,"",IF(ISNUMBER(INDEX(貼り付け!$A$1:$BZ$3001,2252,$B$1)),"",SUBSTITUTE(SUBSTITUTE(SUBSTITUTE(SUBSTITUTE(TRIM(LEFT(INDEX(貼り付け!$A$1:$BZ$3001,2252,$B$1)&amp;"",FIND(" ",TRIM(INDEX(貼り付け!$A$1:$BZ$3001,2252,$B$1)&amp;"")&amp;" ")-1)),"/","-"),"年","-"),"月","-"),"日",""))),"")</f>
        <v/>
      </c>
      <c r="J2253">
        <f>IFERROR(MID(I2253,FIND("-",I2253)+1,99),"")</f>
        <v/>
      </c>
    </row>
    <row r="2254">
      <c r="B2254">
        <f>IFERROR(IF($B$1=0,"",IF(INDEX(貼り付け!$A$1:$BZ$3001,2253,$B$1)="","",IF(ISNUMBER(INDEX(貼り付け!$A$1:$BZ$3001,2253,$B$1)),INT(INDEX(貼り付け!$A$1:$BZ$3001,2253,$B$1)),DATE(VALUE(LEFT(I2254,FIND("-",I2254)-1)),VALUE(LEFT(J2254,FIND("-",J2254)-1)),VALUE(MID(J2254,FIND("-",J2254)+1,99)))))),"")</f>
        <v/>
      </c>
      <c r="C2254">
        <f>IF($C$1=0,0,IFERROR(VALUE(SUBSTITUTE(SUBSTITUTE(SUBSTITUTE(INDEX(貼り付け!$A$1:$BZ$3001,2253,$C$1)&amp;"",",",""),"¥",""),"￥","")),0))</f>
        <v/>
      </c>
      <c r="D2254">
        <f>IF($D$1=0,0,IFERROR(VALUE(SUBSTITUTE(SUBSTITUTE(SUBSTITUTE(INDEX(貼り付け!$A$1:$BZ$3001,2253,$D$1)&amp;"",",",""),"¥",""),"￥","")),0))</f>
        <v/>
      </c>
      <c r="E2254">
        <f>IF($E$1=0,0,IFERROR(VALUE(SUBSTITUTE(SUBSTITUTE(SUBSTITUTE(INDEX(貼り付け!$A$1:$BZ$3001,2253,$E$1)&amp;"",",",""),"¥",""),"￥","")),0))</f>
        <v/>
      </c>
      <c r="F2254">
        <f>IF($F$1=0,0,IFERROR(VALUE(SUBSTITUTE(SUBSTITUTE(SUBSTITUTE(INDEX(貼り付け!$A$1:$BZ$3001,2253,$F$1)&amp;"",",",""),"¥",""),"￥","")),0))</f>
        <v/>
      </c>
      <c r="G2254">
        <f>IF(ISNUMBER(B2254),YEAR(B2254),"")</f>
        <v/>
      </c>
      <c r="H2254">
        <f>IF(ISNUMBER(B2254),MONTH(B2254),"")</f>
        <v/>
      </c>
      <c r="I2254">
        <f>IFERROR(IF($B$1=0,"",IF(ISNUMBER(INDEX(貼り付け!$A$1:$BZ$3001,2253,$B$1)),"",SUBSTITUTE(SUBSTITUTE(SUBSTITUTE(SUBSTITUTE(TRIM(LEFT(INDEX(貼り付け!$A$1:$BZ$3001,2253,$B$1)&amp;"",FIND(" ",TRIM(INDEX(貼り付け!$A$1:$BZ$3001,2253,$B$1)&amp;"")&amp;" ")-1)),"/","-"),"年","-"),"月","-"),"日",""))),"")</f>
        <v/>
      </c>
      <c r="J2254">
        <f>IFERROR(MID(I2254,FIND("-",I2254)+1,99),"")</f>
        <v/>
      </c>
    </row>
    <row r="2255">
      <c r="B2255">
        <f>IFERROR(IF($B$1=0,"",IF(INDEX(貼り付け!$A$1:$BZ$3001,2254,$B$1)="","",IF(ISNUMBER(INDEX(貼り付け!$A$1:$BZ$3001,2254,$B$1)),INT(INDEX(貼り付け!$A$1:$BZ$3001,2254,$B$1)),DATE(VALUE(LEFT(I2255,FIND("-",I2255)-1)),VALUE(LEFT(J2255,FIND("-",J2255)-1)),VALUE(MID(J2255,FIND("-",J2255)+1,99)))))),"")</f>
        <v/>
      </c>
      <c r="C2255">
        <f>IF($C$1=0,0,IFERROR(VALUE(SUBSTITUTE(SUBSTITUTE(SUBSTITUTE(INDEX(貼り付け!$A$1:$BZ$3001,2254,$C$1)&amp;"",",",""),"¥",""),"￥","")),0))</f>
        <v/>
      </c>
      <c r="D2255">
        <f>IF($D$1=0,0,IFERROR(VALUE(SUBSTITUTE(SUBSTITUTE(SUBSTITUTE(INDEX(貼り付け!$A$1:$BZ$3001,2254,$D$1)&amp;"",",",""),"¥",""),"￥","")),0))</f>
        <v/>
      </c>
      <c r="E2255">
        <f>IF($E$1=0,0,IFERROR(VALUE(SUBSTITUTE(SUBSTITUTE(SUBSTITUTE(INDEX(貼り付け!$A$1:$BZ$3001,2254,$E$1)&amp;"",",",""),"¥",""),"￥","")),0))</f>
        <v/>
      </c>
      <c r="F2255">
        <f>IF($F$1=0,0,IFERROR(VALUE(SUBSTITUTE(SUBSTITUTE(SUBSTITUTE(INDEX(貼り付け!$A$1:$BZ$3001,2254,$F$1)&amp;"",",",""),"¥",""),"￥","")),0))</f>
        <v/>
      </c>
      <c r="G2255">
        <f>IF(ISNUMBER(B2255),YEAR(B2255),"")</f>
        <v/>
      </c>
      <c r="H2255">
        <f>IF(ISNUMBER(B2255),MONTH(B2255),"")</f>
        <v/>
      </c>
      <c r="I2255">
        <f>IFERROR(IF($B$1=0,"",IF(ISNUMBER(INDEX(貼り付け!$A$1:$BZ$3001,2254,$B$1)),"",SUBSTITUTE(SUBSTITUTE(SUBSTITUTE(SUBSTITUTE(TRIM(LEFT(INDEX(貼り付け!$A$1:$BZ$3001,2254,$B$1)&amp;"",FIND(" ",TRIM(INDEX(貼り付け!$A$1:$BZ$3001,2254,$B$1)&amp;"")&amp;" ")-1)),"/","-"),"年","-"),"月","-"),"日",""))),"")</f>
        <v/>
      </c>
      <c r="J2255">
        <f>IFERROR(MID(I2255,FIND("-",I2255)+1,99),"")</f>
        <v/>
      </c>
    </row>
    <row r="2256">
      <c r="B2256">
        <f>IFERROR(IF($B$1=0,"",IF(INDEX(貼り付け!$A$1:$BZ$3001,2255,$B$1)="","",IF(ISNUMBER(INDEX(貼り付け!$A$1:$BZ$3001,2255,$B$1)),INT(INDEX(貼り付け!$A$1:$BZ$3001,2255,$B$1)),DATE(VALUE(LEFT(I2256,FIND("-",I2256)-1)),VALUE(LEFT(J2256,FIND("-",J2256)-1)),VALUE(MID(J2256,FIND("-",J2256)+1,99)))))),"")</f>
        <v/>
      </c>
      <c r="C2256">
        <f>IF($C$1=0,0,IFERROR(VALUE(SUBSTITUTE(SUBSTITUTE(SUBSTITUTE(INDEX(貼り付け!$A$1:$BZ$3001,2255,$C$1)&amp;"",",",""),"¥",""),"￥","")),0))</f>
        <v/>
      </c>
      <c r="D2256">
        <f>IF($D$1=0,0,IFERROR(VALUE(SUBSTITUTE(SUBSTITUTE(SUBSTITUTE(INDEX(貼り付け!$A$1:$BZ$3001,2255,$D$1)&amp;"",",",""),"¥",""),"￥","")),0))</f>
        <v/>
      </c>
      <c r="E2256">
        <f>IF($E$1=0,0,IFERROR(VALUE(SUBSTITUTE(SUBSTITUTE(SUBSTITUTE(INDEX(貼り付け!$A$1:$BZ$3001,2255,$E$1)&amp;"",",",""),"¥",""),"￥","")),0))</f>
        <v/>
      </c>
      <c r="F2256">
        <f>IF($F$1=0,0,IFERROR(VALUE(SUBSTITUTE(SUBSTITUTE(SUBSTITUTE(INDEX(貼り付け!$A$1:$BZ$3001,2255,$F$1)&amp;"",",",""),"¥",""),"￥","")),0))</f>
        <v/>
      </c>
      <c r="G2256">
        <f>IF(ISNUMBER(B2256),YEAR(B2256),"")</f>
        <v/>
      </c>
      <c r="H2256">
        <f>IF(ISNUMBER(B2256),MONTH(B2256),"")</f>
        <v/>
      </c>
      <c r="I2256">
        <f>IFERROR(IF($B$1=0,"",IF(ISNUMBER(INDEX(貼り付け!$A$1:$BZ$3001,2255,$B$1)),"",SUBSTITUTE(SUBSTITUTE(SUBSTITUTE(SUBSTITUTE(TRIM(LEFT(INDEX(貼り付け!$A$1:$BZ$3001,2255,$B$1)&amp;"",FIND(" ",TRIM(INDEX(貼り付け!$A$1:$BZ$3001,2255,$B$1)&amp;"")&amp;" ")-1)),"/","-"),"年","-"),"月","-"),"日",""))),"")</f>
        <v/>
      </c>
      <c r="J2256">
        <f>IFERROR(MID(I2256,FIND("-",I2256)+1,99),"")</f>
        <v/>
      </c>
    </row>
    <row r="2257">
      <c r="B2257">
        <f>IFERROR(IF($B$1=0,"",IF(INDEX(貼り付け!$A$1:$BZ$3001,2256,$B$1)="","",IF(ISNUMBER(INDEX(貼り付け!$A$1:$BZ$3001,2256,$B$1)),INT(INDEX(貼り付け!$A$1:$BZ$3001,2256,$B$1)),DATE(VALUE(LEFT(I2257,FIND("-",I2257)-1)),VALUE(LEFT(J2257,FIND("-",J2257)-1)),VALUE(MID(J2257,FIND("-",J2257)+1,99)))))),"")</f>
        <v/>
      </c>
      <c r="C2257">
        <f>IF($C$1=0,0,IFERROR(VALUE(SUBSTITUTE(SUBSTITUTE(SUBSTITUTE(INDEX(貼り付け!$A$1:$BZ$3001,2256,$C$1)&amp;"",",",""),"¥",""),"￥","")),0))</f>
        <v/>
      </c>
      <c r="D2257">
        <f>IF($D$1=0,0,IFERROR(VALUE(SUBSTITUTE(SUBSTITUTE(SUBSTITUTE(INDEX(貼り付け!$A$1:$BZ$3001,2256,$D$1)&amp;"",",",""),"¥",""),"￥","")),0))</f>
        <v/>
      </c>
      <c r="E2257">
        <f>IF($E$1=0,0,IFERROR(VALUE(SUBSTITUTE(SUBSTITUTE(SUBSTITUTE(INDEX(貼り付け!$A$1:$BZ$3001,2256,$E$1)&amp;"",",",""),"¥",""),"￥","")),0))</f>
        <v/>
      </c>
      <c r="F2257">
        <f>IF($F$1=0,0,IFERROR(VALUE(SUBSTITUTE(SUBSTITUTE(SUBSTITUTE(INDEX(貼り付け!$A$1:$BZ$3001,2256,$F$1)&amp;"",",",""),"¥",""),"￥","")),0))</f>
        <v/>
      </c>
      <c r="G2257">
        <f>IF(ISNUMBER(B2257),YEAR(B2257),"")</f>
        <v/>
      </c>
      <c r="H2257">
        <f>IF(ISNUMBER(B2257),MONTH(B2257),"")</f>
        <v/>
      </c>
      <c r="I2257">
        <f>IFERROR(IF($B$1=0,"",IF(ISNUMBER(INDEX(貼り付け!$A$1:$BZ$3001,2256,$B$1)),"",SUBSTITUTE(SUBSTITUTE(SUBSTITUTE(SUBSTITUTE(TRIM(LEFT(INDEX(貼り付け!$A$1:$BZ$3001,2256,$B$1)&amp;"",FIND(" ",TRIM(INDEX(貼り付け!$A$1:$BZ$3001,2256,$B$1)&amp;"")&amp;" ")-1)),"/","-"),"年","-"),"月","-"),"日",""))),"")</f>
        <v/>
      </c>
      <c r="J2257">
        <f>IFERROR(MID(I2257,FIND("-",I2257)+1,99),"")</f>
        <v/>
      </c>
    </row>
    <row r="2258">
      <c r="B2258">
        <f>IFERROR(IF($B$1=0,"",IF(INDEX(貼り付け!$A$1:$BZ$3001,2257,$B$1)="","",IF(ISNUMBER(INDEX(貼り付け!$A$1:$BZ$3001,2257,$B$1)),INT(INDEX(貼り付け!$A$1:$BZ$3001,2257,$B$1)),DATE(VALUE(LEFT(I2258,FIND("-",I2258)-1)),VALUE(LEFT(J2258,FIND("-",J2258)-1)),VALUE(MID(J2258,FIND("-",J2258)+1,99)))))),"")</f>
        <v/>
      </c>
      <c r="C2258">
        <f>IF($C$1=0,0,IFERROR(VALUE(SUBSTITUTE(SUBSTITUTE(SUBSTITUTE(INDEX(貼り付け!$A$1:$BZ$3001,2257,$C$1)&amp;"",",",""),"¥",""),"￥","")),0))</f>
        <v/>
      </c>
      <c r="D2258">
        <f>IF($D$1=0,0,IFERROR(VALUE(SUBSTITUTE(SUBSTITUTE(SUBSTITUTE(INDEX(貼り付け!$A$1:$BZ$3001,2257,$D$1)&amp;"",",",""),"¥",""),"￥","")),0))</f>
        <v/>
      </c>
      <c r="E2258">
        <f>IF($E$1=0,0,IFERROR(VALUE(SUBSTITUTE(SUBSTITUTE(SUBSTITUTE(INDEX(貼り付け!$A$1:$BZ$3001,2257,$E$1)&amp;"",",",""),"¥",""),"￥","")),0))</f>
        <v/>
      </c>
      <c r="F2258">
        <f>IF($F$1=0,0,IFERROR(VALUE(SUBSTITUTE(SUBSTITUTE(SUBSTITUTE(INDEX(貼り付け!$A$1:$BZ$3001,2257,$F$1)&amp;"",",",""),"¥",""),"￥","")),0))</f>
        <v/>
      </c>
      <c r="G2258">
        <f>IF(ISNUMBER(B2258),YEAR(B2258),"")</f>
        <v/>
      </c>
      <c r="H2258">
        <f>IF(ISNUMBER(B2258),MONTH(B2258),"")</f>
        <v/>
      </c>
      <c r="I2258">
        <f>IFERROR(IF($B$1=0,"",IF(ISNUMBER(INDEX(貼り付け!$A$1:$BZ$3001,2257,$B$1)),"",SUBSTITUTE(SUBSTITUTE(SUBSTITUTE(SUBSTITUTE(TRIM(LEFT(INDEX(貼り付け!$A$1:$BZ$3001,2257,$B$1)&amp;"",FIND(" ",TRIM(INDEX(貼り付け!$A$1:$BZ$3001,2257,$B$1)&amp;"")&amp;" ")-1)),"/","-"),"年","-"),"月","-"),"日",""))),"")</f>
        <v/>
      </c>
      <c r="J2258">
        <f>IFERROR(MID(I2258,FIND("-",I2258)+1,99),"")</f>
        <v/>
      </c>
    </row>
    <row r="2259">
      <c r="B2259">
        <f>IFERROR(IF($B$1=0,"",IF(INDEX(貼り付け!$A$1:$BZ$3001,2258,$B$1)="","",IF(ISNUMBER(INDEX(貼り付け!$A$1:$BZ$3001,2258,$B$1)),INT(INDEX(貼り付け!$A$1:$BZ$3001,2258,$B$1)),DATE(VALUE(LEFT(I2259,FIND("-",I2259)-1)),VALUE(LEFT(J2259,FIND("-",J2259)-1)),VALUE(MID(J2259,FIND("-",J2259)+1,99)))))),"")</f>
        <v/>
      </c>
      <c r="C2259">
        <f>IF($C$1=0,0,IFERROR(VALUE(SUBSTITUTE(SUBSTITUTE(SUBSTITUTE(INDEX(貼り付け!$A$1:$BZ$3001,2258,$C$1)&amp;"",",",""),"¥",""),"￥","")),0))</f>
        <v/>
      </c>
      <c r="D2259">
        <f>IF($D$1=0,0,IFERROR(VALUE(SUBSTITUTE(SUBSTITUTE(SUBSTITUTE(INDEX(貼り付け!$A$1:$BZ$3001,2258,$D$1)&amp;"",",",""),"¥",""),"￥","")),0))</f>
        <v/>
      </c>
      <c r="E2259">
        <f>IF($E$1=0,0,IFERROR(VALUE(SUBSTITUTE(SUBSTITUTE(SUBSTITUTE(INDEX(貼り付け!$A$1:$BZ$3001,2258,$E$1)&amp;"",",",""),"¥",""),"￥","")),0))</f>
        <v/>
      </c>
      <c r="F2259">
        <f>IF($F$1=0,0,IFERROR(VALUE(SUBSTITUTE(SUBSTITUTE(SUBSTITUTE(INDEX(貼り付け!$A$1:$BZ$3001,2258,$F$1)&amp;"",",",""),"¥",""),"￥","")),0))</f>
        <v/>
      </c>
      <c r="G2259">
        <f>IF(ISNUMBER(B2259),YEAR(B2259),"")</f>
        <v/>
      </c>
      <c r="H2259">
        <f>IF(ISNUMBER(B2259),MONTH(B2259),"")</f>
        <v/>
      </c>
      <c r="I2259">
        <f>IFERROR(IF($B$1=0,"",IF(ISNUMBER(INDEX(貼り付け!$A$1:$BZ$3001,2258,$B$1)),"",SUBSTITUTE(SUBSTITUTE(SUBSTITUTE(SUBSTITUTE(TRIM(LEFT(INDEX(貼り付け!$A$1:$BZ$3001,2258,$B$1)&amp;"",FIND(" ",TRIM(INDEX(貼り付け!$A$1:$BZ$3001,2258,$B$1)&amp;"")&amp;" ")-1)),"/","-"),"年","-"),"月","-"),"日",""))),"")</f>
        <v/>
      </c>
      <c r="J2259">
        <f>IFERROR(MID(I2259,FIND("-",I2259)+1,99),"")</f>
        <v/>
      </c>
    </row>
    <row r="2260">
      <c r="B2260">
        <f>IFERROR(IF($B$1=0,"",IF(INDEX(貼り付け!$A$1:$BZ$3001,2259,$B$1)="","",IF(ISNUMBER(INDEX(貼り付け!$A$1:$BZ$3001,2259,$B$1)),INT(INDEX(貼り付け!$A$1:$BZ$3001,2259,$B$1)),DATE(VALUE(LEFT(I2260,FIND("-",I2260)-1)),VALUE(LEFT(J2260,FIND("-",J2260)-1)),VALUE(MID(J2260,FIND("-",J2260)+1,99)))))),"")</f>
        <v/>
      </c>
      <c r="C2260">
        <f>IF($C$1=0,0,IFERROR(VALUE(SUBSTITUTE(SUBSTITUTE(SUBSTITUTE(INDEX(貼り付け!$A$1:$BZ$3001,2259,$C$1)&amp;"",",",""),"¥",""),"￥","")),0))</f>
        <v/>
      </c>
      <c r="D2260">
        <f>IF($D$1=0,0,IFERROR(VALUE(SUBSTITUTE(SUBSTITUTE(SUBSTITUTE(INDEX(貼り付け!$A$1:$BZ$3001,2259,$D$1)&amp;"",",",""),"¥",""),"￥","")),0))</f>
        <v/>
      </c>
      <c r="E2260">
        <f>IF($E$1=0,0,IFERROR(VALUE(SUBSTITUTE(SUBSTITUTE(SUBSTITUTE(INDEX(貼り付け!$A$1:$BZ$3001,2259,$E$1)&amp;"",",",""),"¥",""),"￥","")),0))</f>
        <v/>
      </c>
      <c r="F2260">
        <f>IF($F$1=0,0,IFERROR(VALUE(SUBSTITUTE(SUBSTITUTE(SUBSTITUTE(INDEX(貼り付け!$A$1:$BZ$3001,2259,$F$1)&amp;"",",",""),"¥",""),"￥","")),0))</f>
        <v/>
      </c>
      <c r="G2260">
        <f>IF(ISNUMBER(B2260),YEAR(B2260),"")</f>
        <v/>
      </c>
      <c r="H2260">
        <f>IF(ISNUMBER(B2260),MONTH(B2260),"")</f>
        <v/>
      </c>
      <c r="I2260">
        <f>IFERROR(IF($B$1=0,"",IF(ISNUMBER(INDEX(貼り付け!$A$1:$BZ$3001,2259,$B$1)),"",SUBSTITUTE(SUBSTITUTE(SUBSTITUTE(SUBSTITUTE(TRIM(LEFT(INDEX(貼り付け!$A$1:$BZ$3001,2259,$B$1)&amp;"",FIND(" ",TRIM(INDEX(貼り付け!$A$1:$BZ$3001,2259,$B$1)&amp;"")&amp;" ")-1)),"/","-"),"年","-"),"月","-"),"日",""))),"")</f>
        <v/>
      </c>
      <c r="J2260">
        <f>IFERROR(MID(I2260,FIND("-",I2260)+1,99),"")</f>
        <v/>
      </c>
    </row>
    <row r="2261">
      <c r="B2261">
        <f>IFERROR(IF($B$1=0,"",IF(INDEX(貼り付け!$A$1:$BZ$3001,2260,$B$1)="","",IF(ISNUMBER(INDEX(貼り付け!$A$1:$BZ$3001,2260,$B$1)),INT(INDEX(貼り付け!$A$1:$BZ$3001,2260,$B$1)),DATE(VALUE(LEFT(I2261,FIND("-",I2261)-1)),VALUE(LEFT(J2261,FIND("-",J2261)-1)),VALUE(MID(J2261,FIND("-",J2261)+1,99)))))),"")</f>
        <v/>
      </c>
      <c r="C2261">
        <f>IF($C$1=0,0,IFERROR(VALUE(SUBSTITUTE(SUBSTITUTE(SUBSTITUTE(INDEX(貼り付け!$A$1:$BZ$3001,2260,$C$1)&amp;"",",",""),"¥",""),"￥","")),0))</f>
        <v/>
      </c>
      <c r="D2261">
        <f>IF($D$1=0,0,IFERROR(VALUE(SUBSTITUTE(SUBSTITUTE(SUBSTITUTE(INDEX(貼り付け!$A$1:$BZ$3001,2260,$D$1)&amp;"",",",""),"¥",""),"￥","")),0))</f>
        <v/>
      </c>
      <c r="E2261">
        <f>IF($E$1=0,0,IFERROR(VALUE(SUBSTITUTE(SUBSTITUTE(SUBSTITUTE(INDEX(貼り付け!$A$1:$BZ$3001,2260,$E$1)&amp;"",",",""),"¥",""),"￥","")),0))</f>
        <v/>
      </c>
      <c r="F2261">
        <f>IF($F$1=0,0,IFERROR(VALUE(SUBSTITUTE(SUBSTITUTE(SUBSTITUTE(INDEX(貼り付け!$A$1:$BZ$3001,2260,$F$1)&amp;"",",",""),"¥",""),"￥","")),0))</f>
        <v/>
      </c>
      <c r="G2261">
        <f>IF(ISNUMBER(B2261),YEAR(B2261),"")</f>
        <v/>
      </c>
      <c r="H2261">
        <f>IF(ISNUMBER(B2261),MONTH(B2261),"")</f>
        <v/>
      </c>
      <c r="I2261">
        <f>IFERROR(IF($B$1=0,"",IF(ISNUMBER(INDEX(貼り付け!$A$1:$BZ$3001,2260,$B$1)),"",SUBSTITUTE(SUBSTITUTE(SUBSTITUTE(SUBSTITUTE(TRIM(LEFT(INDEX(貼り付け!$A$1:$BZ$3001,2260,$B$1)&amp;"",FIND(" ",TRIM(INDEX(貼り付け!$A$1:$BZ$3001,2260,$B$1)&amp;"")&amp;" ")-1)),"/","-"),"年","-"),"月","-"),"日",""))),"")</f>
        <v/>
      </c>
      <c r="J2261">
        <f>IFERROR(MID(I2261,FIND("-",I2261)+1,99),"")</f>
        <v/>
      </c>
    </row>
    <row r="2262">
      <c r="B2262">
        <f>IFERROR(IF($B$1=0,"",IF(INDEX(貼り付け!$A$1:$BZ$3001,2261,$B$1)="","",IF(ISNUMBER(INDEX(貼り付け!$A$1:$BZ$3001,2261,$B$1)),INT(INDEX(貼り付け!$A$1:$BZ$3001,2261,$B$1)),DATE(VALUE(LEFT(I2262,FIND("-",I2262)-1)),VALUE(LEFT(J2262,FIND("-",J2262)-1)),VALUE(MID(J2262,FIND("-",J2262)+1,99)))))),"")</f>
        <v/>
      </c>
      <c r="C2262">
        <f>IF($C$1=0,0,IFERROR(VALUE(SUBSTITUTE(SUBSTITUTE(SUBSTITUTE(INDEX(貼り付け!$A$1:$BZ$3001,2261,$C$1)&amp;"",",",""),"¥",""),"￥","")),0))</f>
        <v/>
      </c>
      <c r="D2262">
        <f>IF($D$1=0,0,IFERROR(VALUE(SUBSTITUTE(SUBSTITUTE(SUBSTITUTE(INDEX(貼り付け!$A$1:$BZ$3001,2261,$D$1)&amp;"",",",""),"¥",""),"￥","")),0))</f>
        <v/>
      </c>
      <c r="E2262">
        <f>IF($E$1=0,0,IFERROR(VALUE(SUBSTITUTE(SUBSTITUTE(SUBSTITUTE(INDEX(貼り付け!$A$1:$BZ$3001,2261,$E$1)&amp;"",",",""),"¥",""),"￥","")),0))</f>
        <v/>
      </c>
      <c r="F2262">
        <f>IF($F$1=0,0,IFERROR(VALUE(SUBSTITUTE(SUBSTITUTE(SUBSTITUTE(INDEX(貼り付け!$A$1:$BZ$3001,2261,$F$1)&amp;"",",",""),"¥",""),"￥","")),0))</f>
        <v/>
      </c>
      <c r="G2262">
        <f>IF(ISNUMBER(B2262),YEAR(B2262),"")</f>
        <v/>
      </c>
      <c r="H2262">
        <f>IF(ISNUMBER(B2262),MONTH(B2262),"")</f>
        <v/>
      </c>
      <c r="I2262">
        <f>IFERROR(IF($B$1=0,"",IF(ISNUMBER(INDEX(貼り付け!$A$1:$BZ$3001,2261,$B$1)),"",SUBSTITUTE(SUBSTITUTE(SUBSTITUTE(SUBSTITUTE(TRIM(LEFT(INDEX(貼り付け!$A$1:$BZ$3001,2261,$B$1)&amp;"",FIND(" ",TRIM(INDEX(貼り付け!$A$1:$BZ$3001,2261,$B$1)&amp;"")&amp;" ")-1)),"/","-"),"年","-"),"月","-"),"日",""))),"")</f>
        <v/>
      </c>
      <c r="J2262">
        <f>IFERROR(MID(I2262,FIND("-",I2262)+1,99),"")</f>
        <v/>
      </c>
    </row>
    <row r="2263">
      <c r="B2263">
        <f>IFERROR(IF($B$1=0,"",IF(INDEX(貼り付け!$A$1:$BZ$3001,2262,$B$1)="","",IF(ISNUMBER(INDEX(貼り付け!$A$1:$BZ$3001,2262,$B$1)),INT(INDEX(貼り付け!$A$1:$BZ$3001,2262,$B$1)),DATE(VALUE(LEFT(I2263,FIND("-",I2263)-1)),VALUE(LEFT(J2263,FIND("-",J2263)-1)),VALUE(MID(J2263,FIND("-",J2263)+1,99)))))),"")</f>
        <v/>
      </c>
      <c r="C2263">
        <f>IF($C$1=0,0,IFERROR(VALUE(SUBSTITUTE(SUBSTITUTE(SUBSTITUTE(INDEX(貼り付け!$A$1:$BZ$3001,2262,$C$1)&amp;"",",",""),"¥",""),"￥","")),0))</f>
        <v/>
      </c>
      <c r="D2263">
        <f>IF($D$1=0,0,IFERROR(VALUE(SUBSTITUTE(SUBSTITUTE(SUBSTITUTE(INDEX(貼り付け!$A$1:$BZ$3001,2262,$D$1)&amp;"",",",""),"¥",""),"￥","")),0))</f>
        <v/>
      </c>
      <c r="E2263">
        <f>IF($E$1=0,0,IFERROR(VALUE(SUBSTITUTE(SUBSTITUTE(SUBSTITUTE(INDEX(貼り付け!$A$1:$BZ$3001,2262,$E$1)&amp;"",",",""),"¥",""),"￥","")),0))</f>
        <v/>
      </c>
      <c r="F2263">
        <f>IF($F$1=0,0,IFERROR(VALUE(SUBSTITUTE(SUBSTITUTE(SUBSTITUTE(INDEX(貼り付け!$A$1:$BZ$3001,2262,$F$1)&amp;"",",",""),"¥",""),"￥","")),0))</f>
        <v/>
      </c>
      <c r="G2263">
        <f>IF(ISNUMBER(B2263),YEAR(B2263),"")</f>
        <v/>
      </c>
      <c r="H2263">
        <f>IF(ISNUMBER(B2263),MONTH(B2263),"")</f>
        <v/>
      </c>
      <c r="I2263">
        <f>IFERROR(IF($B$1=0,"",IF(ISNUMBER(INDEX(貼り付け!$A$1:$BZ$3001,2262,$B$1)),"",SUBSTITUTE(SUBSTITUTE(SUBSTITUTE(SUBSTITUTE(TRIM(LEFT(INDEX(貼り付け!$A$1:$BZ$3001,2262,$B$1)&amp;"",FIND(" ",TRIM(INDEX(貼り付け!$A$1:$BZ$3001,2262,$B$1)&amp;"")&amp;" ")-1)),"/","-"),"年","-"),"月","-"),"日",""))),"")</f>
        <v/>
      </c>
      <c r="J2263">
        <f>IFERROR(MID(I2263,FIND("-",I2263)+1,99),"")</f>
        <v/>
      </c>
    </row>
    <row r="2264">
      <c r="B2264">
        <f>IFERROR(IF($B$1=0,"",IF(INDEX(貼り付け!$A$1:$BZ$3001,2263,$B$1)="","",IF(ISNUMBER(INDEX(貼り付け!$A$1:$BZ$3001,2263,$B$1)),INT(INDEX(貼り付け!$A$1:$BZ$3001,2263,$B$1)),DATE(VALUE(LEFT(I2264,FIND("-",I2264)-1)),VALUE(LEFT(J2264,FIND("-",J2264)-1)),VALUE(MID(J2264,FIND("-",J2264)+1,99)))))),"")</f>
        <v/>
      </c>
      <c r="C2264">
        <f>IF($C$1=0,0,IFERROR(VALUE(SUBSTITUTE(SUBSTITUTE(SUBSTITUTE(INDEX(貼り付け!$A$1:$BZ$3001,2263,$C$1)&amp;"",",",""),"¥",""),"￥","")),0))</f>
        <v/>
      </c>
      <c r="D2264">
        <f>IF($D$1=0,0,IFERROR(VALUE(SUBSTITUTE(SUBSTITUTE(SUBSTITUTE(INDEX(貼り付け!$A$1:$BZ$3001,2263,$D$1)&amp;"",",",""),"¥",""),"￥","")),0))</f>
        <v/>
      </c>
      <c r="E2264">
        <f>IF($E$1=0,0,IFERROR(VALUE(SUBSTITUTE(SUBSTITUTE(SUBSTITUTE(INDEX(貼り付け!$A$1:$BZ$3001,2263,$E$1)&amp;"",",",""),"¥",""),"￥","")),0))</f>
        <v/>
      </c>
      <c r="F2264">
        <f>IF($F$1=0,0,IFERROR(VALUE(SUBSTITUTE(SUBSTITUTE(SUBSTITUTE(INDEX(貼り付け!$A$1:$BZ$3001,2263,$F$1)&amp;"",",",""),"¥",""),"￥","")),0))</f>
        <v/>
      </c>
      <c r="G2264">
        <f>IF(ISNUMBER(B2264),YEAR(B2264),"")</f>
        <v/>
      </c>
      <c r="H2264">
        <f>IF(ISNUMBER(B2264),MONTH(B2264),"")</f>
        <v/>
      </c>
      <c r="I2264">
        <f>IFERROR(IF($B$1=0,"",IF(ISNUMBER(INDEX(貼り付け!$A$1:$BZ$3001,2263,$B$1)),"",SUBSTITUTE(SUBSTITUTE(SUBSTITUTE(SUBSTITUTE(TRIM(LEFT(INDEX(貼り付け!$A$1:$BZ$3001,2263,$B$1)&amp;"",FIND(" ",TRIM(INDEX(貼り付け!$A$1:$BZ$3001,2263,$B$1)&amp;"")&amp;" ")-1)),"/","-"),"年","-"),"月","-"),"日",""))),"")</f>
        <v/>
      </c>
      <c r="J2264">
        <f>IFERROR(MID(I2264,FIND("-",I2264)+1,99),"")</f>
        <v/>
      </c>
    </row>
    <row r="2265">
      <c r="B2265">
        <f>IFERROR(IF($B$1=0,"",IF(INDEX(貼り付け!$A$1:$BZ$3001,2264,$B$1)="","",IF(ISNUMBER(INDEX(貼り付け!$A$1:$BZ$3001,2264,$B$1)),INT(INDEX(貼り付け!$A$1:$BZ$3001,2264,$B$1)),DATE(VALUE(LEFT(I2265,FIND("-",I2265)-1)),VALUE(LEFT(J2265,FIND("-",J2265)-1)),VALUE(MID(J2265,FIND("-",J2265)+1,99)))))),"")</f>
        <v/>
      </c>
      <c r="C2265">
        <f>IF($C$1=0,0,IFERROR(VALUE(SUBSTITUTE(SUBSTITUTE(SUBSTITUTE(INDEX(貼り付け!$A$1:$BZ$3001,2264,$C$1)&amp;"",",",""),"¥",""),"￥","")),0))</f>
        <v/>
      </c>
      <c r="D2265">
        <f>IF($D$1=0,0,IFERROR(VALUE(SUBSTITUTE(SUBSTITUTE(SUBSTITUTE(INDEX(貼り付け!$A$1:$BZ$3001,2264,$D$1)&amp;"",",",""),"¥",""),"￥","")),0))</f>
        <v/>
      </c>
      <c r="E2265">
        <f>IF($E$1=0,0,IFERROR(VALUE(SUBSTITUTE(SUBSTITUTE(SUBSTITUTE(INDEX(貼り付け!$A$1:$BZ$3001,2264,$E$1)&amp;"",",",""),"¥",""),"￥","")),0))</f>
        <v/>
      </c>
      <c r="F2265">
        <f>IF($F$1=0,0,IFERROR(VALUE(SUBSTITUTE(SUBSTITUTE(SUBSTITUTE(INDEX(貼り付け!$A$1:$BZ$3001,2264,$F$1)&amp;"",",",""),"¥",""),"￥","")),0))</f>
        <v/>
      </c>
      <c r="G2265">
        <f>IF(ISNUMBER(B2265),YEAR(B2265),"")</f>
        <v/>
      </c>
      <c r="H2265">
        <f>IF(ISNUMBER(B2265),MONTH(B2265),"")</f>
        <v/>
      </c>
      <c r="I2265">
        <f>IFERROR(IF($B$1=0,"",IF(ISNUMBER(INDEX(貼り付け!$A$1:$BZ$3001,2264,$B$1)),"",SUBSTITUTE(SUBSTITUTE(SUBSTITUTE(SUBSTITUTE(TRIM(LEFT(INDEX(貼り付け!$A$1:$BZ$3001,2264,$B$1)&amp;"",FIND(" ",TRIM(INDEX(貼り付け!$A$1:$BZ$3001,2264,$B$1)&amp;"")&amp;" ")-1)),"/","-"),"年","-"),"月","-"),"日",""))),"")</f>
        <v/>
      </c>
      <c r="J2265">
        <f>IFERROR(MID(I2265,FIND("-",I2265)+1,99),"")</f>
        <v/>
      </c>
    </row>
    <row r="2266">
      <c r="B2266">
        <f>IFERROR(IF($B$1=0,"",IF(INDEX(貼り付け!$A$1:$BZ$3001,2265,$B$1)="","",IF(ISNUMBER(INDEX(貼り付け!$A$1:$BZ$3001,2265,$B$1)),INT(INDEX(貼り付け!$A$1:$BZ$3001,2265,$B$1)),DATE(VALUE(LEFT(I2266,FIND("-",I2266)-1)),VALUE(LEFT(J2266,FIND("-",J2266)-1)),VALUE(MID(J2266,FIND("-",J2266)+1,99)))))),"")</f>
        <v/>
      </c>
      <c r="C2266">
        <f>IF($C$1=0,0,IFERROR(VALUE(SUBSTITUTE(SUBSTITUTE(SUBSTITUTE(INDEX(貼り付け!$A$1:$BZ$3001,2265,$C$1)&amp;"",",",""),"¥",""),"￥","")),0))</f>
        <v/>
      </c>
      <c r="D2266">
        <f>IF($D$1=0,0,IFERROR(VALUE(SUBSTITUTE(SUBSTITUTE(SUBSTITUTE(INDEX(貼り付け!$A$1:$BZ$3001,2265,$D$1)&amp;"",",",""),"¥",""),"￥","")),0))</f>
        <v/>
      </c>
      <c r="E2266">
        <f>IF($E$1=0,0,IFERROR(VALUE(SUBSTITUTE(SUBSTITUTE(SUBSTITUTE(INDEX(貼り付け!$A$1:$BZ$3001,2265,$E$1)&amp;"",",",""),"¥",""),"￥","")),0))</f>
        <v/>
      </c>
      <c r="F2266">
        <f>IF($F$1=0,0,IFERROR(VALUE(SUBSTITUTE(SUBSTITUTE(SUBSTITUTE(INDEX(貼り付け!$A$1:$BZ$3001,2265,$F$1)&amp;"",",",""),"¥",""),"￥","")),0))</f>
        <v/>
      </c>
      <c r="G2266">
        <f>IF(ISNUMBER(B2266),YEAR(B2266),"")</f>
        <v/>
      </c>
      <c r="H2266">
        <f>IF(ISNUMBER(B2266),MONTH(B2266),"")</f>
        <v/>
      </c>
      <c r="I2266">
        <f>IFERROR(IF($B$1=0,"",IF(ISNUMBER(INDEX(貼り付け!$A$1:$BZ$3001,2265,$B$1)),"",SUBSTITUTE(SUBSTITUTE(SUBSTITUTE(SUBSTITUTE(TRIM(LEFT(INDEX(貼り付け!$A$1:$BZ$3001,2265,$B$1)&amp;"",FIND(" ",TRIM(INDEX(貼り付け!$A$1:$BZ$3001,2265,$B$1)&amp;"")&amp;" ")-1)),"/","-"),"年","-"),"月","-"),"日",""))),"")</f>
        <v/>
      </c>
      <c r="J2266">
        <f>IFERROR(MID(I2266,FIND("-",I2266)+1,99),"")</f>
        <v/>
      </c>
    </row>
    <row r="2267">
      <c r="B2267">
        <f>IFERROR(IF($B$1=0,"",IF(INDEX(貼り付け!$A$1:$BZ$3001,2266,$B$1)="","",IF(ISNUMBER(INDEX(貼り付け!$A$1:$BZ$3001,2266,$B$1)),INT(INDEX(貼り付け!$A$1:$BZ$3001,2266,$B$1)),DATE(VALUE(LEFT(I2267,FIND("-",I2267)-1)),VALUE(LEFT(J2267,FIND("-",J2267)-1)),VALUE(MID(J2267,FIND("-",J2267)+1,99)))))),"")</f>
        <v/>
      </c>
      <c r="C2267">
        <f>IF($C$1=0,0,IFERROR(VALUE(SUBSTITUTE(SUBSTITUTE(SUBSTITUTE(INDEX(貼り付け!$A$1:$BZ$3001,2266,$C$1)&amp;"",",",""),"¥",""),"￥","")),0))</f>
        <v/>
      </c>
      <c r="D2267">
        <f>IF($D$1=0,0,IFERROR(VALUE(SUBSTITUTE(SUBSTITUTE(SUBSTITUTE(INDEX(貼り付け!$A$1:$BZ$3001,2266,$D$1)&amp;"",",",""),"¥",""),"￥","")),0))</f>
        <v/>
      </c>
      <c r="E2267">
        <f>IF($E$1=0,0,IFERROR(VALUE(SUBSTITUTE(SUBSTITUTE(SUBSTITUTE(INDEX(貼り付け!$A$1:$BZ$3001,2266,$E$1)&amp;"",",",""),"¥",""),"￥","")),0))</f>
        <v/>
      </c>
      <c r="F2267">
        <f>IF($F$1=0,0,IFERROR(VALUE(SUBSTITUTE(SUBSTITUTE(SUBSTITUTE(INDEX(貼り付け!$A$1:$BZ$3001,2266,$F$1)&amp;"",",",""),"¥",""),"￥","")),0))</f>
        <v/>
      </c>
      <c r="G2267">
        <f>IF(ISNUMBER(B2267),YEAR(B2267),"")</f>
        <v/>
      </c>
      <c r="H2267">
        <f>IF(ISNUMBER(B2267),MONTH(B2267),"")</f>
        <v/>
      </c>
      <c r="I2267">
        <f>IFERROR(IF($B$1=0,"",IF(ISNUMBER(INDEX(貼り付け!$A$1:$BZ$3001,2266,$B$1)),"",SUBSTITUTE(SUBSTITUTE(SUBSTITUTE(SUBSTITUTE(TRIM(LEFT(INDEX(貼り付け!$A$1:$BZ$3001,2266,$B$1)&amp;"",FIND(" ",TRIM(INDEX(貼り付け!$A$1:$BZ$3001,2266,$B$1)&amp;"")&amp;" ")-1)),"/","-"),"年","-"),"月","-"),"日",""))),"")</f>
        <v/>
      </c>
      <c r="J2267">
        <f>IFERROR(MID(I2267,FIND("-",I2267)+1,99),"")</f>
        <v/>
      </c>
    </row>
    <row r="2268">
      <c r="B2268">
        <f>IFERROR(IF($B$1=0,"",IF(INDEX(貼り付け!$A$1:$BZ$3001,2267,$B$1)="","",IF(ISNUMBER(INDEX(貼り付け!$A$1:$BZ$3001,2267,$B$1)),INT(INDEX(貼り付け!$A$1:$BZ$3001,2267,$B$1)),DATE(VALUE(LEFT(I2268,FIND("-",I2268)-1)),VALUE(LEFT(J2268,FIND("-",J2268)-1)),VALUE(MID(J2268,FIND("-",J2268)+1,99)))))),"")</f>
        <v/>
      </c>
      <c r="C2268">
        <f>IF($C$1=0,0,IFERROR(VALUE(SUBSTITUTE(SUBSTITUTE(SUBSTITUTE(INDEX(貼り付け!$A$1:$BZ$3001,2267,$C$1)&amp;"",",",""),"¥",""),"￥","")),0))</f>
        <v/>
      </c>
      <c r="D2268">
        <f>IF($D$1=0,0,IFERROR(VALUE(SUBSTITUTE(SUBSTITUTE(SUBSTITUTE(INDEX(貼り付け!$A$1:$BZ$3001,2267,$D$1)&amp;"",",",""),"¥",""),"￥","")),0))</f>
        <v/>
      </c>
      <c r="E2268">
        <f>IF($E$1=0,0,IFERROR(VALUE(SUBSTITUTE(SUBSTITUTE(SUBSTITUTE(INDEX(貼り付け!$A$1:$BZ$3001,2267,$E$1)&amp;"",",",""),"¥",""),"￥","")),0))</f>
        <v/>
      </c>
      <c r="F2268">
        <f>IF($F$1=0,0,IFERROR(VALUE(SUBSTITUTE(SUBSTITUTE(SUBSTITUTE(INDEX(貼り付け!$A$1:$BZ$3001,2267,$F$1)&amp;"",",",""),"¥",""),"￥","")),0))</f>
        <v/>
      </c>
      <c r="G2268">
        <f>IF(ISNUMBER(B2268),YEAR(B2268),"")</f>
        <v/>
      </c>
      <c r="H2268">
        <f>IF(ISNUMBER(B2268),MONTH(B2268),"")</f>
        <v/>
      </c>
      <c r="I2268">
        <f>IFERROR(IF($B$1=0,"",IF(ISNUMBER(INDEX(貼り付け!$A$1:$BZ$3001,2267,$B$1)),"",SUBSTITUTE(SUBSTITUTE(SUBSTITUTE(SUBSTITUTE(TRIM(LEFT(INDEX(貼り付け!$A$1:$BZ$3001,2267,$B$1)&amp;"",FIND(" ",TRIM(INDEX(貼り付け!$A$1:$BZ$3001,2267,$B$1)&amp;"")&amp;" ")-1)),"/","-"),"年","-"),"月","-"),"日",""))),"")</f>
        <v/>
      </c>
      <c r="J2268">
        <f>IFERROR(MID(I2268,FIND("-",I2268)+1,99),"")</f>
        <v/>
      </c>
    </row>
    <row r="2269">
      <c r="B2269">
        <f>IFERROR(IF($B$1=0,"",IF(INDEX(貼り付け!$A$1:$BZ$3001,2268,$B$1)="","",IF(ISNUMBER(INDEX(貼り付け!$A$1:$BZ$3001,2268,$B$1)),INT(INDEX(貼り付け!$A$1:$BZ$3001,2268,$B$1)),DATE(VALUE(LEFT(I2269,FIND("-",I2269)-1)),VALUE(LEFT(J2269,FIND("-",J2269)-1)),VALUE(MID(J2269,FIND("-",J2269)+1,99)))))),"")</f>
        <v/>
      </c>
      <c r="C2269">
        <f>IF($C$1=0,0,IFERROR(VALUE(SUBSTITUTE(SUBSTITUTE(SUBSTITUTE(INDEX(貼り付け!$A$1:$BZ$3001,2268,$C$1)&amp;"",",",""),"¥",""),"￥","")),0))</f>
        <v/>
      </c>
      <c r="D2269">
        <f>IF($D$1=0,0,IFERROR(VALUE(SUBSTITUTE(SUBSTITUTE(SUBSTITUTE(INDEX(貼り付け!$A$1:$BZ$3001,2268,$D$1)&amp;"",",",""),"¥",""),"￥","")),0))</f>
        <v/>
      </c>
      <c r="E2269">
        <f>IF($E$1=0,0,IFERROR(VALUE(SUBSTITUTE(SUBSTITUTE(SUBSTITUTE(INDEX(貼り付け!$A$1:$BZ$3001,2268,$E$1)&amp;"",",",""),"¥",""),"￥","")),0))</f>
        <v/>
      </c>
      <c r="F2269">
        <f>IF($F$1=0,0,IFERROR(VALUE(SUBSTITUTE(SUBSTITUTE(SUBSTITUTE(INDEX(貼り付け!$A$1:$BZ$3001,2268,$F$1)&amp;"",",",""),"¥",""),"￥","")),0))</f>
        <v/>
      </c>
      <c r="G2269">
        <f>IF(ISNUMBER(B2269),YEAR(B2269),"")</f>
        <v/>
      </c>
      <c r="H2269">
        <f>IF(ISNUMBER(B2269),MONTH(B2269),"")</f>
        <v/>
      </c>
      <c r="I2269">
        <f>IFERROR(IF($B$1=0,"",IF(ISNUMBER(INDEX(貼り付け!$A$1:$BZ$3001,2268,$B$1)),"",SUBSTITUTE(SUBSTITUTE(SUBSTITUTE(SUBSTITUTE(TRIM(LEFT(INDEX(貼り付け!$A$1:$BZ$3001,2268,$B$1)&amp;"",FIND(" ",TRIM(INDEX(貼り付け!$A$1:$BZ$3001,2268,$B$1)&amp;"")&amp;" ")-1)),"/","-"),"年","-"),"月","-"),"日",""))),"")</f>
        <v/>
      </c>
      <c r="J2269">
        <f>IFERROR(MID(I2269,FIND("-",I2269)+1,99),"")</f>
        <v/>
      </c>
    </row>
    <row r="2270">
      <c r="B2270">
        <f>IFERROR(IF($B$1=0,"",IF(INDEX(貼り付け!$A$1:$BZ$3001,2269,$B$1)="","",IF(ISNUMBER(INDEX(貼り付け!$A$1:$BZ$3001,2269,$B$1)),INT(INDEX(貼り付け!$A$1:$BZ$3001,2269,$B$1)),DATE(VALUE(LEFT(I2270,FIND("-",I2270)-1)),VALUE(LEFT(J2270,FIND("-",J2270)-1)),VALUE(MID(J2270,FIND("-",J2270)+1,99)))))),"")</f>
        <v/>
      </c>
      <c r="C2270">
        <f>IF($C$1=0,0,IFERROR(VALUE(SUBSTITUTE(SUBSTITUTE(SUBSTITUTE(INDEX(貼り付け!$A$1:$BZ$3001,2269,$C$1)&amp;"",",",""),"¥",""),"￥","")),0))</f>
        <v/>
      </c>
      <c r="D2270">
        <f>IF($D$1=0,0,IFERROR(VALUE(SUBSTITUTE(SUBSTITUTE(SUBSTITUTE(INDEX(貼り付け!$A$1:$BZ$3001,2269,$D$1)&amp;"",",",""),"¥",""),"￥","")),0))</f>
        <v/>
      </c>
      <c r="E2270">
        <f>IF($E$1=0,0,IFERROR(VALUE(SUBSTITUTE(SUBSTITUTE(SUBSTITUTE(INDEX(貼り付け!$A$1:$BZ$3001,2269,$E$1)&amp;"",",",""),"¥",""),"￥","")),0))</f>
        <v/>
      </c>
      <c r="F2270">
        <f>IF($F$1=0,0,IFERROR(VALUE(SUBSTITUTE(SUBSTITUTE(SUBSTITUTE(INDEX(貼り付け!$A$1:$BZ$3001,2269,$F$1)&amp;"",",",""),"¥",""),"￥","")),0))</f>
        <v/>
      </c>
      <c r="G2270">
        <f>IF(ISNUMBER(B2270),YEAR(B2270),"")</f>
        <v/>
      </c>
      <c r="H2270">
        <f>IF(ISNUMBER(B2270),MONTH(B2270),"")</f>
        <v/>
      </c>
      <c r="I2270">
        <f>IFERROR(IF($B$1=0,"",IF(ISNUMBER(INDEX(貼り付け!$A$1:$BZ$3001,2269,$B$1)),"",SUBSTITUTE(SUBSTITUTE(SUBSTITUTE(SUBSTITUTE(TRIM(LEFT(INDEX(貼り付け!$A$1:$BZ$3001,2269,$B$1)&amp;"",FIND(" ",TRIM(INDEX(貼り付け!$A$1:$BZ$3001,2269,$B$1)&amp;"")&amp;" ")-1)),"/","-"),"年","-"),"月","-"),"日",""))),"")</f>
        <v/>
      </c>
      <c r="J2270">
        <f>IFERROR(MID(I2270,FIND("-",I2270)+1,99),"")</f>
        <v/>
      </c>
    </row>
    <row r="2271">
      <c r="B2271">
        <f>IFERROR(IF($B$1=0,"",IF(INDEX(貼り付け!$A$1:$BZ$3001,2270,$B$1)="","",IF(ISNUMBER(INDEX(貼り付け!$A$1:$BZ$3001,2270,$B$1)),INT(INDEX(貼り付け!$A$1:$BZ$3001,2270,$B$1)),DATE(VALUE(LEFT(I2271,FIND("-",I2271)-1)),VALUE(LEFT(J2271,FIND("-",J2271)-1)),VALUE(MID(J2271,FIND("-",J2271)+1,99)))))),"")</f>
        <v/>
      </c>
      <c r="C2271">
        <f>IF($C$1=0,0,IFERROR(VALUE(SUBSTITUTE(SUBSTITUTE(SUBSTITUTE(INDEX(貼り付け!$A$1:$BZ$3001,2270,$C$1)&amp;"",",",""),"¥",""),"￥","")),0))</f>
        <v/>
      </c>
      <c r="D2271">
        <f>IF($D$1=0,0,IFERROR(VALUE(SUBSTITUTE(SUBSTITUTE(SUBSTITUTE(INDEX(貼り付け!$A$1:$BZ$3001,2270,$D$1)&amp;"",",",""),"¥",""),"￥","")),0))</f>
        <v/>
      </c>
      <c r="E2271">
        <f>IF($E$1=0,0,IFERROR(VALUE(SUBSTITUTE(SUBSTITUTE(SUBSTITUTE(INDEX(貼り付け!$A$1:$BZ$3001,2270,$E$1)&amp;"",",",""),"¥",""),"￥","")),0))</f>
        <v/>
      </c>
      <c r="F2271">
        <f>IF($F$1=0,0,IFERROR(VALUE(SUBSTITUTE(SUBSTITUTE(SUBSTITUTE(INDEX(貼り付け!$A$1:$BZ$3001,2270,$F$1)&amp;"",",",""),"¥",""),"￥","")),0))</f>
        <v/>
      </c>
      <c r="G2271">
        <f>IF(ISNUMBER(B2271),YEAR(B2271),"")</f>
        <v/>
      </c>
      <c r="H2271">
        <f>IF(ISNUMBER(B2271),MONTH(B2271),"")</f>
        <v/>
      </c>
      <c r="I2271">
        <f>IFERROR(IF($B$1=0,"",IF(ISNUMBER(INDEX(貼り付け!$A$1:$BZ$3001,2270,$B$1)),"",SUBSTITUTE(SUBSTITUTE(SUBSTITUTE(SUBSTITUTE(TRIM(LEFT(INDEX(貼り付け!$A$1:$BZ$3001,2270,$B$1)&amp;"",FIND(" ",TRIM(INDEX(貼り付け!$A$1:$BZ$3001,2270,$B$1)&amp;"")&amp;" ")-1)),"/","-"),"年","-"),"月","-"),"日",""))),"")</f>
        <v/>
      </c>
      <c r="J2271">
        <f>IFERROR(MID(I2271,FIND("-",I2271)+1,99),"")</f>
        <v/>
      </c>
    </row>
    <row r="2272">
      <c r="B2272">
        <f>IFERROR(IF($B$1=0,"",IF(INDEX(貼り付け!$A$1:$BZ$3001,2271,$B$1)="","",IF(ISNUMBER(INDEX(貼り付け!$A$1:$BZ$3001,2271,$B$1)),INT(INDEX(貼り付け!$A$1:$BZ$3001,2271,$B$1)),DATE(VALUE(LEFT(I2272,FIND("-",I2272)-1)),VALUE(LEFT(J2272,FIND("-",J2272)-1)),VALUE(MID(J2272,FIND("-",J2272)+1,99)))))),"")</f>
        <v/>
      </c>
      <c r="C2272">
        <f>IF($C$1=0,0,IFERROR(VALUE(SUBSTITUTE(SUBSTITUTE(SUBSTITUTE(INDEX(貼り付け!$A$1:$BZ$3001,2271,$C$1)&amp;"",",",""),"¥",""),"￥","")),0))</f>
        <v/>
      </c>
      <c r="D2272">
        <f>IF($D$1=0,0,IFERROR(VALUE(SUBSTITUTE(SUBSTITUTE(SUBSTITUTE(INDEX(貼り付け!$A$1:$BZ$3001,2271,$D$1)&amp;"",",",""),"¥",""),"￥","")),0))</f>
        <v/>
      </c>
      <c r="E2272">
        <f>IF($E$1=0,0,IFERROR(VALUE(SUBSTITUTE(SUBSTITUTE(SUBSTITUTE(INDEX(貼り付け!$A$1:$BZ$3001,2271,$E$1)&amp;"",",",""),"¥",""),"￥","")),0))</f>
        <v/>
      </c>
      <c r="F2272">
        <f>IF($F$1=0,0,IFERROR(VALUE(SUBSTITUTE(SUBSTITUTE(SUBSTITUTE(INDEX(貼り付け!$A$1:$BZ$3001,2271,$F$1)&amp;"",",",""),"¥",""),"￥","")),0))</f>
        <v/>
      </c>
      <c r="G2272">
        <f>IF(ISNUMBER(B2272),YEAR(B2272),"")</f>
        <v/>
      </c>
      <c r="H2272">
        <f>IF(ISNUMBER(B2272),MONTH(B2272),"")</f>
        <v/>
      </c>
      <c r="I2272">
        <f>IFERROR(IF($B$1=0,"",IF(ISNUMBER(INDEX(貼り付け!$A$1:$BZ$3001,2271,$B$1)),"",SUBSTITUTE(SUBSTITUTE(SUBSTITUTE(SUBSTITUTE(TRIM(LEFT(INDEX(貼り付け!$A$1:$BZ$3001,2271,$B$1)&amp;"",FIND(" ",TRIM(INDEX(貼り付け!$A$1:$BZ$3001,2271,$B$1)&amp;"")&amp;" ")-1)),"/","-"),"年","-"),"月","-"),"日",""))),"")</f>
        <v/>
      </c>
      <c r="J2272">
        <f>IFERROR(MID(I2272,FIND("-",I2272)+1,99),"")</f>
        <v/>
      </c>
    </row>
    <row r="2273">
      <c r="B2273">
        <f>IFERROR(IF($B$1=0,"",IF(INDEX(貼り付け!$A$1:$BZ$3001,2272,$B$1)="","",IF(ISNUMBER(INDEX(貼り付け!$A$1:$BZ$3001,2272,$B$1)),INT(INDEX(貼り付け!$A$1:$BZ$3001,2272,$B$1)),DATE(VALUE(LEFT(I2273,FIND("-",I2273)-1)),VALUE(LEFT(J2273,FIND("-",J2273)-1)),VALUE(MID(J2273,FIND("-",J2273)+1,99)))))),"")</f>
        <v/>
      </c>
      <c r="C2273">
        <f>IF($C$1=0,0,IFERROR(VALUE(SUBSTITUTE(SUBSTITUTE(SUBSTITUTE(INDEX(貼り付け!$A$1:$BZ$3001,2272,$C$1)&amp;"",",",""),"¥",""),"￥","")),0))</f>
        <v/>
      </c>
      <c r="D2273">
        <f>IF($D$1=0,0,IFERROR(VALUE(SUBSTITUTE(SUBSTITUTE(SUBSTITUTE(INDEX(貼り付け!$A$1:$BZ$3001,2272,$D$1)&amp;"",",",""),"¥",""),"￥","")),0))</f>
        <v/>
      </c>
      <c r="E2273">
        <f>IF($E$1=0,0,IFERROR(VALUE(SUBSTITUTE(SUBSTITUTE(SUBSTITUTE(INDEX(貼り付け!$A$1:$BZ$3001,2272,$E$1)&amp;"",",",""),"¥",""),"￥","")),0))</f>
        <v/>
      </c>
      <c r="F2273">
        <f>IF($F$1=0,0,IFERROR(VALUE(SUBSTITUTE(SUBSTITUTE(SUBSTITUTE(INDEX(貼り付け!$A$1:$BZ$3001,2272,$F$1)&amp;"",",",""),"¥",""),"￥","")),0))</f>
        <v/>
      </c>
      <c r="G2273">
        <f>IF(ISNUMBER(B2273),YEAR(B2273),"")</f>
        <v/>
      </c>
      <c r="H2273">
        <f>IF(ISNUMBER(B2273),MONTH(B2273),"")</f>
        <v/>
      </c>
      <c r="I2273">
        <f>IFERROR(IF($B$1=0,"",IF(ISNUMBER(INDEX(貼り付け!$A$1:$BZ$3001,2272,$B$1)),"",SUBSTITUTE(SUBSTITUTE(SUBSTITUTE(SUBSTITUTE(TRIM(LEFT(INDEX(貼り付け!$A$1:$BZ$3001,2272,$B$1)&amp;"",FIND(" ",TRIM(INDEX(貼り付け!$A$1:$BZ$3001,2272,$B$1)&amp;"")&amp;" ")-1)),"/","-"),"年","-"),"月","-"),"日",""))),"")</f>
        <v/>
      </c>
      <c r="J2273">
        <f>IFERROR(MID(I2273,FIND("-",I2273)+1,99),"")</f>
        <v/>
      </c>
    </row>
    <row r="2274">
      <c r="B2274">
        <f>IFERROR(IF($B$1=0,"",IF(INDEX(貼り付け!$A$1:$BZ$3001,2273,$B$1)="","",IF(ISNUMBER(INDEX(貼り付け!$A$1:$BZ$3001,2273,$B$1)),INT(INDEX(貼り付け!$A$1:$BZ$3001,2273,$B$1)),DATE(VALUE(LEFT(I2274,FIND("-",I2274)-1)),VALUE(LEFT(J2274,FIND("-",J2274)-1)),VALUE(MID(J2274,FIND("-",J2274)+1,99)))))),"")</f>
        <v/>
      </c>
      <c r="C2274">
        <f>IF($C$1=0,0,IFERROR(VALUE(SUBSTITUTE(SUBSTITUTE(SUBSTITUTE(INDEX(貼り付け!$A$1:$BZ$3001,2273,$C$1)&amp;"",",",""),"¥",""),"￥","")),0))</f>
        <v/>
      </c>
      <c r="D2274">
        <f>IF($D$1=0,0,IFERROR(VALUE(SUBSTITUTE(SUBSTITUTE(SUBSTITUTE(INDEX(貼り付け!$A$1:$BZ$3001,2273,$D$1)&amp;"",",",""),"¥",""),"￥","")),0))</f>
        <v/>
      </c>
      <c r="E2274">
        <f>IF($E$1=0,0,IFERROR(VALUE(SUBSTITUTE(SUBSTITUTE(SUBSTITUTE(INDEX(貼り付け!$A$1:$BZ$3001,2273,$E$1)&amp;"",",",""),"¥",""),"￥","")),0))</f>
        <v/>
      </c>
      <c r="F2274">
        <f>IF($F$1=0,0,IFERROR(VALUE(SUBSTITUTE(SUBSTITUTE(SUBSTITUTE(INDEX(貼り付け!$A$1:$BZ$3001,2273,$F$1)&amp;"",",",""),"¥",""),"￥","")),0))</f>
        <v/>
      </c>
      <c r="G2274">
        <f>IF(ISNUMBER(B2274),YEAR(B2274),"")</f>
        <v/>
      </c>
      <c r="H2274">
        <f>IF(ISNUMBER(B2274),MONTH(B2274),"")</f>
        <v/>
      </c>
      <c r="I2274">
        <f>IFERROR(IF($B$1=0,"",IF(ISNUMBER(INDEX(貼り付け!$A$1:$BZ$3001,2273,$B$1)),"",SUBSTITUTE(SUBSTITUTE(SUBSTITUTE(SUBSTITUTE(TRIM(LEFT(INDEX(貼り付け!$A$1:$BZ$3001,2273,$B$1)&amp;"",FIND(" ",TRIM(INDEX(貼り付け!$A$1:$BZ$3001,2273,$B$1)&amp;"")&amp;" ")-1)),"/","-"),"年","-"),"月","-"),"日",""))),"")</f>
        <v/>
      </c>
      <c r="J2274">
        <f>IFERROR(MID(I2274,FIND("-",I2274)+1,99),"")</f>
        <v/>
      </c>
    </row>
    <row r="2275">
      <c r="B2275">
        <f>IFERROR(IF($B$1=0,"",IF(INDEX(貼り付け!$A$1:$BZ$3001,2274,$B$1)="","",IF(ISNUMBER(INDEX(貼り付け!$A$1:$BZ$3001,2274,$B$1)),INT(INDEX(貼り付け!$A$1:$BZ$3001,2274,$B$1)),DATE(VALUE(LEFT(I2275,FIND("-",I2275)-1)),VALUE(LEFT(J2275,FIND("-",J2275)-1)),VALUE(MID(J2275,FIND("-",J2275)+1,99)))))),"")</f>
        <v/>
      </c>
      <c r="C2275">
        <f>IF($C$1=0,0,IFERROR(VALUE(SUBSTITUTE(SUBSTITUTE(SUBSTITUTE(INDEX(貼り付け!$A$1:$BZ$3001,2274,$C$1)&amp;"",",",""),"¥",""),"￥","")),0))</f>
        <v/>
      </c>
      <c r="D2275">
        <f>IF($D$1=0,0,IFERROR(VALUE(SUBSTITUTE(SUBSTITUTE(SUBSTITUTE(INDEX(貼り付け!$A$1:$BZ$3001,2274,$D$1)&amp;"",",",""),"¥",""),"￥","")),0))</f>
        <v/>
      </c>
      <c r="E2275">
        <f>IF($E$1=0,0,IFERROR(VALUE(SUBSTITUTE(SUBSTITUTE(SUBSTITUTE(INDEX(貼り付け!$A$1:$BZ$3001,2274,$E$1)&amp;"",",",""),"¥",""),"￥","")),0))</f>
        <v/>
      </c>
      <c r="F2275">
        <f>IF($F$1=0,0,IFERROR(VALUE(SUBSTITUTE(SUBSTITUTE(SUBSTITUTE(INDEX(貼り付け!$A$1:$BZ$3001,2274,$F$1)&amp;"",",",""),"¥",""),"￥","")),0))</f>
        <v/>
      </c>
      <c r="G2275">
        <f>IF(ISNUMBER(B2275),YEAR(B2275),"")</f>
        <v/>
      </c>
      <c r="H2275">
        <f>IF(ISNUMBER(B2275),MONTH(B2275),"")</f>
        <v/>
      </c>
      <c r="I2275">
        <f>IFERROR(IF($B$1=0,"",IF(ISNUMBER(INDEX(貼り付け!$A$1:$BZ$3001,2274,$B$1)),"",SUBSTITUTE(SUBSTITUTE(SUBSTITUTE(SUBSTITUTE(TRIM(LEFT(INDEX(貼り付け!$A$1:$BZ$3001,2274,$B$1)&amp;"",FIND(" ",TRIM(INDEX(貼り付け!$A$1:$BZ$3001,2274,$B$1)&amp;"")&amp;" ")-1)),"/","-"),"年","-"),"月","-"),"日",""))),"")</f>
        <v/>
      </c>
      <c r="J2275">
        <f>IFERROR(MID(I2275,FIND("-",I2275)+1,99),"")</f>
        <v/>
      </c>
    </row>
    <row r="2276">
      <c r="B2276">
        <f>IFERROR(IF($B$1=0,"",IF(INDEX(貼り付け!$A$1:$BZ$3001,2275,$B$1)="","",IF(ISNUMBER(INDEX(貼り付け!$A$1:$BZ$3001,2275,$B$1)),INT(INDEX(貼り付け!$A$1:$BZ$3001,2275,$B$1)),DATE(VALUE(LEFT(I2276,FIND("-",I2276)-1)),VALUE(LEFT(J2276,FIND("-",J2276)-1)),VALUE(MID(J2276,FIND("-",J2276)+1,99)))))),"")</f>
        <v/>
      </c>
      <c r="C2276">
        <f>IF($C$1=0,0,IFERROR(VALUE(SUBSTITUTE(SUBSTITUTE(SUBSTITUTE(INDEX(貼り付け!$A$1:$BZ$3001,2275,$C$1)&amp;"",",",""),"¥",""),"￥","")),0))</f>
        <v/>
      </c>
      <c r="D2276">
        <f>IF($D$1=0,0,IFERROR(VALUE(SUBSTITUTE(SUBSTITUTE(SUBSTITUTE(INDEX(貼り付け!$A$1:$BZ$3001,2275,$D$1)&amp;"",",",""),"¥",""),"￥","")),0))</f>
        <v/>
      </c>
      <c r="E2276">
        <f>IF($E$1=0,0,IFERROR(VALUE(SUBSTITUTE(SUBSTITUTE(SUBSTITUTE(INDEX(貼り付け!$A$1:$BZ$3001,2275,$E$1)&amp;"",",",""),"¥",""),"￥","")),0))</f>
        <v/>
      </c>
      <c r="F2276">
        <f>IF($F$1=0,0,IFERROR(VALUE(SUBSTITUTE(SUBSTITUTE(SUBSTITUTE(INDEX(貼り付け!$A$1:$BZ$3001,2275,$F$1)&amp;"",",",""),"¥",""),"￥","")),0))</f>
        <v/>
      </c>
      <c r="G2276">
        <f>IF(ISNUMBER(B2276),YEAR(B2276),"")</f>
        <v/>
      </c>
      <c r="H2276">
        <f>IF(ISNUMBER(B2276),MONTH(B2276),"")</f>
        <v/>
      </c>
      <c r="I2276">
        <f>IFERROR(IF($B$1=0,"",IF(ISNUMBER(INDEX(貼り付け!$A$1:$BZ$3001,2275,$B$1)),"",SUBSTITUTE(SUBSTITUTE(SUBSTITUTE(SUBSTITUTE(TRIM(LEFT(INDEX(貼り付け!$A$1:$BZ$3001,2275,$B$1)&amp;"",FIND(" ",TRIM(INDEX(貼り付け!$A$1:$BZ$3001,2275,$B$1)&amp;"")&amp;" ")-1)),"/","-"),"年","-"),"月","-"),"日",""))),"")</f>
        <v/>
      </c>
      <c r="J2276">
        <f>IFERROR(MID(I2276,FIND("-",I2276)+1,99),"")</f>
        <v/>
      </c>
    </row>
    <row r="2277">
      <c r="B2277">
        <f>IFERROR(IF($B$1=0,"",IF(INDEX(貼り付け!$A$1:$BZ$3001,2276,$B$1)="","",IF(ISNUMBER(INDEX(貼り付け!$A$1:$BZ$3001,2276,$B$1)),INT(INDEX(貼り付け!$A$1:$BZ$3001,2276,$B$1)),DATE(VALUE(LEFT(I2277,FIND("-",I2277)-1)),VALUE(LEFT(J2277,FIND("-",J2277)-1)),VALUE(MID(J2277,FIND("-",J2277)+1,99)))))),"")</f>
        <v/>
      </c>
      <c r="C2277">
        <f>IF($C$1=0,0,IFERROR(VALUE(SUBSTITUTE(SUBSTITUTE(SUBSTITUTE(INDEX(貼り付け!$A$1:$BZ$3001,2276,$C$1)&amp;"",",",""),"¥",""),"￥","")),0))</f>
        <v/>
      </c>
      <c r="D2277">
        <f>IF($D$1=0,0,IFERROR(VALUE(SUBSTITUTE(SUBSTITUTE(SUBSTITUTE(INDEX(貼り付け!$A$1:$BZ$3001,2276,$D$1)&amp;"",",",""),"¥",""),"￥","")),0))</f>
        <v/>
      </c>
      <c r="E2277">
        <f>IF($E$1=0,0,IFERROR(VALUE(SUBSTITUTE(SUBSTITUTE(SUBSTITUTE(INDEX(貼り付け!$A$1:$BZ$3001,2276,$E$1)&amp;"",",",""),"¥",""),"￥","")),0))</f>
        <v/>
      </c>
      <c r="F2277">
        <f>IF($F$1=0,0,IFERROR(VALUE(SUBSTITUTE(SUBSTITUTE(SUBSTITUTE(INDEX(貼り付け!$A$1:$BZ$3001,2276,$F$1)&amp;"",",",""),"¥",""),"￥","")),0))</f>
        <v/>
      </c>
      <c r="G2277">
        <f>IF(ISNUMBER(B2277),YEAR(B2277),"")</f>
        <v/>
      </c>
      <c r="H2277">
        <f>IF(ISNUMBER(B2277),MONTH(B2277),"")</f>
        <v/>
      </c>
      <c r="I2277">
        <f>IFERROR(IF($B$1=0,"",IF(ISNUMBER(INDEX(貼り付け!$A$1:$BZ$3001,2276,$B$1)),"",SUBSTITUTE(SUBSTITUTE(SUBSTITUTE(SUBSTITUTE(TRIM(LEFT(INDEX(貼り付け!$A$1:$BZ$3001,2276,$B$1)&amp;"",FIND(" ",TRIM(INDEX(貼り付け!$A$1:$BZ$3001,2276,$B$1)&amp;"")&amp;" ")-1)),"/","-"),"年","-"),"月","-"),"日",""))),"")</f>
        <v/>
      </c>
      <c r="J2277">
        <f>IFERROR(MID(I2277,FIND("-",I2277)+1,99),"")</f>
        <v/>
      </c>
    </row>
    <row r="2278">
      <c r="B2278">
        <f>IFERROR(IF($B$1=0,"",IF(INDEX(貼り付け!$A$1:$BZ$3001,2277,$B$1)="","",IF(ISNUMBER(INDEX(貼り付け!$A$1:$BZ$3001,2277,$B$1)),INT(INDEX(貼り付け!$A$1:$BZ$3001,2277,$B$1)),DATE(VALUE(LEFT(I2278,FIND("-",I2278)-1)),VALUE(LEFT(J2278,FIND("-",J2278)-1)),VALUE(MID(J2278,FIND("-",J2278)+1,99)))))),"")</f>
        <v/>
      </c>
      <c r="C2278">
        <f>IF($C$1=0,0,IFERROR(VALUE(SUBSTITUTE(SUBSTITUTE(SUBSTITUTE(INDEX(貼り付け!$A$1:$BZ$3001,2277,$C$1)&amp;"",",",""),"¥",""),"￥","")),0))</f>
        <v/>
      </c>
      <c r="D2278">
        <f>IF($D$1=0,0,IFERROR(VALUE(SUBSTITUTE(SUBSTITUTE(SUBSTITUTE(INDEX(貼り付け!$A$1:$BZ$3001,2277,$D$1)&amp;"",",",""),"¥",""),"￥","")),0))</f>
        <v/>
      </c>
      <c r="E2278">
        <f>IF($E$1=0,0,IFERROR(VALUE(SUBSTITUTE(SUBSTITUTE(SUBSTITUTE(INDEX(貼り付け!$A$1:$BZ$3001,2277,$E$1)&amp;"",",",""),"¥",""),"￥","")),0))</f>
        <v/>
      </c>
      <c r="F2278">
        <f>IF($F$1=0,0,IFERROR(VALUE(SUBSTITUTE(SUBSTITUTE(SUBSTITUTE(INDEX(貼り付け!$A$1:$BZ$3001,2277,$F$1)&amp;"",",",""),"¥",""),"￥","")),0))</f>
        <v/>
      </c>
      <c r="G2278">
        <f>IF(ISNUMBER(B2278),YEAR(B2278),"")</f>
        <v/>
      </c>
      <c r="H2278">
        <f>IF(ISNUMBER(B2278),MONTH(B2278),"")</f>
        <v/>
      </c>
      <c r="I2278">
        <f>IFERROR(IF($B$1=0,"",IF(ISNUMBER(INDEX(貼り付け!$A$1:$BZ$3001,2277,$B$1)),"",SUBSTITUTE(SUBSTITUTE(SUBSTITUTE(SUBSTITUTE(TRIM(LEFT(INDEX(貼り付け!$A$1:$BZ$3001,2277,$B$1)&amp;"",FIND(" ",TRIM(INDEX(貼り付け!$A$1:$BZ$3001,2277,$B$1)&amp;"")&amp;" ")-1)),"/","-"),"年","-"),"月","-"),"日",""))),"")</f>
        <v/>
      </c>
      <c r="J2278">
        <f>IFERROR(MID(I2278,FIND("-",I2278)+1,99),"")</f>
        <v/>
      </c>
    </row>
    <row r="2279">
      <c r="B2279">
        <f>IFERROR(IF($B$1=0,"",IF(INDEX(貼り付け!$A$1:$BZ$3001,2278,$B$1)="","",IF(ISNUMBER(INDEX(貼り付け!$A$1:$BZ$3001,2278,$B$1)),INT(INDEX(貼り付け!$A$1:$BZ$3001,2278,$B$1)),DATE(VALUE(LEFT(I2279,FIND("-",I2279)-1)),VALUE(LEFT(J2279,FIND("-",J2279)-1)),VALUE(MID(J2279,FIND("-",J2279)+1,99)))))),"")</f>
        <v/>
      </c>
      <c r="C2279">
        <f>IF($C$1=0,0,IFERROR(VALUE(SUBSTITUTE(SUBSTITUTE(SUBSTITUTE(INDEX(貼り付け!$A$1:$BZ$3001,2278,$C$1)&amp;"",",",""),"¥",""),"￥","")),0))</f>
        <v/>
      </c>
      <c r="D2279">
        <f>IF($D$1=0,0,IFERROR(VALUE(SUBSTITUTE(SUBSTITUTE(SUBSTITUTE(INDEX(貼り付け!$A$1:$BZ$3001,2278,$D$1)&amp;"",",",""),"¥",""),"￥","")),0))</f>
        <v/>
      </c>
      <c r="E2279">
        <f>IF($E$1=0,0,IFERROR(VALUE(SUBSTITUTE(SUBSTITUTE(SUBSTITUTE(INDEX(貼り付け!$A$1:$BZ$3001,2278,$E$1)&amp;"",",",""),"¥",""),"￥","")),0))</f>
        <v/>
      </c>
      <c r="F2279">
        <f>IF($F$1=0,0,IFERROR(VALUE(SUBSTITUTE(SUBSTITUTE(SUBSTITUTE(INDEX(貼り付け!$A$1:$BZ$3001,2278,$F$1)&amp;"",",",""),"¥",""),"￥","")),0))</f>
        <v/>
      </c>
      <c r="G2279">
        <f>IF(ISNUMBER(B2279),YEAR(B2279),"")</f>
        <v/>
      </c>
      <c r="H2279">
        <f>IF(ISNUMBER(B2279),MONTH(B2279),"")</f>
        <v/>
      </c>
      <c r="I2279">
        <f>IFERROR(IF($B$1=0,"",IF(ISNUMBER(INDEX(貼り付け!$A$1:$BZ$3001,2278,$B$1)),"",SUBSTITUTE(SUBSTITUTE(SUBSTITUTE(SUBSTITUTE(TRIM(LEFT(INDEX(貼り付け!$A$1:$BZ$3001,2278,$B$1)&amp;"",FIND(" ",TRIM(INDEX(貼り付け!$A$1:$BZ$3001,2278,$B$1)&amp;"")&amp;" ")-1)),"/","-"),"年","-"),"月","-"),"日",""))),"")</f>
        <v/>
      </c>
      <c r="J2279">
        <f>IFERROR(MID(I2279,FIND("-",I2279)+1,99),"")</f>
        <v/>
      </c>
    </row>
    <row r="2280">
      <c r="B2280">
        <f>IFERROR(IF($B$1=0,"",IF(INDEX(貼り付け!$A$1:$BZ$3001,2279,$B$1)="","",IF(ISNUMBER(INDEX(貼り付け!$A$1:$BZ$3001,2279,$B$1)),INT(INDEX(貼り付け!$A$1:$BZ$3001,2279,$B$1)),DATE(VALUE(LEFT(I2280,FIND("-",I2280)-1)),VALUE(LEFT(J2280,FIND("-",J2280)-1)),VALUE(MID(J2280,FIND("-",J2280)+1,99)))))),"")</f>
        <v/>
      </c>
      <c r="C2280">
        <f>IF($C$1=0,0,IFERROR(VALUE(SUBSTITUTE(SUBSTITUTE(SUBSTITUTE(INDEX(貼り付け!$A$1:$BZ$3001,2279,$C$1)&amp;"",",",""),"¥",""),"￥","")),0))</f>
        <v/>
      </c>
      <c r="D2280">
        <f>IF($D$1=0,0,IFERROR(VALUE(SUBSTITUTE(SUBSTITUTE(SUBSTITUTE(INDEX(貼り付け!$A$1:$BZ$3001,2279,$D$1)&amp;"",",",""),"¥",""),"￥","")),0))</f>
        <v/>
      </c>
      <c r="E2280">
        <f>IF($E$1=0,0,IFERROR(VALUE(SUBSTITUTE(SUBSTITUTE(SUBSTITUTE(INDEX(貼り付け!$A$1:$BZ$3001,2279,$E$1)&amp;"",",",""),"¥",""),"￥","")),0))</f>
        <v/>
      </c>
      <c r="F2280">
        <f>IF($F$1=0,0,IFERROR(VALUE(SUBSTITUTE(SUBSTITUTE(SUBSTITUTE(INDEX(貼り付け!$A$1:$BZ$3001,2279,$F$1)&amp;"",",",""),"¥",""),"￥","")),0))</f>
        <v/>
      </c>
      <c r="G2280">
        <f>IF(ISNUMBER(B2280),YEAR(B2280),"")</f>
        <v/>
      </c>
      <c r="H2280">
        <f>IF(ISNUMBER(B2280),MONTH(B2280),"")</f>
        <v/>
      </c>
      <c r="I2280">
        <f>IFERROR(IF($B$1=0,"",IF(ISNUMBER(INDEX(貼り付け!$A$1:$BZ$3001,2279,$B$1)),"",SUBSTITUTE(SUBSTITUTE(SUBSTITUTE(SUBSTITUTE(TRIM(LEFT(INDEX(貼り付け!$A$1:$BZ$3001,2279,$B$1)&amp;"",FIND(" ",TRIM(INDEX(貼り付け!$A$1:$BZ$3001,2279,$B$1)&amp;"")&amp;" ")-1)),"/","-"),"年","-"),"月","-"),"日",""))),"")</f>
        <v/>
      </c>
      <c r="J2280">
        <f>IFERROR(MID(I2280,FIND("-",I2280)+1,99),"")</f>
        <v/>
      </c>
    </row>
    <row r="2281">
      <c r="B2281">
        <f>IFERROR(IF($B$1=0,"",IF(INDEX(貼り付け!$A$1:$BZ$3001,2280,$B$1)="","",IF(ISNUMBER(INDEX(貼り付け!$A$1:$BZ$3001,2280,$B$1)),INT(INDEX(貼り付け!$A$1:$BZ$3001,2280,$B$1)),DATE(VALUE(LEFT(I2281,FIND("-",I2281)-1)),VALUE(LEFT(J2281,FIND("-",J2281)-1)),VALUE(MID(J2281,FIND("-",J2281)+1,99)))))),"")</f>
        <v/>
      </c>
      <c r="C2281">
        <f>IF($C$1=0,0,IFERROR(VALUE(SUBSTITUTE(SUBSTITUTE(SUBSTITUTE(INDEX(貼り付け!$A$1:$BZ$3001,2280,$C$1)&amp;"",",",""),"¥",""),"￥","")),0))</f>
        <v/>
      </c>
      <c r="D2281">
        <f>IF($D$1=0,0,IFERROR(VALUE(SUBSTITUTE(SUBSTITUTE(SUBSTITUTE(INDEX(貼り付け!$A$1:$BZ$3001,2280,$D$1)&amp;"",",",""),"¥",""),"￥","")),0))</f>
        <v/>
      </c>
      <c r="E2281">
        <f>IF($E$1=0,0,IFERROR(VALUE(SUBSTITUTE(SUBSTITUTE(SUBSTITUTE(INDEX(貼り付け!$A$1:$BZ$3001,2280,$E$1)&amp;"",",",""),"¥",""),"￥","")),0))</f>
        <v/>
      </c>
      <c r="F2281">
        <f>IF($F$1=0,0,IFERROR(VALUE(SUBSTITUTE(SUBSTITUTE(SUBSTITUTE(INDEX(貼り付け!$A$1:$BZ$3001,2280,$F$1)&amp;"",",",""),"¥",""),"￥","")),0))</f>
        <v/>
      </c>
      <c r="G2281">
        <f>IF(ISNUMBER(B2281),YEAR(B2281),"")</f>
        <v/>
      </c>
      <c r="H2281">
        <f>IF(ISNUMBER(B2281),MONTH(B2281),"")</f>
        <v/>
      </c>
      <c r="I2281">
        <f>IFERROR(IF($B$1=0,"",IF(ISNUMBER(INDEX(貼り付け!$A$1:$BZ$3001,2280,$B$1)),"",SUBSTITUTE(SUBSTITUTE(SUBSTITUTE(SUBSTITUTE(TRIM(LEFT(INDEX(貼り付け!$A$1:$BZ$3001,2280,$B$1)&amp;"",FIND(" ",TRIM(INDEX(貼り付け!$A$1:$BZ$3001,2280,$B$1)&amp;"")&amp;" ")-1)),"/","-"),"年","-"),"月","-"),"日",""))),"")</f>
        <v/>
      </c>
      <c r="J2281">
        <f>IFERROR(MID(I2281,FIND("-",I2281)+1,99),"")</f>
        <v/>
      </c>
    </row>
    <row r="2282">
      <c r="B2282">
        <f>IFERROR(IF($B$1=0,"",IF(INDEX(貼り付け!$A$1:$BZ$3001,2281,$B$1)="","",IF(ISNUMBER(INDEX(貼り付け!$A$1:$BZ$3001,2281,$B$1)),INT(INDEX(貼り付け!$A$1:$BZ$3001,2281,$B$1)),DATE(VALUE(LEFT(I2282,FIND("-",I2282)-1)),VALUE(LEFT(J2282,FIND("-",J2282)-1)),VALUE(MID(J2282,FIND("-",J2282)+1,99)))))),"")</f>
        <v/>
      </c>
      <c r="C2282">
        <f>IF($C$1=0,0,IFERROR(VALUE(SUBSTITUTE(SUBSTITUTE(SUBSTITUTE(INDEX(貼り付け!$A$1:$BZ$3001,2281,$C$1)&amp;"",",",""),"¥",""),"￥","")),0))</f>
        <v/>
      </c>
      <c r="D2282">
        <f>IF($D$1=0,0,IFERROR(VALUE(SUBSTITUTE(SUBSTITUTE(SUBSTITUTE(INDEX(貼り付け!$A$1:$BZ$3001,2281,$D$1)&amp;"",",",""),"¥",""),"￥","")),0))</f>
        <v/>
      </c>
      <c r="E2282">
        <f>IF($E$1=0,0,IFERROR(VALUE(SUBSTITUTE(SUBSTITUTE(SUBSTITUTE(INDEX(貼り付け!$A$1:$BZ$3001,2281,$E$1)&amp;"",",",""),"¥",""),"￥","")),0))</f>
        <v/>
      </c>
      <c r="F2282">
        <f>IF($F$1=0,0,IFERROR(VALUE(SUBSTITUTE(SUBSTITUTE(SUBSTITUTE(INDEX(貼り付け!$A$1:$BZ$3001,2281,$F$1)&amp;"",",",""),"¥",""),"￥","")),0))</f>
        <v/>
      </c>
      <c r="G2282">
        <f>IF(ISNUMBER(B2282),YEAR(B2282),"")</f>
        <v/>
      </c>
      <c r="H2282">
        <f>IF(ISNUMBER(B2282),MONTH(B2282),"")</f>
        <v/>
      </c>
      <c r="I2282">
        <f>IFERROR(IF($B$1=0,"",IF(ISNUMBER(INDEX(貼り付け!$A$1:$BZ$3001,2281,$B$1)),"",SUBSTITUTE(SUBSTITUTE(SUBSTITUTE(SUBSTITUTE(TRIM(LEFT(INDEX(貼り付け!$A$1:$BZ$3001,2281,$B$1)&amp;"",FIND(" ",TRIM(INDEX(貼り付け!$A$1:$BZ$3001,2281,$B$1)&amp;"")&amp;" ")-1)),"/","-"),"年","-"),"月","-"),"日",""))),"")</f>
        <v/>
      </c>
      <c r="J2282">
        <f>IFERROR(MID(I2282,FIND("-",I2282)+1,99),"")</f>
        <v/>
      </c>
    </row>
    <row r="2283">
      <c r="B2283">
        <f>IFERROR(IF($B$1=0,"",IF(INDEX(貼り付け!$A$1:$BZ$3001,2282,$B$1)="","",IF(ISNUMBER(INDEX(貼り付け!$A$1:$BZ$3001,2282,$B$1)),INT(INDEX(貼り付け!$A$1:$BZ$3001,2282,$B$1)),DATE(VALUE(LEFT(I2283,FIND("-",I2283)-1)),VALUE(LEFT(J2283,FIND("-",J2283)-1)),VALUE(MID(J2283,FIND("-",J2283)+1,99)))))),"")</f>
        <v/>
      </c>
      <c r="C2283">
        <f>IF($C$1=0,0,IFERROR(VALUE(SUBSTITUTE(SUBSTITUTE(SUBSTITUTE(INDEX(貼り付け!$A$1:$BZ$3001,2282,$C$1)&amp;"",",",""),"¥",""),"￥","")),0))</f>
        <v/>
      </c>
      <c r="D2283">
        <f>IF($D$1=0,0,IFERROR(VALUE(SUBSTITUTE(SUBSTITUTE(SUBSTITUTE(INDEX(貼り付け!$A$1:$BZ$3001,2282,$D$1)&amp;"",",",""),"¥",""),"￥","")),0))</f>
        <v/>
      </c>
      <c r="E2283">
        <f>IF($E$1=0,0,IFERROR(VALUE(SUBSTITUTE(SUBSTITUTE(SUBSTITUTE(INDEX(貼り付け!$A$1:$BZ$3001,2282,$E$1)&amp;"",",",""),"¥",""),"￥","")),0))</f>
        <v/>
      </c>
      <c r="F2283">
        <f>IF($F$1=0,0,IFERROR(VALUE(SUBSTITUTE(SUBSTITUTE(SUBSTITUTE(INDEX(貼り付け!$A$1:$BZ$3001,2282,$F$1)&amp;"",",",""),"¥",""),"￥","")),0))</f>
        <v/>
      </c>
      <c r="G2283">
        <f>IF(ISNUMBER(B2283),YEAR(B2283),"")</f>
        <v/>
      </c>
      <c r="H2283">
        <f>IF(ISNUMBER(B2283),MONTH(B2283),"")</f>
        <v/>
      </c>
      <c r="I2283">
        <f>IFERROR(IF($B$1=0,"",IF(ISNUMBER(INDEX(貼り付け!$A$1:$BZ$3001,2282,$B$1)),"",SUBSTITUTE(SUBSTITUTE(SUBSTITUTE(SUBSTITUTE(TRIM(LEFT(INDEX(貼り付け!$A$1:$BZ$3001,2282,$B$1)&amp;"",FIND(" ",TRIM(INDEX(貼り付け!$A$1:$BZ$3001,2282,$B$1)&amp;"")&amp;" ")-1)),"/","-"),"年","-"),"月","-"),"日",""))),"")</f>
        <v/>
      </c>
      <c r="J2283">
        <f>IFERROR(MID(I2283,FIND("-",I2283)+1,99),"")</f>
        <v/>
      </c>
    </row>
    <row r="2284">
      <c r="B2284">
        <f>IFERROR(IF($B$1=0,"",IF(INDEX(貼り付け!$A$1:$BZ$3001,2283,$B$1)="","",IF(ISNUMBER(INDEX(貼り付け!$A$1:$BZ$3001,2283,$B$1)),INT(INDEX(貼り付け!$A$1:$BZ$3001,2283,$B$1)),DATE(VALUE(LEFT(I2284,FIND("-",I2284)-1)),VALUE(LEFT(J2284,FIND("-",J2284)-1)),VALUE(MID(J2284,FIND("-",J2284)+1,99)))))),"")</f>
        <v/>
      </c>
      <c r="C2284">
        <f>IF($C$1=0,0,IFERROR(VALUE(SUBSTITUTE(SUBSTITUTE(SUBSTITUTE(INDEX(貼り付け!$A$1:$BZ$3001,2283,$C$1)&amp;"",",",""),"¥",""),"￥","")),0))</f>
        <v/>
      </c>
      <c r="D2284">
        <f>IF($D$1=0,0,IFERROR(VALUE(SUBSTITUTE(SUBSTITUTE(SUBSTITUTE(INDEX(貼り付け!$A$1:$BZ$3001,2283,$D$1)&amp;"",",",""),"¥",""),"￥","")),0))</f>
        <v/>
      </c>
      <c r="E2284">
        <f>IF($E$1=0,0,IFERROR(VALUE(SUBSTITUTE(SUBSTITUTE(SUBSTITUTE(INDEX(貼り付け!$A$1:$BZ$3001,2283,$E$1)&amp;"",",",""),"¥",""),"￥","")),0))</f>
        <v/>
      </c>
      <c r="F2284">
        <f>IF($F$1=0,0,IFERROR(VALUE(SUBSTITUTE(SUBSTITUTE(SUBSTITUTE(INDEX(貼り付け!$A$1:$BZ$3001,2283,$F$1)&amp;"",",",""),"¥",""),"￥","")),0))</f>
        <v/>
      </c>
      <c r="G2284">
        <f>IF(ISNUMBER(B2284),YEAR(B2284),"")</f>
        <v/>
      </c>
      <c r="H2284">
        <f>IF(ISNUMBER(B2284),MONTH(B2284),"")</f>
        <v/>
      </c>
      <c r="I2284">
        <f>IFERROR(IF($B$1=0,"",IF(ISNUMBER(INDEX(貼り付け!$A$1:$BZ$3001,2283,$B$1)),"",SUBSTITUTE(SUBSTITUTE(SUBSTITUTE(SUBSTITUTE(TRIM(LEFT(INDEX(貼り付け!$A$1:$BZ$3001,2283,$B$1)&amp;"",FIND(" ",TRIM(INDEX(貼り付け!$A$1:$BZ$3001,2283,$B$1)&amp;"")&amp;" ")-1)),"/","-"),"年","-"),"月","-"),"日",""))),"")</f>
        <v/>
      </c>
      <c r="J2284">
        <f>IFERROR(MID(I2284,FIND("-",I2284)+1,99),"")</f>
        <v/>
      </c>
    </row>
    <row r="2285">
      <c r="B2285">
        <f>IFERROR(IF($B$1=0,"",IF(INDEX(貼り付け!$A$1:$BZ$3001,2284,$B$1)="","",IF(ISNUMBER(INDEX(貼り付け!$A$1:$BZ$3001,2284,$B$1)),INT(INDEX(貼り付け!$A$1:$BZ$3001,2284,$B$1)),DATE(VALUE(LEFT(I2285,FIND("-",I2285)-1)),VALUE(LEFT(J2285,FIND("-",J2285)-1)),VALUE(MID(J2285,FIND("-",J2285)+1,99)))))),"")</f>
        <v/>
      </c>
      <c r="C2285">
        <f>IF($C$1=0,0,IFERROR(VALUE(SUBSTITUTE(SUBSTITUTE(SUBSTITUTE(INDEX(貼り付け!$A$1:$BZ$3001,2284,$C$1)&amp;"",",",""),"¥",""),"￥","")),0))</f>
        <v/>
      </c>
      <c r="D2285">
        <f>IF($D$1=0,0,IFERROR(VALUE(SUBSTITUTE(SUBSTITUTE(SUBSTITUTE(INDEX(貼り付け!$A$1:$BZ$3001,2284,$D$1)&amp;"",",",""),"¥",""),"￥","")),0))</f>
        <v/>
      </c>
      <c r="E2285">
        <f>IF($E$1=0,0,IFERROR(VALUE(SUBSTITUTE(SUBSTITUTE(SUBSTITUTE(INDEX(貼り付け!$A$1:$BZ$3001,2284,$E$1)&amp;"",",",""),"¥",""),"￥","")),0))</f>
        <v/>
      </c>
      <c r="F2285">
        <f>IF($F$1=0,0,IFERROR(VALUE(SUBSTITUTE(SUBSTITUTE(SUBSTITUTE(INDEX(貼り付け!$A$1:$BZ$3001,2284,$F$1)&amp;"",",",""),"¥",""),"￥","")),0))</f>
        <v/>
      </c>
      <c r="G2285">
        <f>IF(ISNUMBER(B2285),YEAR(B2285),"")</f>
        <v/>
      </c>
      <c r="H2285">
        <f>IF(ISNUMBER(B2285),MONTH(B2285),"")</f>
        <v/>
      </c>
      <c r="I2285">
        <f>IFERROR(IF($B$1=0,"",IF(ISNUMBER(INDEX(貼り付け!$A$1:$BZ$3001,2284,$B$1)),"",SUBSTITUTE(SUBSTITUTE(SUBSTITUTE(SUBSTITUTE(TRIM(LEFT(INDEX(貼り付け!$A$1:$BZ$3001,2284,$B$1)&amp;"",FIND(" ",TRIM(INDEX(貼り付け!$A$1:$BZ$3001,2284,$B$1)&amp;"")&amp;" ")-1)),"/","-"),"年","-"),"月","-"),"日",""))),"")</f>
        <v/>
      </c>
      <c r="J2285">
        <f>IFERROR(MID(I2285,FIND("-",I2285)+1,99),"")</f>
        <v/>
      </c>
    </row>
    <row r="2286">
      <c r="B2286">
        <f>IFERROR(IF($B$1=0,"",IF(INDEX(貼り付け!$A$1:$BZ$3001,2285,$B$1)="","",IF(ISNUMBER(INDEX(貼り付け!$A$1:$BZ$3001,2285,$B$1)),INT(INDEX(貼り付け!$A$1:$BZ$3001,2285,$B$1)),DATE(VALUE(LEFT(I2286,FIND("-",I2286)-1)),VALUE(LEFT(J2286,FIND("-",J2286)-1)),VALUE(MID(J2286,FIND("-",J2286)+1,99)))))),"")</f>
        <v/>
      </c>
      <c r="C2286">
        <f>IF($C$1=0,0,IFERROR(VALUE(SUBSTITUTE(SUBSTITUTE(SUBSTITUTE(INDEX(貼り付け!$A$1:$BZ$3001,2285,$C$1)&amp;"",",",""),"¥",""),"￥","")),0))</f>
        <v/>
      </c>
      <c r="D2286">
        <f>IF($D$1=0,0,IFERROR(VALUE(SUBSTITUTE(SUBSTITUTE(SUBSTITUTE(INDEX(貼り付け!$A$1:$BZ$3001,2285,$D$1)&amp;"",",",""),"¥",""),"￥","")),0))</f>
        <v/>
      </c>
      <c r="E2286">
        <f>IF($E$1=0,0,IFERROR(VALUE(SUBSTITUTE(SUBSTITUTE(SUBSTITUTE(INDEX(貼り付け!$A$1:$BZ$3001,2285,$E$1)&amp;"",",",""),"¥",""),"￥","")),0))</f>
        <v/>
      </c>
      <c r="F2286">
        <f>IF($F$1=0,0,IFERROR(VALUE(SUBSTITUTE(SUBSTITUTE(SUBSTITUTE(INDEX(貼り付け!$A$1:$BZ$3001,2285,$F$1)&amp;"",",",""),"¥",""),"￥","")),0))</f>
        <v/>
      </c>
      <c r="G2286">
        <f>IF(ISNUMBER(B2286),YEAR(B2286),"")</f>
        <v/>
      </c>
      <c r="H2286">
        <f>IF(ISNUMBER(B2286),MONTH(B2286),"")</f>
        <v/>
      </c>
      <c r="I2286">
        <f>IFERROR(IF($B$1=0,"",IF(ISNUMBER(INDEX(貼り付け!$A$1:$BZ$3001,2285,$B$1)),"",SUBSTITUTE(SUBSTITUTE(SUBSTITUTE(SUBSTITUTE(TRIM(LEFT(INDEX(貼り付け!$A$1:$BZ$3001,2285,$B$1)&amp;"",FIND(" ",TRIM(INDEX(貼り付け!$A$1:$BZ$3001,2285,$B$1)&amp;"")&amp;" ")-1)),"/","-"),"年","-"),"月","-"),"日",""))),"")</f>
        <v/>
      </c>
      <c r="J2286">
        <f>IFERROR(MID(I2286,FIND("-",I2286)+1,99),"")</f>
        <v/>
      </c>
    </row>
    <row r="2287">
      <c r="B2287">
        <f>IFERROR(IF($B$1=0,"",IF(INDEX(貼り付け!$A$1:$BZ$3001,2286,$B$1)="","",IF(ISNUMBER(INDEX(貼り付け!$A$1:$BZ$3001,2286,$B$1)),INT(INDEX(貼り付け!$A$1:$BZ$3001,2286,$B$1)),DATE(VALUE(LEFT(I2287,FIND("-",I2287)-1)),VALUE(LEFT(J2287,FIND("-",J2287)-1)),VALUE(MID(J2287,FIND("-",J2287)+1,99)))))),"")</f>
        <v/>
      </c>
      <c r="C2287">
        <f>IF($C$1=0,0,IFERROR(VALUE(SUBSTITUTE(SUBSTITUTE(SUBSTITUTE(INDEX(貼り付け!$A$1:$BZ$3001,2286,$C$1)&amp;"",",",""),"¥",""),"￥","")),0))</f>
        <v/>
      </c>
      <c r="D2287">
        <f>IF($D$1=0,0,IFERROR(VALUE(SUBSTITUTE(SUBSTITUTE(SUBSTITUTE(INDEX(貼り付け!$A$1:$BZ$3001,2286,$D$1)&amp;"",",",""),"¥",""),"￥","")),0))</f>
        <v/>
      </c>
      <c r="E2287">
        <f>IF($E$1=0,0,IFERROR(VALUE(SUBSTITUTE(SUBSTITUTE(SUBSTITUTE(INDEX(貼り付け!$A$1:$BZ$3001,2286,$E$1)&amp;"",",",""),"¥",""),"￥","")),0))</f>
        <v/>
      </c>
      <c r="F2287">
        <f>IF($F$1=0,0,IFERROR(VALUE(SUBSTITUTE(SUBSTITUTE(SUBSTITUTE(INDEX(貼り付け!$A$1:$BZ$3001,2286,$F$1)&amp;"",",",""),"¥",""),"￥","")),0))</f>
        <v/>
      </c>
      <c r="G2287">
        <f>IF(ISNUMBER(B2287),YEAR(B2287),"")</f>
        <v/>
      </c>
      <c r="H2287">
        <f>IF(ISNUMBER(B2287),MONTH(B2287),"")</f>
        <v/>
      </c>
      <c r="I2287">
        <f>IFERROR(IF($B$1=0,"",IF(ISNUMBER(INDEX(貼り付け!$A$1:$BZ$3001,2286,$B$1)),"",SUBSTITUTE(SUBSTITUTE(SUBSTITUTE(SUBSTITUTE(TRIM(LEFT(INDEX(貼り付け!$A$1:$BZ$3001,2286,$B$1)&amp;"",FIND(" ",TRIM(INDEX(貼り付け!$A$1:$BZ$3001,2286,$B$1)&amp;"")&amp;" ")-1)),"/","-"),"年","-"),"月","-"),"日",""))),"")</f>
        <v/>
      </c>
      <c r="J2287">
        <f>IFERROR(MID(I2287,FIND("-",I2287)+1,99),"")</f>
        <v/>
      </c>
    </row>
    <row r="2288">
      <c r="B2288">
        <f>IFERROR(IF($B$1=0,"",IF(INDEX(貼り付け!$A$1:$BZ$3001,2287,$B$1)="","",IF(ISNUMBER(INDEX(貼り付け!$A$1:$BZ$3001,2287,$B$1)),INT(INDEX(貼り付け!$A$1:$BZ$3001,2287,$B$1)),DATE(VALUE(LEFT(I2288,FIND("-",I2288)-1)),VALUE(LEFT(J2288,FIND("-",J2288)-1)),VALUE(MID(J2288,FIND("-",J2288)+1,99)))))),"")</f>
        <v/>
      </c>
      <c r="C2288">
        <f>IF($C$1=0,0,IFERROR(VALUE(SUBSTITUTE(SUBSTITUTE(SUBSTITUTE(INDEX(貼り付け!$A$1:$BZ$3001,2287,$C$1)&amp;"",",",""),"¥",""),"￥","")),0))</f>
        <v/>
      </c>
      <c r="D2288">
        <f>IF($D$1=0,0,IFERROR(VALUE(SUBSTITUTE(SUBSTITUTE(SUBSTITUTE(INDEX(貼り付け!$A$1:$BZ$3001,2287,$D$1)&amp;"",",",""),"¥",""),"￥","")),0))</f>
        <v/>
      </c>
      <c r="E2288">
        <f>IF($E$1=0,0,IFERROR(VALUE(SUBSTITUTE(SUBSTITUTE(SUBSTITUTE(INDEX(貼り付け!$A$1:$BZ$3001,2287,$E$1)&amp;"",",",""),"¥",""),"￥","")),0))</f>
        <v/>
      </c>
      <c r="F2288">
        <f>IF($F$1=0,0,IFERROR(VALUE(SUBSTITUTE(SUBSTITUTE(SUBSTITUTE(INDEX(貼り付け!$A$1:$BZ$3001,2287,$F$1)&amp;"",",",""),"¥",""),"￥","")),0))</f>
        <v/>
      </c>
      <c r="G2288">
        <f>IF(ISNUMBER(B2288),YEAR(B2288),"")</f>
        <v/>
      </c>
      <c r="H2288">
        <f>IF(ISNUMBER(B2288),MONTH(B2288),"")</f>
        <v/>
      </c>
      <c r="I2288">
        <f>IFERROR(IF($B$1=0,"",IF(ISNUMBER(INDEX(貼り付け!$A$1:$BZ$3001,2287,$B$1)),"",SUBSTITUTE(SUBSTITUTE(SUBSTITUTE(SUBSTITUTE(TRIM(LEFT(INDEX(貼り付け!$A$1:$BZ$3001,2287,$B$1)&amp;"",FIND(" ",TRIM(INDEX(貼り付け!$A$1:$BZ$3001,2287,$B$1)&amp;"")&amp;" ")-1)),"/","-"),"年","-"),"月","-"),"日",""))),"")</f>
        <v/>
      </c>
      <c r="J2288">
        <f>IFERROR(MID(I2288,FIND("-",I2288)+1,99),"")</f>
        <v/>
      </c>
    </row>
    <row r="2289">
      <c r="B2289">
        <f>IFERROR(IF($B$1=0,"",IF(INDEX(貼り付け!$A$1:$BZ$3001,2288,$B$1)="","",IF(ISNUMBER(INDEX(貼り付け!$A$1:$BZ$3001,2288,$B$1)),INT(INDEX(貼り付け!$A$1:$BZ$3001,2288,$B$1)),DATE(VALUE(LEFT(I2289,FIND("-",I2289)-1)),VALUE(LEFT(J2289,FIND("-",J2289)-1)),VALUE(MID(J2289,FIND("-",J2289)+1,99)))))),"")</f>
        <v/>
      </c>
      <c r="C2289">
        <f>IF($C$1=0,0,IFERROR(VALUE(SUBSTITUTE(SUBSTITUTE(SUBSTITUTE(INDEX(貼り付け!$A$1:$BZ$3001,2288,$C$1)&amp;"",",",""),"¥",""),"￥","")),0))</f>
        <v/>
      </c>
      <c r="D2289">
        <f>IF($D$1=0,0,IFERROR(VALUE(SUBSTITUTE(SUBSTITUTE(SUBSTITUTE(INDEX(貼り付け!$A$1:$BZ$3001,2288,$D$1)&amp;"",",",""),"¥",""),"￥","")),0))</f>
        <v/>
      </c>
      <c r="E2289">
        <f>IF($E$1=0,0,IFERROR(VALUE(SUBSTITUTE(SUBSTITUTE(SUBSTITUTE(INDEX(貼り付け!$A$1:$BZ$3001,2288,$E$1)&amp;"",",",""),"¥",""),"￥","")),0))</f>
        <v/>
      </c>
      <c r="F2289">
        <f>IF($F$1=0,0,IFERROR(VALUE(SUBSTITUTE(SUBSTITUTE(SUBSTITUTE(INDEX(貼り付け!$A$1:$BZ$3001,2288,$F$1)&amp;"",",",""),"¥",""),"￥","")),0))</f>
        <v/>
      </c>
      <c r="G2289">
        <f>IF(ISNUMBER(B2289),YEAR(B2289),"")</f>
        <v/>
      </c>
      <c r="H2289">
        <f>IF(ISNUMBER(B2289),MONTH(B2289),"")</f>
        <v/>
      </c>
      <c r="I2289">
        <f>IFERROR(IF($B$1=0,"",IF(ISNUMBER(INDEX(貼り付け!$A$1:$BZ$3001,2288,$B$1)),"",SUBSTITUTE(SUBSTITUTE(SUBSTITUTE(SUBSTITUTE(TRIM(LEFT(INDEX(貼り付け!$A$1:$BZ$3001,2288,$B$1)&amp;"",FIND(" ",TRIM(INDEX(貼り付け!$A$1:$BZ$3001,2288,$B$1)&amp;"")&amp;" ")-1)),"/","-"),"年","-"),"月","-"),"日",""))),"")</f>
        <v/>
      </c>
      <c r="J2289">
        <f>IFERROR(MID(I2289,FIND("-",I2289)+1,99),"")</f>
        <v/>
      </c>
    </row>
    <row r="2290">
      <c r="B2290">
        <f>IFERROR(IF($B$1=0,"",IF(INDEX(貼り付け!$A$1:$BZ$3001,2289,$B$1)="","",IF(ISNUMBER(INDEX(貼り付け!$A$1:$BZ$3001,2289,$B$1)),INT(INDEX(貼り付け!$A$1:$BZ$3001,2289,$B$1)),DATE(VALUE(LEFT(I2290,FIND("-",I2290)-1)),VALUE(LEFT(J2290,FIND("-",J2290)-1)),VALUE(MID(J2290,FIND("-",J2290)+1,99)))))),"")</f>
        <v/>
      </c>
      <c r="C2290">
        <f>IF($C$1=0,0,IFERROR(VALUE(SUBSTITUTE(SUBSTITUTE(SUBSTITUTE(INDEX(貼り付け!$A$1:$BZ$3001,2289,$C$1)&amp;"",",",""),"¥",""),"￥","")),0))</f>
        <v/>
      </c>
      <c r="D2290">
        <f>IF($D$1=0,0,IFERROR(VALUE(SUBSTITUTE(SUBSTITUTE(SUBSTITUTE(INDEX(貼り付け!$A$1:$BZ$3001,2289,$D$1)&amp;"",",",""),"¥",""),"￥","")),0))</f>
        <v/>
      </c>
      <c r="E2290">
        <f>IF($E$1=0,0,IFERROR(VALUE(SUBSTITUTE(SUBSTITUTE(SUBSTITUTE(INDEX(貼り付け!$A$1:$BZ$3001,2289,$E$1)&amp;"",",",""),"¥",""),"￥","")),0))</f>
        <v/>
      </c>
      <c r="F2290">
        <f>IF($F$1=0,0,IFERROR(VALUE(SUBSTITUTE(SUBSTITUTE(SUBSTITUTE(INDEX(貼り付け!$A$1:$BZ$3001,2289,$F$1)&amp;"",",",""),"¥",""),"￥","")),0))</f>
        <v/>
      </c>
      <c r="G2290">
        <f>IF(ISNUMBER(B2290),YEAR(B2290),"")</f>
        <v/>
      </c>
      <c r="H2290">
        <f>IF(ISNUMBER(B2290),MONTH(B2290),"")</f>
        <v/>
      </c>
      <c r="I2290">
        <f>IFERROR(IF($B$1=0,"",IF(ISNUMBER(INDEX(貼り付け!$A$1:$BZ$3001,2289,$B$1)),"",SUBSTITUTE(SUBSTITUTE(SUBSTITUTE(SUBSTITUTE(TRIM(LEFT(INDEX(貼り付け!$A$1:$BZ$3001,2289,$B$1)&amp;"",FIND(" ",TRIM(INDEX(貼り付け!$A$1:$BZ$3001,2289,$B$1)&amp;"")&amp;" ")-1)),"/","-"),"年","-"),"月","-"),"日",""))),"")</f>
        <v/>
      </c>
      <c r="J2290">
        <f>IFERROR(MID(I2290,FIND("-",I2290)+1,99),"")</f>
        <v/>
      </c>
    </row>
    <row r="2291">
      <c r="B2291">
        <f>IFERROR(IF($B$1=0,"",IF(INDEX(貼り付け!$A$1:$BZ$3001,2290,$B$1)="","",IF(ISNUMBER(INDEX(貼り付け!$A$1:$BZ$3001,2290,$B$1)),INT(INDEX(貼り付け!$A$1:$BZ$3001,2290,$B$1)),DATE(VALUE(LEFT(I2291,FIND("-",I2291)-1)),VALUE(LEFT(J2291,FIND("-",J2291)-1)),VALUE(MID(J2291,FIND("-",J2291)+1,99)))))),"")</f>
        <v/>
      </c>
      <c r="C2291">
        <f>IF($C$1=0,0,IFERROR(VALUE(SUBSTITUTE(SUBSTITUTE(SUBSTITUTE(INDEX(貼り付け!$A$1:$BZ$3001,2290,$C$1)&amp;"",",",""),"¥",""),"￥","")),0))</f>
        <v/>
      </c>
      <c r="D2291">
        <f>IF($D$1=0,0,IFERROR(VALUE(SUBSTITUTE(SUBSTITUTE(SUBSTITUTE(INDEX(貼り付け!$A$1:$BZ$3001,2290,$D$1)&amp;"",",",""),"¥",""),"￥","")),0))</f>
        <v/>
      </c>
      <c r="E2291">
        <f>IF($E$1=0,0,IFERROR(VALUE(SUBSTITUTE(SUBSTITUTE(SUBSTITUTE(INDEX(貼り付け!$A$1:$BZ$3001,2290,$E$1)&amp;"",",",""),"¥",""),"￥","")),0))</f>
        <v/>
      </c>
      <c r="F2291">
        <f>IF($F$1=0,0,IFERROR(VALUE(SUBSTITUTE(SUBSTITUTE(SUBSTITUTE(INDEX(貼り付け!$A$1:$BZ$3001,2290,$F$1)&amp;"",",",""),"¥",""),"￥","")),0))</f>
        <v/>
      </c>
      <c r="G2291">
        <f>IF(ISNUMBER(B2291),YEAR(B2291),"")</f>
        <v/>
      </c>
      <c r="H2291">
        <f>IF(ISNUMBER(B2291),MONTH(B2291),"")</f>
        <v/>
      </c>
      <c r="I2291">
        <f>IFERROR(IF($B$1=0,"",IF(ISNUMBER(INDEX(貼り付け!$A$1:$BZ$3001,2290,$B$1)),"",SUBSTITUTE(SUBSTITUTE(SUBSTITUTE(SUBSTITUTE(TRIM(LEFT(INDEX(貼り付け!$A$1:$BZ$3001,2290,$B$1)&amp;"",FIND(" ",TRIM(INDEX(貼り付け!$A$1:$BZ$3001,2290,$B$1)&amp;"")&amp;" ")-1)),"/","-"),"年","-"),"月","-"),"日",""))),"")</f>
        <v/>
      </c>
      <c r="J2291">
        <f>IFERROR(MID(I2291,FIND("-",I2291)+1,99),"")</f>
        <v/>
      </c>
    </row>
    <row r="2292">
      <c r="B2292">
        <f>IFERROR(IF($B$1=0,"",IF(INDEX(貼り付け!$A$1:$BZ$3001,2291,$B$1)="","",IF(ISNUMBER(INDEX(貼り付け!$A$1:$BZ$3001,2291,$B$1)),INT(INDEX(貼り付け!$A$1:$BZ$3001,2291,$B$1)),DATE(VALUE(LEFT(I2292,FIND("-",I2292)-1)),VALUE(LEFT(J2292,FIND("-",J2292)-1)),VALUE(MID(J2292,FIND("-",J2292)+1,99)))))),"")</f>
        <v/>
      </c>
      <c r="C2292">
        <f>IF($C$1=0,0,IFERROR(VALUE(SUBSTITUTE(SUBSTITUTE(SUBSTITUTE(INDEX(貼り付け!$A$1:$BZ$3001,2291,$C$1)&amp;"",",",""),"¥",""),"￥","")),0))</f>
        <v/>
      </c>
      <c r="D2292">
        <f>IF($D$1=0,0,IFERROR(VALUE(SUBSTITUTE(SUBSTITUTE(SUBSTITUTE(INDEX(貼り付け!$A$1:$BZ$3001,2291,$D$1)&amp;"",",",""),"¥",""),"￥","")),0))</f>
        <v/>
      </c>
      <c r="E2292">
        <f>IF($E$1=0,0,IFERROR(VALUE(SUBSTITUTE(SUBSTITUTE(SUBSTITUTE(INDEX(貼り付け!$A$1:$BZ$3001,2291,$E$1)&amp;"",",",""),"¥",""),"￥","")),0))</f>
        <v/>
      </c>
      <c r="F2292">
        <f>IF($F$1=0,0,IFERROR(VALUE(SUBSTITUTE(SUBSTITUTE(SUBSTITUTE(INDEX(貼り付け!$A$1:$BZ$3001,2291,$F$1)&amp;"",",",""),"¥",""),"￥","")),0))</f>
        <v/>
      </c>
      <c r="G2292">
        <f>IF(ISNUMBER(B2292),YEAR(B2292),"")</f>
        <v/>
      </c>
      <c r="H2292">
        <f>IF(ISNUMBER(B2292),MONTH(B2292),"")</f>
        <v/>
      </c>
      <c r="I2292">
        <f>IFERROR(IF($B$1=0,"",IF(ISNUMBER(INDEX(貼り付け!$A$1:$BZ$3001,2291,$B$1)),"",SUBSTITUTE(SUBSTITUTE(SUBSTITUTE(SUBSTITUTE(TRIM(LEFT(INDEX(貼り付け!$A$1:$BZ$3001,2291,$B$1)&amp;"",FIND(" ",TRIM(INDEX(貼り付け!$A$1:$BZ$3001,2291,$B$1)&amp;"")&amp;" ")-1)),"/","-"),"年","-"),"月","-"),"日",""))),"")</f>
        <v/>
      </c>
      <c r="J2292">
        <f>IFERROR(MID(I2292,FIND("-",I2292)+1,99),"")</f>
        <v/>
      </c>
    </row>
    <row r="2293">
      <c r="B2293">
        <f>IFERROR(IF($B$1=0,"",IF(INDEX(貼り付け!$A$1:$BZ$3001,2292,$B$1)="","",IF(ISNUMBER(INDEX(貼り付け!$A$1:$BZ$3001,2292,$B$1)),INT(INDEX(貼り付け!$A$1:$BZ$3001,2292,$B$1)),DATE(VALUE(LEFT(I2293,FIND("-",I2293)-1)),VALUE(LEFT(J2293,FIND("-",J2293)-1)),VALUE(MID(J2293,FIND("-",J2293)+1,99)))))),"")</f>
        <v/>
      </c>
      <c r="C2293">
        <f>IF($C$1=0,0,IFERROR(VALUE(SUBSTITUTE(SUBSTITUTE(SUBSTITUTE(INDEX(貼り付け!$A$1:$BZ$3001,2292,$C$1)&amp;"",",",""),"¥",""),"￥","")),0))</f>
        <v/>
      </c>
      <c r="D2293">
        <f>IF($D$1=0,0,IFERROR(VALUE(SUBSTITUTE(SUBSTITUTE(SUBSTITUTE(INDEX(貼り付け!$A$1:$BZ$3001,2292,$D$1)&amp;"",",",""),"¥",""),"￥","")),0))</f>
        <v/>
      </c>
      <c r="E2293">
        <f>IF($E$1=0,0,IFERROR(VALUE(SUBSTITUTE(SUBSTITUTE(SUBSTITUTE(INDEX(貼り付け!$A$1:$BZ$3001,2292,$E$1)&amp;"",",",""),"¥",""),"￥","")),0))</f>
        <v/>
      </c>
      <c r="F2293">
        <f>IF($F$1=0,0,IFERROR(VALUE(SUBSTITUTE(SUBSTITUTE(SUBSTITUTE(INDEX(貼り付け!$A$1:$BZ$3001,2292,$F$1)&amp;"",",",""),"¥",""),"￥","")),0))</f>
        <v/>
      </c>
      <c r="G2293">
        <f>IF(ISNUMBER(B2293),YEAR(B2293),"")</f>
        <v/>
      </c>
      <c r="H2293">
        <f>IF(ISNUMBER(B2293),MONTH(B2293),"")</f>
        <v/>
      </c>
      <c r="I2293">
        <f>IFERROR(IF($B$1=0,"",IF(ISNUMBER(INDEX(貼り付け!$A$1:$BZ$3001,2292,$B$1)),"",SUBSTITUTE(SUBSTITUTE(SUBSTITUTE(SUBSTITUTE(TRIM(LEFT(INDEX(貼り付け!$A$1:$BZ$3001,2292,$B$1)&amp;"",FIND(" ",TRIM(INDEX(貼り付け!$A$1:$BZ$3001,2292,$B$1)&amp;"")&amp;" ")-1)),"/","-"),"年","-"),"月","-"),"日",""))),"")</f>
        <v/>
      </c>
      <c r="J2293">
        <f>IFERROR(MID(I2293,FIND("-",I2293)+1,99),"")</f>
        <v/>
      </c>
    </row>
    <row r="2294">
      <c r="B2294">
        <f>IFERROR(IF($B$1=0,"",IF(INDEX(貼り付け!$A$1:$BZ$3001,2293,$B$1)="","",IF(ISNUMBER(INDEX(貼り付け!$A$1:$BZ$3001,2293,$B$1)),INT(INDEX(貼り付け!$A$1:$BZ$3001,2293,$B$1)),DATE(VALUE(LEFT(I2294,FIND("-",I2294)-1)),VALUE(LEFT(J2294,FIND("-",J2294)-1)),VALUE(MID(J2294,FIND("-",J2294)+1,99)))))),"")</f>
        <v/>
      </c>
      <c r="C2294">
        <f>IF($C$1=0,0,IFERROR(VALUE(SUBSTITUTE(SUBSTITUTE(SUBSTITUTE(INDEX(貼り付け!$A$1:$BZ$3001,2293,$C$1)&amp;"",",",""),"¥",""),"￥","")),0))</f>
        <v/>
      </c>
      <c r="D2294">
        <f>IF($D$1=0,0,IFERROR(VALUE(SUBSTITUTE(SUBSTITUTE(SUBSTITUTE(INDEX(貼り付け!$A$1:$BZ$3001,2293,$D$1)&amp;"",",",""),"¥",""),"￥","")),0))</f>
        <v/>
      </c>
      <c r="E2294">
        <f>IF($E$1=0,0,IFERROR(VALUE(SUBSTITUTE(SUBSTITUTE(SUBSTITUTE(INDEX(貼り付け!$A$1:$BZ$3001,2293,$E$1)&amp;"",",",""),"¥",""),"￥","")),0))</f>
        <v/>
      </c>
      <c r="F2294">
        <f>IF($F$1=0,0,IFERROR(VALUE(SUBSTITUTE(SUBSTITUTE(SUBSTITUTE(INDEX(貼り付け!$A$1:$BZ$3001,2293,$F$1)&amp;"",",",""),"¥",""),"￥","")),0))</f>
        <v/>
      </c>
      <c r="G2294">
        <f>IF(ISNUMBER(B2294),YEAR(B2294),"")</f>
        <v/>
      </c>
      <c r="H2294">
        <f>IF(ISNUMBER(B2294),MONTH(B2294),"")</f>
        <v/>
      </c>
      <c r="I2294">
        <f>IFERROR(IF($B$1=0,"",IF(ISNUMBER(INDEX(貼り付け!$A$1:$BZ$3001,2293,$B$1)),"",SUBSTITUTE(SUBSTITUTE(SUBSTITUTE(SUBSTITUTE(TRIM(LEFT(INDEX(貼り付け!$A$1:$BZ$3001,2293,$B$1)&amp;"",FIND(" ",TRIM(INDEX(貼り付け!$A$1:$BZ$3001,2293,$B$1)&amp;"")&amp;" ")-1)),"/","-"),"年","-"),"月","-"),"日",""))),"")</f>
        <v/>
      </c>
      <c r="J2294">
        <f>IFERROR(MID(I2294,FIND("-",I2294)+1,99),"")</f>
        <v/>
      </c>
    </row>
    <row r="2295">
      <c r="B2295">
        <f>IFERROR(IF($B$1=0,"",IF(INDEX(貼り付け!$A$1:$BZ$3001,2294,$B$1)="","",IF(ISNUMBER(INDEX(貼り付け!$A$1:$BZ$3001,2294,$B$1)),INT(INDEX(貼り付け!$A$1:$BZ$3001,2294,$B$1)),DATE(VALUE(LEFT(I2295,FIND("-",I2295)-1)),VALUE(LEFT(J2295,FIND("-",J2295)-1)),VALUE(MID(J2295,FIND("-",J2295)+1,99)))))),"")</f>
        <v/>
      </c>
      <c r="C2295">
        <f>IF($C$1=0,0,IFERROR(VALUE(SUBSTITUTE(SUBSTITUTE(SUBSTITUTE(INDEX(貼り付け!$A$1:$BZ$3001,2294,$C$1)&amp;"",",",""),"¥",""),"￥","")),0))</f>
        <v/>
      </c>
      <c r="D2295">
        <f>IF($D$1=0,0,IFERROR(VALUE(SUBSTITUTE(SUBSTITUTE(SUBSTITUTE(INDEX(貼り付け!$A$1:$BZ$3001,2294,$D$1)&amp;"",",",""),"¥",""),"￥","")),0))</f>
        <v/>
      </c>
      <c r="E2295">
        <f>IF($E$1=0,0,IFERROR(VALUE(SUBSTITUTE(SUBSTITUTE(SUBSTITUTE(INDEX(貼り付け!$A$1:$BZ$3001,2294,$E$1)&amp;"",",",""),"¥",""),"￥","")),0))</f>
        <v/>
      </c>
      <c r="F2295">
        <f>IF($F$1=0,0,IFERROR(VALUE(SUBSTITUTE(SUBSTITUTE(SUBSTITUTE(INDEX(貼り付け!$A$1:$BZ$3001,2294,$F$1)&amp;"",",",""),"¥",""),"￥","")),0))</f>
        <v/>
      </c>
      <c r="G2295">
        <f>IF(ISNUMBER(B2295),YEAR(B2295),"")</f>
        <v/>
      </c>
      <c r="H2295">
        <f>IF(ISNUMBER(B2295),MONTH(B2295),"")</f>
        <v/>
      </c>
      <c r="I2295">
        <f>IFERROR(IF($B$1=0,"",IF(ISNUMBER(INDEX(貼り付け!$A$1:$BZ$3001,2294,$B$1)),"",SUBSTITUTE(SUBSTITUTE(SUBSTITUTE(SUBSTITUTE(TRIM(LEFT(INDEX(貼り付け!$A$1:$BZ$3001,2294,$B$1)&amp;"",FIND(" ",TRIM(INDEX(貼り付け!$A$1:$BZ$3001,2294,$B$1)&amp;"")&amp;" ")-1)),"/","-"),"年","-"),"月","-"),"日",""))),"")</f>
        <v/>
      </c>
      <c r="J2295">
        <f>IFERROR(MID(I2295,FIND("-",I2295)+1,99),"")</f>
        <v/>
      </c>
    </row>
    <row r="2296">
      <c r="B2296">
        <f>IFERROR(IF($B$1=0,"",IF(INDEX(貼り付け!$A$1:$BZ$3001,2295,$B$1)="","",IF(ISNUMBER(INDEX(貼り付け!$A$1:$BZ$3001,2295,$B$1)),INT(INDEX(貼り付け!$A$1:$BZ$3001,2295,$B$1)),DATE(VALUE(LEFT(I2296,FIND("-",I2296)-1)),VALUE(LEFT(J2296,FIND("-",J2296)-1)),VALUE(MID(J2296,FIND("-",J2296)+1,99)))))),"")</f>
        <v/>
      </c>
      <c r="C2296">
        <f>IF($C$1=0,0,IFERROR(VALUE(SUBSTITUTE(SUBSTITUTE(SUBSTITUTE(INDEX(貼り付け!$A$1:$BZ$3001,2295,$C$1)&amp;"",",",""),"¥",""),"￥","")),0))</f>
        <v/>
      </c>
      <c r="D2296">
        <f>IF($D$1=0,0,IFERROR(VALUE(SUBSTITUTE(SUBSTITUTE(SUBSTITUTE(INDEX(貼り付け!$A$1:$BZ$3001,2295,$D$1)&amp;"",",",""),"¥",""),"￥","")),0))</f>
        <v/>
      </c>
      <c r="E2296">
        <f>IF($E$1=0,0,IFERROR(VALUE(SUBSTITUTE(SUBSTITUTE(SUBSTITUTE(INDEX(貼り付け!$A$1:$BZ$3001,2295,$E$1)&amp;"",",",""),"¥",""),"￥","")),0))</f>
        <v/>
      </c>
      <c r="F2296">
        <f>IF($F$1=0,0,IFERROR(VALUE(SUBSTITUTE(SUBSTITUTE(SUBSTITUTE(INDEX(貼り付け!$A$1:$BZ$3001,2295,$F$1)&amp;"",",",""),"¥",""),"￥","")),0))</f>
        <v/>
      </c>
      <c r="G2296">
        <f>IF(ISNUMBER(B2296),YEAR(B2296),"")</f>
        <v/>
      </c>
      <c r="H2296">
        <f>IF(ISNUMBER(B2296),MONTH(B2296),"")</f>
        <v/>
      </c>
      <c r="I2296">
        <f>IFERROR(IF($B$1=0,"",IF(ISNUMBER(INDEX(貼り付け!$A$1:$BZ$3001,2295,$B$1)),"",SUBSTITUTE(SUBSTITUTE(SUBSTITUTE(SUBSTITUTE(TRIM(LEFT(INDEX(貼り付け!$A$1:$BZ$3001,2295,$B$1)&amp;"",FIND(" ",TRIM(INDEX(貼り付け!$A$1:$BZ$3001,2295,$B$1)&amp;"")&amp;" ")-1)),"/","-"),"年","-"),"月","-"),"日",""))),"")</f>
        <v/>
      </c>
      <c r="J2296">
        <f>IFERROR(MID(I2296,FIND("-",I2296)+1,99),"")</f>
        <v/>
      </c>
    </row>
    <row r="2297">
      <c r="B2297">
        <f>IFERROR(IF($B$1=0,"",IF(INDEX(貼り付け!$A$1:$BZ$3001,2296,$B$1)="","",IF(ISNUMBER(INDEX(貼り付け!$A$1:$BZ$3001,2296,$B$1)),INT(INDEX(貼り付け!$A$1:$BZ$3001,2296,$B$1)),DATE(VALUE(LEFT(I2297,FIND("-",I2297)-1)),VALUE(LEFT(J2297,FIND("-",J2297)-1)),VALUE(MID(J2297,FIND("-",J2297)+1,99)))))),"")</f>
        <v/>
      </c>
      <c r="C2297">
        <f>IF($C$1=0,0,IFERROR(VALUE(SUBSTITUTE(SUBSTITUTE(SUBSTITUTE(INDEX(貼り付け!$A$1:$BZ$3001,2296,$C$1)&amp;"",",",""),"¥",""),"￥","")),0))</f>
        <v/>
      </c>
      <c r="D2297">
        <f>IF($D$1=0,0,IFERROR(VALUE(SUBSTITUTE(SUBSTITUTE(SUBSTITUTE(INDEX(貼り付け!$A$1:$BZ$3001,2296,$D$1)&amp;"",",",""),"¥",""),"￥","")),0))</f>
        <v/>
      </c>
      <c r="E2297">
        <f>IF($E$1=0,0,IFERROR(VALUE(SUBSTITUTE(SUBSTITUTE(SUBSTITUTE(INDEX(貼り付け!$A$1:$BZ$3001,2296,$E$1)&amp;"",",",""),"¥",""),"￥","")),0))</f>
        <v/>
      </c>
      <c r="F2297">
        <f>IF($F$1=0,0,IFERROR(VALUE(SUBSTITUTE(SUBSTITUTE(SUBSTITUTE(INDEX(貼り付け!$A$1:$BZ$3001,2296,$F$1)&amp;"",",",""),"¥",""),"￥","")),0))</f>
        <v/>
      </c>
      <c r="G2297">
        <f>IF(ISNUMBER(B2297),YEAR(B2297),"")</f>
        <v/>
      </c>
      <c r="H2297">
        <f>IF(ISNUMBER(B2297),MONTH(B2297),"")</f>
        <v/>
      </c>
      <c r="I2297">
        <f>IFERROR(IF($B$1=0,"",IF(ISNUMBER(INDEX(貼り付け!$A$1:$BZ$3001,2296,$B$1)),"",SUBSTITUTE(SUBSTITUTE(SUBSTITUTE(SUBSTITUTE(TRIM(LEFT(INDEX(貼り付け!$A$1:$BZ$3001,2296,$B$1)&amp;"",FIND(" ",TRIM(INDEX(貼り付け!$A$1:$BZ$3001,2296,$B$1)&amp;"")&amp;" ")-1)),"/","-"),"年","-"),"月","-"),"日",""))),"")</f>
        <v/>
      </c>
      <c r="J2297">
        <f>IFERROR(MID(I2297,FIND("-",I2297)+1,99),"")</f>
        <v/>
      </c>
    </row>
    <row r="2298">
      <c r="B2298">
        <f>IFERROR(IF($B$1=0,"",IF(INDEX(貼り付け!$A$1:$BZ$3001,2297,$B$1)="","",IF(ISNUMBER(INDEX(貼り付け!$A$1:$BZ$3001,2297,$B$1)),INT(INDEX(貼り付け!$A$1:$BZ$3001,2297,$B$1)),DATE(VALUE(LEFT(I2298,FIND("-",I2298)-1)),VALUE(LEFT(J2298,FIND("-",J2298)-1)),VALUE(MID(J2298,FIND("-",J2298)+1,99)))))),"")</f>
        <v/>
      </c>
      <c r="C2298">
        <f>IF($C$1=0,0,IFERROR(VALUE(SUBSTITUTE(SUBSTITUTE(SUBSTITUTE(INDEX(貼り付け!$A$1:$BZ$3001,2297,$C$1)&amp;"",",",""),"¥",""),"￥","")),0))</f>
        <v/>
      </c>
      <c r="D2298">
        <f>IF($D$1=0,0,IFERROR(VALUE(SUBSTITUTE(SUBSTITUTE(SUBSTITUTE(INDEX(貼り付け!$A$1:$BZ$3001,2297,$D$1)&amp;"",",",""),"¥",""),"￥","")),0))</f>
        <v/>
      </c>
      <c r="E2298">
        <f>IF($E$1=0,0,IFERROR(VALUE(SUBSTITUTE(SUBSTITUTE(SUBSTITUTE(INDEX(貼り付け!$A$1:$BZ$3001,2297,$E$1)&amp;"",",",""),"¥",""),"￥","")),0))</f>
        <v/>
      </c>
      <c r="F2298">
        <f>IF($F$1=0,0,IFERROR(VALUE(SUBSTITUTE(SUBSTITUTE(SUBSTITUTE(INDEX(貼り付け!$A$1:$BZ$3001,2297,$F$1)&amp;"",",",""),"¥",""),"￥","")),0))</f>
        <v/>
      </c>
      <c r="G2298">
        <f>IF(ISNUMBER(B2298),YEAR(B2298),"")</f>
        <v/>
      </c>
      <c r="H2298">
        <f>IF(ISNUMBER(B2298),MONTH(B2298),"")</f>
        <v/>
      </c>
      <c r="I2298">
        <f>IFERROR(IF($B$1=0,"",IF(ISNUMBER(INDEX(貼り付け!$A$1:$BZ$3001,2297,$B$1)),"",SUBSTITUTE(SUBSTITUTE(SUBSTITUTE(SUBSTITUTE(TRIM(LEFT(INDEX(貼り付け!$A$1:$BZ$3001,2297,$B$1)&amp;"",FIND(" ",TRIM(INDEX(貼り付け!$A$1:$BZ$3001,2297,$B$1)&amp;"")&amp;" ")-1)),"/","-"),"年","-"),"月","-"),"日",""))),"")</f>
        <v/>
      </c>
      <c r="J2298">
        <f>IFERROR(MID(I2298,FIND("-",I2298)+1,99),"")</f>
        <v/>
      </c>
    </row>
    <row r="2299">
      <c r="B2299">
        <f>IFERROR(IF($B$1=0,"",IF(INDEX(貼り付け!$A$1:$BZ$3001,2298,$B$1)="","",IF(ISNUMBER(INDEX(貼り付け!$A$1:$BZ$3001,2298,$B$1)),INT(INDEX(貼り付け!$A$1:$BZ$3001,2298,$B$1)),DATE(VALUE(LEFT(I2299,FIND("-",I2299)-1)),VALUE(LEFT(J2299,FIND("-",J2299)-1)),VALUE(MID(J2299,FIND("-",J2299)+1,99)))))),"")</f>
        <v/>
      </c>
      <c r="C2299">
        <f>IF($C$1=0,0,IFERROR(VALUE(SUBSTITUTE(SUBSTITUTE(SUBSTITUTE(INDEX(貼り付け!$A$1:$BZ$3001,2298,$C$1)&amp;"",",",""),"¥",""),"￥","")),0))</f>
        <v/>
      </c>
      <c r="D2299">
        <f>IF($D$1=0,0,IFERROR(VALUE(SUBSTITUTE(SUBSTITUTE(SUBSTITUTE(INDEX(貼り付け!$A$1:$BZ$3001,2298,$D$1)&amp;"",",",""),"¥",""),"￥","")),0))</f>
        <v/>
      </c>
      <c r="E2299">
        <f>IF($E$1=0,0,IFERROR(VALUE(SUBSTITUTE(SUBSTITUTE(SUBSTITUTE(INDEX(貼り付け!$A$1:$BZ$3001,2298,$E$1)&amp;"",",",""),"¥",""),"￥","")),0))</f>
        <v/>
      </c>
      <c r="F2299">
        <f>IF($F$1=0,0,IFERROR(VALUE(SUBSTITUTE(SUBSTITUTE(SUBSTITUTE(INDEX(貼り付け!$A$1:$BZ$3001,2298,$F$1)&amp;"",",",""),"¥",""),"￥","")),0))</f>
        <v/>
      </c>
      <c r="G2299">
        <f>IF(ISNUMBER(B2299),YEAR(B2299),"")</f>
        <v/>
      </c>
      <c r="H2299">
        <f>IF(ISNUMBER(B2299),MONTH(B2299),"")</f>
        <v/>
      </c>
      <c r="I2299">
        <f>IFERROR(IF($B$1=0,"",IF(ISNUMBER(INDEX(貼り付け!$A$1:$BZ$3001,2298,$B$1)),"",SUBSTITUTE(SUBSTITUTE(SUBSTITUTE(SUBSTITUTE(TRIM(LEFT(INDEX(貼り付け!$A$1:$BZ$3001,2298,$B$1)&amp;"",FIND(" ",TRIM(INDEX(貼り付け!$A$1:$BZ$3001,2298,$B$1)&amp;"")&amp;" ")-1)),"/","-"),"年","-"),"月","-"),"日",""))),"")</f>
        <v/>
      </c>
      <c r="J2299">
        <f>IFERROR(MID(I2299,FIND("-",I2299)+1,99),"")</f>
        <v/>
      </c>
    </row>
    <row r="2300">
      <c r="B2300">
        <f>IFERROR(IF($B$1=0,"",IF(INDEX(貼り付け!$A$1:$BZ$3001,2299,$B$1)="","",IF(ISNUMBER(INDEX(貼り付け!$A$1:$BZ$3001,2299,$B$1)),INT(INDEX(貼り付け!$A$1:$BZ$3001,2299,$B$1)),DATE(VALUE(LEFT(I2300,FIND("-",I2300)-1)),VALUE(LEFT(J2300,FIND("-",J2300)-1)),VALUE(MID(J2300,FIND("-",J2300)+1,99)))))),"")</f>
        <v/>
      </c>
      <c r="C2300">
        <f>IF($C$1=0,0,IFERROR(VALUE(SUBSTITUTE(SUBSTITUTE(SUBSTITUTE(INDEX(貼り付け!$A$1:$BZ$3001,2299,$C$1)&amp;"",",",""),"¥",""),"￥","")),0))</f>
        <v/>
      </c>
      <c r="D2300">
        <f>IF($D$1=0,0,IFERROR(VALUE(SUBSTITUTE(SUBSTITUTE(SUBSTITUTE(INDEX(貼り付け!$A$1:$BZ$3001,2299,$D$1)&amp;"",",",""),"¥",""),"￥","")),0))</f>
        <v/>
      </c>
      <c r="E2300">
        <f>IF($E$1=0,0,IFERROR(VALUE(SUBSTITUTE(SUBSTITUTE(SUBSTITUTE(INDEX(貼り付け!$A$1:$BZ$3001,2299,$E$1)&amp;"",",",""),"¥",""),"￥","")),0))</f>
        <v/>
      </c>
      <c r="F2300">
        <f>IF($F$1=0,0,IFERROR(VALUE(SUBSTITUTE(SUBSTITUTE(SUBSTITUTE(INDEX(貼り付け!$A$1:$BZ$3001,2299,$F$1)&amp;"",",",""),"¥",""),"￥","")),0))</f>
        <v/>
      </c>
      <c r="G2300">
        <f>IF(ISNUMBER(B2300),YEAR(B2300),"")</f>
        <v/>
      </c>
      <c r="H2300">
        <f>IF(ISNUMBER(B2300),MONTH(B2300),"")</f>
        <v/>
      </c>
      <c r="I2300">
        <f>IFERROR(IF($B$1=0,"",IF(ISNUMBER(INDEX(貼り付け!$A$1:$BZ$3001,2299,$B$1)),"",SUBSTITUTE(SUBSTITUTE(SUBSTITUTE(SUBSTITUTE(TRIM(LEFT(INDEX(貼り付け!$A$1:$BZ$3001,2299,$B$1)&amp;"",FIND(" ",TRIM(INDEX(貼り付け!$A$1:$BZ$3001,2299,$B$1)&amp;"")&amp;" ")-1)),"/","-"),"年","-"),"月","-"),"日",""))),"")</f>
        <v/>
      </c>
      <c r="J2300">
        <f>IFERROR(MID(I2300,FIND("-",I2300)+1,99),"")</f>
        <v/>
      </c>
    </row>
    <row r="2301">
      <c r="B2301">
        <f>IFERROR(IF($B$1=0,"",IF(INDEX(貼り付け!$A$1:$BZ$3001,2300,$B$1)="","",IF(ISNUMBER(INDEX(貼り付け!$A$1:$BZ$3001,2300,$B$1)),INT(INDEX(貼り付け!$A$1:$BZ$3001,2300,$B$1)),DATE(VALUE(LEFT(I2301,FIND("-",I2301)-1)),VALUE(LEFT(J2301,FIND("-",J2301)-1)),VALUE(MID(J2301,FIND("-",J2301)+1,99)))))),"")</f>
        <v/>
      </c>
      <c r="C2301">
        <f>IF($C$1=0,0,IFERROR(VALUE(SUBSTITUTE(SUBSTITUTE(SUBSTITUTE(INDEX(貼り付け!$A$1:$BZ$3001,2300,$C$1)&amp;"",",",""),"¥",""),"￥","")),0))</f>
        <v/>
      </c>
      <c r="D2301">
        <f>IF($D$1=0,0,IFERROR(VALUE(SUBSTITUTE(SUBSTITUTE(SUBSTITUTE(INDEX(貼り付け!$A$1:$BZ$3001,2300,$D$1)&amp;"",",",""),"¥",""),"￥","")),0))</f>
        <v/>
      </c>
      <c r="E2301">
        <f>IF($E$1=0,0,IFERROR(VALUE(SUBSTITUTE(SUBSTITUTE(SUBSTITUTE(INDEX(貼り付け!$A$1:$BZ$3001,2300,$E$1)&amp;"",",",""),"¥",""),"￥","")),0))</f>
        <v/>
      </c>
      <c r="F2301">
        <f>IF($F$1=0,0,IFERROR(VALUE(SUBSTITUTE(SUBSTITUTE(SUBSTITUTE(INDEX(貼り付け!$A$1:$BZ$3001,2300,$F$1)&amp;"",",",""),"¥",""),"￥","")),0))</f>
        <v/>
      </c>
      <c r="G2301">
        <f>IF(ISNUMBER(B2301),YEAR(B2301),"")</f>
        <v/>
      </c>
      <c r="H2301">
        <f>IF(ISNUMBER(B2301),MONTH(B2301),"")</f>
        <v/>
      </c>
      <c r="I2301">
        <f>IFERROR(IF($B$1=0,"",IF(ISNUMBER(INDEX(貼り付け!$A$1:$BZ$3001,2300,$B$1)),"",SUBSTITUTE(SUBSTITUTE(SUBSTITUTE(SUBSTITUTE(TRIM(LEFT(INDEX(貼り付け!$A$1:$BZ$3001,2300,$B$1)&amp;"",FIND(" ",TRIM(INDEX(貼り付け!$A$1:$BZ$3001,2300,$B$1)&amp;"")&amp;" ")-1)),"/","-"),"年","-"),"月","-"),"日",""))),"")</f>
        <v/>
      </c>
      <c r="J2301">
        <f>IFERROR(MID(I2301,FIND("-",I2301)+1,99),"")</f>
        <v/>
      </c>
    </row>
    <row r="2302">
      <c r="B2302">
        <f>IFERROR(IF($B$1=0,"",IF(INDEX(貼り付け!$A$1:$BZ$3001,2301,$B$1)="","",IF(ISNUMBER(INDEX(貼り付け!$A$1:$BZ$3001,2301,$B$1)),INT(INDEX(貼り付け!$A$1:$BZ$3001,2301,$B$1)),DATE(VALUE(LEFT(I2302,FIND("-",I2302)-1)),VALUE(LEFT(J2302,FIND("-",J2302)-1)),VALUE(MID(J2302,FIND("-",J2302)+1,99)))))),"")</f>
        <v/>
      </c>
      <c r="C2302">
        <f>IF($C$1=0,0,IFERROR(VALUE(SUBSTITUTE(SUBSTITUTE(SUBSTITUTE(INDEX(貼り付け!$A$1:$BZ$3001,2301,$C$1)&amp;"",",",""),"¥",""),"￥","")),0))</f>
        <v/>
      </c>
      <c r="D2302">
        <f>IF($D$1=0,0,IFERROR(VALUE(SUBSTITUTE(SUBSTITUTE(SUBSTITUTE(INDEX(貼り付け!$A$1:$BZ$3001,2301,$D$1)&amp;"",",",""),"¥",""),"￥","")),0))</f>
        <v/>
      </c>
      <c r="E2302">
        <f>IF($E$1=0,0,IFERROR(VALUE(SUBSTITUTE(SUBSTITUTE(SUBSTITUTE(INDEX(貼り付け!$A$1:$BZ$3001,2301,$E$1)&amp;"",",",""),"¥",""),"￥","")),0))</f>
        <v/>
      </c>
      <c r="F2302">
        <f>IF($F$1=0,0,IFERROR(VALUE(SUBSTITUTE(SUBSTITUTE(SUBSTITUTE(INDEX(貼り付け!$A$1:$BZ$3001,2301,$F$1)&amp;"",",",""),"¥",""),"￥","")),0))</f>
        <v/>
      </c>
      <c r="G2302">
        <f>IF(ISNUMBER(B2302),YEAR(B2302),"")</f>
        <v/>
      </c>
      <c r="H2302">
        <f>IF(ISNUMBER(B2302),MONTH(B2302),"")</f>
        <v/>
      </c>
      <c r="I2302">
        <f>IFERROR(IF($B$1=0,"",IF(ISNUMBER(INDEX(貼り付け!$A$1:$BZ$3001,2301,$B$1)),"",SUBSTITUTE(SUBSTITUTE(SUBSTITUTE(SUBSTITUTE(TRIM(LEFT(INDEX(貼り付け!$A$1:$BZ$3001,2301,$B$1)&amp;"",FIND(" ",TRIM(INDEX(貼り付け!$A$1:$BZ$3001,2301,$B$1)&amp;"")&amp;" ")-1)),"/","-"),"年","-"),"月","-"),"日",""))),"")</f>
        <v/>
      </c>
      <c r="J2302">
        <f>IFERROR(MID(I2302,FIND("-",I2302)+1,99),"")</f>
        <v/>
      </c>
    </row>
    <row r="2303">
      <c r="B2303">
        <f>IFERROR(IF($B$1=0,"",IF(INDEX(貼り付け!$A$1:$BZ$3001,2302,$B$1)="","",IF(ISNUMBER(INDEX(貼り付け!$A$1:$BZ$3001,2302,$B$1)),INT(INDEX(貼り付け!$A$1:$BZ$3001,2302,$B$1)),DATE(VALUE(LEFT(I2303,FIND("-",I2303)-1)),VALUE(LEFT(J2303,FIND("-",J2303)-1)),VALUE(MID(J2303,FIND("-",J2303)+1,99)))))),"")</f>
        <v/>
      </c>
      <c r="C2303">
        <f>IF($C$1=0,0,IFERROR(VALUE(SUBSTITUTE(SUBSTITUTE(SUBSTITUTE(INDEX(貼り付け!$A$1:$BZ$3001,2302,$C$1)&amp;"",",",""),"¥",""),"￥","")),0))</f>
        <v/>
      </c>
      <c r="D2303">
        <f>IF($D$1=0,0,IFERROR(VALUE(SUBSTITUTE(SUBSTITUTE(SUBSTITUTE(INDEX(貼り付け!$A$1:$BZ$3001,2302,$D$1)&amp;"",",",""),"¥",""),"￥","")),0))</f>
        <v/>
      </c>
      <c r="E2303">
        <f>IF($E$1=0,0,IFERROR(VALUE(SUBSTITUTE(SUBSTITUTE(SUBSTITUTE(INDEX(貼り付け!$A$1:$BZ$3001,2302,$E$1)&amp;"",",",""),"¥",""),"￥","")),0))</f>
        <v/>
      </c>
      <c r="F2303">
        <f>IF($F$1=0,0,IFERROR(VALUE(SUBSTITUTE(SUBSTITUTE(SUBSTITUTE(INDEX(貼り付け!$A$1:$BZ$3001,2302,$F$1)&amp;"",",",""),"¥",""),"￥","")),0))</f>
        <v/>
      </c>
      <c r="G2303">
        <f>IF(ISNUMBER(B2303),YEAR(B2303),"")</f>
        <v/>
      </c>
      <c r="H2303">
        <f>IF(ISNUMBER(B2303),MONTH(B2303),"")</f>
        <v/>
      </c>
      <c r="I2303">
        <f>IFERROR(IF($B$1=0,"",IF(ISNUMBER(INDEX(貼り付け!$A$1:$BZ$3001,2302,$B$1)),"",SUBSTITUTE(SUBSTITUTE(SUBSTITUTE(SUBSTITUTE(TRIM(LEFT(INDEX(貼り付け!$A$1:$BZ$3001,2302,$B$1)&amp;"",FIND(" ",TRIM(INDEX(貼り付け!$A$1:$BZ$3001,2302,$B$1)&amp;"")&amp;" ")-1)),"/","-"),"年","-"),"月","-"),"日",""))),"")</f>
        <v/>
      </c>
      <c r="J2303">
        <f>IFERROR(MID(I2303,FIND("-",I2303)+1,99),"")</f>
        <v/>
      </c>
    </row>
    <row r="2304">
      <c r="B2304">
        <f>IFERROR(IF($B$1=0,"",IF(INDEX(貼り付け!$A$1:$BZ$3001,2303,$B$1)="","",IF(ISNUMBER(INDEX(貼り付け!$A$1:$BZ$3001,2303,$B$1)),INT(INDEX(貼り付け!$A$1:$BZ$3001,2303,$B$1)),DATE(VALUE(LEFT(I2304,FIND("-",I2304)-1)),VALUE(LEFT(J2304,FIND("-",J2304)-1)),VALUE(MID(J2304,FIND("-",J2304)+1,99)))))),"")</f>
        <v/>
      </c>
      <c r="C2304">
        <f>IF($C$1=0,0,IFERROR(VALUE(SUBSTITUTE(SUBSTITUTE(SUBSTITUTE(INDEX(貼り付け!$A$1:$BZ$3001,2303,$C$1)&amp;"",",",""),"¥",""),"￥","")),0))</f>
        <v/>
      </c>
      <c r="D2304">
        <f>IF($D$1=0,0,IFERROR(VALUE(SUBSTITUTE(SUBSTITUTE(SUBSTITUTE(INDEX(貼り付け!$A$1:$BZ$3001,2303,$D$1)&amp;"",",",""),"¥",""),"￥","")),0))</f>
        <v/>
      </c>
      <c r="E2304">
        <f>IF($E$1=0,0,IFERROR(VALUE(SUBSTITUTE(SUBSTITUTE(SUBSTITUTE(INDEX(貼り付け!$A$1:$BZ$3001,2303,$E$1)&amp;"",",",""),"¥",""),"￥","")),0))</f>
        <v/>
      </c>
      <c r="F2304">
        <f>IF($F$1=0,0,IFERROR(VALUE(SUBSTITUTE(SUBSTITUTE(SUBSTITUTE(INDEX(貼り付け!$A$1:$BZ$3001,2303,$F$1)&amp;"",",",""),"¥",""),"￥","")),0))</f>
        <v/>
      </c>
      <c r="G2304">
        <f>IF(ISNUMBER(B2304),YEAR(B2304),"")</f>
        <v/>
      </c>
      <c r="H2304">
        <f>IF(ISNUMBER(B2304),MONTH(B2304),"")</f>
        <v/>
      </c>
      <c r="I2304">
        <f>IFERROR(IF($B$1=0,"",IF(ISNUMBER(INDEX(貼り付け!$A$1:$BZ$3001,2303,$B$1)),"",SUBSTITUTE(SUBSTITUTE(SUBSTITUTE(SUBSTITUTE(TRIM(LEFT(INDEX(貼り付け!$A$1:$BZ$3001,2303,$B$1)&amp;"",FIND(" ",TRIM(INDEX(貼り付け!$A$1:$BZ$3001,2303,$B$1)&amp;"")&amp;" ")-1)),"/","-"),"年","-"),"月","-"),"日",""))),"")</f>
        <v/>
      </c>
      <c r="J2304">
        <f>IFERROR(MID(I2304,FIND("-",I2304)+1,99),"")</f>
        <v/>
      </c>
    </row>
    <row r="2305">
      <c r="B2305">
        <f>IFERROR(IF($B$1=0,"",IF(INDEX(貼り付け!$A$1:$BZ$3001,2304,$B$1)="","",IF(ISNUMBER(INDEX(貼り付け!$A$1:$BZ$3001,2304,$B$1)),INT(INDEX(貼り付け!$A$1:$BZ$3001,2304,$B$1)),DATE(VALUE(LEFT(I2305,FIND("-",I2305)-1)),VALUE(LEFT(J2305,FIND("-",J2305)-1)),VALUE(MID(J2305,FIND("-",J2305)+1,99)))))),"")</f>
        <v/>
      </c>
      <c r="C2305">
        <f>IF($C$1=0,0,IFERROR(VALUE(SUBSTITUTE(SUBSTITUTE(SUBSTITUTE(INDEX(貼り付け!$A$1:$BZ$3001,2304,$C$1)&amp;"",",",""),"¥",""),"￥","")),0))</f>
        <v/>
      </c>
      <c r="D2305">
        <f>IF($D$1=0,0,IFERROR(VALUE(SUBSTITUTE(SUBSTITUTE(SUBSTITUTE(INDEX(貼り付け!$A$1:$BZ$3001,2304,$D$1)&amp;"",",",""),"¥",""),"￥","")),0))</f>
        <v/>
      </c>
      <c r="E2305">
        <f>IF($E$1=0,0,IFERROR(VALUE(SUBSTITUTE(SUBSTITUTE(SUBSTITUTE(INDEX(貼り付け!$A$1:$BZ$3001,2304,$E$1)&amp;"",",",""),"¥",""),"￥","")),0))</f>
        <v/>
      </c>
      <c r="F2305">
        <f>IF($F$1=0,0,IFERROR(VALUE(SUBSTITUTE(SUBSTITUTE(SUBSTITUTE(INDEX(貼り付け!$A$1:$BZ$3001,2304,$F$1)&amp;"",",",""),"¥",""),"￥","")),0))</f>
        <v/>
      </c>
      <c r="G2305">
        <f>IF(ISNUMBER(B2305),YEAR(B2305),"")</f>
        <v/>
      </c>
      <c r="H2305">
        <f>IF(ISNUMBER(B2305),MONTH(B2305),"")</f>
        <v/>
      </c>
      <c r="I2305">
        <f>IFERROR(IF($B$1=0,"",IF(ISNUMBER(INDEX(貼り付け!$A$1:$BZ$3001,2304,$B$1)),"",SUBSTITUTE(SUBSTITUTE(SUBSTITUTE(SUBSTITUTE(TRIM(LEFT(INDEX(貼り付け!$A$1:$BZ$3001,2304,$B$1)&amp;"",FIND(" ",TRIM(INDEX(貼り付け!$A$1:$BZ$3001,2304,$B$1)&amp;"")&amp;" ")-1)),"/","-"),"年","-"),"月","-"),"日",""))),"")</f>
        <v/>
      </c>
      <c r="J2305">
        <f>IFERROR(MID(I2305,FIND("-",I2305)+1,99),"")</f>
        <v/>
      </c>
    </row>
    <row r="2306">
      <c r="B2306">
        <f>IFERROR(IF($B$1=0,"",IF(INDEX(貼り付け!$A$1:$BZ$3001,2305,$B$1)="","",IF(ISNUMBER(INDEX(貼り付け!$A$1:$BZ$3001,2305,$B$1)),INT(INDEX(貼り付け!$A$1:$BZ$3001,2305,$B$1)),DATE(VALUE(LEFT(I2306,FIND("-",I2306)-1)),VALUE(LEFT(J2306,FIND("-",J2306)-1)),VALUE(MID(J2306,FIND("-",J2306)+1,99)))))),"")</f>
        <v/>
      </c>
      <c r="C2306">
        <f>IF($C$1=0,0,IFERROR(VALUE(SUBSTITUTE(SUBSTITUTE(SUBSTITUTE(INDEX(貼り付け!$A$1:$BZ$3001,2305,$C$1)&amp;"",",",""),"¥",""),"￥","")),0))</f>
        <v/>
      </c>
      <c r="D2306">
        <f>IF($D$1=0,0,IFERROR(VALUE(SUBSTITUTE(SUBSTITUTE(SUBSTITUTE(INDEX(貼り付け!$A$1:$BZ$3001,2305,$D$1)&amp;"",",",""),"¥",""),"￥","")),0))</f>
        <v/>
      </c>
      <c r="E2306">
        <f>IF($E$1=0,0,IFERROR(VALUE(SUBSTITUTE(SUBSTITUTE(SUBSTITUTE(INDEX(貼り付け!$A$1:$BZ$3001,2305,$E$1)&amp;"",",",""),"¥",""),"￥","")),0))</f>
        <v/>
      </c>
      <c r="F2306">
        <f>IF($F$1=0,0,IFERROR(VALUE(SUBSTITUTE(SUBSTITUTE(SUBSTITUTE(INDEX(貼り付け!$A$1:$BZ$3001,2305,$F$1)&amp;"",",",""),"¥",""),"￥","")),0))</f>
        <v/>
      </c>
      <c r="G2306">
        <f>IF(ISNUMBER(B2306),YEAR(B2306),"")</f>
        <v/>
      </c>
      <c r="H2306">
        <f>IF(ISNUMBER(B2306),MONTH(B2306),"")</f>
        <v/>
      </c>
      <c r="I2306">
        <f>IFERROR(IF($B$1=0,"",IF(ISNUMBER(INDEX(貼り付け!$A$1:$BZ$3001,2305,$B$1)),"",SUBSTITUTE(SUBSTITUTE(SUBSTITUTE(SUBSTITUTE(TRIM(LEFT(INDEX(貼り付け!$A$1:$BZ$3001,2305,$B$1)&amp;"",FIND(" ",TRIM(INDEX(貼り付け!$A$1:$BZ$3001,2305,$B$1)&amp;"")&amp;" ")-1)),"/","-"),"年","-"),"月","-"),"日",""))),"")</f>
        <v/>
      </c>
      <c r="J2306">
        <f>IFERROR(MID(I2306,FIND("-",I2306)+1,99),"")</f>
        <v/>
      </c>
    </row>
    <row r="2307">
      <c r="B2307">
        <f>IFERROR(IF($B$1=0,"",IF(INDEX(貼り付け!$A$1:$BZ$3001,2306,$B$1)="","",IF(ISNUMBER(INDEX(貼り付け!$A$1:$BZ$3001,2306,$B$1)),INT(INDEX(貼り付け!$A$1:$BZ$3001,2306,$B$1)),DATE(VALUE(LEFT(I2307,FIND("-",I2307)-1)),VALUE(LEFT(J2307,FIND("-",J2307)-1)),VALUE(MID(J2307,FIND("-",J2307)+1,99)))))),"")</f>
        <v/>
      </c>
      <c r="C2307">
        <f>IF($C$1=0,0,IFERROR(VALUE(SUBSTITUTE(SUBSTITUTE(SUBSTITUTE(INDEX(貼り付け!$A$1:$BZ$3001,2306,$C$1)&amp;"",",",""),"¥",""),"￥","")),0))</f>
        <v/>
      </c>
      <c r="D2307">
        <f>IF($D$1=0,0,IFERROR(VALUE(SUBSTITUTE(SUBSTITUTE(SUBSTITUTE(INDEX(貼り付け!$A$1:$BZ$3001,2306,$D$1)&amp;"",",",""),"¥",""),"￥","")),0))</f>
        <v/>
      </c>
      <c r="E2307">
        <f>IF($E$1=0,0,IFERROR(VALUE(SUBSTITUTE(SUBSTITUTE(SUBSTITUTE(INDEX(貼り付け!$A$1:$BZ$3001,2306,$E$1)&amp;"",",",""),"¥",""),"￥","")),0))</f>
        <v/>
      </c>
      <c r="F2307">
        <f>IF($F$1=0,0,IFERROR(VALUE(SUBSTITUTE(SUBSTITUTE(SUBSTITUTE(INDEX(貼り付け!$A$1:$BZ$3001,2306,$F$1)&amp;"",",",""),"¥",""),"￥","")),0))</f>
        <v/>
      </c>
      <c r="G2307">
        <f>IF(ISNUMBER(B2307),YEAR(B2307),"")</f>
        <v/>
      </c>
      <c r="H2307">
        <f>IF(ISNUMBER(B2307),MONTH(B2307),"")</f>
        <v/>
      </c>
      <c r="I2307">
        <f>IFERROR(IF($B$1=0,"",IF(ISNUMBER(INDEX(貼り付け!$A$1:$BZ$3001,2306,$B$1)),"",SUBSTITUTE(SUBSTITUTE(SUBSTITUTE(SUBSTITUTE(TRIM(LEFT(INDEX(貼り付け!$A$1:$BZ$3001,2306,$B$1)&amp;"",FIND(" ",TRIM(INDEX(貼り付け!$A$1:$BZ$3001,2306,$B$1)&amp;"")&amp;" ")-1)),"/","-"),"年","-"),"月","-"),"日",""))),"")</f>
        <v/>
      </c>
      <c r="J2307">
        <f>IFERROR(MID(I2307,FIND("-",I2307)+1,99),"")</f>
        <v/>
      </c>
    </row>
    <row r="2308">
      <c r="B2308">
        <f>IFERROR(IF($B$1=0,"",IF(INDEX(貼り付け!$A$1:$BZ$3001,2307,$B$1)="","",IF(ISNUMBER(INDEX(貼り付け!$A$1:$BZ$3001,2307,$B$1)),INT(INDEX(貼り付け!$A$1:$BZ$3001,2307,$B$1)),DATE(VALUE(LEFT(I2308,FIND("-",I2308)-1)),VALUE(LEFT(J2308,FIND("-",J2308)-1)),VALUE(MID(J2308,FIND("-",J2308)+1,99)))))),"")</f>
        <v/>
      </c>
      <c r="C2308">
        <f>IF($C$1=0,0,IFERROR(VALUE(SUBSTITUTE(SUBSTITUTE(SUBSTITUTE(INDEX(貼り付け!$A$1:$BZ$3001,2307,$C$1)&amp;"",",",""),"¥",""),"￥","")),0))</f>
        <v/>
      </c>
      <c r="D2308">
        <f>IF($D$1=0,0,IFERROR(VALUE(SUBSTITUTE(SUBSTITUTE(SUBSTITUTE(INDEX(貼り付け!$A$1:$BZ$3001,2307,$D$1)&amp;"",",",""),"¥",""),"￥","")),0))</f>
        <v/>
      </c>
      <c r="E2308">
        <f>IF($E$1=0,0,IFERROR(VALUE(SUBSTITUTE(SUBSTITUTE(SUBSTITUTE(INDEX(貼り付け!$A$1:$BZ$3001,2307,$E$1)&amp;"",",",""),"¥",""),"￥","")),0))</f>
        <v/>
      </c>
      <c r="F2308">
        <f>IF($F$1=0,0,IFERROR(VALUE(SUBSTITUTE(SUBSTITUTE(SUBSTITUTE(INDEX(貼り付け!$A$1:$BZ$3001,2307,$F$1)&amp;"",",",""),"¥",""),"￥","")),0))</f>
        <v/>
      </c>
      <c r="G2308">
        <f>IF(ISNUMBER(B2308),YEAR(B2308),"")</f>
        <v/>
      </c>
      <c r="H2308">
        <f>IF(ISNUMBER(B2308),MONTH(B2308),"")</f>
        <v/>
      </c>
      <c r="I2308">
        <f>IFERROR(IF($B$1=0,"",IF(ISNUMBER(INDEX(貼り付け!$A$1:$BZ$3001,2307,$B$1)),"",SUBSTITUTE(SUBSTITUTE(SUBSTITUTE(SUBSTITUTE(TRIM(LEFT(INDEX(貼り付け!$A$1:$BZ$3001,2307,$B$1)&amp;"",FIND(" ",TRIM(INDEX(貼り付け!$A$1:$BZ$3001,2307,$B$1)&amp;"")&amp;" ")-1)),"/","-"),"年","-"),"月","-"),"日",""))),"")</f>
        <v/>
      </c>
      <c r="J2308">
        <f>IFERROR(MID(I2308,FIND("-",I2308)+1,99),"")</f>
        <v/>
      </c>
    </row>
    <row r="2309">
      <c r="B2309">
        <f>IFERROR(IF($B$1=0,"",IF(INDEX(貼り付け!$A$1:$BZ$3001,2308,$B$1)="","",IF(ISNUMBER(INDEX(貼り付け!$A$1:$BZ$3001,2308,$B$1)),INT(INDEX(貼り付け!$A$1:$BZ$3001,2308,$B$1)),DATE(VALUE(LEFT(I2309,FIND("-",I2309)-1)),VALUE(LEFT(J2309,FIND("-",J2309)-1)),VALUE(MID(J2309,FIND("-",J2309)+1,99)))))),"")</f>
        <v/>
      </c>
      <c r="C2309">
        <f>IF($C$1=0,0,IFERROR(VALUE(SUBSTITUTE(SUBSTITUTE(SUBSTITUTE(INDEX(貼り付け!$A$1:$BZ$3001,2308,$C$1)&amp;"",",",""),"¥",""),"￥","")),0))</f>
        <v/>
      </c>
      <c r="D2309">
        <f>IF($D$1=0,0,IFERROR(VALUE(SUBSTITUTE(SUBSTITUTE(SUBSTITUTE(INDEX(貼り付け!$A$1:$BZ$3001,2308,$D$1)&amp;"",",",""),"¥",""),"￥","")),0))</f>
        <v/>
      </c>
      <c r="E2309">
        <f>IF($E$1=0,0,IFERROR(VALUE(SUBSTITUTE(SUBSTITUTE(SUBSTITUTE(INDEX(貼り付け!$A$1:$BZ$3001,2308,$E$1)&amp;"",",",""),"¥",""),"￥","")),0))</f>
        <v/>
      </c>
      <c r="F2309">
        <f>IF($F$1=0,0,IFERROR(VALUE(SUBSTITUTE(SUBSTITUTE(SUBSTITUTE(INDEX(貼り付け!$A$1:$BZ$3001,2308,$F$1)&amp;"",",",""),"¥",""),"￥","")),0))</f>
        <v/>
      </c>
      <c r="G2309">
        <f>IF(ISNUMBER(B2309),YEAR(B2309),"")</f>
        <v/>
      </c>
      <c r="H2309">
        <f>IF(ISNUMBER(B2309),MONTH(B2309),"")</f>
        <v/>
      </c>
      <c r="I2309">
        <f>IFERROR(IF($B$1=0,"",IF(ISNUMBER(INDEX(貼り付け!$A$1:$BZ$3001,2308,$B$1)),"",SUBSTITUTE(SUBSTITUTE(SUBSTITUTE(SUBSTITUTE(TRIM(LEFT(INDEX(貼り付け!$A$1:$BZ$3001,2308,$B$1)&amp;"",FIND(" ",TRIM(INDEX(貼り付け!$A$1:$BZ$3001,2308,$B$1)&amp;"")&amp;" ")-1)),"/","-"),"年","-"),"月","-"),"日",""))),"")</f>
        <v/>
      </c>
      <c r="J2309">
        <f>IFERROR(MID(I2309,FIND("-",I2309)+1,99),"")</f>
        <v/>
      </c>
    </row>
    <row r="2310">
      <c r="B2310">
        <f>IFERROR(IF($B$1=0,"",IF(INDEX(貼り付け!$A$1:$BZ$3001,2309,$B$1)="","",IF(ISNUMBER(INDEX(貼り付け!$A$1:$BZ$3001,2309,$B$1)),INT(INDEX(貼り付け!$A$1:$BZ$3001,2309,$B$1)),DATE(VALUE(LEFT(I2310,FIND("-",I2310)-1)),VALUE(LEFT(J2310,FIND("-",J2310)-1)),VALUE(MID(J2310,FIND("-",J2310)+1,99)))))),"")</f>
        <v/>
      </c>
      <c r="C2310">
        <f>IF($C$1=0,0,IFERROR(VALUE(SUBSTITUTE(SUBSTITUTE(SUBSTITUTE(INDEX(貼り付け!$A$1:$BZ$3001,2309,$C$1)&amp;"",",",""),"¥",""),"￥","")),0))</f>
        <v/>
      </c>
      <c r="D2310">
        <f>IF($D$1=0,0,IFERROR(VALUE(SUBSTITUTE(SUBSTITUTE(SUBSTITUTE(INDEX(貼り付け!$A$1:$BZ$3001,2309,$D$1)&amp;"",",",""),"¥",""),"￥","")),0))</f>
        <v/>
      </c>
      <c r="E2310">
        <f>IF($E$1=0,0,IFERROR(VALUE(SUBSTITUTE(SUBSTITUTE(SUBSTITUTE(INDEX(貼り付け!$A$1:$BZ$3001,2309,$E$1)&amp;"",",",""),"¥",""),"￥","")),0))</f>
        <v/>
      </c>
      <c r="F2310">
        <f>IF($F$1=0,0,IFERROR(VALUE(SUBSTITUTE(SUBSTITUTE(SUBSTITUTE(INDEX(貼り付け!$A$1:$BZ$3001,2309,$F$1)&amp;"",",",""),"¥",""),"￥","")),0))</f>
        <v/>
      </c>
      <c r="G2310">
        <f>IF(ISNUMBER(B2310),YEAR(B2310),"")</f>
        <v/>
      </c>
      <c r="H2310">
        <f>IF(ISNUMBER(B2310),MONTH(B2310),"")</f>
        <v/>
      </c>
      <c r="I2310">
        <f>IFERROR(IF($B$1=0,"",IF(ISNUMBER(INDEX(貼り付け!$A$1:$BZ$3001,2309,$B$1)),"",SUBSTITUTE(SUBSTITUTE(SUBSTITUTE(SUBSTITUTE(TRIM(LEFT(INDEX(貼り付け!$A$1:$BZ$3001,2309,$B$1)&amp;"",FIND(" ",TRIM(INDEX(貼り付け!$A$1:$BZ$3001,2309,$B$1)&amp;"")&amp;" ")-1)),"/","-"),"年","-"),"月","-"),"日",""))),"")</f>
        <v/>
      </c>
      <c r="J2310">
        <f>IFERROR(MID(I2310,FIND("-",I2310)+1,99),"")</f>
        <v/>
      </c>
    </row>
    <row r="2311">
      <c r="B2311">
        <f>IFERROR(IF($B$1=0,"",IF(INDEX(貼り付け!$A$1:$BZ$3001,2310,$B$1)="","",IF(ISNUMBER(INDEX(貼り付け!$A$1:$BZ$3001,2310,$B$1)),INT(INDEX(貼り付け!$A$1:$BZ$3001,2310,$B$1)),DATE(VALUE(LEFT(I2311,FIND("-",I2311)-1)),VALUE(LEFT(J2311,FIND("-",J2311)-1)),VALUE(MID(J2311,FIND("-",J2311)+1,99)))))),"")</f>
        <v/>
      </c>
      <c r="C2311">
        <f>IF($C$1=0,0,IFERROR(VALUE(SUBSTITUTE(SUBSTITUTE(SUBSTITUTE(INDEX(貼り付け!$A$1:$BZ$3001,2310,$C$1)&amp;"",",",""),"¥",""),"￥","")),0))</f>
        <v/>
      </c>
      <c r="D2311">
        <f>IF($D$1=0,0,IFERROR(VALUE(SUBSTITUTE(SUBSTITUTE(SUBSTITUTE(INDEX(貼り付け!$A$1:$BZ$3001,2310,$D$1)&amp;"",",",""),"¥",""),"￥","")),0))</f>
        <v/>
      </c>
      <c r="E2311">
        <f>IF($E$1=0,0,IFERROR(VALUE(SUBSTITUTE(SUBSTITUTE(SUBSTITUTE(INDEX(貼り付け!$A$1:$BZ$3001,2310,$E$1)&amp;"",",",""),"¥",""),"￥","")),0))</f>
        <v/>
      </c>
      <c r="F2311">
        <f>IF($F$1=0,0,IFERROR(VALUE(SUBSTITUTE(SUBSTITUTE(SUBSTITUTE(INDEX(貼り付け!$A$1:$BZ$3001,2310,$F$1)&amp;"",",",""),"¥",""),"￥","")),0))</f>
        <v/>
      </c>
      <c r="G2311">
        <f>IF(ISNUMBER(B2311),YEAR(B2311),"")</f>
        <v/>
      </c>
      <c r="H2311">
        <f>IF(ISNUMBER(B2311),MONTH(B2311),"")</f>
        <v/>
      </c>
      <c r="I2311">
        <f>IFERROR(IF($B$1=0,"",IF(ISNUMBER(INDEX(貼り付け!$A$1:$BZ$3001,2310,$B$1)),"",SUBSTITUTE(SUBSTITUTE(SUBSTITUTE(SUBSTITUTE(TRIM(LEFT(INDEX(貼り付け!$A$1:$BZ$3001,2310,$B$1)&amp;"",FIND(" ",TRIM(INDEX(貼り付け!$A$1:$BZ$3001,2310,$B$1)&amp;"")&amp;" ")-1)),"/","-"),"年","-"),"月","-"),"日",""))),"")</f>
        <v/>
      </c>
      <c r="J2311">
        <f>IFERROR(MID(I2311,FIND("-",I2311)+1,99),"")</f>
        <v/>
      </c>
    </row>
    <row r="2312">
      <c r="B2312">
        <f>IFERROR(IF($B$1=0,"",IF(INDEX(貼り付け!$A$1:$BZ$3001,2311,$B$1)="","",IF(ISNUMBER(INDEX(貼り付け!$A$1:$BZ$3001,2311,$B$1)),INT(INDEX(貼り付け!$A$1:$BZ$3001,2311,$B$1)),DATE(VALUE(LEFT(I2312,FIND("-",I2312)-1)),VALUE(LEFT(J2312,FIND("-",J2312)-1)),VALUE(MID(J2312,FIND("-",J2312)+1,99)))))),"")</f>
        <v/>
      </c>
      <c r="C2312">
        <f>IF($C$1=0,0,IFERROR(VALUE(SUBSTITUTE(SUBSTITUTE(SUBSTITUTE(INDEX(貼り付け!$A$1:$BZ$3001,2311,$C$1)&amp;"",",",""),"¥",""),"￥","")),0))</f>
        <v/>
      </c>
      <c r="D2312">
        <f>IF($D$1=0,0,IFERROR(VALUE(SUBSTITUTE(SUBSTITUTE(SUBSTITUTE(INDEX(貼り付け!$A$1:$BZ$3001,2311,$D$1)&amp;"",",",""),"¥",""),"￥","")),0))</f>
        <v/>
      </c>
      <c r="E2312">
        <f>IF($E$1=0,0,IFERROR(VALUE(SUBSTITUTE(SUBSTITUTE(SUBSTITUTE(INDEX(貼り付け!$A$1:$BZ$3001,2311,$E$1)&amp;"",",",""),"¥",""),"￥","")),0))</f>
        <v/>
      </c>
      <c r="F2312">
        <f>IF($F$1=0,0,IFERROR(VALUE(SUBSTITUTE(SUBSTITUTE(SUBSTITUTE(INDEX(貼り付け!$A$1:$BZ$3001,2311,$F$1)&amp;"",",",""),"¥",""),"￥","")),0))</f>
        <v/>
      </c>
      <c r="G2312">
        <f>IF(ISNUMBER(B2312),YEAR(B2312),"")</f>
        <v/>
      </c>
      <c r="H2312">
        <f>IF(ISNUMBER(B2312),MONTH(B2312),"")</f>
        <v/>
      </c>
      <c r="I2312">
        <f>IFERROR(IF($B$1=0,"",IF(ISNUMBER(INDEX(貼り付け!$A$1:$BZ$3001,2311,$B$1)),"",SUBSTITUTE(SUBSTITUTE(SUBSTITUTE(SUBSTITUTE(TRIM(LEFT(INDEX(貼り付け!$A$1:$BZ$3001,2311,$B$1)&amp;"",FIND(" ",TRIM(INDEX(貼り付け!$A$1:$BZ$3001,2311,$B$1)&amp;"")&amp;" ")-1)),"/","-"),"年","-"),"月","-"),"日",""))),"")</f>
        <v/>
      </c>
      <c r="J2312">
        <f>IFERROR(MID(I2312,FIND("-",I2312)+1,99),"")</f>
        <v/>
      </c>
    </row>
    <row r="2313">
      <c r="B2313">
        <f>IFERROR(IF($B$1=0,"",IF(INDEX(貼り付け!$A$1:$BZ$3001,2312,$B$1)="","",IF(ISNUMBER(INDEX(貼り付け!$A$1:$BZ$3001,2312,$B$1)),INT(INDEX(貼り付け!$A$1:$BZ$3001,2312,$B$1)),DATE(VALUE(LEFT(I2313,FIND("-",I2313)-1)),VALUE(LEFT(J2313,FIND("-",J2313)-1)),VALUE(MID(J2313,FIND("-",J2313)+1,99)))))),"")</f>
        <v/>
      </c>
      <c r="C2313">
        <f>IF($C$1=0,0,IFERROR(VALUE(SUBSTITUTE(SUBSTITUTE(SUBSTITUTE(INDEX(貼り付け!$A$1:$BZ$3001,2312,$C$1)&amp;"",",",""),"¥",""),"￥","")),0))</f>
        <v/>
      </c>
      <c r="D2313">
        <f>IF($D$1=0,0,IFERROR(VALUE(SUBSTITUTE(SUBSTITUTE(SUBSTITUTE(INDEX(貼り付け!$A$1:$BZ$3001,2312,$D$1)&amp;"",",",""),"¥",""),"￥","")),0))</f>
        <v/>
      </c>
      <c r="E2313">
        <f>IF($E$1=0,0,IFERROR(VALUE(SUBSTITUTE(SUBSTITUTE(SUBSTITUTE(INDEX(貼り付け!$A$1:$BZ$3001,2312,$E$1)&amp;"",",",""),"¥",""),"￥","")),0))</f>
        <v/>
      </c>
      <c r="F2313">
        <f>IF($F$1=0,0,IFERROR(VALUE(SUBSTITUTE(SUBSTITUTE(SUBSTITUTE(INDEX(貼り付け!$A$1:$BZ$3001,2312,$F$1)&amp;"",",",""),"¥",""),"￥","")),0))</f>
        <v/>
      </c>
      <c r="G2313">
        <f>IF(ISNUMBER(B2313),YEAR(B2313),"")</f>
        <v/>
      </c>
      <c r="H2313">
        <f>IF(ISNUMBER(B2313),MONTH(B2313),"")</f>
        <v/>
      </c>
      <c r="I2313">
        <f>IFERROR(IF($B$1=0,"",IF(ISNUMBER(INDEX(貼り付け!$A$1:$BZ$3001,2312,$B$1)),"",SUBSTITUTE(SUBSTITUTE(SUBSTITUTE(SUBSTITUTE(TRIM(LEFT(INDEX(貼り付け!$A$1:$BZ$3001,2312,$B$1)&amp;"",FIND(" ",TRIM(INDEX(貼り付け!$A$1:$BZ$3001,2312,$B$1)&amp;"")&amp;" ")-1)),"/","-"),"年","-"),"月","-"),"日",""))),"")</f>
        <v/>
      </c>
      <c r="J2313">
        <f>IFERROR(MID(I2313,FIND("-",I2313)+1,99),"")</f>
        <v/>
      </c>
    </row>
    <row r="2314">
      <c r="B2314">
        <f>IFERROR(IF($B$1=0,"",IF(INDEX(貼り付け!$A$1:$BZ$3001,2313,$B$1)="","",IF(ISNUMBER(INDEX(貼り付け!$A$1:$BZ$3001,2313,$B$1)),INT(INDEX(貼り付け!$A$1:$BZ$3001,2313,$B$1)),DATE(VALUE(LEFT(I2314,FIND("-",I2314)-1)),VALUE(LEFT(J2314,FIND("-",J2314)-1)),VALUE(MID(J2314,FIND("-",J2314)+1,99)))))),"")</f>
        <v/>
      </c>
      <c r="C2314">
        <f>IF($C$1=0,0,IFERROR(VALUE(SUBSTITUTE(SUBSTITUTE(SUBSTITUTE(INDEX(貼り付け!$A$1:$BZ$3001,2313,$C$1)&amp;"",",",""),"¥",""),"￥","")),0))</f>
        <v/>
      </c>
      <c r="D2314">
        <f>IF($D$1=0,0,IFERROR(VALUE(SUBSTITUTE(SUBSTITUTE(SUBSTITUTE(INDEX(貼り付け!$A$1:$BZ$3001,2313,$D$1)&amp;"",",",""),"¥",""),"￥","")),0))</f>
        <v/>
      </c>
      <c r="E2314">
        <f>IF($E$1=0,0,IFERROR(VALUE(SUBSTITUTE(SUBSTITUTE(SUBSTITUTE(INDEX(貼り付け!$A$1:$BZ$3001,2313,$E$1)&amp;"",",",""),"¥",""),"￥","")),0))</f>
        <v/>
      </c>
      <c r="F2314">
        <f>IF($F$1=0,0,IFERROR(VALUE(SUBSTITUTE(SUBSTITUTE(SUBSTITUTE(INDEX(貼り付け!$A$1:$BZ$3001,2313,$F$1)&amp;"",",",""),"¥",""),"￥","")),0))</f>
        <v/>
      </c>
      <c r="G2314">
        <f>IF(ISNUMBER(B2314),YEAR(B2314),"")</f>
        <v/>
      </c>
      <c r="H2314">
        <f>IF(ISNUMBER(B2314),MONTH(B2314),"")</f>
        <v/>
      </c>
      <c r="I2314">
        <f>IFERROR(IF($B$1=0,"",IF(ISNUMBER(INDEX(貼り付け!$A$1:$BZ$3001,2313,$B$1)),"",SUBSTITUTE(SUBSTITUTE(SUBSTITUTE(SUBSTITUTE(TRIM(LEFT(INDEX(貼り付け!$A$1:$BZ$3001,2313,$B$1)&amp;"",FIND(" ",TRIM(INDEX(貼り付け!$A$1:$BZ$3001,2313,$B$1)&amp;"")&amp;" ")-1)),"/","-"),"年","-"),"月","-"),"日",""))),"")</f>
        <v/>
      </c>
      <c r="J2314">
        <f>IFERROR(MID(I2314,FIND("-",I2314)+1,99),"")</f>
        <v/>
      </c>
    </row>
    <row r="2315">
      <c r="B2315">
        <f>IFERROR(IF($B$1=0,"",IF(INDEX(貼り付け!$A$1:$BZ$3001,2314,$B$1)="","",IF(ISNUMBER(INDEX(貼り付け!$A$1:$BZ$3001,2314,$B$1)),INT(INDEX(貼り付け!$A$1:$BZ$3001,2314,$B$1)),DATE(VALUE(LEFT(I2315,FIND("-",I2315)-1)),VALUE(LEFT(J2315,FIND("-",J2315)-1)),VALUE(MID(J2315,FIND("-",J2315)+1,99)))))),"")</f>
        <v/>
      </c>
      <c r="C2315">
        <f>IF($C$1=0,0,IFERROR(VALUE(SUBSTITUTE(SUBSTITUTE(SUBSTITUTE(INDEX(貼り付け!$A$1:$BZ$3001,2314,$C$1)&amp;"",",",""),"¥",""),"￥","")),0))</f>
        <v/>
      </c>
      <c r="D2315">
        <f>IF($D$1=0,0,IFERROR(VALUE(SUBSTITUTE(SUBSTITUTE(SUBSTITUTE(INDEX(貼り付け!$A$1:$BZ$3001,2314,$D$1)&amp;"",",",""),"¥",""),"￥","")),0))</f>
        <v/>
      </c>
      <c r="E2315">
        <f>IF($E$1=0,0,IFERROR(VALUE(SUBSTITUTE(SUBSTITUTE(SUBSTITUTE(INDEX(貼り付け!$A$1:$BZ$3001,2314,$E$1)&amp;"",",",""),"¥",""),"￥","")),0))</f>
        <v/>
      </c>
      <c r="F2315">
        <f>IF($F$1=0,0,IFERROR(VALUE(SUBSTITUTE(SUBSTITUTE(SUBSTITUTE(INDEX(貼り付け!$A$1:$BZ$3001,2314,$F$1)&amp;"",",",""),"¥",""),"￥","")),0))</f>
        <v/>
      </c>
      <c r="G2315">
        <f>IF(ISNUMBER(B2315),YEAR(B2315),"")</f>
        <v/>
      </c>
      <c r="H2315">
        <f>IF(ISNUMBER(B2315),MONTH(B2315),"")</f>
        <v/>
      </c>
      <c r="I2315">
        <f>IFERROR(IF($B$1=0,"",IF(ISNUMBER(INDEX(貼り付け!$A$1:$BZ$3001,2314,$B$1)),"",SUBSTITUTE(SUBSTITUTE(SUBSTITUTE(SUBSTITUTE(TRIM(LEFT(INDEX(貼り付け!$A$1:$BZ$3001,2314,$B$1)&amp;"",FIND(" ",TRIM(INDEX(貼り付け!$A$1:$BZ$3001,2314,$B$1)&amp;"")&amp;" ")-1)),"/","-"),"年","-"),"月","-"),"日",""))),"")</f>
        <v/>
      </c>
      <c r="J2315">
        <f>IFERROR(MID(I2315,FIND("-",I2315)+1,99),"")</f>
        <v/>
      </c>
    </row>
    <row r="2316">
      <c r="B2316">
        <f>IFERROR(IF($B$1=0,"",IF(INDEX(貼り付け!$A$1:$BZ$3001,2315,$B$1)="","",IF(ISNUMBER(INDEX(貼り付け!$A$1:$BZ$3001,2315,$B$1)),INT(INDEX(貼り付け!$A$1:$BZ$3001,2315,$B$1)),DATE(VALUE(LEFT(I2316,FIND("-",I2316)-1)),VALUE(LEFT(J2316,FIND("-",J2316)-1)),VALUE(MID(J2316,FIND("-",J2316)+1,99)))))),"")</f>
        <v/>
      </c>
      <c r="C2316">
        <f>IF($C$1=0,0,IFERROR(VALUE(SUBSTITUTE(SUBSTITUTE(SUBSTITUTE(INDEX(貼り付け!$A$1:$BZ$3001,2315,$C$1)&amp;"",",",""),"¥",""),"￥","")),0))</f>
        <v/>
      </c>
      <c r="D2316">
        <f>IF($D$1=0,0,IFERROR(VALUE(SUBSTITUTE(SUBSTITUTE(SUBSTITUTE(INDEX(貼り付け!$A$1:$BZ$3001,2315,$D$1)&amp;"",",",""),"¥",""),"￥","")),0))</f>
        <v/>
      </c>
      <c r="E2316">
        <f>IF($E$1=0,0,IFERROR(VALUE(SUBSTITUTE(SUBSTITUTE(SUBSTITUTE(INDEX(貼り付け!$A$1:$BZ$3001,2315,$E$1)&amp;"",",",""),"¥",""),"￥","")),0))</f>
        <v/>
      </c>
      <c r="F2316">
        <f>IF($F$1=0,0,IFERROR(VALUE(SUBSTITUTE(SUBSTITUTE(SUBSTITUTE(INDEX(貼り付け!$A$1:$BZ$3001,2315,$F$1)&amp;"",",",""),"¥",""),"￥","")),0))</f>
        <v/>
      </c>
      <c r="G2316">
        <f>IF(ISNUMBER(B2316),YEAR(B2316),"")</f>
        <v/>
      </c>
      <c r="H2316">
        <f>IF(ISNUMBER(B2316),MONTH(B2316),"")</f>
        <v/>
      </c>
      <c r="I2316">
        <f>IFERROR(IF($B$1=0,"",IF(ISNUMBER(INDEX(貼り付け!$A$1:$BZ$3001,2315,$B$1)),"",SUBSTITUTE(SUBSTITUTE(SUBSTITUTE(SUBSTITUTE(TRIM(LEFT(INDEX(貼り付け!$A$1:$BZ$3001,2315,$B$1)&amp;"",FIND(" ",TRIM(INDEX(貼り付け!$A$1:$BZ$3001,2315,$B$1)&amp;"")&amp;" ")-1)),"/","-"),"年","-"),"月","-"),"日",""))),"")</f>
        <v/>
      </c>
      <c r="J2316">
        <f>IFERROR(MID(I2316,FIND("-",I2316)+1,99),"")</f>
        <v/>
      </c>
    </row>
    <row r="2317">
      <c r="B2317">
        <f>IFERROR(IF($B$1=0,"",IF(INDEX(貼り付け!$A$1:$BZ$3001,2316,$B$1)="","",IF(ISNUMBER(INDEX(貼り付け!$A$1:$BZ$3001,2316,$B$1)),INT(INDEX(貼り付け!$A$1:$BZ$3001,2316,$B$1)),DATE(VALUE(LEFT(I2317,FIND("-",I2317)-1)),VALUE(LEFT(J2317,FIND("-",J2317)-1)),VALUE(MID(J2317,FIND("-",J2317)+1,99)))))),"")</f>
        <v/>
      </c>
      <c r="C2317">
        <f>IF($C$1=0,0,IFERROR(VALUE(SUBSTITUTE(SUBSTITUTE(SUBSTITUTE(INDEX(貼り付け!$A$1:$BZ$3001,2316,$C$1)&amp;"",",",""),"¥",""),"￥","")),0))</f>
        <v/>
      </c>
      <c r="D2317">
        <f>IF($D$1=0,0,IFERROR(VALUE(SUBSTITUTE(SUBSTITUTE(SUBSTITUTE(INDEX(貼り付け!$A$1:$BZ$3001,2316,$D$1)&amp;"",",",""),"¥",""),"￥","")),0))</f>
        <v/>
      </c>
      <c r="E2317">
        <f>IF($E$1=0,0,IFERROR(VALUE(SUBSTITUTE(SUBSTITUTE(SUBSTITUTE(INDEX(貼り付け!$A$1:$BZ$3001,2316,$E$1)&amp;"",",",""),"¥",""),"￥","")),0))</f>
        <v/>
      </c>
      <c r="F2317">
        <f>IF($F$1=0,0,IFERROR(VALUE(SUBSTITUTE(SUBSTITUTE(SUBSTITUTE(INDEX(貼り付け!$A$1:$BZ$3001,2316,$F$1)&amp;"",",",""),"¥",""),"￥","")),0))</f>
        <v/>
      </c>
      <c r="G2317">
        <f>IF(ISNUMBER(B2317),YEAR(B2317),"")</f>
        <v/>
      </c>
      <c r="H2317">
        <f>IF(ISNUMBER(B2317),MONTH(B2317),"")</f>
        <v/>
      </c>
      <c r="I2317">
        <f>IFERROR(IF($B$1=0,"",IF(ISNUMBER(INDEX(貼り付け!$A$1:$BZ$3001,2316,$B$1)),"",SUBSTITUTE(SUBSTITUTE(SUBSTITUTE(SUBSTITUTE(TRIM(LEFT(INDEX(貼り付け!$A$1:$BZ$3001,2316,$B$1)&amp;"",FIND(" ",TRIM(INDEX(貼り付け!$A$1:$BZ$3001,2316,$B$1)&amp;"")&amp;" ")-1)),"/","-"),"年","-"),"月","-"),"日",""))),"")</f>
        <v/>
      </c>
      <c r="J2317">
        <f>IFERROR(MID(I2317,FIND("-",I2317)+1,99),"")</f>
        <v/>
      </c>
    </row>
    <row r="2318">
      <c r="B2318">
        <f>IFERROR(IF($B$1=0,"",IF(INDEX(貼り付け!$A$1:$BZ$3001,2317,$B$1)="","",IF(ISNUMBER(INDEX(貼り付け!$A$1:$BZ$3001,2317,$B$1)),INT(INDEX(貼り付け!$A$1:$BZ$3001,2317,$B$1)),DATE(VALUE(LEFT(I2318,FIND("-",I2318)-1)),VALUE(LEFT(J2318,FIND("-",J2318)-1)),VALUE(MID(J2318,FIND("-",J2318)+1,99)))))),"")</f>
        <v/>
      </c>
      <c r="C2318">
        <f>IF($C$1=0,0,IFERROR(VALUE(SUBSTITUTE(SUBSTITUTE(SUBSTITUTE(INDEX(貼り付け!$A$1:$BZ$3001,2317,$C$1)&amp;"",",",""),"¥",""),"￥","")),0))</f>
        <v/>
      </c>
      <c r="D2318">
        <f>IF($D$1=0,0,IFERROR(VALUE(SUBSTITUTE(SUBSTITUTE(SUBSTITUTE(INDEX(貼り付け!$A$1:$BZ$3001,2317,$D$1)&amp;"",",",""),"¥",""),"￥","")),0))</f>
        <v/>
      </c>
      <c r="E2318">
        <f>IF($E$1=0,0,IFERROR(VALUE(SUBSTITUTE(SUBSTITUTE(SUBSTITUTE(INDEX(貼り付け!$A$1:$BZ$3001,2317,$E$1)&amp;"",",",""),"¥",""),"￥","")),0))</f>
        <v/>
      </c>
      <c r="F2318">
        <f>IF($F$1=0,0,IFERROR(VALUE(SUBSTITUTE(SUBSTITUTE(SUBSTITUTE(INDEX(貼り付け!$A$1:$BZ$3001,2317,$F$1)&amp;"",",",""),"¥",""),"￥","")),0))</f>
        <v/>
      </c>
      <c r="G2318">
        <f>IF(ISNUMBER(B2318),YEAR(B2318),"")</f>
        <v/>
      </c>
      <c r="H2318">
        <f>IF(ISNUMBER(B2318),MONTH(B2318),"")</f>
        <v/>
      </c>
      <c r="I2318">
        <f>IFERROR(IF($B$1=0,"",IF(ISNUMBER(INDEX(貼り付け!$A$1:$BZ$3001,2317,$B$1)),"",SUBSTITUTE(SUBSTITUTE(SUBSTITUTE(SUBSTITUTE(TRIM(LEFT(INDEX(貼り付け!$A$1:$BZ$3001,2317,$B$1)&amp;"",FIND(" ",TRIM(INDEX(貼り付け!$A$1:$BZ$3001,2317,$B$1)&amp;"")&amp;" ")-1)),"/","-"),"年","-"),"月","-"),"日",""))),"")</f>
        <v/>
      </c>
      <c r="J2318">
        <f>IFERROR(MID(I2318,FIND("-",I2318)+1,99),"")</f>
        <v/>
      </c>
    </row>
    <row r="2319">
      <c r="B2319">
        <f>IFERROR(IF($B$1=0,"",IF(INDEX(貼り付け!$A$1:$BZ$3001,2318,$B$1)="","",IF(ISNUMBER(INDEX(貼り付け!$A$1:$BZ$3001,2318,$B$1)),INT(INDEX(貼り付け!$A$1:$BZ$3001,2318,$B$1)),DATE(VALUE(LEFT(I2319,FIND("-",I2319)-1)),VALUE(LEFT(J2319,FIND("-",J2319)-1)),VALUE(MID(J2319,FIND("-",J2319)+1,99)))))),"")</f>
        <v/>
      </c>
      <c r="C2319">
        <f>IF($C$1=0,0,IFERROR(VALUE(SUBSTITUTE(SUBSTITUTE(SUBSTITUTE(INDEX(貼り付け!$A$1:$BZ$3001,2318,$C$1)&amp;"",",",""),"¥",""),"￥","")),0))</f>
        <v/>
      </c>
      <c r="D2319">
        <f>IF($D$1=0,0,IFERROR(VALUE(SUBSTITUTE(SUBSTITUTE(SUBSTITUTE(INDEX(貼り付け!$A$1:$BZ$3001,2318,$D$1)&amp;"",",",""),"¥",""),"￥","")),0))</f>
        <v/>
      </c>
      <c r="E2319">
        <f>IF($E$1=0,0,IFERROR(VALUE(SUBSTITUTE(SUBSTITUTE(SUBSTITUTE(INDEX(貼り付け!$A$1:$BZ$3001,2318,$E$1)&amp;"",",",""),"¥",""),"￥","")),0))</f>
        <v/>
      </c>
      <c r="F2319">
        <f>IF($F$1=0,0,IFERROR(VALUE(SUBSTITUTE(SUBSTITUTE(SUBSTITUTE(INDEX(貼り付け!$A$1:$BZ$3001,2318,$F$1)&amp;"",",",""),"¥",""),"￥","")),0))</f>
        <v/>
      </c>
      <c r="G2319">
        <f>IF(ISNUMBER(B2319),YEAR(B2319),"")</f>
        <v/>
      </c>
      <c r="H2319">
        <f>IF(ISNUMBER(B2319),MONTH(B2319),"")</f>
        <v/>
      </c>
      <c r="I2319">
        <f>IFERROR(IF($B$1=0,"",IF(ISNUMBER(INDEX(貼り付け!$A$1:$BZ$3001,2318,$B$1)),"",SUBSTITUTE(SUBSTITUTE(SUBSTITUTE(SUBSTITUTE(TRIM(LEFT(INDEX(貼り付け!$A$1:$BZ$3001,2318,$B$1)&amp;"",FIND(" ",TRIM(INDEX(貼り付け!$A$1:$BZ$3001,2318,$B$1)&amp;"")&amp;" ")-1)),"/","-"),"年","-"),"月","-"),"日",""))),"")</f>
        <v/>
      </c>
      <c r="J2319">
        <f>IFERROR(MID(I2319,FIND("-",I2319)+1,99),"")</f>
        <v/>
      </c>
    </row>
    <row r="2320">
      <c r="B2320">
        <f>IFERROR(IF($B$1=0,"",IF(INDEX(貼り付け!$A$1:$BZ$3001,2319,$B$1)="","",IF(ISNUMBER(INDEX(貼り付け!$A$1:$BZ$3001,2319,$B$1)),INT(INDEX(貼り付け!$A$1:$BZ$3001,2319,$B$1)),DATE(VALUE(LEFT(I2320,FIND("-",I2320)-1)),VALUE(LEFT(J2320,FIND("-",J2320)-1)),VALUE(MID(J2320,FIND("-",J2320)+1,99)))))),"")</f>
        <v/>
      </c>
      <c r="C2320">
        <f>IF($C$1=0,0,IFERROR(VALUE(SUBSTITUTE(SUBSTITUTE(SUBSTITUTE(INDEX(貼り付け!$A$1:$BZ$3001,2319,$C$1)&amp;"",",",""),"¥",""),"￥","")),0))</f>
        <v/>
      </c>
      <c r="D2320">
        <f>IF($D$1=0,0,IFERROR(VALUE(SUBSTITUTE(SUBSTITUTE(SUBSTITUTE(INDEX(貼り付け!$A$1:$BZ$3001,2319,$D$1)&amp;"",",",""),"¥",""),"￥","")),0))</f>
        <v/>
      </c>
      <c r="E2320">
        <f>IF($E$1=0,0,IFERROR(VALUE(SUBSTITUTE(SUBSTITUTE(SUBSTITUTE(INDEX(貼り付け!$A$1:$BZ$3001,2319,$E$1)&amp;"",",",""),"¥",""),"￥","")),0))</f>
        <v/>
      </c>
      <c r="F2320">
        <f>IF($F$1=0,0,IFERROR(VALUE(SUBSTITUTE(SUBSTITUTE(SUBSTITUTE(INDEX(貼り付け!$A$1:$BZ$3001,2319,$F$1)&amp;"",",",""),"¥",""),"￥","")),0))</f>
        <v/>
      </c>
      <c r="G2320">
        <f>IF(ISNUMBER(B2320),YEAR(B2320),"")</f>
        <v/>
      </c>
      <c r="H2320">
        <f>IF(ISNUMBER(B2320),MONTH(B2320),"")</f>
        <v/>
      </c>
      <c r="I2320">
        <f>IFERROR(IF($B$1=0,"",IF(ISNUMBER(INDEX(貼り付け!$A$1:$BZ$3001,2319,$B$1)),"",SUBSTITUTE(SUBSTITUTE(SUBSTITUTE(SUBSTITUTE(TRIM(LEFT(INDEX(貼り付け!$A$1:$BZ$3001,2319,$B$1)&amp;"",FIND(" ",TRIM(INDEX(貼り付け!$A$1:$BZ$3001,2319,$B$1)&amp;"")&amp;" ")-1)),"/","-"),"年","-"),"月","-"),"日",""))),"")</f>
        <v/>
      </c>
      <c r="J2320">
        <f>IFERROR(MID(I2320,FIND("-",I2320)+1,99),"")</f>
        <v/>
      </c>
    </row>
    <row r="2321">
      <c r="B2321">
        <f>IFERROR(IF($B$1=0,"",IF(INDEX(貼り付け!$A$1:$BZ$3001,2320,$B$1)="","",IF(ISNUMBER(INDEX(貼り付け!$A$1:$BZ$3001,2320,$B$1)),INT(INDEX(貼り付け!$A$1:$BZ$3001,2320,$B$1)),DATE(VALUE(LEFT(I2321,FIND("-",I2321)-1)),VALUE(LEFT(J2321,FIND("-",J2321)-1)),VALUE(MID(J2321,FIND("-",J2321)+1,99)))))),"")</f>
        <v/>
      </c>
      <c r="C2321">
        <f>IF($C$1=0,0,IFERROR(VALUE(SUBSTITUTE(SUBSTITUTE(SUBSTITUTE(INDEX(貼り付け!$A$1:$BZ$3001,2320,$C$1)&amp;"",",",""),"¥",""),"￥","")),0))</f>
        <v/>
      </c>
      <c r="D2321">
        <f>IF($D$1=0,0,IFERROR(VALUE(SUBSTITUTE(SUBSTITUTE(SUBSTITUTE(INDEX(貼り付け!$A$1:$BZ$3001,2320,$D$1)&amp;"",",",""),"¥",""),"￥","")),0))</f>
        <v/>
      </c>
      <c r="E2321">
        <f>IF($E$1=0,0,IFERROR(VALUE(SUBSTITUTE(SUBSTITUTE(SUBSTITUTE(INDEX(貼り付け!$A$1:$BZ$3001,2320,$E$1)&amp;"",",",""),"¥",""),"￥","")),0))</f>
        <v/>
      </c>
      <c r="F2321">
        <f>IF($F$1=0,0,IFERROR(VALUE(SUBSTITUTE(SUBSTITUTE(SUBSTITUTE(INDEX(貼り付け!$A$1:$BZ$3001,2320,$F$1)&amp;"",",",""),"¥",""),"￥","")),0))</f>
        <v/>
      </c>
      <c r="G2321">
        <f>IF(ISNUMBER(B2321),YEAR(B2321),"")</f>
        <v/>
      </c>
      <c r="H2321">
        <f>IF(ISNUMBER(B2321),MONTH(B2321),"")</f>
        <v/>
      </c>
      <c r="I2321">
        <f>IFERROR(IF($B$1=0,"",IF(ISNUMBER(INDEX(貼り付け!$A$1:$BZ$3001,2320,$B$1)),"",SUBSTITUTE(SUBSTITUTE(SUBSTITUTE(SUBSTITUTE(TRIM(LEFT(INDEX(貼り付け!$A$1:$BZ$3001,2320,$B$1)&amp;"",FIND(" ",TRIM(INDEX(貼り付け!$A$1:$BZ$3001,2320,$B$1)&amp;"")&amp;" ")-1)),"/","-"),"年","-"),"月","-"),"日",""))),"")</f>
        <v/>
      </c>
      <c r="J2321">
        <f>IFERROR(MID(I2321,FIND("-",I2321)+1,99),"")</f>
        <v/>
      </c>
    </row>
    <row r="2322">
      <c r="B2322">
        <f>IFERROR(IF($B$1=0,"",IF(INDEX(貼り付け!$A$1:$BZ$3001,2321,$B$1)="","",IF(ISNUMBER(INDEX(貼り付け!$A$1:$BZ$3001,2321,$B$1)),INT(INDEX(貼り付け!$A$1:$BZ$3001,2321,$B$1)),DATE(VALUE(LEFT(I2322,FIND("-",I2322)-1)),VALUE(LEFT(J2322,FIND("-",J2322)-1)),VALUE(MID(J2322,FIND("-",J2322)+1,99)))))),"")</f>
        <v/>
      </c>
      <c r="C2322">
        <f>IF($C$1=0,0,IFERROR(VALUE(SUBSTITUTE(SUBSTITUTE(SUBSTITUTE(INDEX(貼り付け!$A$1:$BZ$3001,2321,$C$1)&amp;"",",",""),"¥",""),"￥","")),0))</f>
        <v/>
      </c>
      <c r="D2322">
        <f>IF($D$1=0,0,IFERROR(VALUE(SUBSTITUTE(SUBSTITUTE(SUBSTITUTE(INDEX(貼り付け!$A$1:$BZ$3001,2321,$D$1)&amp;"",",",""),"¥",""),"￥","")),0))</f>
        <v/>
      </c>
      <c r="E2322">
        <f>IF($E$1=0,0,IFERROR(VALUE(SUBSTITUTE(SUBSTITUTE(SUBSTITUTE(INDEX(貼り付け!$A$1:$BZ$3001,2321,$E$1)&amp;"",",",""),"¥",""),"￥","")),0))</f>
        <v/>
      </c>
      <c r="F2322">
        <f>IF($F$1=0,0,IFERROR(VALUE(SUBSTITUTE(SUBSTITUTE(SUBSTITUTE(INDEX(貼り付け!$A$1:$BZ$3001,2321,$F$1)&amp;"",",",""),"¥",""),"￥","")),0))</f>
        <v/>
      </c>
      <c r="G2322">
        <f>IF(ISNUMBER(B2322),YEAR(B2322),"")</f>
        <v/>
      </c>
      <c r="H2322">
        <f>IF(ISNUMBER(B2322),MONTH(B2322),"")</f>
        <v/>
      </c>
      <c r="I2322">
        <f>IFERROR(IF($B$1=0,"",IF(ISNUMBER(INDEX(貼り付け!$A$1:$BZ$3001,2321,$B$1)),"",SUBSTITUTE(SUBSTITUTE(SUBSTITUTE(SUBSTITUTE(TRIM(LEFT(INDEX(貼り付け!$A$1:$BZ$3001,2321,$B$1)&amp;"",FIND(" ",TRIM(INDEX(貼り付け!$A$1:$BZ$3001,2321,$B$1)&amp;"")&amp;" ")-1)),"/","-"),"年","-"),"月","-"),"日",""))),"")</f>
        <v/>
      </c>
      <c r="J2322">
        <f>IFERROR(MID(I2322,FIND("-",I2322)+1,99),"")</f>
        <v/>
      </c>
    </row>
    <row r="2323">
      <c r="B2323">
        <f>IFERROR(IF($B$1=0,"",IF(INDEX(貼り付け!$A$1:$BZ$3001,2322,$B$1)="","",IF(ISNUMBER(INDEX(貼り付け!$A$1:$BZ$3001,2322,$B$1)),INT(INDEX(貼り付け!$A$1:$BZ$3001,2322,$B$1)),DATE(VALUE(LEFT(I2323,FIND("-",I2323)-1)),VALUE(LEFT(J2323,FIND("-",J2323)-1)),VALUE(MID(J2323,FIND("-",J2323)+1,99)))))),"")</f>
        <v/>
      </c>
      <c r="C2323">
        <f>IF($C$1=0,0,IFERROR(VALUE(SUBSTITUTE(SUBSTITUTE(SUBSTITUTE(INDEX(貼り付け!$A$1:$BZ$3001,2322,$C$1)&amp;"",",",""),"¥",""),"￥","")),0))</f>
        <v/>
      </c>
      <c r="D2323">
        <f>IF($D$1=0,0,IFERROR(VALUE(SUBSTITUTE(SUBSTITUTE(SUBSTITUTE(INDEX(貼り付け!$A$1:$BZ$3001,2322,$D$1)&amp;"",",",""),"¥",""),"￥","")),0))</f>
        <v/>
      </c>
      <c r="E2323">
        <f>IF($E$1=0,0,IFERROR(VALUE(SUBSTITUTE(SUBSTITUTE(SUBSTITUTE(INDEX(貼り付け!$A$1:$BZ$3001,2322,$E$1)&amp;"",",",""),"¥",""),"￥","")),0))</f>
        <v/>
      </c>
      <c r="F2323">
        <f>IF($F$1=0,0,IFERROR(VALUE(SUBSTITUTE(SUBSTITUTE(SUBSTITUTE(INDEX(貼り付け!$A$1:$BZ$3001,2322,$F$1)&amp;"",",",""),"¥",""),"￥","")),0))</f>
        <v/>
      </c>
      <c r="G2323">
        <f>IF(ISNUMBER(B2323),YEAR(B2323),"")</f>
        <v/>
      </c>
      <c r="H2323">
        <f>IF(ISNUMBER(B2323),MONTH(B2323),"")</f>
        <v/>
      </c>
      <c r="I2323">
        <f>IFERROR(IF($B$1=0,"",IF(ISNUMBER(INDEX(貼り付け!$A$1:$BZ$3001,2322,$B$1)),"",SUBSTITUTE(SUBSTITUTE(SUBSTITUTE(SUBSTITUTE(TRIM(LEFT(INDEX(貼り付け!$A$1:$BZ$3001,2322,$B$1)&amp;"",FIND(" ",TRIM(INDEX(貼り付け!$A$1:$BZ$3001,2322,$B$1)&amp;"")&amp;" ")-1)),"/","-"),"年","-"),"月","-"),"日",""))),"")</f>
        <v/>
      </c>
      <c r="J2323">
        <f>IFERROR(MID(I2323,FIND("-",I2323)+1,99),"")</f>
        <v/>
      </c>
    </row>
    <row r="2324">
      <c r="B2324">
        <f>IFERROR(IF($B$1=0,"",IF(INDEX(貼り付け!$A$1:$BZ$3001,2323,$B$1)="","",IF(ISNUMBER(INDEX(貼り付け!$A$1:$BZ$3001,2323,$B$1)),INT(INDEX(貼り付け!$A$1:$BZ$3001,2323,$B$1)),DATE(VALUE(LEFT(I2324,FIND("-",I2324)-1)),VALUE(LEFT(J2324,FIND("-",J2324)-1)),VALUE(MID(J2324,FIND("-",J2324)+1,99)))))),"")</f>
        <v/>
      </c>
      <c r="C2324">
        <f>IF($C$1=0,0,IFERROR(VALUE(SUBSTITUTE(SUBSTITUTE(SUBSTITUTE(INDEX(貼り付け!$A$1:$BZ$3001,2323,$C$1)&amp;"",",",""),"¥",""),"￥","")),0))</f>
        <v/>
      </c>
      <c r="D2324">
        <f>IF($D$1=0,0,IFERROR(VALUE(SUBSTITUTE(SUBSTITUTE(SUBSTITUTE(INDEX(貼り付け!$A$1:$BZ$3001,2323,$D$1)&amp;"",",",""),"¥",""),"￥","")),0))</f>
        <v/>
      </c>
      <c r="E2324">
        <f>IF($E$1=0,0,IFERROR(VALUE(SUBSTITUTE(SUBSTITUTE(SUBSTITUTE(INDEX(貼り付け!$A$1:$BZ$3001,2323,$E$1)&amp;"",",",""),"¥",""),"￥","")),0))</f>
        <v/>
      </c>
      <c r="F2324">
        <f>IF($F$1=0,0,IFERROR(VALUE(SUBSTITUTE(SUBSTITUTE(SUBSTITUTE(INDEX(貼り付け!$A$1:$BZ$3001,2323,$F$1)&amp;"",",",""),"¥",""),"￥","")),0))</f>
        <v/>
      </c>
      <c r="G2324">
        <f>IF(ISNUMBER(B2324),YEAR(B2324),"")</f>
        <v/>
      </c>
      <c r="H2324">
        <f>IF(ISNUMBER(B2324),MONTH(B2324),"")</f>
        <v/>
      </c>
      <c r="I2324">
        <f>IFERROR(IF($B$1=0,"",IF(ISNUMBER(INDEX(貼り付け!$A$1:$BZ$3001,2323,$B$1)),"",SUBSTITUTE(SUBSTITUTE(SUBSTITUTE(SUBSTITUTE(TRIM(LEFT(INDEX(貼り付け!$A$1:$BZ$3001,2323,$B$1)&amp;"",FIND(" ",TRIM(INDEX(貼り付け!$A$1:$BZ$3001,2323,$B$1)&amp;"")&amp;" ")-1)),"/","-"),"年","-"),"月","-"),"日",""))),"")</f>
        <v/>
      </c>
      <c r="J2324">
        <f>IFERROR(MID(I2324,FIND("-",I2324)+1,99),"")</f>
        <v/>
      </c>
    </row>
    <row r="2325">
      <c r="B2325">
        <f>IFERROR(IF($B$1=0,"",IF(INDEX(貼り付け!$A$1:$BZ$3001,2324,$B$1)="","",IF(ISNUMBER(INDEX(貼り付け!$A$1:$BZ$3001,2324,$B$1)),INT(INDEX(貼り付け!$A$1:$BZ$3001,2324,$B$1)),DATE(VALUE(LEFT(I2325,FIND("-",I2325)-1)),VALUE(LEFT(J2325,FIND("-",J2325)-1)),VALUE(MID(J2325,FIND("-",J2325)+1,99)))))),"")</f>
        <v/>
      </c>
      <c r="C2325">
        <f>IF($C$1=0,0,IFERROR(VALUE(SUBSTITUTE(SUBSTITUTE(SUBSTITUTE(INDEX(貼り付け!$A$1:$BZ$3001,2324,$C$1)&amp;"",",",""),"¥",""),"￥","")),0))</f>
        <v/>
      </c>
      <c r="D2325">
        <f>IF($D$1=0,0,IFERROR(VALUE(SUBSTITUTE(SUBSTITUTE(SUBSTITUTE(INDEX(貼り付け!$A$1:$BZ$3001,2324,$D$1)&amp;"",",",""),"¥",""),"￥","")),0))</f>
        <v/>
      </c>
      <c r="E2325">
        <f>IF($E$1=0,0,IFERROR(VALUE(SUBSTITUTE(SUBSTITUTE(SUBSTITUTE(INDEX(貼り付け!$A$1:$BZ$3001,2324,$E$1)&amp;"",",",""),"¥",""),"￥","")),0))</f>
        <v/>
      </c>
      <c r="F2325">
        <f>IF($F$1=0,0,IFERROR(VALUE(SUBSTITUTE(SUBSTITUTE(SUBSTITUTE(INDEX(貼り付け!$A$1:$BZ$3001,2324,$F$1)&amp;"",",",""),"¥",""),"￥","")),0))</f>
        <v/>
      </c>
      <c r="G2325">
        <f>IF(ISNUMBER(B2325),YEAR(B2325),"")</f>
        <v/>
      </c>
      <c r="H2325">
        <f>IF(ISNUMBER(B2325),MONTH(B2325),"")</f>
        <v/>
      </c>
      <c r="I2325">
        <f>IFERROR(IF($B$1=0,"",IF(ISNUMBER(INDEX(貼り付け!$A$1:$BZ$3001,2324,$B$1)),"",SUBSTITUTE(SUBSTITUTE(SUBSTITUTE(SUBSTITUTE(TRIM(LEFT(INDEX(貼り付け!$A$1:$BZ$3001,2324,$B$1)&amp;"",FIND(" ",TRIM(INDEX(貼り付け!$A$1:$BZ$3001,2324,$B$1)&amp;"")&amp;" ")-1)),"/","-"),"年","-"),"月","-"),"日",""))),"")</f>
        <v/>
      </c>
      <c r="J2325">
        <f>IFERROR(MID(I2325,FIND("-",I2325)+1,99),"")</f>
        <v/>
      </c>
    </row>
    <row r="2326">
      <c r="B2326">
        <f>IFERROR(IF($B$1=0,"",IF(INDEX(貼り付け!$A$1:$BZ$3001,2325,$B$1)="","",IF(ISNUMBER(INDEX(貼り付け!$A$1:$BZ$3001,2325,$B$1)),INT(INDEX(貼り付け!$A$1:$BZ$3001,2325,$B$1)),DATE(VALUE(LEFT(I2326,FIND("-",I2326)-1)),VALUE(LEFT(J2326,FIND("-",J2326)-1)),VALUE(MID(J2326,FIND("-",J2326)+1,99)))))),"")</f>
        <v/>
      </c>
      <c r="C2326">
        <f>IF($C$1=0,0,IFERROR(VALUE(SUBSTITUTE(SUBSTITUTE(SUBSTITUTE(INDEX(貼り付け!$A$1:$BZ$3001,2325,$C$1)&amp;"",",",""),"¥",""),"￥","")),0))</f>
        <v/>
      </c>
      <c r="D2326">
        <f>IF($D$1=0,0,IFERROR(VALUE(SUBSTITUTE(SUBSTITUTE(SUBSTITUTE(INDEX(貼り付け!$A$1:$BZ$3001,2325,$D$1)&amp;"",",",""),"¥",""),"￥","")),0))</f>
        <v/>
      </c>
      <c r="E2326">
        <f>IF($E$1=0,0,IFERROR(VALUE(SUBSTITUTE(SUBSTITUTE(SUBSTITUTE(INDEX(貼り付け!$A$1:$BZ$3001,2325,$E$1)&amp;"",",",""),"¥",""),"￥","")),0))</f>
        <v/>
      </c>
      <c r="F2326">
        <f>IF($F$1=0,0,IFERROR(VALUE(SUBSTITUTE(SUBSTITUTE(SUBSTITUTE(INDEX(貼り付け!$A$1:$BZ$3001,2325,$F$1)&amp;"",",",""),"¥",""),"￥","")),0))</f>
        <v/>
      </c>
      <c r="G2326">
        <f>IF(ISNUMBER(B2326),YEAR(B2326),"")</f>
        <v/>
      </c>
      <c r="H2326">
        <f>IF(ISNUMBER(B2326),MONTH(B2326),"")</f>
        <v/>
      </c>
      <c r="I2326">
        <f>IFERROR(IF($B$1=0,"",IF(ISNUMBER(INDEX(貼り付け!$A$1:$BZ$3001,2325,$B$1)),"",SUBSTITUTE(SUBSTITUTE(SUBSTITUTE(SUBSTITUTE(TRIM(LEFT(INDEX(貼り付け!$A$1:$BZ$3001,2325,$B$1)&amp;"",FIND(" ",TRIM(INDEX(貼り付け!$A$1:$BZ$3001,2325,$B$1)&amp;"")&amp;" ")-1)),"/","-"),"年","-"),"月","-"),"日",""))),"")</f>
        <v/>
      </c>
      <c r="J2326">
        <f>IFERROR(MID(I2326,FIND("-",I2326)+1,99),"")</f>
        <v/>
      </c>
    </row>
    <row r="2327">
      <c r="B2327">
        <f>IFERROR(IF($B$1=0,"",IF(INDEX(貼り付け!$A$1:$BZ$3001,2326,$B$1)="","",IF(ISNUMBER(INDEX(貼り付け!$A$1:$BZ$3001,2326,$B$1)),INT(INDEX(貼り付け!$A$1:$BZ$3001,2326,$B$1)),DATE(VALUE(LEFT(I2327,FIND("-",I2327)-1)),VALUE(LEFT(J2327,FIND("-",J2327)-1)),VALUE(MID(J2327,FIND("-",J2327)+1,99)))))),"")</f>
        <v/>
      </c>
      <c r="C2327">
        <f>IF($C$1=0,0,IFERROR(VALUE(SUBSTITUTE(SUBSTITUTE(SUBSTITUTE(INDEX(貼り付け!$A$1:$BZ$3001,2326,$C$1)&amp;"",",",""),"¥",""),"￥","")),0))</f>
        <v/>
      </c>
      <c r="D2327">
        <f>IF($D$1=0,0,IFERROR(VALUE(SUBSTITUTE(SUBSTITUTE(SUBSTITUTE(INDEX(貼り付け!$A$1:$BZ$3001,2326,$D$1)&amp;"",",",""),"¥",""),"￥","")),0))</f>
        <v/>
      </c>
      <c r="E2327">
        <f>IF($E$1=0,0,IFERROR(VALUE(SUBSTITUTE(SUBSTITUTE(SUBSTITUTE(INDEX(貼り付け!$A$1:$BZ$3001,2326,$E$1)&amp;"",",",""),"¥",""),"￥","")),0))</f>
        <v/>
      </c>
      <c r="F2327">
        <f>IF($F$1=0,0,IFERROR(VALUE(SUBSTITUTE(SUBSTITUTE(SUBSTITUTE(INDEX(貼り付け!$A$1:$BZ$3001,2326,$F$1)&amp;"",",",""),"¥",""),"￥","")),0))</f>
        <v/>
      </c>
      <c r="G2327">
        <f>IF(ISNUMBER(B2327),YEAR(B2327),"")</f>
        <v/>
      </c>
      <c r="H2327">
        <f>IF(ISNUMBER(B2327),MONTH(B2327),"")</f>
        <v/>
      </c>
      <c r="I2327">
        <f>IFERROR(IF($B$1=0,"",IF(ISNUMBER(INDEX(貼り付け!$A$1:$BZ$3001,2326,$B$1)),"",SUBSTITUTE(SUBSTITUTE(SUBSTITUTE(SUBSTITUTE(TRIM(LEFT(INDEX(貼り付け!$A$1:$BZ$3001,2326,$B$1)&amp;"",FIND(" ",TRIM(INDEX(貼り付け!$A$1:$BZ$3001,2326,$B$1)&amp;"")&amp;" ")-1)),"/","-"),"年","-"),"月","-"),"日",""))),"")</f>
        <v/>
      </c>
      <c r="J2327">
        <f>IFERROR(MID(I2327,FIND("-",I2327)+1,99),"")</f>
        <v/>
      </c>
    </row>
    <row r="2328">
      <c r="B2328">
        <f>IFERROR(IF($B$1=0,"",IF(INDEX(貼り付け!$A$1:$BZ$3001,2327,$B$1)="","",IF(ISNUMBER(INDEX(貼り付け!$A$1:$BZ$3001,2327,$B$1)),INT(INDEX(貼り付け!$A$1:$BZ$3001,2327,$B$1)),DATE(VALUE(LEFT(I2328,FIND("-",I2328)-1)),VALUE(LEFT(J2328,FIND("-",J2328)-1)),VALUE(MID(J2328,FIND("-",J2328)+1,99)))))),"")</f>
        <v/>
      </c>
      <c r="C2328">
        <f>IF($C$1=0,0,IFERROR(VALUE(SUBSTITUTE(SUBSTITUTE(SUBSTITUTE(INDEX(貼り付け!$A$1:$BZ$3001,2327,$C$1)&amp;"",",",""),"¥",""),"￥","")),0))</f>
        <v/>
      </c>
      <c r="D2328">
        <f>IF($D$1=0,0,IFERROR(VALUE(SUBSTITUTE(SUBSTITUTE(SUBSTITUTE(INDEX(貼り付け!$A$1:$BZ$3001,2327,$D$1)&amp;"",",",""),"¥",""),"￥","")),0))</f>
        <v/>
      </c>
      <c r="E2328">
        <f>IF($E$1=0,0,IFERROR(VALUE(SUBSTITUTE(SUBSTITUTE(SUBSTITUTE(INDEX(貼り付け!$A$1:$BZ$3001,2327,$E$1)&amp;"",",",""),"¥",""),"￥","")),0))</f>
        <v/>
      </c>
      <c r="F2328">
        <f>IF($F$1=0,0,IFERROR(VALUE(SUBSTITUTE(SUBSTITUTE(SUBSTITUTE(INDEX(貼り付け!$A$1:$BZ$3001,2327,$F$1)&amp;"",",",""),"¥",""),"￥","")),0))</f>
        <v/>
      </c>
      <c r="G2328">
        <f>IF(ISNUMBER(B2328),YEAR(B2328),"")</f>
        <v/>
      </c>
      <c r="H2328">
        <f>IF(ISNUMBER(B2328),MONTH(B2328),"")</f>
        <v/>
      </c>
      <c r="I2328">
        <f>IFERROR(IF($B$1=0,"",IF(ISNUMBER(INDEX(貼り付け!$A$1:$BZ$3001,2327,$B$1)),"",SUBSTITUTE(SUBSTITUTE(SUBSTITUTE(SUBSTITUTE(TRIM(LEFT(INDEX(貼り付け!$A$1:$BZ$3001,2327,$B$1)&amp;"",FIND(" ",TRIM(INDEX(貼り付け!$A$1:$BZ$3001,2327,$B$1)&amp;"")&amp;" ")-1)),"/","-"),"年","-"),"月","-"),"日",""))),"")</f>
        <v/>
      </c>
      <c r="J2328">
        <f>IFERROR(MID(I2328,FIND("-",I2328)+1,99),"")</f>
        <v/>
      </c>
    </row>
    <row r="2329">
      <c r="B2329">
        <f>IFERROR(IF($B$1=0,"",IF(INDEX(貼り付け!$A$1:$BZ$3001,2328,$B$1)="","",IF(ISNUMBER(INDEX(貼り付け!$A$1:$BZ$3001,2328,$B$1)),INT(INDEX(貼り付け!$A$1:$BZ$3001,2328,$B$1)),DATE(VALUE(LEFT(I2329,FIND("-",I2329)-1)),VALUE(LEFT(J2329,FIND("-",J2329)-1)),VALUE(MID(J2329,FIND("-",J2329)+1,99)))))),"")</f>
        <v/>
      </c>
      <c r="C2329">
        <f>IF($C$1=0,0,IFERROR(VALUE(SUBSTITUTE(SUBSTITUTE(SUBSTITUTE(INDEX(貼り付け!$A$1:$BZ$3001,2328,$C$1)&amp;"",",",""),"¥",""),"￥","")),0))</f>
        <v/>
      </c>
      <c r="D2329">
        <f>IF($D$1=0,0,IFERROR(VALUE(SUBSTITUTE(SUBSTITUTE(SUBSTITUTE(INDEX(貼り付け!$A$1:$BZ$3001,2328,$D$1)&amp;"",",",""),"¥",""),"￥","")),0))</f>
        <v/>
      </c>
      <c r="E2329">
        <f>IF($E$1=0,0,IFERROR(VALUE(SUBSTITUTE(SUBSTITUTE(SUBSTITUTE(INDEX(貼り付け!$A$1:$BZ$3001,2328,$E$1)&amp;"",",",""),"¥",""),"￥","")),0))</f>
        <v/>
      </c>
      <c r="F2329">
        <f>IF($F$1=0,0,IFERROR(VALUE(SUBSTITUTE(SUBSTITUTE(SUBSTITUTE(INDEX(貼り付け!$A$1:$BZ$3001,2328,$F$1)&amp;"",",",""),"¥",""),"￥","")),0))</f>
        <v/>
      </c>
      <c r="G2329">
        <f>IF(ISNUMBER(B2329),YEAR(B2329),"")</f>
        <v/>
      </c>
      <c r="H2329">
        <f>IF(ISNUMBER(B2329),MONTH(B2329),"")</f>
        <v/>
      </c>
      <c r="I2329">
        <f>IFERROR(IF($B$1=0,"",IF(ISNUMBER(INDEX(貼り付け!$A$1:$BZ$3001,2328,$B$1)),"",SUBSTITUTE(SUBSTITUTE(SUBSTITUTE(SUBSTITUTE(TRIM(LEFT(INDEX(貼り付け!$A$1:$BZ$3001,2328,$B$1)&amp;"",FIND(" ",TRIM(INDEX(貼り付け!$A$1:$BZ$3001,2328,$B$1)&amp;"")&amp;" ")-1)),"/","-"),"年","-"),"月","-"),"日",""))),"")</f>
        <v/>
      </c>
      <c r="J2329">
        <f>IFERROR(MID(I2329,FIND("-",I2329)+1,99),"")</f>
        <v/>
      </c>
    </row>
    <row r="2330">
      <c r="B2330">
        <f>IFERROR(IF($B$1=0,"",IF(INDEX(貼り付け!$A$1:$BZ$3001,2329,$B$1)="","",IF(ISNUMBER(INDEX(貼り付け!$A$1:$BZ$3001,2329,$B$1)),INT(INDEX(貼り付け!$A$1:$BZ$3001,2329,$B$1)),DATE(VALUE(LEFT(I2330,FIND("-",I2330)-1)),VALUE(LEFT(J2330,FIND("-",J2330)-1)),VALUE(MID(J2330,FIND("-",J2330)+1,99)))))),"")</f>
        <v/>
      </c>
      <c r="C2330">
        <f>IF($C$1=0,0,IFERROR(VALUE(SUBSTITUTE(SUBSTITUTE(SUBSTITUTE(INDEX(貼り付け!$A$1:$BZ$3001,2329,$C$1)&amp;"",",",""),"¥",""),"￥","")),0))</f>
        <v/>
      </c>
      <c r="D2330">
        <f>IF($D$1=0,0,IFERROR(VALUE(SUBSTITUTE(SUBSTITUTE(SUBSTITUTE(INDEX(貼り付け!$A$1:$BZ$3001,2329,$D$1)&amp;"",",",""),"¥",""),"￥","")),0))</f>
        <v/>
      </c>
      <c r="E2330">
        <f>IF($E$1=0,0,IFERROR(VALUE(SUBSTITUTE(SUBSTITUTE(SUBSTITUTE(INDEX(貼り付け!$A$1:$BZ$3001,2329,$E$1)&amp;"",",",""),"¥",""),"￥","")),0))</f>
        <v/>
      </c>
      <c r="F2330">
        <f>IF($F$1=0,0,IFERROR(VALUE(SUBSTITUTE(SUBSTITUTE(SUBSTITUTE(INDEX(貼り付け!$A$1:$BZ$3001,2329,$F$1)&amp;"",",",""),"¥",""),"￥","")),0))</f>
        <v/>
      </c>
      <c r="G2330">
        <f>IF(ISNUMBER(B2330),YEAR(B2330),"")</f>
        <v/>
      </c>
      <c r="H2330">
        <f>IF(ISNUMBER(B2330),MONTH(B2330),"")</f>
        <v/>
      </c>
      <c r="I2330">
        <f>IFERROR(IF($B$1=0,"",IF(ISNUMBER(INDEX(貼り付け!$A$1:$BZ$3001,2329,$B$1)),"",SUBSTITUTE(SUBSTITUTE(SUBSTITUTE(SUBSTITUTE(TRIM(LEFT(INDEX(貼り付け!$A$1:$BZ$3001,2329,$B$1)&amp;"",FIND(" ",TRIM(INDEX(貼り付け!$A$1:$BZ$3001,2329,$B$1)&amp;"")&amp;" ")-1)),"/","-"),"年","-"),"月","-"),"日",""))),"")</f>
        <v/>
      </c>
      <c r="J2330">
        <f>IFERROR(MID(I2330,FIND("-",I2330)+1,99),"")</f>
        <v/>
      </c>
    </row>
    <row r="2331">
      <c r="B2331">
        <f>IFERROR(IF($B$1=0,"",IF(INDEX(貼り付け!$A$1:$BZ$3001,2330,$B$1)="","",IF(ISNUMBER(INDEX(貼り付け!$A$1:$BZ$3001,2330,$B$1)),INT(INDEX(貼り付け!$A$1:$BZ$3001,2330,$B$1)),DATE(VALUE(LEFT(I2331,FIND("-",I2331)-1)),VALUE(LEFT(J2331,FIND("-",J2331)-1)),VALUE(MID(J2331,FIND("-",J2331)+1,99)))))),"")</f>
        <v/>
      </c>
      <c r="C2331">
        <f>IF($C$1=0,0,IFERROR(VALUE(SUBSTITUTE(SUBSTITUTE(SUBSTITUTE(INDEX(貼り付け!$A$1:$BZ$3001,2330,$C$1)&amp;"",",",""),"¥",""),"￥","")),0))</f>
        <v/>
      </c>
      <c r="D2331">
        <f>IF($D$1=0,0,IFERROR(VALUE(SUBSTITUTE(SUBSTITUTE(SUBSTITUTE(INDEX(貼り付け!$A$1:$BZ$3001,2330,$D$1)&amp;"",",",""),"¥",""),"￥","")),0))</f>
        <v/>
      </c>
      <c r="E2331">
        <f>IF($E$1=0,0,IFERROR(VALUE(SUBSTITUTE(SUBSTITUTE(SUBSTITUTE(INDEX(貼り付け!$A$1:$BZ$3001,2330,$E$1)&amp;"",",",""),"¥",""),"￥","")),0))</f>
        <v/>
      </c>
      <c r="F2331">
        <f>IF($F$1=0,0,IFERROR(VALUE(SUBSTITUTE(SUBSTITUTE(SUBSTITUTE(INDEX(貼り付け!$A$1:$BZ$3001,2330,$F$1)&amp;"",",",""),"¥",""),"￥","")),0))</f>
        <v/>
      </c>
      <c r="G2331">
        <f>IF(ISNUMBER(B2331),YEAR(B2331),"")</f>
        <v/>
      </c>
      <c r="H2331">
        <f>IF(ISNUMBER(B2331),MONTH(B2331),"")</f>
        <v/>
      </c>
      <c r="I2331">
        <f>IFERROR(IF($B$1=0,"",IF(ISNUMBER(INDEX(貼り付け!$A$1:$BZ$3001,2330,$B$1)),"",SUBSTITUTE(SUBSTITUTE(SUBSTITUTE(SUBSTITUTE(TRIM(LEFT(INDEX(貼り付け!$A$1:$BZ$3001,2330,$B$1)&amp;"",FIND(" ",TRIM(INDEX(貼り付け!$A$1:$BZ$3001,2330,$B$1)&amp;"")&amp;" ")-1)),"/","-"),"年","-"),"月","-"),"日",""))),"")</f>
        <v/>
      </c>
      <c r="J2331">
        <f>IFERROR(MID(I2331,FIND("-",I2331)+1,99),"")</f>
        <v/>
      </c>
    </row>
    <row r="2332">
      <c r="B2332">
        <f>IFERROR(IF($B$1=0,"",IF(INDEX(貼り付け!$A$1:$BZ$3001,2331,$B$1)="","",IF(ISNUMBER(INDEX(貼り付け!$A$1:$BZ$3001,2331,$B$1)),INT(INDEX(貼り付け!$A$1:$BZ$3001,2331,$B$1)),DATE(VALUE(LEFT(I2332,FIND("-",I2332)-1)),VALUE(LEFT(J2332,FIND("-",J2332)-1)),VALUE(MID(J2332,FIND("-",J2332)+1,99)))))),"")</f>
        <v/>
      </c>
      <c r="C2332">
        <f>IF($C$1=0,0,IFERROR(VALUE(SUBSTITUTE(SUBSTITUTE(SUBSTITUTE(INDEX(貼り付け!$A$1:$BZ$3001,2331,$C$1)&amp;"",",",""),"¥",""),"￥","")),0))</f>
        <v/>
      </c>
      <c r="D2332">
        <f>IF($D$1=0,0,IFERROR(VALUE(SUBSTITUTE(SUBSTITUTE(SUBSTITUTE(INDEX(貼り付け!$A$1:$BZ$3001,2331,$D$1)&amp;"",",",""),"¥",""),"￥","")),0))</f>
        <v/>
      </c>
      <c r="E2332">
        <f>IF($E$1=0,0,IFERROR(VALUE(SUBSTITUTE(SUBSTITUTE(SUBSTITUTE(INDEX(貼り付け!$A$1:$BZ$3001,2331,$E$1)&amp;"",",",""),"¥",""),"￥","")),0))</f>
        <v/>
      </c>
      <c r="F2332">
        <f>IF($F$1=0,0,IFERROR(VALUE(SUBSTITUTE(SUBSTITUTE(SUBSTITUTE(INDEX(貼り付け!$A$1:$BZ$3001,2331,$F$1)&amp;"",",",""),"¥",""),"￥","")),0))</f>
        <v/>
      </c>
      <c r="G2332">
        <f>IF(ISNUMBER(B2332),YEAR(B2332),"")</f>
        <v/>
      </c>
      <c r="H2332">
        <f>IF(ISNUMBER(B2332),MONTH(B2332),"")</f>
        <v/>
      </c>
      <c r="I2332">
        <f>IFERROR(IF($B$1=0,"",IF(ISNUMBER(INDEX(貼り付け!$A$1:$BZ$3001,2331,$B$1)),"",SUBSTITUTE(SUBSTITUTE(SUBSTITUTE(SUBSTITUTE(TRIM(LEFT(INDEX(貼り付け!$A$1:$BZ$3001,2331,$B$1)&amp;"",FIND(" ",TRIM(INDEX(貼り付け!$A$1:$BZ$3001,2331,$B$1)&amp;"")&amp;" ")-1)),"/","-"),"年","-"),"月","-"),"日",""))),"")</f>
        <v/>
      </c>
      <c r="J2332">
        <f>IFERROR(MID(I2332,FIND("-",I2332)+1,99),"")</f>
        <v/>
      </c>
    </row>
    <row r="2333">
      <c r="B2333">
        <f>IFERROR(IF($B$1=0,"",IF(INDEX(貼り付け!$A$1:$BZ$3001,2332,$B$1)="","",IF(ISNUMBER(INDEX(貼り付け!$A$1:$BZ$3001,2332,$B$1)),INT(INDEX(貼り付け!$A$1:$BZ$3001,2332,$B$1)),DATE(VALUE(LEFT(I2333,FIND("-",I2333)-1)),VALUE(LEFT(J2333,FIND("-",J2333)-1)),VALUE(MID(J2333,FIND("-",J2333)+1,99)))))),"")</f>
        <v/>
      </c>
      <c r="C2333">
        <f>IF($C$1=0,0,IFERROR(VALUE(SUBSTITUTE(SUBSTITUTE(SUBSTITUTE(INDEX(貼り付け!$A$1:$BZ$3001,2332,$C$1)&amp;"",",",""),"¥",""),"￥","")),0))</f>
        <v/>
      </c>
      <c r="D2333">
        <f>IF($D$1=0,0,IFERROR(VALUE(SUBSTITUTE(SUBSTITUTE(SUBSTITUTE(INDEX(貼り付け!$A$1:$BZ$3001,2332,$D$1)&amp;"",",",""),"¥",""),"￥","")),0))</f>
        <v/>
      </c>
      <c r="E2333">
        <f>IF($E$1=0,0,IFERROR(VALUE(SUBSTITUTE(SUBSTITUTE(SUBSTITUTE(INDEX(貼り付け!$A$1:$BZ$3001,2332,$E$1)&amp;"",",",""),"¥",""),"￥","")),0))</f>
        <v/>
      </c>
      <c r="F2333">
        <f>IF($F$1=0,0,IFERROR(VALUE(SUBSTITUTE(SUBSTITUTE(SUBSTITUTE(INDEX(貼り付け!$A$1:$BZ$3001,2332,$F$1)&amp;"",",",""),"¥",""),"￥","")),0))</f>
        <v/>
      </c>
      <c r="G2333">
        <f>IF(ISNUMBER(B2333),YEAR(B2333),"")</f>
        <v/>
      </c>
      <c r="H2333">
        <f>IF(ISNUMBER(B2333),MONTH(B2333),"")</f>
        <v/>
      </c>
      <c r="I2333">
        <f>IFERROR(IF($B$1=0,"",IF(ISNUMBER(INDEX(貼り付け!$A$1:$BZ$3001,2332,$B$1)),"",SUBSTITUTE(SUBSTITUTE(SUBSTITUTE(SUBSTITUTE(TRIM(LEFT(INDEX(貼り付け!$A$1:$BZ$3001,2332,$B$1)&amp;"",FIND(" ",TRIM(INDEX(貼り付け!$A$1:$BZ$3001,2332,$B$1)&amp;"")&amp;" ")-1)),"/","-"),"年","-"),"月","-"),"日",""))),"")</f>
        <v/>
      </c>
      <c r="J2333">
        <f>IFERROR(MID(I2333,FIND("-",I2333)+1,99),"")</f>
        <v/>
      </c>
    </row>
    <row r="2334">
      <c r="B2334">
        <f>IFERROR(IF($B$1=0,"",IF(INDEX(貼り付け!$A$1:$BZ$3001,2333,$B$1)="","",IF(ISNUMBER(INDEX(貼り付け!$A$1:$BZ$3001,2333,$B$1)),INT(INDEX(貼り付け!$A$1:$BZ$3001,2333,$B$1)),DATE(VALUE(LEFT(I2334,FIND("-",I2334)-1)),VALUE(LEFT(J2334,FIND("-",J2334)-1)),VALUE(MID(J2334,FIND("-",J2334)+1,99)))))),"")</f>
        <v/>
      </c>
      <c r="C2334">
        <f>IF($C$1=0,0,IFERROR(VALUE(SUBSTITUTE(SUBSTITUTE(SUBSTITUTE(INDEX(貼り付け!$A$1:$BZ$3001,2333,$C$1)&amp;"",",",""),"¥",""),"￥","")),0))</f>
        <v/>
      </c>
      <c r="D2334">
        <f>IF($D$1=0,0,IFERROR(VALUE(SUBSTITUTE(SUBSTITUTE(SUBSTITUTE(INDEX(貼り付け!$A$1:$BZ$3001,2333,$D$1)&amp;"",",",""),"¥",""),"￥","")),0))</f>
        <v/>
      </c>
      <c r="E2334">
        <f>IF($E$1=0,0,IFERROR(VALUE(SUBSTITUTE(SUBSTITUTE(SUBSTITUTE(INDEX(貼り付け!$A$1:$BZ$3001,2333,$E$1)&amp;"",",",""),"¥",""),"￥","")),0))</f>
        <v/>
      </c>
      <c r="F2334">
        <f>IF($F$1=0,0,IFERROR(VALUE(SUBSTITUTE(SUBSTITUTE(SUBSTITUTE(INDEX(貼り付け!$A$1:$BZ$3001,2333,$F$1)&amp;"",",",""),"¥",""),"￥","")),0))</f>
        <v/>
      </c>
      <c r="G2334">
        <f>IF(ISNUMBER(B2334),YEAR(B2334),"")</f>
        <v/>
      </c>
      <c r="H2334">
        <f>IF(ISNUMBER(B2334),MONTH(B2334),"")</f>
        <v/>
      </c>
      <c r="I2334">
        <f>IFERROR(IF($B$1=0,"",IF(ISNUMBER(INDEX(貼り付け!$A$1:$BZ$3001,2333,$B$1)),"",SUBSTITUTE(SUBSTITUTE(SUBSTITUTE(SUBSTITUTE(TRIM(LEFT(INDEX(貼り付け!$A$1:$BZ$3001,2333,$B$1)&amp;"",FIND(" ",TRIM(INDEX(貼り付け!$A$1:$BZ$3001,2333,$B$1)&amp;"")&amp;" ")-1)),"/","-"),"年","-"),"月","-"),"日",""))),"")</f>
        <v/>
      </c>
      <c r="J2334">
        <f>IFERROR(MID(I2334,FIND("-",I2334)+1,99),"")</f>
        <v/>
      </c>
    </row>
    <row r="2335">
      <c r="B2335">
        <f>IFERROR(IF($B$1=0,"",IF(INDEX(貼り付け!$A$1:$BZ$3001,2334,$B$1)="","",IF(ISNUMBER(INDEX(貼り付け!$A$1:$BZ$3001,2334,$B$1)),INT(INDEX(貼り付け!$A$1:$BZ$3001,2334,$B$1)),DATE(VALUE(LEFT(I2335,FIND("-",I2335)-1)),VALUE(LEFT(J2335,FIND("-",J2335)-1)),VALUE(MID(J2335,FIND("-",J2335)+1,99)))))),"")</f>
        <v/>
      </c>
      <c r="C2335">
        <f>IF($C$1=0,0,IFERROR(VALUE(SUBSTITUTE(SUBSTITUTE(SUBSTITUTE(INDEX(貼り付け!$A$1:$BZ$3001,2334,$C$1)&amp;"",",",""),"¥",""),"￥","")),0))</f>
        <v/>
      </c>
      <c r="D2335">
        <f>IF($D$1=0,0,IFERROR(VALUE(SUBSTITUTE(SUBSTITUTE(SUBSTITUTE(INDEX(貼り付け!$A$1:$BZ$3001,2334,$D$1)&amp;"",",",""),"¥",""),"￥","")),0))</f>
        <v/>
      </c>
      <c r="E2335">
        <f>IF($E$1=0,0,IFERROR(VALUE(SUBSTITUTE(SUBSTITUTE(SUBSTITUTE(INDEX(貼り付け!$A$1:$BZ$3001,2334,$E$1)&amp;"",",",""),"¥",""),"￥","")),0))</f>
        <v/>
      </c>
      <c r="F2335">
        <f>IF($F$1=0,0,IFERROR(VALUE(SUBSTITUTE(SUBSTITUTE(SUBSTITUTE(INDEX(貼り付け!$A$1:$BZ$3001,2334,$F$1)&amp;"",",",""),"¥",""),"￥","")),0))</f>
        <v/>
      </c>
      <c r="G2335">
        <f>IF(ISNUMBER(B2335),YEAR(B2335),"")</f>
        <v/>
      </c>
      <c r="H2335">
        <f>IF(ISNUMBER(B2335),MONTH(B2335),"")</f>
        <v/>
      </c>
      <c r="I2335">
        <f>IFERROR(IF($B$1=0,"",IF(ISNUMBER(INDEX(貼り付け!$A$1:$BZ$3001,2334,$B$1)),"",SUBSTITUTE(SUBSTITUTE(SUBSTITUTE(SUBSTITUTE(TRIM(LEFT(INDEX(貼り付け!$A$1:$BZ$3001,2334,$B$1)&amp;"",FIND(" ",TRIM(INDEX(貼り付け!$A$1:$BZ$3001,2334,$B$1)&amp;"")&amp;" ")-1)),"/","-"),"年","-"),"月","-"),"日",""))),"")</f>
        <v/>
      </c>
      <c r="J2335">
        <f>IFERROR(MID(I2335,FIND("-",I2335)+1,99),"")</f>
        <v/>
      </c>
    </row>
    <row r="2336">
      <c r="B2336">
        <f>IFERROR(IF($B$1=0,"",IF(INDEX(貼り付け!$A$1:$BZ$3001,2335,$B$1)="","",IF(ISNUMBER(INDEX(貼り付け!$A$1:$BZ$3001,2335,$B$1)),INT(INDEX(貼り付け!$A$1:$BZ$3001,2335,$B$1)),DATE(VALUE(LEFT(I2336,FIND("-",I2336)-1)),VALUE(LEFT(J2336,FIND("-",J2336)-1)),VALUE(MID(J2336,FIND("-",J2336)+1,99)))))),"")</f>
        <v/>
      </c>
      <c r="C2336">
        <f>IF($C$1=0,0,IFERROR(VALUE(SUBSTITUTE(SUBSTITUTE(SUBSTITUTE(INDEX(貼り付け!$A$1:$BZ$3001,2335,$C$1)&amp;"",",",""),"¥",""),"￥","")),0))</f>
        <v/>
      </c>
      <c r="D2336">
        <f>IF($D$1=0,0,IFERROR(VALUE(SUBSTITUTE(SUBSTITUTE(SUBSTITUTE(INDEX(貼り付け!$A$1:$BZ$3001,2335,$D$1)&amp;"",",",""),"¥",""),"￥","")),0))</f>
        <v/>
      </c>
      <c r="E2336">
        <f>IF($E$1=0,0,IFERROR(VALUE(SUBSTITUTE(SUBSTITUTE(SUBSTITUTE(INDEX(貼り付け!$A$1:$BZ$3001,2335,$E$1)&amp;"",",",""),"¥",""),"￥","")),0))</f>
        <v/>
      </c>
      <c r="F2336">
        <f>IF($F$1=0,0,IFERROR(VALUE(SUBSTITUTE(SUBSTITUTE(SUBSTITUTE(INDEX(貼り付け!$A$1:$BZ$3001,2335,$F$1)&amp;"",",",""),"¥",""),"￥","")),0))</f>
        <v/>
      </c>
      <c r="G2336">
        <f>IF(ISNUMBER(B2336),YEAR(B2336),"")</f>
        <v/>
      </c>
      <c r="H2336">
        <f>IF(ISNUMBER(B2336),MONTH(B2336),"")</f>
        <v/>
      </c>
      <c r="I2336">
        <f>IFERROR(IF($B$1=0,"",IF(ISNUMBER(INDEX(貼り付け!$A$1:$BZ$3001,2335,$B$1)),"",SUBSTITUTE(SUBSTITUTE(SUBSTITUTE(SUBSTITUTE(TRIM(LEFT(INDEX(貼り付け!$A$1:$BZ$3001,2335,$B$1)&amp;"",FIND(" ",TRIM(INDEX(貼り付け!$A$1:$BZ$3001,2335,$B$1)&amp;"")&amp;" ")-1)),"/","-"),"年","-"),"月","-"),"日",""))),"")</f>
        <v/>
      </c>
      <c r="J2336">
        <f>IFERROR(MID(I2336,FIND("-",I2336)+1,99),"")</f>
        <v/>
      </c>
    </row>
    <row r="2337">
      <c r="B2337">
        <f>IFERROR(IF($B$1=0,"",IF(INDEX(貼り付け!$A$1:$BZ$3001,2336,$B$1)="","",IF(ISNUMBER(INDEX(貼り付け!$A$1:$BZ$3001,2336,$B$1)),INT(INDEX(貼り付け!$A$1:$BZ$3001,2336,$B$1)),DATE(VALUE(LEFT(I2337,FIND("-",I2337)-1)),VALUE(LEFT(J2337,FIND("-",J2337)-1)),VALUE(MID(J2337,FIND("-",J2337)+1,99)))))),"")</f>
        <v/>
      </c>
      <c r="C2337">
        <f>IF($C$1=0,0,IFERROR(VALUE(SUBSTITUTE(SUBSTITUTE(SUBSTITUTE(INDEX(貼り付け!$A$1:$BZ$3001,2336,$C$1)&amp;"",",",""),"¥",""),"￥","")),0))</f>
        <v/>
      </c>
      <c r="D2337">
        <f>IF($D$1=0,0,IFERROR(VALUE(SUBSTITUTE(SUBSTITUTE(SUBSTITUTE(INDEX(貼り付け!$A$1:$BZ$3001,2336,$D$1)&amp;"",",",""),"¥",""),"￥","")),0))</f>
        <v/>
      </c>
      <c r="E2337">
        <f>IF($E$1=0,0,IFERROR(VALUE(SUBSTITUTE(SUBSTITUTE(SUBSTITUTE(INDEX(貼り付け!$A$1:$BZ$3001,2336,$E$1)&amp;"",",",""),"¥",""),"￥","")),0))</f>
        <v/>
      </c>
      <c r="F2337">
        <f>IF($F$1=0,0,IFERROR(VALUE(SUBSTITUTE(SUBSTITUTE(SUBSTITUTE(INDEX(貼り付け!$A$1:$BZ$3001,2336,$F$1)&amp;"",",",""),"¥",""),"￥","")),0))</f>
        <v/>
      </c>
      <c r="G2337">
        <f>IF(ISNUMBER(B2337),YEAR(B2337),"")</f>
        <v/>
      </c>
      <c r="H2337">
        <f>IF(ISNUMBER(B2337),MONTH(B2337),"")</f>
        <v/>
      </c>
      <c r="I2337">
        <f>IFERROR(IF($B$1=0,"",IF(ISNUMBER(INDEX(貼り付け!$A$1:$BZ$3001,2336,$B$1)),"",SUBSTITUTE(SUBSTITUTE(SUBSTITUTE(SUBSTITUTE(TRIM(LEFT(INDEX(貼り付け!$A$1:$BZ$3001,2336,$B$1)&amp;"",FIND(" ",TRIM(INDEX(貼り付け!$A$1:$BZ$3001,2336,$B$1)&amp;"")&amp;" ")-1)),"/","-"),"年","-"),"月","-"),"日",""))),"")</f>
        <v/>
      </c>
      <c r="J2337">
        <f>IFERROR(MID(I2337,FIND("-",I2337)+1,99),"")</f>
        <v/>
      </c>
    </row>
    <row r="2338">
      <c r="B2338">
        <f>IFERROR(IF($B$1=0,"",IF(INDEX(貼り付け!$A$1:$BZ$3001,2337,$B$1)="","",IF(ISNUMBER(INDEX(貼り付け!$A$1:$BZ$3001,2337,$B$1)),INT(INDEX(貼り付け!$A$1:$BZ$3001,2337,$B$1)),DATE(VALUE(LEFT(I2338,FIND("-",I2338)-1)),VALUE(LEFT(J2338,FIND("-",J2338)-1)),VALUE(MID(J2338,FIND("-",J2338)+1,99)))))),"")</f>
        <v/>
      </c>
      <c r="C2338">
        <f>IF($C$1=0,0,IFERROR(VALUE(SUBSTITUTE(SUBSTITUTE(SUBSTITUTE(INDEX(貼り付け!$A$1:$BZ$3001,2337,$C$1)&amp;"",",",""),"¥",""),"￥","")),0))</f>
        <v/>
      </c>
      <c r="D2338">
        <f>IF($D$1=0,0,IFERROR(VALUE(SUBSTITUTE(SUBSTITUTE(SUBSTITUTE(INDEX(貼り付け!$A$1:$BZ$3001,2337,$D$1)&amp;"",",",""),"¥",""),"￥","")),0))</f>
        <v/>
      </c>
      <c r="E2338">
        <f>IF($E$1=0,0,IFERROR(VALUE(SUBSTITUTE(SUBSTITUTE(SUBSTITUTE(INDEX(貼り付け!$A$1:$BZ$3001,2337,$E$1)&amp;"",",",""),"¥",""),"￥","")),0))</f>
        <v/>
      </c>
      <c r="F2338">
        <f>IF($F$1=0,0,IFERROR(VALUE(SUBSTITUTE(SUBSTITUTE(SUBSTITUTE(INDEX(貼り付け!$A$1:$BZ$3001,2337,$F$1)&amp;"",",",""),"¥",""),"￥","")),0))</f>
        <v/>
      </c>
      <c r="G2338">
        <f>IF(ISNUMBER(B2338),YEAR(B2338),"")</f>
        <v/>
      </c>
      <c r="H2338">
        <f>IF(ISNUMBER(B2338),MONTH(B2338),"")</f>
        <v/>
      </c>
      <c r="I2338">
        <f>IFERROR(IF($B$1=0,"",IF(ISNUMBER(INDEX(貼り付け!$A$1:$BZ$3001,2337,$B$1)),"",SUBSTITUTE(SUBSTITUTE(SUBSTITUTE(SUBSTITUTE(TRIM(LEFT(INDEX(貼り付け!$A$1:$BZ$3001,2337,$B$1)&amp;"",FIND(" ",TRIM(INDEX(貼り付け!$A$1:$BZ$3001,2337,$B$1)&amp;"")&amp;" ")-1)),"/","-"),"年","-"),"月","-"),"日",""))),"")</f>
        <v/>
      </c>
      <c r="J2338">
        <f>IFERROR(MID(I2338,FIND("-",I2338)+1,99),"")</f>
        <v/>
      </c>
    </row>
    <row r="2339">
      <c r="B2339">
        <f>IFERROR(IF($B$1=0,"",IF(INDEX(貼り付け!$A$1:$BZ$3001,2338,$B$1)="","",IF(ISNUMBER(INDEX(貼り付け!$A$1:$BZ$3001,2338,$B$1)),INT(INDEX(貼り付け!$A$1:$BZ$3001,2338,$B$1)),DATE(VALUE(LEFT(I2339,FIND("-",I2339)-1)),VALUE(LEFT(J2339,FIND("-",J2339)-1)),VALUE(MID(J2339,FIND("-",J2339)+1,99)))))),"")</f>
        <v/>
      </c>
      <c r="C2339">
        <f>IF($C$1=0,0,IFERROR(VALUE(SUBSTITUTE(SUBSTITUTE(SUBSTITUTE(INDEX(貼り付け!$A$1:$BZ$3001,2338,$C$1)&amp;"",",",""),"¥",""),"￥","")),0))</f>
        <v/>
      </c>
      <c r="D2339">
        <f>IF($D$1=0,0,IFERROR(VALUE(SUBSTITUTE(SUBSTITUTE(SUBSTITUTE(INDEX(貼り付け!$A$1:$BZ$3001,2338,$D$1)&amp;"",",",""),"¥",""),"￥","")),0))</f>
        <v/>
      </c>
      <c r="E2339">
        <f>IF($E$1=0,0,IFERROR(VALUE(SUBSTITUTE(SUBSTITUTE(SUBSTITUTE(INDEX(貼り付け!$A$1:$BZ$3001,2338,$E$1)&amp;"",",",""),"¥",""),"￥","")),0))</f>
        <v/>
      </c>
      <c r="F2339">
        <f>IF($F$1=0,0,IFERROR(VALUE(SUBSTITUTE(SUBSTITUTE(SUBSTITUTE(INDEX(貼り付け!$A$1:$BZ$3001,2338,$F$1)&amp;"",",",""),"¥",""),"￥","")),0))</f>
        <v/>
      </c>
      <c r="G2339">
        <f>IF(ISNUMBER(B2339),YEAR(B2339),"")</f>
        <v/>
      </c>
      <c r="H2339">
        <f>IF(ISNUMBER(B2339),MONTH(B2339),"")</f>
        <v/>
      </c>
      <c r="I2339">
        <f>IFERROR(IF($B$1=0,"",IF(ISNUMBER(INDEX(貼り付け!$A$1:$BZ$3001,2338,$B$1)),"",SUBSTITUTE(SUBSTITUTE(SUBSTITUTE(SUBSTITUTE(TRIM(LEFT(INDEX(貼り付け!$A$1:$BZ$3001,2338,$B$1)&amp;"",FIND(" ",TRIM(INDEX(貼り付け!$A$1:$BZ$3001,2338,$B$1)&amp;"")&amp;" ")-1)),"/","-"),"年","-"),"月","-"),"日",""))),"")</f>
        <v/>
      </c>
      <c r="J2339">
        <f>IFERROR(MID(I2339,FIND("-",I2339)+1,99),"")</f>
        <v/>
      </c>
    </row>
    <row r="2340">
      <c r="B2340">
        <f>IFERROR(IF($B$1=0,"",IF(INDEX(貼り付け!$A$1:$BZ$3001,2339,$B$1)="","",IF(ISNUMBER(INDEX(貼り付け!$A$1:$BZ$3001,2339,$B$1)),INT(INDEX(貼り付け!$A$1:$BZ$3001,2339,$B$1)),DATE(VALUE(LEFT(I2340,FIND("-",I2340)-1)),VALUE(LEFT(J2340,FIND("-",J2340)-1)),VALUE(MID(J2340,FIND("-",J2340)+1,99)))))),"")</f>
        <v/>
      </c>
      <c r="C2340">
        <f>IF($C$1=0,0,IFERROR(VALUE(SUBSTITUTE(SUBSTITUTE(SUBSTITUTE(INDEX(貼り付け!$A$1:$BZ$3001,2339,$C$1)&amp;"",",",""),"¥",""),"￥","")),0))</f>
        <v/>
      </c>
      <c r="D2340">
        <f>IF($D$1=0,0,IFERROR(VALUE(SUBSTITUTE(SUBSTITUTE(SUBSTITUTE(INDEX(貼り付け!$A$1:$BZ$3001,2339,$D$1)&amp;"",",",""),"¥",""),"￥","")),0))</f>
        <v/>
      </c>
      <c r="E2340">
        <f>IF($E$1=0,0,IFERROR(VALUE(SUBSTITUTE(SUBSTITUTE(SUBSTITUTE(INDEX(貼り付け!$A$1:$BZ$3001,2339,$E$1)&amp;"",",",""),"¥",""),"￥","")),0))</f>
        <v/>
      </c>
      <c r="F2340">
        <f>IF($F$1=0,0,IFERROR(VALUE(SUBSTITUTE(SUBSTITUTE(SUBSTITUTE(INDEX(貼り付け!$A$1:$BZ$3001,2339,$F$1)&amp;"",",",""),"¥",""),"￥","")),0))</f>
        <v/>
      </c>
      <c r="G2340">
        <f>IF(ISNUMBER(B2340),YEAR(B2340),"")</f>
        <v/>
      </c>
      <c r="H2340">
        <f>IF(ISNUMBER(B2340),MONTH(B2340),"")</f>
        <v/>
      </c>
      <c r="I2340">
        <f>IFERROR(IF($B$1=0,"",IF(ISNUMBER(INDEX(貼り付け!$A$1:$BZ$3001,2339,$B$1)),"",SUBSTITUTE(SUBSTITUTE(SUBSTITUTE(SUBSTITUTE(TRIM(LEFT(INDEX(貼り付け!$A$1:$BZ$3001,2339,$B$1)&amp;"",FIND(" ",TRIM(INDEX(貼り付け!$A$1:$BZ$3001,2339,$B$1)&amp;"")&amp;" ")-1)),"/","-"),"年","-"),"月","-"),"日",""))),"")</f>
        <v/>
      </c>
      <c r="J2340">
        <f>IFERROR(MID(I2340,FIND("-",I2340)+1,99),"")</f>
        <v/>
      </c>
    </row>
    <row r="2341">
      <c r="B2341">
        <f>IFERROR(IF($B$1=0,"",IF(INDEX(貼り付け!$A$1:$BZ$3001,2340,$B$1)="","",IF(ISNUMBER(INDEX(貼り付け!$A$1:$BZ$3001,2340,$B$1)),INT(INDEX(貼り付け!$A$1:$BZ$3001,2340,$B$1)),DATE(VALUE(LEFT(I2341,FIND("-",I2341)-1)),VALUE(LEFT(J2341,FIND("-",J2341)-1)),VALUE(MID(J2341,FIND("-",J2341)+1,99)))))),"")</f>
        <v/>
      </c>
      <c r="C2341">
        <f>IF($C$1=0,0,IFERROR(VALUE(SUBSTITUTE(SUBSTITUTE(SUBSTITUTE(INDEX(貼り付け!$A$1:$BZ$3001,2340,$C$1)&amp;"",",",""),"¥",""),"￥","")),0))</f>
        <v/>
      </c>
      <c r="D2341">
        <f>IF($D$1=0,0,IFERROR(VALUE(SUBSTITUTE(SUBSTITUTE(SUBSTITUTE(INDEX(貼り付け!$A$1:$BZ$3001,2340,$D$1)&amp;"",",",""),"¥",""),"￥","")),0))</f>
        <v/>
      </c>
      <c r="E2341">
        <f>IF($E$1=0,0,IFERROR(VALUE(SUBSTITUTE(SUBSTITUTE(SUBSTITUTE(INDEX(貼り付け!$A$1:$BZ$3001,2340,$E$1)&amp;"",",",""),"¥",""),"￥","")),0))</f>
        <v/>
      </c>
      <c r="F2341">
        <f>IF($F$1=0,0,IFERROR(VALUE(SUBSTITUTE(SUBSTITUTE(SUBSTITUTE(INDEX(貼り付け!$A$1:$BZ$3001,2340,$F$1)&amp;"",",",""),"¥",""),"￥","")),0))</f>
        <v/>
      </c>
      <c r="G2341">
        <f>IF(ISNUMBER(B2341),YEAR(B2341),"")</f>
        <v/>
      </c>
      <c r="H2341">
        <f>IF(ISNUMBER(B2341),MONTH(B2341),"")</f>
        <v/>
      </c>
      <c r="I2341">
        <f>IFERROR(IF($B$1=0,"",IF(ISNUMBER(INDEX(貼り付け!$A$1:$BZ$3001,2340,$B$1)),"",SUBSTITUTE(SUBSTITUTE(SUBSTITUTE(SUBSTITUTE(TRIM(LEFT(INDEX(貼り付け!$A$1:$BZ$3001,2340,$B$1)&amp;"",FIND(" ",TRIM(INDEX(貼り付け!$A$1:$BZ$3001,2340,$B$1)&amp;"")&amp;" ")-1)),"/","-"),"年","-"),"月","-"),"日",""))),"")</f>
        <v/>
      </c>
      <c r="J2341">
        <f>IFERROR(MID(I2341,FIND("-",I2341)+1,99),"")</f>
        <v/>
      </c>
    </row>
    <row r="2342">
      <c r="B2342">
        <f>IFERROR(IF($B$1=0,"",IF(INDEX(貼り付け!$A$1:$BZ$3001,2341,$B$1)="","",IF(ISNUMBER(INDEX(貼り付け!$A$1:$BZ$3001,2341,$B$1)),INT(INDEX(貼り付け!$A$1:$BZ$3001,2341,$B$1)),DATE(VALUE(LEFT(I2342,FIND("-",I2342)-1)),VALUE(LEFT(J2342,FIND("-",J2342)-1)),VALUE(MID(J2342,FIND("-",J2342)+1,99)))))),"")</f>
        <v/>
      </c>
      <c r="C2342">
        <f>IF($C$1=0,0,IFERROR(VALUE(SUBSTITUTE(SUBSTITUTE(SUBSTITUTE(INDEX(貼り付け!$A$1:$BZ$3001,2341,$C$1)&amp;"",",",""),"¥",""),"￥","")),0))</f>
        <v/>
      </c>
      <c r="D2342">
        <f>IF($D$1=0,0,IFERROR(VALUE(SUBSTITUTE(SUBSTITUTE(SUBSTITUTE(INDEX(貼り付け!$A$1:$BZ$3001,2341,$D$1)&amp;"",",",""),"¥",""),"￥","")),0))</f>
        <v/>
      </c>
      <c r="E2342">
        <f>IF($E$1=0,0,IFERROR(VALUE(SUBSTITUTE(SUBSTITUTE(SUBSTITUTE(INDEX(貼り付け!$A$1:$BZ$3001,2341,$E$1)&amp;"",",",""),"¥",""),"￥","")),0))</f>
        <v/>
      </c>
      <c r="F2342">
        <f>IF($F$1=0,0,IFERROR(VALUE(SUBSTITUTE(SUBSTITUTE(SUBSTITUTE(INDEX(貼り付け!$A$1:$BZ$3001,2341,$F$1)&amp;"",",",""),"¥",""),"￥","")),0))</f>
        <v/>
      </c>
      <c r="G2342">
        <f>IF(ISNUMBER(B2342),YEAR(B2342),"")</f>
        <v/>
      </c>
      <c r="H2342">
        <f>IF(ISNUMBER(B2342),MONTH(B2342),"")</f>
        <v/>
      </c>
      <c r="I2342">
        <f>IFERROR(IF($B$1=0,"",IF(ISNUMBER(INDEX(貼り付け!$A$1:$BZ$3001,2341,$B$1)),"",SUBSTITUTE(SUBSTITUTE(SUBSTITUTE(SUBSTITUTE(TRIM(LEFT(INDEX(貼り付け!$A$1:$BZ$3001,2341,$B$1)&amp;"",FIND(" ",TRIM(INDEX(貼り付け!$A$1:$BZ$3001,2341,$B$1)&amp;"")&amp;" ")-1)),"/","-"),"年","-"),"月","-"),"日",""))),"")</f>
        <v/>
      </c>
      <c r="J2342">
        <f>IFERROR(MID(I2342,FIND("-",I2342)+1,99),"")</f>
        <v/>
      </c>
    </row>
    <row r="2343">
      <c r="B2343">
        <f>IFERROR(IF($B$1=0,"",IF(INDEX(貼り付け!$A$1:$BZ$3001,2342,$B$1)="","",IF(ISNUMBER(INDEX(貼り付け!$A$1:$BZ$3001,2342,$B$1)),INT(INDEX(貼り付け!$A$1:$BZ$3001,2342,$B$1)),DATE(VALUE(LEFT(I2343,FIND("-",I2343)-1)),VALUE(LEFT(J2343,FIND("-",J2343)-1)),VALUE(MID(J2343,FIND("-",J2343)+1,99)))))),"")</f>
        <v/>
      </c>
      <c r="C2343">
        <f>IF($C$1=0,0,IFERROR(VALUE(SUBSTITUTE(SUBSTITUTE(SUBSTITUTE(INDEX(貼り付け!$A$1:$BZ$3001,2342,$C$1)&amp;"",",",""),"¥",""),"￥","")),0))</f>
        <v/>
      </c>
      <c r="D2343">
        <f>IF($D$1=0,0,IFERROR(VALUE(SUBSTITUTE(SUBSTITUTE(SUBSTITUTE(INDEX(貼り付け!$A$1:$BZ$3001,2342,$D$1)&amp;"",",",""),"¥",""),"￥","")),0))</f>
        <v/>
      </c>
      <c r="E2343">
        <f>IF($E$1=0,0,IFERROR(VALUE(SUBSTITUTE(SUBSTITUTE(SUBSTITUTE(INDEX(貼り付け!$A$1:$BZ$3001,2342,$E$1)&amp;"",",",""),"¥",""),"￥","")),0))</f>
        <v/>
      </c>
      <c r="F2343">
        <f>IF($F$1=0,0,IFERROR(VALUE(SUBSTITUTE(SUBSTITUTE(SUBSTITUTE(INDEX(貼り付け!$A$1:$BZ$3001,2342,$F$1)&amp;"",",",""),"¥",""),"￥","")),0))</f>
        <v/>
      </c>
      <c r="G2343">
        <f>IF(ISNUMBER(B2343),YEAR(B2343),"")</f>
        <v/>
      </c>
      <c r="H2343">
        <f>IF(ISNUMBER(B2343),MONTH(B2343),"")</f>
        <v/>
      </c>
      <c r="I2343">
        <f>IFERROR(IF($B$1=0,"",IF(ISNUMBER(INDEX(貼り付け!$A$1:$BZ$3001,2342,$B$1)),"",SUBSTITUTE(SUBSTITUTE(SUBSTITUTE(SUBSTITUTE(TRIM(LEFT(INDEX(貼り付け!$A$1:$BZ$3001,2342,$B$1)&amp;"",FIND(" ",TRIM(INDEX(貼り付け!$A$1:$BZ$3001,2342,$B$1)&amp;"")&amp;" ")-1)),"/","-"),"年","-"),"月","-"),"日",""))),"")</f>
        <v/>
      </c>
      <c r="J2343">
        <f>IFERROR(MID(I2343,FIND("-",I2343)+1,99),"")</f>
        <v/>
      </c>
    </row>
    <row r="2344">
      <c r="B2344">
        <f>IFERROR(IF($B$1=0,"",IF(INDEX(貼り付け!$A$1:$BZ$3001,2343,$B$1)="","",IF(ISNUMBER(INDEX(貼り付け!$A$1:$BZ$3001,2343,$B$1)),INT(INDEX(貼り付け!$A$1:$BZ$3001,2343,$B$1)),DATE(VALUE(LEFT(I2344,FIND("-",I2344)-1)),VALUE(LEFT(J2344,FIND("-",J2344)-1)),VALUE(MID(J2344,FIND("-",J2344)+1,99)))))),"")</f>
        <v/>
      </c>
      <c r="C2344">
        <f>IF($C$1=0,0,IFERROR(VALUE(SUBSTITUTE(SUBSTITUTE(SUBSTITUTE(INDEX(貼り付け!$A$1:$BZ$3001,2343,$C$1)&amp;"",",",""),"¥",""),"￥","")),0))</f>
        <v/>
      </c>
      <c r="D2344">
        <f>IF($D$1=0,0,IFERROR(VALUE(SUBSTITUTE(SUBSTITUTE(SUBSTITUTE(INDEX(貼り付け!$A$1:$BZ$3001,2343,$D$1)&amp;"",",",""),"¥",""),"￥","")),0))</f>
        <v/>
      </c>
      <c r="E2344">
        <f>IF($E$1=0,0,IFERROR(VALUE(SUBSTITUTE(SUBSTITUTE(SUBSTITUTE(INDEX(貼り付け!$A$1:$BZ$3001,2343,$E$1)&amp;"",",",""),"¥",""),"￥","")),0))</f>
        <v/>
      </c>
      <c r="F2344">
        <f>IF($F$1=0,0,IFERROR(VALUE(SUBSTITUTE(SUBSTITUTE(SUBSTITUTE(INDEX(貼り付け!$A$1:$BZ$3001,2343,$F$1)&amp;"",",",""),"¥",""),"￥","")),0))</f>
        <v/>
      </c>
      <c r="G2344">
        <f>IF(ISNUMBER(B2344),YEAR(B2344),"")</f>
        <v/>
      </c>
      <c r="H2344">
        <f>IF(ISNUMBER(B2344),MONTH(B2344),"")</f>
        <v/>
      </c>
      <c r="I2344">
        <f>IFERROR(IF($B$1=0,"",IF(ISNUMBER(INDEX(貼り付け!$A$1:$BZ$3001,2343,$B$1)),"",SUBSTITUTE(SUBSTITUTE(SUBSTITUTE(SUBSTITUTE(TRIM(LEFT(INDEX(貼り付け!$A$1:$BZ$3001,2343,$B$1)&amp;"",FIND(" ",TRIM(INDEX(貼り付け!$A$1:$BZ$3001,2343,$B$1)&amp;"")&amp;" ")-1)),"/","-"),"年","-"),"月","-"),"日",""))),"")</f>
        <v/>
      </c>
      <c r="J2344">
        <f>IFERROR(MID(I2344,FIND("-",I2344)+1,99),"")</f>
        <v/>
      </c>
    </row>
    <row r="2345">
      <c r="B2345">
        <f>IFERROR(IF($B$1=0,"",IF(INDEX(貼り付け!$A$1:$BZ$3001,2344,$B$1)="","",IF(ISNUMBER(INDEX(貼り付け!$A$1:$BZ$3001,2344,$B$1)),INT(INDEX(貼り付け!$A$1:$BZ$3001,2344,$B$1)),DATE(VALUE(LEFT(I2345,FIND("-",I2345)-1)),VALUE(LEFT(J2345,FIND("-",J2345)-1)),VALUE(MID(J2345,FIND("-",J2345)+1,99)))))),"")</f>
        <v/>
      </c>
      <c r="C2345">
        <f>IF($C$1=0,0,IFERROR(VALUE(SUBSTITUTE(SUBSTITUTE(SUBSTITUTE(INDEX(貼り付け!$A$1:$BZ$3001,2344,$C$1)&amp;"",",",""),"¥",""),"￥","")),0))</f>
        <v/>
      </c>
      <c r="D2345">
        <f>IF($D$1=0,0,IFERROR(VALUE(SUBSTITUTE(SUBSTITUTE(SUBSTITUTE(INDEX(貼り付け!$A$1:$BZ$3001,2344,$D$1)&amp;"",",",""),"¥",""),"￥","")),0))</f>
        <v/>
      </c>
      <c r="E2345">
        <f>IF($E$1=0,0,IFERROR(VALUE(SUBSTITUTE(SUBSTITUTE(SUBSTITUTE(INDEX(貼り付け!$A$1:$BZ$3001,2344,$E$1)&amp;"",",",""),"¥",""),"￥","")),0))</f>
        <v/>
      </c>
      <c r="F2345">
        <f>IF($F$1=0,0,IFERROR(VALUE(SUBSTITUTE(SUBSTITUTE(SUBSTITUTE(INDEX(貼り付け!$A$1:$BZ$3001,2344,$F$1)&amp;"",",",""),"¥",""),"￥","")),0))</f>
        <v/>
      </c>
      <c r="G2345">
        <f>IF(ISNUMBER(B2345),YEAR(B2345),"")</f>
        <v/>
      </c>
      <c r="H2345">
        <f>IF(ISNUMBER(B2345),MONTH(B2345),"")</f>
        <v/>
      </c>
      <c r="I2345">
        <f>IFERROR(IF($B$1=0,"",IF(ISNUMBER(INDEX(貼り付け!$A$1:$BZ$3001,2344,$B$1)),"",SUBSTITUTE(SUBSTITUTE(SUBSTITUTE(SUBSTITUTE(TRIM(LEFT(INDEX(貼り付け!$A$1:$BZ$3001,2344,$B$1)&amp;"",FIND(" ",TRIM(INDEX(貼り付け!$A$1:$BZ$3001,2344,$B$1)&amp;"")&amp;" ")-1)),"/","-"),"年","-"),"月","-"),"日",""))),"")</f>
        <v/>
      </c>
      <c r="J2345">
        <f>IFERROR(MID(I2345,FIND("-",I2345)+1,99),"")</f>
        <v/>
      </c>
    </row>
    <row r="2346">
      <c r="B2346">
        <f>IFERROR(IF($B$1=0,"",IF(INDEX(貼り付け!$A$1:$BZ$3001,2345,$B$1)="","",IF(ISNUMBER(INDEX(貼り付け!$A$1:$BZ$3001,2345,$B$1)),INT(INDEX(貼り付け!$A$1:$BZ$3001,2345,$B$1)),DATE(VALUE(LEFT(I2346,FIND("-",I2346)-1)),VALUE(LEFT(J2346,FIND("-",J2346)-1)),VALUE(MID(J2346,FIND("-",J2346)+1,99)))))),"")</f>
        <v/>
      </c>
      <c r="C2346">
        <f>IF($C$1=0,0,IFERROR(VALUE(SUBSTITUTE(SUBSTITUTE(SUBSTITUTE(INDEX(貼り付け!$A$1:$BZ$3001,2345,$C$1)&amp;"",",",""),"¥",""),"￥","")),0))</f>
        <v/>
      </c>
      <c r="D2346">
        <f>IF($D$1=0,0,IFERROR(VALUE(SUBSTITUTE(SUBSTITUTE(SUBSTITUTE(INDEX(貼り付け!$A$1:$BZ$3001,2345,$D$1)&amp;"",",",""),"¥",""),"￥","")),0))</f>
        <v/>
      </c>
      <c r="E2346">
        <f>IF($E$1=0,0,IFERROR(VALUE(SUBSTITUTE(SUBSTITUTE(SUBSTITUTE(INDEX(貼り付け!$A$1:$BZ$3001,2345,$E$1)&amp;"",",",""),"¥",""),"￥","")),0))</f>
        <v/>
      </c>
      <c r="F2346">
        <f>IF($F$1=0,0,IFERROR(VALUE(SUBSTITUTE(SUBSTITUTE(SUBSTITUTE(INDEX(貼り付け!$A$1:$BZ$3001,2345,$F$1)&amp;"",",",""),"¥",""),"￥","")),0))</f>
        <v/>
      </c>
      <c r="G2346">
        <f>IF(ISNUMBER(B2346),YEAR(B2346),"")</f>
        <v/>
      </c>
      <c r="H2346">
        <f>IF(ISNUMBER(B2346),MONTH(B2346),"")</f>
        <v/>
      </c>
      <c r="I2346">
        <f>IFERROR(IF($B$1=0,"",IF(ISNUMBER(INDEX(貼り付け!$A$1:$BZ$3001,2345,$B$1)),"",SUBSTITUTE(SUBSTITUTE(SUBSTITUTE(SUBSTITUTE(TRIM(LEFT(INDEX(貼り付け!$A$1:$BZ$3001,2345,$B$1)&amp;"",FIND(" ",TRIM(INDEX(貼り付け!$A$1:$BZ$3001,2345,$B$1)&amp;"")&amp;" ")-1)),"/","-"),"年","-"),"月","-"),"日",""))),"")</f>
        <v/>
      </c>
      <c r="J2346">
        <f>IFERROR(MID(I2346,FIND("-",I2346)+1,99),"")</f>
        <v/>
      </c>
    </row>
    <row r="2347">
      <c r="B2347">
        <f>IFERROR(IF($B$1=0,"",IF(INDEX(貼り付け!$A$1:$BZ$3001,2346,$B$1)="","",IF(ISNUMBER(INDEX(貼り付け!$A$1:$BZ$3001,2346,$B$1)),INT(INDEX(貼り付け!$A$1:$BZ$3001,2346,$B$1)),DATE(VALUE(LEFT(I2347,FIND("-",I2347)-1)),VALUE(LEFT(J2347,FIND("-",J2347)-1)),VALUE(MID(J2347,FIND("-",J2347)+1,99)))))),"")</f>
        <v/>
      </c>
      <c r="C2347">
        <f>IF($C$1=0,0,IFERROR(VALUE(SUBSTITUTE(SUBSTITUTE(SUBSTITUTE(INDEX(貼り付け!$A$1:$BZ$3001,2346,$C$1)&amp;"",",",""),"¥",""),"￥","")),0))</f>
        <v/>
      </c>
      <c r="D2347">
        <f>IF($D$1=0,0,IFERROR(VALUE(SUBSTITUTE(SUBSTITUTE(SUBSTITUTE(INDEX(貼り付け!$A$1:$BZ$3001,2346,$D$1)&amp;"",",",""),"¥",""),"￥","")),0))</f>
        <v/>
      </c>
      <c r="E2347">
        <f>IF($E$1=0,0,IFERROR(VALUE(SUBSTITUTE(SUBSTITUTE(SUBSTITUTE(INDEX(貼り付け!$A$1:$BZ$3001,2346,$E$1)&amp;"",",",""),"¥",""),"￥","")),0))</f>
        <v/>
      </c>
      <c r="F2347">
        <f>IF($F$1=0,0,IFERROR(VALUE(SUBSTITUTE(SUBSTITUTE(SUBSTITUTE(INDEX(貼り付け!$A$1:$BZ$3001,2346,$F$1)&amp;"",",",""),"¥",""),"￥","")),0))</f>
        <v/>
      </c>
      <c r="G2347">
        <f>IF(ISNUMBER(B2347),YEAR(B2347),"")</f>
        <v/>
      </c>
      <c r="H2347">
        <f>IF(ISNUMBER(B2347),MONTH(B2347),"")</f>
        <v/>
      </c>
      <c r="I2347">
        <f>IFERROR(IF($B$1=0,"",IF(ISNUMBER(INDEX(貼り付け!$A$1:$BZ$3001,2346,$B$1)),"",SUBSTITUTE(SUBSTITUTE(SUBSTITUTE(SUBSTITUTE(TRIM(LEFT(INDEX(貼り付け!$A$1:$BZ$3001,2346,$B$1)&amp;"",FIND(" ",TRIM(INDEX(貼り付け!$A$1:$BZ$3001,2346,$B$1)&amp;"")&amp;" ")-1)),"/","-"),"年","-"),"月","-"),"日",""))),"")</f>
        <v/>
      </c>
      <c r="J2347">
        <f>IFERROR(MID(I2347,FIND("-",I2347)+1,99),"")</f>
        <v/>
      </c>
    </row>
    <row r="2348">
      <c r="B2348">
        <f>IFERROR(IF($B$1=0,"",IF(INDEX(貼り付け!$A$1:$BZ$3001,2347,$B$1)="","",IF(ISNUMBER(INDEX(貼り付け!$A$1:$BZ$3001,2347,$B$1)),INT(INDEX(貼り付け!$A$1:$BZ$3001,2347,$B$1)),DATE(VALUE(LEFT(I2348,FIND("-",I2348)-1)),VALUE(LEFT(J2348,FIND("-",J2348)-1)),VALUE(MID(J2348,FIND("-",J2348)+1,99)))))),"")</f>
        <v/>
      </c>
      <c r="C2348">
        <f>IF($C$1=0,0,IFERROR(VALUE(SUBSTITUTE(SUBSTITUTE(SUBSTITUTE(INDEX(貼り付け!$A$1:$BZ$3001,2347,$C$1)&amp;"",",",""),"¥",""),"￥","")),0))</f>
        <v/>
      </c>
      <c r="D2348">
        <f>IF($D$1=0,0,IFERROR(VALUE(SUBSTITUTE(SUBSTITUTE(SUBSTITUTE(INDEX(貼り付け!$A$1:$BZ$3001,2347,$D$1)&amp;"",",",""),"¥",""),"￥","")),0))</f>
        <v/>
      </c>
      <c r="E2348">
        <f>IF($E$1=0,0,IFERROR(VALUE(SUBSTITUTE(SUBSTITUTE(SUBSTITUTE(INDEX(貼り付け!$A$1:$BZ$3001,2347,$E$1)&amp;"",",",""),"¥",""),"￥","")),0))</f>
        <v/>
      </c>
      <c r="F2348">
        <f>IF($F$1=0,0,IFERROR(VALUE(SUBSTITUTE(SUBSTITUTE(SUBSTITUTE(INDEX(貼り付け!$A$1:$BZ$3001,2347,$F$1)&amp;"",",",""),"¥",""),"￥","")),0))</f>
        <v/>
      </c>
      <c r="G2348">
        <f>IF(ISNUMBER(B2348),YEAR(B2348),"")</f>
        <v/>
      </c>
      <c r="H2348">
        <f>IF(ISNUMBER(B2348),MONTH(B2348),"")</f>
        <v/>
      </c>
      <c r="I2348">
        <f>IFERROR(IF($B$1=0,"",IF(ISNUMBER(INDEX(貼り付け!$A$1:$BZ$3001,2347,$B$1)),"",SUBSTITUTE(SUBSTITUTE(SUBSTITUTE(SUBSTITUTE(TRIM(LEFT(INDEX(貼り付け!$A$1:$BZ$3001,2347,$B$1)&amp;"",FIND(" ",TRIM(INDEX(貼り付け!$A$1:$BZ$3001,2347,$B$1)&amp;"")&amp;" ")-1)),"/","-"),"年","-"),"月","-"),"日",""))),"")</f>
        <v/>
      </c>
      <c r="J2348">
        <f>IFERROR(MID(I2348,FIND("-",I2348)+1,99),"")</f>
        <v/>
      </c>
    </row>
    <row r="2349">
      <c r="B2349">
        <f>IFERROR(IF($B$1=0,"",IF(INDEX(貼り付け!$A$1:$BZ$3001,2348,$B$1)="","",IF(ISNUMBER(INDEX(貼り付け!$A$1:$BZ$3001,2348,$B$1)),INT(INDEX(貼り付け!$A$1:$BZ$3001,2348,$B$1)),DATE(VALUE(LEFT(I2349,FIND("-",I2349)-1)),VALUE(LEFT(J2349,FIND("-",J2349)-1)),VALUE(MID(J2349,FIND("-",J2349)+1,99)))))),"")</f>
        <v/>
      </c>
      <c r="C2349">
        <f>IF($C$1=0,0,IFERROR(VALUE(SUBSTITUTE(SUBSTITUTE(SUBSTITUTE(INDEX(貼り付け!$A$1:$BZ$3001,2348,$C$1)&amp;"",",",""),"¥",""),"￥","")),0))</f>
        <v/>
      </c>
      <c r="D2349">
        <f>IF($D$1=0,0,IFERROR(VALUE(SUBSTITUTE(SUBSTITUTE(SUBSTITUTE(INDEX(貼り付け!$A$1:$BZ$3001,2348,$D$1)&amp;"",",",""),"¥",""),"￥","")),0))</f>
        <v/>
      </c>
      <c r="E2349">
        <f>IF($E$1=0,0,IFERROR(VALUE(SUBSTITUTE(SUBSTITUTE(SUBSTITUTE(INDEX(貼り付け!$A$1:$BZ$3001,2348,$E$1)&amp;"",",",""),"¥",""),"￥","")),0))</f>
        <v/>
      </c>
      <c r="F2349">
        <f>IF($F$1=0,0,IFERROR(VALUE(SUBSTITUTE(SUBSTITUTE(SUBSTITUTE(INDEX(貼り付け!$A$1:$BZ$3001,2348,$F$1)&amp;"",",",""),"¥",""),"￥","")),0))</f>
        <v/>
      </c>
      <c r="G2349">
        <f>IF(ISNUMBER(B2349),YEAR(B2349),"")</f>
        <v/>
      </c>
      <c r="H2349">
        <f>IF(ISNUMBER(B2349),MONTH(B2349),"")</f>
        <v/>
      </c>
      <c r="I2349">
        <f>IFERROR(IF($B$1=0,"",IF(ISNUMBER(INDEX(貼り付け!$A$1:$BZ$3001,2348,$B$1)),"",SUBSTITUTE(SUBSTITUTE(SUBSTITUTE(SUBSTITUTE(TRIM(LEFT(INDEX(貼り付け!$A$1:$BZ$3001,2348,$B$1)&amp;"",FIND(" ",TRIM(INDEX(貼り付け!$A$1:$BZ$3001,2348,$B$1)&amp;"")&amp;" ")-1)),"/","-"),"年","-"),"月","-"),"日",""))),"")</f>
        <v/>
      </c>
      <c r="J2349">
        <f>IFERROR(MID(I2349,FIND("-",I2349)+1,99),"")</f>
        <v/>
      </c>
    </row>
    <row r="2350">
      <c r="B2350">
        <f>IFERROR(IF($B$1=0,"",IF(INDEX(貼り付け!$A$1:$BZ$3001,2349,$B$1)="","",IF(ISNUMBER(INDEX(貼り付け!$A$1:$BZ$3001,2349,$B$1)),INT(INDEX(貼り付け!$A$1:$BZ$3001,2349,$B$1)),DATE(VALUE(LEFT(I2350,FIND("-",I2350)-1)),VALUE(LEFT(J2350,FIND("-",J2350)-1)),VALUE(MID(J2350,FIND("-",J2350)+1,99)))))),"")</f>
        <v/>
      </c>
      <c r="C2350">
        <f>IF($C$1=0,0,IFERROR(VALUE(SUBSTITUTE(SUBSTITUTE(SUBSTITUTE(INDEX(貼り付け!$A$1:$BZ$3001,2349,$C$1)&amp;"",",",""),"¥",""),"￥","")),0))</f>
        <v/>
      </c>
      <c r="D2350">
        <f>IF($D$1=0,0,IFERROR(VALUE(SUBSTITUTE(SUBSTITUTE(SUBSTITUTE(INDEX(貼り付け!$A$1:$BZ$3001,2349,$D$1)&amp;"",",",""),"¥",""),"￥","")),0))</f>
        <v/>
      </c>
      <c r="E2350">
        <f>IF($E$1=0,0,IFERROR(VALUE(SUBSTITUTE(SUBSTITUTE(SUBSTITUTE(INDEX(貼り付け!$A$1:$BZ$3001,2349,$E$1)&amp;"",",",""),"¥",""),"￥","")),0))</f>
        <v/>
      </c>
      <c r="F2350">
        <f>IF($F$1=0,0,IFERROR(VALUE(SUBSTITUTE(SUBSTITUTE(SUBSTITUTE(INDEX(貼り付け!$A$1:$BZ$3001,2349,$F$1)&amp;"",",",""),"¥",""),"￥","")),0))</f>
        <v/>
      </c>
      <c r="G2350">
        <f>IF(ISNUMBER(B2350),YEAR(B2350),"")</f>
        <v/>
      </c>
      <c r="H2350">
        <f>IF(ISNUMBER(B2350),MONTH(B2350),"")</f>
        <v/>
      </c>
      <c r="I2350">
        <f>IFERROR(IF($B$1=0,"",IF(ISNUMBER(INDEX(貼り付け!$A$1:$BZ$3001,2349,$B$1)),"",SUBSTITUTE(SUBSTITUTE(SUBSTITUTE(SUBSTITUTE(TRIM(LEFT(INDEX(貼り付け!$A$1:$BZ$3001,2349,$B$1)&amp;"",FIND(" ",TRIM(INDEX(貼り付け!$A$1:$BZ$3001,2349,$B$1)&amp;"")&amp;" ")-1)),"/","-"),"年","-"),"月","-"),"日",""))),"")</f>
        <v/>
      </c>
      <c r="J2350">
        <f>IFERROR(MID(I2350,FIND("-",I2350)+1,99),"")</f>
        <v/>
      </c>
    </row>
    <row r="2351">
      <c r="B2351">
        <f>IFERROR(IF($B$1=0,"",IF(INDEX(貼り付け!$A$1:$BZ$3001,2350,$B$1)="","",IF(ISNUMBER(INDEX(貼り付け!$A$1:$BZ$3001,2350,$B$1)),INT(INDEX(貼り付け!$A$1:$BZ$3001,2350,$B$1)),DATE(VALUE(LEFT(I2351,FIND("-",I2351)-1)),VALUE(LEFT(J2351,FIND("-",J2351)-1)),VALUE(MID(J2351,FIND("-",J2351)+1,99)))))),"")</f>
        <v/>
      </c>
      <c r="C2351">
        <f>IF($C$1=0,0,IFERROR(VALUE(SUBSTITUTE(SUBSTITUTE(SUBSTITUTE(INDEX(貼り付け!$A$1:$BZ$3001,2350,$C$1)&amp;"",",",""),"¥",""),"￥","")),0))</f>
        <v/>
      </c>
      <c r="D2351">
        <f>IF($D$1=0,0,IFERROR(VALUE(SUBSTITUTE(SUBSTITUTE(SUBSTITUTE(INDEX(貼り付け!$A$1:$BZ$3001,2350,$D$1)&amp;"",",",""),"¥",""),"￥","")),0))</f>
        <v/>
      </c>
      <c r="E2351">
        <f>IF($E$1=0,0,IFERROR(VALUE(SUBSTITUTE(SUBSTITUTE(SUBSTITUTE(INDEX(貼り付け!$A$1:$BZ$3001,2350,$E$1)&amp;"",",",""),"¥",""),"￥","")),0))</f>
        <v/>
      </c>
      <c r="F2351">
        <f>IF($F$1=0,0,IFERROR(VALUE(SUBSTITUTE(SUBSTITUTE(SUBSTITUTE(INDEX(貼り付け!$A$1:$BZ$3001,2350,$F$1)&amp;"",",",""),"¥",""),"￥","")),0))</f>
        <v/>
      </c>
      <c r="G2351">
        <f>IF(ISNUMBER(B2351),YEAR(B2351),"")</f>
        <v/>
      </c>
      <c r="H2351">
        <f>IF(ISNUMBER(B2351),MONTH(B2351),"")</f>
        <v/>
      </c>
      <c r="I2351">
        <f>IFERROR(IF($B$1=0,"",IF(ISNUMBER(INDEX(貼り付け!$A$1:$BZ$3001,2350,$B$1)),"",SUBSTITUTE(SUBSTITUTE(SUBSTITUTE(SUBSTITUTE(TRIM(LEFT(INDEX(貼り付け!$A$1:$BZ$3001,2350,$B$1)&amp;"",FIND(" ",TRIM(INDEX(貼り付け!$A$1:$BZ$3001,2350,$B$1)&amp;"")&amp;" ")-1)),"/","-"),"年","-"),"月","-"),"日",""))),"")</f>
        <v/>
      </c>
      <c r="J2351">
        <f>IFERROR(MID(I2351,FIND("-",I2351)+1,99),"")</f>
        <v/>
      </c>
    </row>
    <row r="2352">
      <c r="B2352">
        <f>IFERROR(IF($B$1=0,"",IF(INDEX(貼り付け!$A$1:$BZ$3001,2351,$B$1)="","",IF(ISNUMBER(INDEX(貼り付け!$A$1:$BZ$3001,2351,$B$1)),INT(INDEX(貼り付け!$A$1:$BZ$3001,2351,$B$1)),DATE(VALUE(LEFT(I2352,FIND("-",I2352)-1)),VALUE(LEFT(J2352,FIND("-",J2352)-1)),VALUE(MID(J2352,FIND("-",J2352)+1,99)))))),"")</f>
        <v/>
      </c>
      <c r="C2352">
        <f>IF($C$1=0,0,IFERROR(VALUE(SUBSTITUTE(SUBSTITUTE(SUBSTITUTE(INDEX(貼り付け!$A$1:$BZ$3001,2351,$C$1)&amp;"",",",""),"¥",""),"￥","")),0))</f>
        <v/>
      </c>
      <c r="D2352">
        <f>IF($D$1=0,0,IFERROR(VALUE(SUBSTITUTE(SUBSTITUTE(SUBSTITUTE(INDEX(貼り付け!$A$1:$BZ$3001,2351,$D$1)&amp;"",",",""),"¥",""),"￥","")),0))</f>
        <v/>
      </c>
      <c r="E2352">
        <f>IF($E$1=0,0,IFERROR(VALUE(SUBSTITUTE(SUBSTITUTE(SUBSTITUTE(INDEX(貼り付け!$A$1:$BZ$3001,2351,$E$1)&amp;"",",",""),"¥",""),"￥","")),0))</f>
        <v/>
      </c>
      <c r="F2352">
        <f>IF($F$1=0,0,IFERROR(VALUE(SUBSTITUTE(SUBSTITUTE(SUBSTITUTE(INDEX(貼り付け!$A$1:$BZ$3001,2351,$F$1)&amp;"",",",""),"¥",""),"￥","")),0))</f>
        <v/>
      </c>
      <c r="G2352">
        <f>IF(ISNUMBER(B2352),YEAR(B2352),"")</f>
        <v/>
      </c>
      <c r="H2352">
        <f>IF(ISNUMBER(B2352),MONTH(B2352),"")</f>
        <v/>
      </c>
      <c r="I2352">
        <f>IFERROR(IF($B$1=0,"",IF(ISNUMBER(INDEX(貼り付け!$A$1:$BZ$3001,2351,$B$1)),"",SUBSTITUTE(SUBSTITUTE(SUBSTITUTE(SUBSTITUTE(TRIM(LEFT(INDEX(貼り付け!$A$1:$BZ$3001,2351,$B$1)&amp;"",FIND(" ",TRIM(INDEX(貼り付け!$A$1:$BZ$3001,2351,$B$1)&amp;"")&amp;" ")-1)),"/","-"),"年","-"),"月","-"),"日",""))),"")</f>
        <v/>
      </c>
      <c r="J2352">
        <f>IFERROR(MID(I2352,FIND("-",I2352)+1,99),"")</f>
        <v/>
      </c>
    </row>
    <row r="2353">
      <c r="B2353">
        <f>IFERROR(IF($B$1=0,"",IF(INDEX(貼り付け!$A$1:$BZ$3001,2352,$B$1)="","",IF(ISNUMBER(INDEX(貼り付け!$A$1:$BZ$3001,2352,$B$1)),INT(INDEX(貼り付け!$A$1:$BZ$3001,2352,$B$1)),DATE(VALUE(LEFT(I2353,FIND("-",I2353)-1)),VALUE(LEFT(J2353,FIND("-",J2353)-1)),VALUE(MID(J2353,FIND("-",J2353)+1,99)))))),"")</f>
        <v/>
      </c>
      <c r="C2353">
        <f>IF($C$1=0,0,IFERROR(VALUE(SUBSTITUTE(SUBSTITUTE(SUBSTITUTE(INDEX(貼り付け!$A$1:$BZ$3001,2352,$C$1)&amp;"",",",""),"¥",""),"￥","")),0))</f>
        <v/>
      </c>
      <c r="D2353">
        <f>IF($D$1=0,0,IFERROR(VALUE(SUBSTITUTE(SUBSTITUTE(SUBSTITUTE(INDEX(貼り付け!$A$1:$BZ$3001,2352,$D$1)&amp;"",",",""),"¥",""),"￥","")),0))</f>
        <v/>
      </c>
      <c r="E2353">
        <f>IF($E$1=0,0,IFERROR(VALUE(SUBSTITUTE(SUBSTITUTE(SUBSTITUTE(INDEX(貼り付け!$A$1:$BZ$3001,2352,$E$1)&amp;"",",",""),"¥",""),"￥","")),0))</f>
        <v/>
      </c>
      <c r="F2353">
        <f>IF($F$1=0,0,IFERROR(VALUE(SUBSTITUTE(SUBSTITUTE(SUBSTITUTE(INDEX(貼り付け!$A$1:$BZ$3001,2352,$F$1)&amp;"",",",""),"¥",""),"￥","")),0))</f>
        <v/>
      </c>
      <c r="G2353">
        <f>IF(ISNUMBER(B2353),YEAR(B2353),"")</f>
        <v/>
      </c>
      <c r="H2353">
        <f>IF(ISNUMBER(B2353),MONTH(B2353),"")</f>
        <v/>
      </c>
      <c r="I2353">
        <f>IFERROR(IF($B$1=0,"",IF(ISNUMBER(INDEX(貼り付け!$A$1:$BZ$3001,2352,$B$1)),"",SUBSTITUTE(SUBSTITUTE(SUBSTITUTE(SUBSTITUTE(TRIM(LEFT(INDEX(貼り付け!$A$1:$BZ$3001,2352,$B$1)&amp;"",FIND(" ",TRIM(INDEX(貼り付け!$A$1:$BZ$3001,2352,$B$1)&amp;"")&amp;" ")-1)),"/","-"),"年","-"),"月","-"),"日",""))),"")</f>
        <v/>
      </c>
      <c r="J2353">
        <f>IFERROR(MID(I2353,FIND("-",I2353)+1,99),"")</f>
        <v/>
      </c>
    </row>
    <row r="2354">
      <c r="B2354">
        <f>IFERROR(IF($B$1=0,"",IF(INDEX(貼り付け!$A$1:$BZ$3001,2353,$B$1)="","",IF(ISNUMBER(INDEX(貼り付け!$A$1:$BZ$3001,2353,$B$1)),INT(INDEX(貼り付け!$A$1:$BZ$3001,2353,$B$1)),DATE(VALUE(LEFT(I2354,FIND("-",I2354)-1)),VALUE(LEFT(J2354,FIND("-",J2354)-1)),VALUE(MID(J2354,FIND("-",J2354)+1,99)))))),"")</f>
        <v/>
      </c>
      <c r="C2354">
        <f>IF($C$1=0,0,IFERROR(VALUE(SUBSTITUTE(SUBSTITUTE(SUBSTITUTE(INDEX(貼り付け!$A$1:$BZ$3001,2353,$C$1)&amp;"",",",""),"¥",""),"￥","")),0))</f>
        <v/>
      </c>
      <c r="D2354">
        <f>IF($D$1=0,0,IFERROR(VALUE(SUBSTITUTE(SUBSTITUTE(SUBSTITUTE(INDEX(貼り付け!$A$1:$BZ$3001,2353,$D$1)&amp;"",",",""),"¥",""),"￥","")),0))</f>
        <v/>
      </c>
      <c r="E2354">
        <f>IF($E$1=0,0,IFERROR(VALUE(SUBSTITUTE(SUBSTITUTE(SUBSTITUTE(INDEX(貼り付け!$A$1:$BZ$3001,2353,$E$1)&amp;"",",",""),"¥",""),"￥","")),0))</f>
        <v/>
      </c>
      <c r="F2354">
        <f>IF($F$1=0,0,IFERROR(VALUE(SUBSTITUTE(SUBSTITUTE(SUBSTITUTE(INDEX(貼り付け!$A$1:$BZ$3001,2353,$F$1)&amp;"",",",""),"¥",""),"￥","")),0))</f>
        <v/>
      </c>
      <c r="G2354">
        <f>IF(ISNUMBER(B2354),YEAR(B2354),"")</f>
        <v/>
      </c>
      <c r="H2354">
        <f>IF(ISNUMBER(B2354),MONTH(B2354),"")</f>
        <v/>
      </c>
      <c r="I2354">
        <f>IFERROR(IF($B$1=0,"",IF(ISNUMBER(INDEX(貼り付け!$A$1:$BZ$3001,2353,$B$1)),"",SUBSTITUTE(SUBSTITUTE(SUBSTITUTE(SUBSTITUTE(TRIM(LEFT(INDEX(貼り付け!$A$1:$BZ$3001,2353,$B$1)&amp;"",FIND(" ",TRIM(INDEX(貼り付け!$A$1:$BZ$3001,2353,$B$1)&amp;"")&amp;" ")-1)),"/","-"),"年","-"),"月","-"),"日",""))),"")</f>
        <v/>
      </c>
      <c r="J2354">
        <f>IFERROR(MID(I2354,FIND("-",I2354)+1,99),"")</f>
        <v/>
      </c>
    </row>
    <row r="2355">
      <c r="B2355">
        <f>IFERROR(IF($B$1=0,"",IF(INDEX(貼り付け!$A$1:$BZ$3001,2354,$B$1)="","",IF(ISNUMBER(INDEX(貼り付け!$A$1:$BZ$3001,2354,$B$1)),INT(INDEX(貼り付け!$A$1:$BZ$3001,2354,$B$1)),DATE(VALUE(LEFT(I2355,FIND("-",I2355)-1)),VALUE(LEFT(J2355,FIND("-",J2355)-1)),VALUE(MID(J2355,FIND("-",J2355)+1,99)))))),"")</f>
        <v/>
      </c>
      <c r="C2355">
        <f>IF($C$1=0,0,IFERROR(VALUE(SUBSTITUTE(SUBSTITUTE(SUBSTITUTE(INDEX(貼り付け!$A$1:$BZ$3001,2354,$C$1)&amp;"",",",""),"¥",""),"￥","")),0))</f>
        <v/>
      </c>
      <c r="D2355">
        <f>IF($D$1=0,0,IFERROR(VALUE(SUBSTITUTE(SUBSTITUTE(SUBSTITUTE(INDEX(貼り付け!$A$1:$BZ$3001,2354,$D$1)&amp;"",",",""),"¥",""),"￥","")),0))</f>
        <v/>
      </c>
      <c r="E2355">
        <f>IF($E$1=0,0,IFERROR(VALUE(SUBSTITUTE(SUBSTITUTE(SUBSTITUTE(INDEX(貼り付け!$A$1:$BZ$3001,2354,$E$1)&amp;"",",",""),"¥",""),"￥","")),0))</f>
        <v/>
      </c>
      <c r="F2355">
        <f>IF($F$1=0,0,IFERROR(VALUE(SUBSTITUTE(SUBSTITUTE(SUBSTITUTE(INDEX(貼り付け!$A$1:$BZ$3001,2354,$F$1)&amp;"",",",""),"¥",""),"￥","")),0))</f>
        <v/>
      </c>
      <c r="G2355">
        <f>IF(ISNUMBER(B2355),YEAR(B2355),"")</f>
        <v/>
      </c>
      <c r="H2355">
        <f>IF(ISNUMBER(B2355),MONTH(B2355),"")</f>
        <v/>
      </c>
      <c r="I2355">
        <f>IFERROR(IF($B$1=0,"",IF(ISNUMBER(INDEX(貼り付け!$A$1:$BZ$3001,2354,$B$1)),"",SUBSTITUTE(SUBSTITUTE(SUBSTITUTE(SUBSTITUTE(TRIM(LEFT(INDEX(貼り付け!$A$1:$BZ$3001,2354,$B$1)&amp;"",FIND(" ",TRIM(INDEX(貼り付け!$A$1:$BZ$3001,2354,$B$1)&amp;"")&amp;" ")-1)),"/","-"),"年","-"),"月","-"),"日",""))),"")</f>
        <v/>
      </c>
      <c r="J2355">
        <f>IFERROR(MID(I2355,FIND("-",I2355)+1,99),"")</f>
        <v/>
      </c>
    </row>
    <row r="2356">
      <c r="B2356">
        <f>IFERROR(IF($B$1=0,"",IF(INDEX(貼り付け!$A$1:$BZ$3001,2355,$B$1)="","",IF(ISNUMBER(INDEX(貼り付け!$A$1:$BZ$3001,2355,$B$1)),INT(INDEX(貼り付け!$A$1:$BZ$3001,2355,$B$1)),DATE(VALUE(LEFT(I2356,FIND("-",I2356)-1)),VALUE(LEFT(J2356,FIND("-",J2356)-1)),VALUE(MID(J2356,FIND("-",J2356)+1,99)))))),"")</f>
        <v/>
      </c>
      <c r="C2356">
        <f>IF($C$1=0,0,IFERROR(VALUE(SUBSTITUTE(SUBSTITUTE(SUBSTITUTE(INDEX(貼り付け!$A$1:$BZ$3001,2355,$C$1)&amp;"",",",""),"¥",""),"￥","")),0))</f>
        <v/>
      </c>
      <c r="D2356">
        <f>IF($D$1=0,0,IFERROR(VALUE(SUBSTITUTE(SUBSTITUTE(SUBSTITUTE(INDEX(貼り付け!$A$1:$BZ$3001,2355,$D$1)&amp;"",",",""),"¥",""),"￥","")),0))</f>
        <v/>
      </c>
      <c r="E2356">
        <f>IF($E$1=0,0,IFERROR(VALUE(SUBSTITUTE(SUBSTITUTE(SUBSTITUTE(INDEX(貼り付け!$A$1:$BZ$3001,2355,$E$1)&amp;"",",",""),"¥",""),"￥","")),0))</f>
        <v/>
      </c>
      <c r="F2356">
        <f>IF($F$1=0,0,IFERROR(VALUE(SUBSTITUTE(SUBSTITUTE(SUBSTITUTE(INDEX(貼り付け!$A$1:$BZ$3001,2355,$F$1)&amp;"",",",""),"¥",""),"￥","")),0))</f>
        <v/>
      </c>
      <c r="G2356">
        <f>IF(ISNUMBER(B2356),YEAR(B2356),"")</f>
        <v/>
      </c>
      <c r="H2356">
        <f>IF(ISNUMBER(B2356),MONTH(B2356),"")</f>
        <v/>
      </c>
      <c r="I2356">
        <f>IFERROR(IF($B$1=0,"",IF(ISNUMBER(INDEX(貼り付け!$A$1:$BZ$3001,2355,$B$1)),"",SUBSTITUTE(SUBSTITUTE(SUBSTITUTE(SUBSTITUTE(TRIM(LEFT(INDEX(貼り付け!$A$1:$BZ$3001,2355,$B$1)&amp;"",FIND(" ",TRIM(INDEX(貼り付け!$A$1:$BZ$3001,2355,$B$1)&amp;"")&amp;" ")-1)),"/","-"),"年","-"),"月","-"),"日",""))),"")</f>
        <v/>
      </c>
      <c r="J2356">
        <f>IFERROR(MID(I2356,FIND("-",I2356)+1,99),"")</f>
        <v/>
      </c>
    </row>
    <row r="2357">
      <c r="B2357">
        <f>IFERROR(IF($B$1=0,"",IF(INDEX(貼り付け!$A$1:$BZ$3001,2356,$B$1)="","",IF(ISNUMBER(INDEX(貼り付け!$A$1:$BZ$3001,2356,$B$1)),INT(INDEX(貼り付け!$A$1:$BZ$3001,2356,$B$1)),DATE(VALUE(LEFT(I2357,FIND("-",I2357)-1)),VALUE(LEFT(J2357,FIND("-",J2357)-1)),VALUE(MID(J2357,FIND("-",J2357)+1,99)))))),"")</f>
        <v/>
      </c>
      <c r="C2357">
        <f>IF($C$1=0,0,IFERROR(VALUE(SUBSTITUTE(SUBSTITUTE(SUBSTITUTE(INDEX(貼り付け!$A$1:$BZ$3001,2356,$C$1)&amp;"",",",""),"¥",""),"￥","")),0))</f>
        <v/>
      </c>
      <c r="D2357">
        <f>IF($D$1=0,0,IFERROR(VALUE(SUBSTITUTE(SUBSTITUTE(SUBSTITUTE(INDEX(貼り付け!$A$1:$BZ$3001,2356,$D$1)&amp;"",",",""),"¥",""),"￥","")),0))</f>
        <v/>
      </c>
      <c r="E2357">
        <f>IF($E$1=0,0,IFERROR(VALUE(SUBSTITUTE(SUBSTITUTE(SUBSTITUTE(INDEX(貼り付け!$A$1:$BZ$3001,2356,$E$1)&amp;"",",",""),"¥",""),"￥","")),0))</f>
        <v/>
      </c>
      <c r="F2357">
        <f>IF($F$1=0,0,IFERROR(VALUE(SUBSTITUTE(SUBSTITUTE(SUBSTITUTE(INDEX(貼り付け!$A$1:$BZ$3001,2356,$F$1)&amp;"",",",""),"¥",""),"￥","")),0))</f>
        <v/>
      </c>
      <c r="G2357">
        <f>IF(ISNUMBER(B2357),YEAR(B2357),"")</f>
        <v/>
      </c>
      <c r="H2357">
        <f>IF(ISNUMBER(B2357),MONTH(B2357),"")</f>
        <v/>
      </c>
      <c r="I2357">
        <f>IFERROR(IF($B$1=0,"",IF(ISNUMBER(INDEX(貼り付け!$A$1:$BZ$3001,2356,$B$1)),"",SUBSTITUTE(SUBSTITUTE(SUBSTITUTE(SUBSTITUTE(TRIM(LEFT(INDEX(貼り付け!$A$1:$BZ$3001,2356,$B$1)&amp;"",FIND(" ",TRIM(INDEX(貼り付け!$A$1:$BZ$3001,2356,$B$1)&amp;"")&amp;" ")-1)),"/","-"),"年","-"),"月","-"),"日",""))),"")</f>
        <v/>
      </c>
      <c r="J2357">
        <f>IFERROR(MID(I2357,FIND("-",I2357)+1,99),"")</f>
        <v/>
      </c>
    </row>
    <row r="2358">
      <c r="B2358">
        <f>IFERROR(IF($B$1=0,"",IF(INDEX(貼り付け!$A$1:$BZ$3001,2357,$B$1)="","",IF(ISNUMBER(INDEX(貼り付け!$A$1:$BZ$3001,2357,$B$1)),INT(INDEX(貼り付け!$A$1:$BZ$3001,2357,$B$1)),DATE(VALUE(LEFT(I2358,FIND("-",I2358)-1)),VALUE(LEFT(J2358,FIND("-",J2358)-1)),VALUE(MID(J2358,FIND("-",J2358)+1,99)))))),"")</f>
        <v/>
      </c>
      <c r="C2358">
        <f>IF($C$1=0,0,IFERROR(VALUE(SUBSTITUTE(SUBSTITUTE(SUBSTITUTE(INDEX(貼り付け!$A$1:$BZ$3001,2357,$C$1)&amp;"",",",""),"¥",""),"￥","")),0))</f>
        <v/>
      </c>
      <c r="D2358">
        <f>IF($D$1=0,0,IFERROR(VALUE(SUBSTITUTE(SUBSTITUTE(SUBSTITUTE(INDEX(貼り付け!$A$1:$BZ$3001,2357,$D$1)&amp;"",",",""),"¥",""),"￥","")),0))</f>
        <v/>
      </c>
      <c r="E2358">
        <f>IF($E$1=0,0,IFERROR(VALUE(SUBSTITUTE(SUBSTITUTE(SUBSTITUTE(INDEX(貼り付け!$A$1:$BZ$3001,2357,$E$1)&amp;"",",",""),"¥",""),"￥","")),0))</f>
        <v/>
      </c>
      <c r="F2358">
        <f>IF($F$1=0,0,IFERROR(VALUE(SUBSTITUTE(SUBSTITUTE(SUBSTITUTE(INDEX(貼り付け!$A$1:$BZ$3001,2357,$F$1)&amp;"",",",""),"¥",""),"￥","")),0))</f>
        <v/>
      </c>
      <c r="G2358">
        <f>IF(ISNUMBER(B2358),YEAR(B2358),"")</f>
        <v/>
      </c>
      <c r="H2358">
        <f>IF(ISNUMBER(B2358),MONTH(B2358),"")</f>
        <v/>
      </c>
      <c r="I2358">
        <f>IFERROR(IF($B$1=0,"",IF(ISNUMBER(INDEX(貼り付け!$A$1:$BZ$3001,2357,$B$1)),"",SUBSTITUTE(SUBSTITUTE(SUBSTITUTE(SUBSTITUTE(TRIM(LEFT(INDEX(貼り付け!$A$1:$BZ$3001,2357,$B$1)&amp;"",FIND(" ",TRIM(INDEX(貼り付け!$A$1:$BZ$3001,2357,$B$1)&amp;"")&amp;" ")-1)),"/","-"),"年","-"),"月","-"),"日",""))),"")</f>
        <v/>
      </c>
      <c r="J2358">
        <f>IFERROR(MID(I2358,FIND("-",I2358)+1,99),"")</f>
        <v/>
      </c>
    </row>
    <row r="2359">
      <c r="B2359">
        <f>IFERROR(IF($B$1=0,"",IF(INDEX(貼り付け!$A$1:$BZ$3001,2358,$B$1)="","",IF(ISNUMBER(INDEX(貼り付け!$A$1:$BZ$3001,2358,$B$1)),INT(INDEX(貼り付け!$A$1:$BZ$3001,2358,$B$1)),DATE(VALUE(LEFT(I2359,FIND("-",I2359)-1)),VALUE(LEFT(J2359,FIND("-",J2359)-1)),VALUE(MID(J2359,FIND("-",J2359)+1,99)))))),"")</f>
        <v/>
      </c>
      <c r="C2359">
        <f>IF($C$1=0,0,IFERROR(VALUE(SUBSTITUTE(SUBSTITUTE(SUBSTITUTE(INDEX(貼り付け!$A$1:$BZ$3001,2358,$C$1)&amp;"",",",""),"¥",""),"￥","")),0))</f>
        <v/>
      </c>
      <c r="D2359">
        <f>IF($D$1=0,0,IFERROR(VALUE(SUBSTITUTE(SUBSTITUTE(SUBSTITUTE(INDEX(貼り付け!$A$1:$BZ$3001,2358,$D$1)&amp;"",",",""),"¥",""),"￥","")),0))</f>
        <v/>
      </c>
      <c r="E2359">
        <f>IF($E$1=0,0,IFERROR(VALUE(SUBSTITUTE(SUBSTITUTE(SUBSTITUTE(INDEX(貼り付け!$A$1:$BZ$3001,2358,$E$1)&amp;"",",",""),"¥",""),"￥","")),0))</f>
        <v/>
      </c>
      <c r="F2359">
        <f>IF($F$1=0,0,IFERROR(VALUE(SUBSTITUTE(SUBSTITUTE(SUBSTITUTE(INDEX(貼り付け!$A$1:$BZ$3001,2358,$F$1)&amp;"",",",""),"¥",""),"￥","")),0))</f>
        <v/>
      </c>
      <c r="G2359">
        <f>IF(ISNUMBER(B2359),YEAR(B2359),"")</f>
        <v/>
      </c>
      <c r="H2359">
        <f>IF(ISNUMBER(B2359),MONTH(B2359),"")</f>
        <v/>
      </c>
      <c r="I2359">
        <f>IFERROR(IF($B$1=0,"",IF(ISNUMBER(INDEX(貼り付け!$A$1:$BZ$3001,2358,$B$1)),"",SUBSTITUTE(SUBSTITUTE(SUBSTITUTE(SUBSTITUTE(TRIM(LEFT(INDEX(貼り付け!$A$1:$BZ$3001,2358,$B$1)&amp;"",FIND(" ",TRIM(INDEX(貼り付け!$A$1:$BZ$3001,2358,$B$1)&amp;"")&amp;" ")-1)),"/","-"),"年","-"),"月","-"),"日",""))),"")</f>
        <v/>
      </c>
      <c r="J2359">
        <f>IFERROR(MID(I2359,FIND("-",I2359)+1,99),"")</f>
        <v/>
      </c>
    </row>
    <row r="2360">
      <c r="B2360">
        <f>IFERROR(IF($B$1=0,"",IF(INDEX(貼り付け!$A$1:$BZ$3001,2359,$B$1)="","",IF(ISNUMBER(INDEX(貼り付け!$A$1:$BZ$3001,2359,$B$1)),INT(INDEX(貼り付け!$A$1:$BZ$3001,2359,$B$1)),DATE(VALUE(LEFT(I2360,FIND("-",I2360)-1)),VALUE(LEFT(J2360,FIND("-",J2360)-1)),VALUE(MID(J2360,FIND("-",J2360)+1,99)))))),"")</f>
        <v/>
      </c>
      <c r="C2360">
        <f>IF($C$1=0,0,IFERROR(VALUE(SUBSTITUTE(SUBSTITUTE(SUBSTITUTE(INDEX(貼り付け!$A$1:$BZ$3001,2359,$C$1)&amp;"",",",""),"¥",""),"￥","")),0))</f>
        <v/>
      </c>
      <c r="D2360">
        <f>IF($D$1=0,0,IFERROR(VALUE(SUBSTITUTE(SUBSTITUTE(SUBSTITUTE(INDEX(貼り付け!$A$1:$BZ$3001,2359,$D$1)&amp;"",",",""),"¥",""),"￥","")),0))</f>
        <v/>
      </c>
      <c r="E2360">
        <f>IF($E$1=0,0,IFERROR(VALUE(SUBSTITUTE(SUBSTITUTE(SUBSTITUTE(INDEX(貼り付け!$A$1:$BZ$3001,2359,$E$1)&amp;"",",",""),"¥",""),"￥","")),0))</f>
        <v/>
      </c>
      <c r="F2360">
        <f>IF($F$1=0,0,IFERROR(VALUE(SUBSTITUTE(SUBSTITUTE(SUBSTITUTE(INDEX(貼り付け!$A$1:$BZ$3001,2359,$F$1)&amp;"",",",""),"¥",""),"￥","")),0))</f>
        <v/>
      </c>
      <c r="G2360">
        <f>IF(ISNUMBER(B2360),YEAR(B2360),"")</f>
        <v/>
      </c>
      <c r="H2360">
        <f>IF(ISNUMBER(B2360),MONTH(B2360),"")</f>
        <v/>
      </c>
      <c r="I2360">
        <f>IFERROR(IF($B$1=0,"",IF(ISNUMBER(INDEX(貼り付け!$A$1:$BZ$3001,2359,$B$1)),"",SUBSTITUTE(SUBSTITUTE(SUBSTITUTE(SUBSTITUTE(TRIM(LEFT(INDEX(貼り付け!$A$1:$BZ$3001,2359,$B$1)&amp;"",FIND(" ",TRIM(INDEX(貼り付け!$A$1:$BZ$3001,2359,$B$1)&amp;"")&amp;" ")-1)),"/","-"),"年","-"),"月","-"),"日",""))),"")</f>
        <v/>
      </c>
      <c r="J2360">
        <f>IFERROR(MID(I2360,FIND("-",I2360)+1,99),"")</f>
        <v/>
      </c>
    </row>
    <row r="2361">
      <c r="B2361">
        <f>IFERROR(IF($B$1=0,"",IF(INDEX(貼り付け!$A$1:$BZ$3001,2360,$B$1)="","",IF(ISNUMBER(INDEX(貼り付け!$A$1:$BZ$3001,2360,$B$1)),INT(INDEX(貼り付け!$A$1:$BZ$3001,2360,$B$1)),DATE(VALUE(LEFT(I2361,FIND("-",I2361)-1)),VALUE(LEFT(J2361,FIND("-",J2361)-1)),VALUE(MID(J2361,FIND("-",J2361)+1,99)))))),"")</f>
        <v/>
      </c>
      <c r="C2361">
        <f>IF($C$1=0,0,IFERROR(VALUE(SUBSTITUTE(SUBSTITUTE(SUBSTITUTE(INDEX(貼り付け!$A$1:$BZ$3001,2360,$C$1)&amp;"",",",""),"¥",""),"￥","")),0))</f>
        <v/>
      </c>
      <c r="D2361">
        <f>IF($D$1=0,0,IFERROR(VALUE(SUBSTITUTE(SUBSTITUTE(SUBSTITUTE(INDEX(貼り付け!$A$1:$BZ$3001,2360,$D$1)&amp;"",",",""),"¥",""),"￥","")),0))</f>
        <v/>
      </c>
      <c r="E2361">
        <f>IF($E$1=0,0,IFERROR(VALUE(SUBSTITUTE(SUBSTITUTE(SUBSTITUTE(INDEX(貼り付け!$A$1:$BZ$3001,2360,$E$1)&amp;"",",",""),"¥",""),"￥","")),0))</f>
        <v/>
      </c>
      <c r="F2361">
        <f>IF($F$1=0,0,IFERROR(VALUE(SUBSTITUTE(SUBSTITUTE(SUBSTITUTE(INDEX(貼り付け!$A$1:$BZ$3001,2360,$F$1)&amp;"",",",""),"¥",""),"￥","")),0))</f>
        <v/>
      </c>
      <c r="G2361">
        <f>IF(ISNUMBER(B2361),YEAR(B2361),"")</f>
        <v/>
      </c>
      <c r="H2361">
        <f>IF(ISNUMBER(B2361),MONTH(B2361),"")</f>
        <v/>
      </c>
      <c r="I2361">
        <f>IFERROR(IF($B$1=0,"",IF(ISNUMBER(INDEX(貼り付け!$A$1:$BZ$3001,2360,$B$1)),"",SUBSTITUTE(SUBSTITUTE(SUBSTITUTE(SUBSTITUTE(TRIM(LEFT(INDEX(貼り付け!$A$1:$BZ$3001,2360,$B$1)&amp;"",FIND(" ",TRIM(INDEX(貼り付け!$A$1:$BZ$3001,2360,$B$1)&amp;"")&amp;" ")-1)),"/","-"),"年","-"),"月","-"),"日",""))),"")</f>
        <v/>
      </c>
      <c r="J2361">
        <f>IFERROR(MID(I2361,FIND("-",I2361)+1,99),"")</f>
        <v/>
      </c>
    </row>
    <row r="2362">
      <c r="B2362">
        <f>IFERROR(IF($B$1=0,"",IF(INDEX(貼り付け!$A$1:$BZ$3001,2361,$B$1)="","",IF(ISNUMBER(INDEX(貼り付け!$A$1:$BZ$3001,2361,$B$1)),INT(INDEX(貼り付け!$A$1:$BZ$3001,2361,$B$1)),DATE(VALUE(LEFT(I2362,FIND("-",I2362)-1)),VALUE(LEFT(J2362,FIND("-",J2362)-1)),VALUE(MID(J2362,FIND("-",J2362)+1,99)))))),"")</f>
        <v/>
      </c>
      <c r="C2362">
        <f>IF($C$1=0,0,IFERROR(VALUE(SUBSTITUTE(SUBSTITUTE(SUBSTITUTE(INDEX(貼り付け!$A$1:$BZ$3001,2361,$C$1)&amp;"",",",""),"¥",""),"￥","")),0))</f>
        <v/>
      </c>
      <c r="D2362">
        <f>IF($D$1=0,0,IFERROR(VALUE(SUBSTITUTE(SUBSTITUTE(SUBSTITUTE(INDEX(貼り付け!$A$1:$BZ$3001,2361,$D$1)&amp;"",",",""),"¥",""),"￥","")),0))</f>
        <v/>
      </c>
      <c r="E2362">
        <f>IF($E$1=0,0,IFERROR(VALUE(SUBSTITUTE(SUBSTITUTE(SUBSTITUTE(INDEX(貼り付け!$A$1:$BZ$3001,2361,$E$1)&amp;"",",",""),"¥",""),"￥","")),0))</f>
        <v/>
      </c>
      <c r="F2362">
        <f>IF($F$1=0,0,IFERROR(VALUE(SUBSTITUTE(SUBSTITUTE(SUBSTITUTE(INDEX(貼り付け!$A$1:$BZ$3001,2361,$F$1)&amp;"",",",""),"¥",""),"￥","")),0))</f>
        <v/>
      </c>
      <c r="G2362">
        <f>IF(ISNUMBER(B2362),YEAR(B2362),"")</f>
        <v/>
      </c>
      <c r="H2362">
        <f>IF(ISNUMBER(B2362),MONTH(B2362),"")</f>
        <v/>
      </c>
      <c r="I2362">
        <f>IFERROR(IF($B$1=0,"",IF(ISNUMBER(INDEX(貼り付け!$A$1:$BZ$3001,2361,$B$1)),"",SUBSTITUTE(SUBSTITUTE(SUBSTITUTE(SUBSTITUTE(TRIM(LEFT(INDEX(貼り付け!$A$1:$BZ$3001,2361,$B$1)&amp;"",FIND(" ",TRIM(INDEX(貼り付け!$A$1:$BZ$3001,2361,$B$1)&amp;"")&amp;" ")-1)),"/","-"),"年","-"),"月","-"),"日",""))),"")</f>
        <v/>
      </c>
      <c r="J2362">
        <f>IFERROR(MID(I2362,FIND("-",I2362)+1,99),"")</f>
        <v/>
      </c>
    </row>
    <row r="2363">
      <c r="B2363">
        <f>IFERROR(IF($B$1=0,"",IF(INDEX(貼り付け!$A$1:$BZ$3001,2362,$B$1)="","",IF(ISNUMBER(INDEX(貼り付け!$A$1:$BZ$3001,2362,$B$1)),INT(INDEX(貼り付け!$A$1:$BZ$3001,2362,$B$1)),DATE(VALUE(LEFT(I2363,FIND("-",I2363)-1)),VALUE(LEFT(J2363,FIND("-",J2363)-1)),VALUE(MID(J2363,FIND("-",J2363)+1,99)))))),"")</f>
        <v/>
      </c>
      <c r="C2363">
        <f>IF($C$1=0,0,IFERROR(VALUE(SUBSTITUTE(SUBSTITUTE(SUBSTITUTE(INDEX(貼り付け!$A$1:$BZ$3001,2362,$C$1)&amp;"",",",""),"¥",""),"￥","")),0))</f>
        <v/>
      </c>
      <c r="D2363">
        <f>IF($D$1=0,0,IFERROR(VALUE(SUBSTITUTE(SUBSTITUTE(SUBSTITUTE(INDEX(貼り付け!$A$1:$BZ$3001,2362,$D$1)&amp;"",",",""),"¥",""),"￥","")),0))</f>
        <v/>
      </c>
      <c r="E2363">
        <f>IF($E$1=0,0,IFERROR(VALUE(SUBSTITUTE(SUBSTITUTE(SUBSTITUTE(INDEX(貼り付け!$A$1:$BZ$3001,2362,$E$1)&amp;"",",",""),"¥",""),"￥","")),0))</f>
        <v/>
      </c>
      <c r="F2363">
        <f>IF($F$1=0,0,IFERROR(VALUE(SUBSTITUTE(SUBSTITUTE(SUBSTITUTE(INDEX(貼り付け!$A$1:$BZ$3001,2362,$F$1)&amp;"",",",""),"¥",""),"￥","")),0))</f>
        <v/>
      </c>
      <c r="G2363">
        <f>IF(ISNUMBER(B2363),YEAR(B2363),"")</f>
        <v/>
      </c>
      <c r="H2363">
        <f>IF(ISNUMBER(B2363),MONTH(B2363),"")</f>
        <v/>
      </c>
      <c r="I2363">
        <f>IFERROR(IF($B$1=0,"",IF(ISNUMBER(INDEX(貼り付け!$A$1:$BZ$3001,2362,$B$1)),"",SUBSTITUTE(SUBSTITUTE(SUBSTITUTE(SUBSTITUTE(TRIM(LEFT(INDEX(貼り付け!$A$1:$BZ$3001,2362,$B$1)&amp;"",FIND(" ",TRIM(INDEX(貼り付け!$A$1:$BZ$3001,2362,$B$1)&amp;"")&amp;" ")-1)),"/","-"),"年","-"),"月","-"),"日",""))),"")</f>
        <v/>
      </c>
      <c r="J2363">
        <f>IFERROR(MID(I2363,FIND("-",I2363)+1,99),"")</f>
        <v/>
      </c>
    </row>
    <row r="2364">
      <c r="B2364">
        <f>IFERROR(IF($B$1=0,"",IF(INDEX(貼り付け!$A$1:$BZ$3001,2363,$B$1)="","",IF(ISNUMBER(INDEX(貼り付け!$A$1:$BZ$3001,2363,$B$1)),INT(INDEX(貼り付け!$A$1:$BZ$3001,2363,$B$1)),DATE(VALUE(LEFT(I2364,FIND("-",I2364)-1)),VALUE(LEFT(J2364,FIND("-",J2364)-1)),VALUE(MID(J2364,FIND("-",J2364)+1,99)))))),"")</f>
        <v/>
      </c>
      <c r="C2364">
        <f>IF($C$1=0,0,IFERROR(VALUE(SUBSTITUTE(SUBSTITUTE(SUBSTITUTE(INDEX(貼り付け!$A$1:$BZ$3001,2363,$C$1)&amp;"",",",""),"¥",""),"￥","")),0))</f>
        <v/>
      </c>
      <c r="D2364">
        <f>IF($D$1=0,0,IFERROR(VALUE(SUBSTITUTE(SUBSTITUTE(SUBSTITUTE(INDEX(貼り付け!$A$1:$BZ$3001,2363,$D$1)&amp;"",",",""),"¥",""),"￥","")),0))</f>
        <v/>
      </c>
      <c r="E2364">
        <f>IF($E$1=0,0,IFERROR(VALUE(SUBSTITUTE(SUBSTITUTE(SUBSTITUTE(INDEX(貼り付け!$A$1:$BZ$3001,2363,$E$1)&amp;"",",",""),"¥",""),"￥","")),0))</f>
        <v/>
      </c>
      <c r="F2364">
        <f>IF($F$1=0,0,IFERROR(VALUE(SUBSTITUTE(SUBSTITUTE(SUBSTITUTE(INDEX(貼り付け!$A$1:$BZ$3001,2363,$F$1)&amp;"",",",""),"¥",""),"￥","")),0))</f>
        <v/>
      </c>
      <c r="G2364">
        <f>IF(ISNUMBER(B2364),YEAR(B2364),"")</f>
        <v/>
      </c>
      <c r="H2364">
        <f>IF(ISNUMBER(B2364),MONTH(B2364),"")</f>
        <v/>
      </c>
      <c r="I2364">
        <f>IFERROR(IF($B$1=0,"",IF(ISNUMBER(INDEX(貼り付け!$A$1:$BZ$3001,2363,$B$1)),"",SUBSTITUTE(SUBSTITUTE(SUBSTITUTE(SUBSTITUTE(TRIM(LEFT(INDEX(貼り付け!$A$1:$BZ$3001,2363,$B$1)&amp;"",FIND(" ",TRIM(INDEX(貼り付け!$A$1:$BZ$3001,2363,$B$1)&amp;"")&amp;" ")-1)),"/","-"),"年","-"),"月","-"),"日",""))),"")</f>
        <v/>
      </c>
      <c r="J2364">
        <f>IFERROR(MID(I2364,FIND("-",I2364)+1,99),"")</f>
        <v/>
      </c>
    </row>
    <row r="2365">
      <c r="B2365">
        <f>IFERROR(IF($B$1=0,"",IF(INDEX(貼り付け!$A$1:$BZ$3001,2364,$B$1)="","",IF(ISNUMBER(INDEX(貼り付け!$A$1:$BZ$3001,2364,$B$1)),INT(INDEX(貼り付け!$A$1:$BZ$3001,2364,$B$1)),DATE(VALUE(LEFT(I2365,FIND("-",I2365)-1)),VALUE(LEFT(J2365,FIND("-",J2365)-1)),VALUE(MID(J2365,FIND("-",J2365)+1,99)))))),"")</f>
        <v/>
      </c>
      <c r="C2365">
        <f>IF($C$1=0,0,IFERROR(VALUE(SUBSTITUTE(SUBSTITUTE(SUBSTITUTE(INDEX(貼り付け!$A$1:$BZ$3001,2364,$C$1)&amp;"",",",""),"¥",""),"￥","")),0))</f>
        <v/>
      </c>
      <c r="D2365">
        <f>IF($D$1=0,0,IFERROR(VALUE(SUBSTITUTE(SUBSTITUTE(SUBSTITUTE(INDEX(貼り付け!$A$1:$BZ$3001,2364,$D$1)&amp;"",",",""),"¥",""),"￥","")),0))</f>
        <v/>
      </c>
      <c r="E2365">
        <f>IF($E$1=0,0,IFERROR(VALUE(SUBSTITUTE(SUBSTITUTE(SUBSTITUTE(INDEX(貼り付け!$A$1:$BZ$3001,2364,$E$1)&amp;"",",",""),"¥",""),"￥","")),0))</f>
        <v/>
      </c>
      <c r="F2365">
        <f>IF($F$1=0,0,IFERROR(VALUE(SUBSTITUTE(SUBSTITUTE(SUBSTITUTE(INDEX(貼り付け!$A$1:$BZ$3001,2364,$F$1)&amp;"",",",""),"¥",""),"￥","")),0))</f>
        <v/>
      </c>
      <c r="G2365">
        <f>IF(ISNUMBER(B2365),YEAR(B2365),"")</f>
        <v/>
      </c>
      <c r="H2365">
        <f>IF(ISNUMBER(B2365),MONTH(B2365),"")</f>
        <v/>
      </c>
      <c r="I2365">
        <f>IFERROR(IF($B$1=0,"",IF(ISNUMBER(INDEX(貼り付け!$A$1:$BZ$3001,2364,$B$1)),"",SUBSTITUTE(SUBSTITUTE(SUBSTITUTE(SUBSTITUTE(TRIM(LEFT(INDEX(貼り付け!$A$1:$BZ$3001,2364,$B$1)&amp;"",FIND(" ",TRIM(INDEX(貼り付け!$A$1:$BZ$3001,2364,$B$1)&amp;"")&amp;" ")-1)),"/","-"),"年","-"),"月","-"),"日",""))),"")</f>
        <v/>
      </c>
      <c r="J2365">
        <f>IFERROR(MID(I2365,FIND("-",I2365)+1,99),"")</f>
        <v/>
      </c>
    </row>
    <row r="2366">
      <c r="B2366">
        <f>IFERROR(IF($B$1=0,"",IF(INDEX(貼り付け!$A$1:$BZ$3001,2365,$B$1)="","",IF(ISNUMBER(INDEX(貼り付け!$A$1:$BZ$3001,2365,$B$1)),INT(INDEX(貼り付け!$A$1:$BZ$3001,2365,$B$1)),DATE(VALUE(LEFT(I2366,FIND("-",I2366)-1)),VALUE(LEFT(J2366,FIND("-",J2366)-1)),VALUE(MID(J2366,FIND("-",J2366)+1,99)))))),"")</f>
        <v/>
      </c>
      <c r="C2366">
        <f>IF($C$1=0,0,IFERROR(VALUE(SUBSTITUTE(SUBSTITUTE(SUBSTITUTE(INDEX(貼り付け!$A$1:$BZ$3001,2365,$C$1)&amp;"",",",""),"¥",""),"￥","")),0))</f>
        <v/>
      </c>
      <c r="D2366">
        <f>IF($D$1=0,0,IFERROR(VALUE(SUBSTITUTE(SUBSTITUTE(SUBSTITUTE(INDEX(貼り付け!$A$1:$BZ$3001,2365,$D$1)&amp;"",",",""),"¥",""),"￥","")),0))</f>
        <v/>
      </c>
      <c r="E2366">
        <f>IF($E$1=0,0,IFERROR(VALUE(SUBSTITUTE(SUBSTITUTE(SUBSTITUTE(INDEX(貼り付け!$A$1:$BZ$3001,2365,$E$1)&amp;"",",",""),"¥",""),"￥","")),0))</f>
        <v/>
      </c>
      <c r="F2366">
        <f>IF($F$1=0,0,IFERROR(VALUE(SUBSTITUTE(SUBSTITUTE(SUBSTITUTE(INDEX(貼り付け!$A$1:$BZ$3001,2365,$F$1)&amp;"",",",""),"¥",""),"￥","")),0))</f>
        <v/>
      </c>
      <c r="G2366">
        <f>IF(ISNUMBER(B2366),YEAR(B2366),"")</f>
        <v/>
      </c>
      <c r="H2366">
        <f>IF(ISNUMBER(B2366),MONTH(B2366),"")</f>
        <v/>
      </c>
      <c r="I2366">
        <f>IFERROR(IF($B$1=0,"",IF(ISNUMBER(INDEX(貼り付け!$A$1:$BZ$3001,2365,$B$1)),"",SUBSTITUTE(SUBSTITUTE(SUBSTITUTE(SUBSTITUTE(TRIM(LEFT(INDEX(貼り付け!$A$1:$BZ$3001,2365,$B$1)&amp;"",FIND(" ",TRIM(INDEX(貼り付け!$A$1:$BZ$3001,2365,$B$1)&amp;"")&amp;" ")-1)),"/","-"),"年","-"),"月","-"),"日",""))),"")</f>
        <v/>
      </c>
      <c r="J2366">
        <f>IFERROR(MID(I2366,FIND("-",I2366)+1,99),"")</f>
        <v/>
      </c>
    </row>
    <row r="2367">
      <c r="B2367">
        <f>IFERROR(IF($B$1=0,"",IF(INDEX(貼り付け!$A$1:$BZ$3001,2366,$B$1)="","",IF(ISNUMBER(INDEX(貼り付け!$A$1:$BZ$3001,2366,$B$1)),INT(INDEX(貼り付け!$A$1:$BZ$3001,2366,$B$1)),DATE(VALUE(LEFT(I2367,FIND("-",I2367)-1)),VALUE(LEFT(J2367,FIND("-",J2367)-1)),VALUE(MID(J2367,FIND("-",J2367)+1,99)))))),"")</f>
        <v/>
      </c>
      <c r="C2367">
        <f>IF($C$1=0,0,IFERROR(VALUE(SUBSTITUTE(SUBSTITUTE(SUBSTITUTE(INDEX(貼り付け!$A$1:$BZ$3001,2366,$C$1)&amp;"",",",""),"¥",""),"￥","")),0))</f>
        <v/>
      </c>
      <c r="D2367">
        <f>IF($D$1=0,0,IFERROR(VALUE(SUBSTITUTE(SUBSTITUTE(SUBSTITUTE(INDEX(貼り付け!$A$1:$BZ$3001,2366,$D$1)&amp;"",",",""),"¥",""),"￥","")),0))</f>
        <v/>
      </c>
      <c r="E2367">
        <f>IF($E$1=0,0,IFERROR(VALUE(SUBSTITUTE(SUBSTITUTE(SUBSTITUTE(INDEX(貼り付け!$A$1:$BZ$3001,2366,$E$1)&amp;"",",",""),"¥",""),"￥","")),0))</f>
        <v/>
      </c>
      <c r="F2367">
        <f>IF($F$1=0,0,IFERROR(VALUE(SUBSTITUTE(SUBSTITUTE(SUBSTITUTE(INDEX(貼り付け!$A$1:$BZ$3001,2366,$F$1)&amp;"",",",""),"¥",""),"￥","")),0))</f>
        <v/>
      </c>
      <c r="G2367">
        <f>IF(ISNUMBER(B2367),YEAR(B2367),"")</f>
        <v/>
      </c>
      <c r="H2367">
        <f>IF(ISNUMBER(B2367),MONTH(B2367),"")</f>
        <v/>
      </c>
      <c r="I2367">
        <f>IFERROR(IF($B$1=0,"",IF(ISNUMBER(INDEX(貼り付け!$A$1:$BZ$3001,2366,$B$1)),"",SUBSTITUTE(SUBSTITUTE(SUBSTITUTE(SUBSTITUTE(TRIM(LEFT(INDEX(貼り付け!$A$1:$BZ$3001,2366,$B$1)&amp;"",FIND(" ",TRIM(INDEX(貼り付け!$A$1:$BZ$3001,2366,$B$1)&amp;"")&amp;" ")-1)),"/","-"),"年","-"),"月","-"),"日",""))),"")</f>
        <v/>
      </c>
      <c r="J2367">
        <f>IFERROR(MID(I2367,FIND("-",I2367)+1,99),"")</f>
        <v/>
      </c>
    </row>
    <row r="2368">
      <c r="B2368">
        <f>IFERROR(IF($B$1=0,"",IF(INDEX(貼り付け!$A$1:$BZ$3001,2367,$B$1)="","",IF(ISNUMBER(INDEX(貼り付け!$A$1:$BZ$3001,2367,$B$1)),INT(INDEX(貼り付け!$A$1:$BZ$3001,2367,$B$1)),DATE(VALUE(LEFT(I2368,FIND("-",I2368)-1)),VALUE(LEFT(J2368,FIND("-",J2368)-1)),VALUE(MID(J2368,FIND("-",J2368)+1,99)))))),"")</f>
        <v/>
      </c>
      <c r="C2368">
        <f>IF($C$1=0,0,IFERROR(VALUE(SUBSTITUTE(SUBSTITUTE(SUBSTITUTE(INDEX(貼り付け!$A$1:$BZ$3001,2367,$C$1)&amp;"",",",""),"¥",""),"￥","")),0))</f>
        <v/>
      </c>
      <c r="D2368">
        <f>IF($D$1=0,0,IFERROR(VALUE(SUBSTITUTE(SUBSTITUTE(SUBSTITUTE(INDEX(貼り付け!$A$1:$BZ$3001,2367,$D$1)&amp;"",",",""),"¥",""),"￥","")),0))</f>
        <v/>
      </c>
      <c r="E2368">
        <f>IF($E$1=0,0,IFERROR(VALUE(SUBSTITUTE(SUBSTITUTE(SUBSTITUTE(INDEX(貼り付け!$A$1:$BZ$3001,2367,$E$1)&amp;"",",",""),"¥",""),"￥","")),0))</f>
        <v/>
      </c>
      <c r="F2368">
        <f>IF($F$1=0,0,IFERROR(VALUE(SUBSTITUTE(SUBSTITUTE(SUBSTITUTE(INDEX(貼り付け!$A$1:$BZ$3001,2367,$F$1)&amp;"",",",""),"¥",""),"￥","")),0))</f>
        <v/>
      </c>
      <c r="G2368">
        <f>IF(ISNUMBER(B2368),YEAR(B2368),"")</f>
        <v/>
      </c>
      <c r="H2368">
        <f>IF(ISNUMBER(B2368),MONTH(B2368),"")</f>
        <v/>
      </c>
      <c r="I2368">
        <f>IFERROR(IF($B$1=0,"",IF(ISNUMBER(INDEX(貼り付け!$A$1:$BZ$3001,2367,$B$1)),"",SUBSTITUTE(SUBSTITUTE(SUBSTITUTE(SUBSTITUTE(TRIM(LEFT(INDEX(貼り付け!$A$1:$BZ$3001,2367,$B$1)&amp;"",FIND(" ",TRIM(INDEX(貼り付け!$A$1:$BZ$3001,2367,$B$1)&amp;"")&amp;" ")-1)),"/","-"),"年","-"),"月","-"),"日",""))),"")</f>
        <v/>
      </c>
      <c r="J2368">
        <f>IFERROR(MID(I2368,FIND("-",I2368)+1,99),"")</f>
        <v/>
      </c>
    </row>
    <row r="2369">
      <c r="B2369">
        <f>IFERROR(IF($B$1=0,"",IF(INDEX(貼り付け!$A$1:$BZ$3001,2368,$B$1)="","",IF(ISNUMBER(INDEX(貼り付け!$A$1:$BZ$3001,2368,$B$1)),INT(INDEX(貼り付け!$A$1:$BZ$3001,2368,$B$1)),DATE(VALUE(LEFT(I2369,FIND("-",I2369)-1)),VALUE(LEFT(J2369,FIND("-",J2369)-1)),VALUE(MID(J2369,FIND("-",J2369)+1,99)))))),"")</f>
        <v/>
      </c>
      <c r="C2369">
        <f>IF($C$1=0,0,IFERROR(VALUE(SUBSTITUTE(SUBSTITUTE(SUBSTITUTE(INDEX(貼り付け!$A$1:$BZ$3001,2368,$C$1)&amp;"",",",""),"¥",""),"￥","")),0))</f>
        <v/>
      </c>
      <c r="D2369">
        <f>IF($D$1=0,0,IFERROR(VALUE(SUBSTITUTE(SUBSTITUTE(SUBSTITUTE(INDEX(貼り付け!$A$1:$BZ$3001,2368,$D$1)&amp;"",",",""),"¥",""),"￥","")),0))</f>
        <v/>
      </c>
      <c r="E2369">
        <f>IF($E$1=0,0,IFERROR(VALUE(SUBSTITUTE(SUBSTITUTE(SUBSTITUTE(INDEX(貼り付け!$A$1:$BZ$3001,2368,$E$1)&amp;"",",",""),"¥",""),"￥","")),0))</f>
        <v/>
      </c>
      <c r="F2369">
        <f>IF($F$1=0,0,IFERROR(VALUE(SUBSTITUTE(SUBSTITUTE(SUBSTITUTE(INDEX(貼り付け!$A$1:$BZ$3001,2368,$F$1)&amp;"",",",""),"¥",""),"￥","")),0))</f>
        <v/>
      </c>
      <c r="G2369">
        <f>IF(ISNUMBER(B2369),YEAR(B2369),"")</f>
        <v/>
      </c>
      <c r="H2369">
        <f>IF(ISNUMBER(B2369),MONTH(B2369),"")</f>
        <v/>
      </c>
      <c r="I2369">
        <f>IFERROR(IF($B$1=0,"",IF(ISNUMBER(INDEX(貼り付け!$A$1:$BZ$3001,2368,$B$1)),"",SUBSTITUTE(SUBSTITUTE(SUBSTITUTE(SUBSTITUTE(TRIM(LEFT(INDEX(貼り付け!$A$1:$BZ$3001,2368,$B$1)&amp;"",FIND(" ",TRIM(INDEX(貼り付け!$A$1:$BZ$3001,2368,$B$1)&amp;"")&amp;" ")-1)),"/","-"),"年","-"),"月","-"),"日",""))),"")</f>
        <v/>
      </c>
      <c r="J2369">
        <f>IFERROR(MID(I2369,FIND("-",I2369)+1,99),"")</f>
        <v/>
      </c>
    </row>
    <row r="2370">
      <c r="B2370">
        <f>IFERROR(IF($B$1=0,"",IF(INDEX(貼り付け!$A$1:$BZ$3001,2369,$B$1)="","",IF(ISNUMBER(INDEX(貼り付け!$A$1:$BZ$3001,2369,$B$1)),INT(INDEX(貼り付け!$A$1:$BZ$3001,2369,$B$1)),DATE(VALUE(LEFT(I2370,FIND("-",I2370)-1)),VALUE(LEFT(J2370,FIND("-",J2370)-1)),VALUE(MID(J2370,FIND("-",J2370)+1,99)))))),"")</f>
        <v/>
      </c>
      <c r="C2370">
        <f>IF($C$1=0,0,IFERROR(VALUE(SUBSTITUTE(SUBSTITUTE(SUBSTITUTE(INDEX(貼り付け!$A$1:$BZ$3001,2369,$C$1)&amp;"",",",""),"¥",""),"￥","")),0))</f>
        <v/>
      </c>
      <c r="D2370">
        <f>IF($D$1=0,0,IFERROR(VALUE(SUBSTITUTE(SUBSTITUTE(SUBSTITUTE(INDEX(貼り付け!$A$1:$BZ$3001,2369,$D$1)&amp;"",",",""),"¥",""),"￥","")),0))</f>
        <v/>
      </c>
      <c r="E2370">
        <f>IF($E$1=0,0,IFERROR(VALUE(SUBSTITUTE(SUBSTITUTE(SUBSTITUTE(INDEX(貼り付け!$A$1:$BZ$3001,2369,$E$1)&amp;"",",",""),"¥",""),"￥","")),0))</f>
        <v/>
      </c>
      <c r="F2370">
        <f>IF($F$1=0,0,IFERROR(VALUE(SUBSTITUTE(SUBSTITUTE(SUBSTITUTE(INDEX(貼り付け!$A$1:$BZ$3001,2369,$F$1)&amp;"",",",""),"¥",""),"￥","")),0))</f>
        <v/>
      </c>
      <c r="G2370">
        <f>IF(ISNUMBER(B2370),YEAR(B2370),"")</f>
        <v/>
      </c>
      <c r="H2370">
        <f>IF(ISNUMBER(B2370),MONTH(B2370),"")</f>
        <v/>
      </c>
      <c r="I2370">
        <f>IFERROR(IF($B$1=0,"",IF(ISNUMBER(INDEX(貼り付け!$A$1:$BZ$3001,2369,$B$1)),"",SUBSTITUTE(SUBSTITUTE(SUBSTITUTE(SUBSTITUTE(TRIM(LEFT(INDEX(貼り付け!$A$1:$BZ$3001,2369,$B$1)&amp;"",FIND(" ",TRIM(INDEX(貼り付け!$A$1:$BZ$3001,2369,$B$1)&amp;"")&amp;" ")-1)),"/","-"),"年","-"),"月","-"),"日",""))),"")</f>
        <v/>
      </c>
      <c r="J2370">
        <f>IFERROR(MID(I2370,FIND("-",I2370)+1,99),"")</f>
        <v/>
      </c>
    </row>
    <row r="2371">
      <c r="B2371">
        <f>IFERROR(IF($B$1=0,"",IF(INDEX(貼り付け!$A$1:$BZ$3001,2370,$B$1)="","",IF(ISNUMBER(INDEX(貼り付け!$A$1:$BZ$3001,2370,$B$1)),INT(INDEX(貼り付け!$A$1:$BZ$3001,2370,$B$1)),DATE(VALUE(LEFT(I2371,FIND("-",I2371)-1)),VALUE(LEFT(J2371,FIND("-",J2371)-1)),VALUE(MID(J2371,FIND("-",J2371)+1,99)))))),"")</f>
        <v/>
      </c>
      <c r="C2371">
        <f>IF($C$1=0,0,IFERROR(VALUE(SUBSTITUTE(SUBSTITUTE(SUBSTITUTE(INDEX(貼り付け!$A$1:$BZ$3001,2370,$C$1)&amp;"",",",""),"¥",""),"￥","")),0))</f>
        <v/>
      </c>
      <c r="D2371">
        <f>IF($D$1=0,0,IFERROR(VALUE(SUBSTITUTE(SUBSTITUTE(SUBSTITUTE(INDEX(貼り付け!$A$1:$BZ$3001,2370,$D$1)&amp;"",",",""),"¥",""),"￥","")),0))</f>
        <v/>
      </c>
      <c r="E2371">
        <f>IF($E$1=0,0,IFERROR(VALUE(SUBSTITUTE(SUBSTITUTE(SUBSTITUTE(INDEX(貼り付け!$A$1:$BZ$3001,2370,$E$1)&amp;"",",",""),"¥",""),"￥","")),0))</f>
        <v/>
      </c>
      <c r="F2371">
        <f>IF($F$1=0,0,IFERROR(VALUE(SUBSTITUTE(SUBSTITUTE(SUBSTITUTE(INDEX(貼り付け!$A$1:$BZ$3001,2370,$F$1)&amp;"",",",""),"¥",""),"￥","")),0))</f>
        <v/>
      </c>
      <c r="G2371">
        <f>IF(ISNUMBER(B2371),YEAR(B2371),"")</f>
        <v/>
      </c>
      <c r="H2371">
        <f>IF(ISNUMBER(B2371),MONTH(B2371),"")</f>
        <v/>
      </c>
      <c r="I2371">
        <f>IFERROR(IF($B$1=0,"",IF(ISNUMBER(INDEX(貼り付け!$A$1:$BZ$3001,2370,$B$1)),"",SUBSTITUTE(SUBSTITUTE(SUBSTITUTE(SUBSTITUTE(TRIM(LEFT(INDEX(貼り付け!$A$1:$BZ$3001,2370,$B$1)&amp;"",FIND(" ",TRIM(INDEX(貼り付け!$A$1:$BZ$3001,2370,$B$1)&amp;"")&amp;" ")-1)),"/","-"),"年","-"),"月","-"),"日",""))),"")</f>
        <v/>
      </c>
      <c r="J2371">
        <f>IFERROR(MID(I2371,FIND("-",I2371)+1,99),"")</f>
        <v/>
      </c>
    </row>
    <row r="2372">
      <c r="B2372">
        <f>IFERROR(IF($B$1=0,"",IF(INDEX(貼り付け!$A$1:$BZ$3001,2371,$B$1)="","",IF(ISNUMBER(INDEX(貼り付け!$A$1:$BZ$3001,2371,$B$1)),INT(INDEX(貼り付け!$A$1:$BZ$3001,2371,$B$1)),DATE(VALUE(LEFT(I2372,FIND("-",I2372)-1)),VALUE(LEFT(J2372,FIND("-",J2372)-1)),VALUE(MID(J2372,FIND("-",J2372)+1,99)))))),"")</f>
        <v/>
      </c>
      <c r="C2372">
        <f>IF($C$1=0,0,IFERROR(VALUE(SUBSTITUTE(SUBSTITUTE(SUBSTITUTE(INDEX(貼り付け!$A$1:$BZ$3001,2371,$C$1)&amp;"",",",""),"¥",""),"￥","")),0))</f>
        <v/>
      </c>
      <c r="D2372">
        <f>IF($D$1=0,0,IFERROR(VALUE(SUBSTITUTE(SUBSTITUTE(SUBSTITUTE(INDEX(貼り付け!$A$1:$BZ$3001,2371,$D$1)&amp;"",",",""),"¥",""),"￥","")),0))</f>
        <v/>
      </c>
      <c r="E2372">
        <f>IF($E$1=0,0,IFERROR(VALUE(SUBSTITUTE(SUBSTITUTE(SUBSTITUTE(INDEX(貼り付け!$A$1:$BZ$3001,2371,$E$1)&amp;"",",",""),"¥",""),"￥","")),0))</f>
        <v/>
      </c>
      <c r="F2372">
        <f>IF($F$1=0,0,IFERROR(VALUE(SUBSTITUTE(SUBSTITUTE(SUBSTITUTE(INDEX(貼り付け!$A$1:$BZ$3001,2371,$F$1)&amp;"",",",""),"¥",""),"￥","")),0))</f>
        <v/>
      </c>
      <c r="G2372">
        <f>IF(ISNUMBER(B2372),YEAR(B2372),"")</f>
        <v/>
      </c>
      <c r="H2372">
        <f>IF(ISNUMBER(B2372),MONTH(B2372),"")</f>
        <v/>
      </c>
      <c r="I2372">
        <f>IFERROR(IF($B$1=0,"",IF(ISNUMBER(INDEX(貼り付け!$A$1:$BZ$3001,2371,$B$1)),"",SUBSTITUTE(SUBSTITUTE(SUBSTITUTE(SUBSTITUTE(TRIM(LEFT(INDEX(貼り付け!$A$1:$BZ$3001,2371,$B$1)&amp;"",FIND(" ",TRIM(INDEX(貼り付け!$A$1:$BZ$3001,2371,$B$1)&amp;"")&amp;" ")-1)),"/","-"),"年","-"),"月","-"),"日",""))),"")</f>
        <v/>
      </c>
      <c r="J2372">
        <f>IFERROR(MID(I2372,FIND("-",I2372)+1,99),"")</f>
        <v/>
      </c>
    </row>
    <row r="2373">
      <c r="B2373">
        <f>IFERROR(IF($B$1=0,"",IF(INDEX(貼り付け!$A$1:$BZ$3001,2372,$B$1)="","",IF(ISNUMBER(INDEX(貼り付け!$A$1:$BZ$3001,2372,$B$1)),INT(INDEX(貼り付け!$A$1:$BZ$3001,2372,$B$1)),DATE(VALUE(LEFT(I2373,FIND("-",I2373)-1)),VALUE(LEFT(J2373,FIND("-",J2373)-1)),VALUE(MID(J2373,FIND("-",J2373)+1,99)))))),"")</f>
        <v/>
      </c>
      <c r="C2373">
        <f>IF($C$1=0,0,IFERROR(VALUE(SUBSTITUTE(SUBSTITUTE(SUBSTITUTE(INDEX(貼り付け!$A$1:$BZ$3001,2372,$C$1)&amp;"",",",""),"¥",""),"￥","")),0))</f>
        <v/>
      </c>
      <c r="D2373">
        <f>IF($D$1=0,0,IFERROR(VALUE(SUBSTITUTE(SUBSTITUTE(SUBSTITUTE(INDEX(貼り付け!$A$1:$BZ$3001,2372,$D$1)&amp;"",",",""),"¥",""),"￥","")),0))</f>
        <v/>
      </c>
      <c r="E2373">
        <f>IF($E$1=0,0,IFERROR(VALUE(SUBSTITUTE(SUBSTITUTE(SUBSTITUTE(INDEX(貼り付け!$A$1:$BZ$3001,2372,$E$1)&amp;"",",",""),"¥",""),"￥","")),0))</f>
        <v/>
      </c>
      <c r="F2373">
        <f>IF($F$1=0,0,IFERROR(VALUE(SUBSTITUTE(SUBSTITUTE(SUBSTITUTE(INDEX(貼り付け!$A$1:$BZ$3001,2372,$F$1)&amp;"",",",""),"¥",""),"￥","")),0))</f>
        <v/>
      </c>
      <c r="G2373">
        <f>IF(ISNUMBER(B2373),YEAR(B2373),"")</f>
        <v/>
      </c>
      <c r="H2373">
        <f>IF(ISNUMBER(B2373),MONTH(B2373),"")</f>
        <v/>
      </c>
      <c r="I2373">
        <f>IFERROR(IF($B$1=0,"",IF(ISNUMBER(INDEX(貼り付け!$A$1:$BZ$3001,2372,$B$1)),"",SUBSTITUTE(SUBSTITUTE(SUBSTITUTE(SUBSTITUTE(TRIM(LEFT(INDEX(貼り付け!$A$1:$BZ$3001,2372,$B$1)&amp;"",FIND(" ",TRIM(INDEX(貼り付け!$A$1:$BZ$3001,2372,$B$1)&amp;"")&amp;" ")-1)),"/","-"),"年","-"),"月","-"),"日",""))),"")</f>
        <v/>
      </c>
      <c r="J2373">
        <f>IFERROR(MID(I2373,FIND("-",I2373)+1,99),"")</f>
        <v/>
      </c>
    </row>
    <row r="2374">
      <c r="B2374">
        <f>IFERROR(IF($B$1=0,"",IF(INDEX(貼り付け!$A$1:$BZ$3001,2373,$B$1)="","",IF(ISNUMBER(INDEX(貼り付け!$A$1:$BZ$3001,2373,$B$1)),INT(INDEX(貼り付け!$A$1:$BZ$3001,2373,$B$1)),DATE(VALUE(LEFT(I2374,FIND("-",I2374)-1)),VALUE(LEFT(J2374,FIND("-",J2374)-1)),VALUE(MID(J2374,FIND("-",J2374)+1,99)))))),"")</f>
        <v/>
      </c>
      <c r="C2374">
        <f>IF($C$1=0,0,IFERROR(VALUE(SUBSTITUTE(SUBSTITUTE(SUBSTITUTE(INDEX(貼り付け!$A$1:$BZ$3001,2373,$C$1)&amp;"",",",""),"¥",""),"￥","")),0))</f>
        <v/>
      </c>
      <c r="D2374">
        <f>IF($D$1=0,0,IFERROR(VALUE(SUBSTITUTE(SUBSTITUTE(SUBSTITUTE(INDEX(貼り付け!$A$1:$BZ$3001,2373,$D$1)&amp;"",",",""),"¥",""),"￥","")),0))</f>
        <v/>
      </c>
      <c r="E2374">
        <f>IF($E$1=0,0,IFERROR(VALUE(SUBSTITUTE(SUBSTITUTE(SUBSTITUTE(INDEX(貼り付け!$A$1:$BZ$3001,2373,$E$1)&amp;"",",",""),"¥",""),"￥","")),0))</f>
        <v/>
      </c>
      <c r="F2374">
        <f>IF($F$1=0,0,IFERROR(VALUE(SUBSTITUTE(SUBSTITUTE(SUBSTITUTE(INDEX(貼り付け!$A$1:$BZ$3001,2373,$F$1)&amp;"",",",""),"¥",""),"￥","")),0))</f>
        <v/>
      </c>
      <c r="G2374">
        <f>IF(ISNUMBER(B2374),YEAR(B2374),"")</f>
        <v/>
      </c>
      <c r="H2374">
        <f>IF(ISNUMBER(B2374),MONTH(B2374),"")</f>
        <v/>
      </c>
      <c r="I2374">
        <f>IFERROR(IF($B$1=0,"",IF(ISNUMBER(INDEX(貼り付け!$A$1:$BZ$3001,2373,$B$1)),"",SUBSTITUTE(SUBSTITUTE(SUBSTITUTE(SUBSTITUTE(TRIM(LEFT(INDEX(貼り付け!$A$1:$BZ$3001,2373,$B$1)&amp;"",FIND(" ",TRIM(INDEX(貼り付け!$A$1:$BZ$3001,2373,$B$1)&amp;"")&amp;" ")-1)),"/","-"),"年","-"),"月","-"),"日",""))),"")</f>
        <v/>
      </c>
      <c r="J2374">
        <f>IFERROR(MID(I2374,FIND("-",I2374)+1,99),"")</f>
        <v/>
      </c>
    </row>
    <row r="2375">
      <c r="B2375">
        <f>IFERROR(IF($B$1=0,"",IF(INDEX(貼り付け!$A$1:$BZ$3001,2374,$B$1)="","",IF(ISNUMBER(INDEX(貼り付け!$A$1:$BZ$3001,2374,$B$1)),INT(INDEX(貼り付け!$A$1:$BZ$3001,2374,$B$1)),DATE(VALUE(LEFT(I2375,FIND("-",I2375)-1)),VALUE(LEFT(J2375,FIND("-",J2375)-1)),VALUE(MID(J2375,FIND("-",J2375)+1,99)))))),"")</f>
        <v/>
      </c>
      <c r="C2375">
        <f>IF($C$1=0,0,IFERROR(VALUE(SUBSTITUTE(SUBSTITUTE(SUBSTITUTE(INDEX(貼り付け!$A$1:$BZ$3001,2374,$C$1)&amp;"",",",""),"¥",""),"￥","")),0))</f>
        <v/>
      </c>
      <c r="D2375">
        <f>IF($D$1=0,0,IFERROR(VALUE(SUBSTITUTE(SUBSTITUTE(SUBSTITUTE(INDEX(貼り付け!$A$1:$BZ$3001,2374,$D$1)&amp;"",",",""),"¥",""),"￥","")),0))</f>
        <v/>
      </c>
      <c r="E2375">
        <f>IF($E$1=0,0,IFERROR(VALUE(SUBSTITUTE(SUBSTITUTE(SUBSTITUTE(INDEX(貼り付け!$A$1:$BZ$3001,2374,$E$1)&amp;"",",",""),"¥",""),"￥","")),0))</f>
        <v/>
      </c>
      <c r="F2375">
        <f>IF($F$1=0,0,IFERROR(VALUE(SUBSTITUTE(SUBSTITUTE(SUBSTITUTE(INDEX(貼り付け!$A$1:$BZ$3001,2374,$F$1)&amp;"",",",""),"¥",""),"￥","")),0))</f>
        <v/>
      </c>
      <c r="G2375">
        <f>IF(ISNUMBER(B2375),YEAR(B2375),"")</f>
        <v/>
      </c>
      <c r="H2375">
        <f>IF(ISNUMBER(B2375),MONTH(B2375),"")</f>
        <v/>
      </c>
      <c r="I2375">
        <f>IFERROR(IF($B$1=0,"",IF(ISNUMBER(INDEX(貼り付け!$A$1:$BZ$3001,2374,$B$1)),"",SUBSTITUTE(SUBSTITUTE(SUBSTITUTE(SUBSTITUTE(TRIM(LEFT(INDEX(貼り付け!$A$1:$BZ$3001,2374,$B$1)&amp;"",FIND(" ",TRIM(INDEX(貼り付け!$A$1:$BZ$3001,2374,$B$1)&amp;"")&amp;" ")-1)),"/","-"),"年","-"),"月","-"),"日",""))),"")</f>
        <v/>
      </c>
      <c r="J2375">
        <f>IFERROR(MID(I2375,FIND("-",I2375)+1,99),"")</f>
        <v/>
      </c>
    </row>
    <row r="2376">
      <c r="B2376">
        <f>IFERROR(IF($B$1=0,"",IF(INDEX(貼り付け!$A$1:$BZ$3001,2375,$B$1)="","",IF(ISNUMBER(INDEX(貼り付け!$A$1:$BZ$3001,2375,$B$1)),INT(INDEX(貼り付け!$A$1:$BZ$3001,2375,$B$1)),DATE(VALUE(LEFT(I2376,FIND("-",I2376)-1)),VALUE(LEFT(J2376,FIND("-",J2376)-1)),VALUE(MID(J2376,FIND("-",J2376)+1,99)))))),"")</f>
        <v/>
      </c>
      <c r="C2376">
        <f>IF($C$1=0,0,IFERROR(VALUE(SUBSTITUTE(SUBSTITUTE(SUBSTITUTE(INDEX(貼り付け!$A$1:$BZ$3001,2375,$C$1)&amp;"",",",""),"¥",""),"￥","")),0))</f>
        <v/>
      </c>
      <c r="D2376">
        <f>IF($D$1=0,0,IFERROR(VALUE(SUBSTITUTE(SUBSTITUTE(SUBSTITUTE(INDEX(貼り付け!$A$1:$BZ$3001,2375,$D$1)&amp;"",",",""),"¥",""),"￥","")),0))</f>
        <v/>
      </c>
      <c r="E2376">
        <f>IF($E$1=0,0,IFERROR(VALUE(SUBSTITUTE(SUBSTITUTE(SUBSTITUTE(INDEX(貼り付け!$A$1:$BZ$3001,2375,$E$1)&amp;"",",",""),"¥",""),"￥","")),0))</f>
        <v/>
      </c>
      <c r="F2376">
        <f>IF($F$1=0,0,IFERROR(VALUE(SUBSTITUTE(SUBSTITUTE(SUBSTITUTE(INDEX(貼り付け!$A$1:$BZ$3001,2375,$F$1)&amp;"",",",""),"¥",""),"￥","")),0))</f>
        <v/>
      </c>
      <c r="G2376">
        <f>IF(ISNUMBER(B2376),YEAR(B2376),"")</f>
        <v/>
      </c>
      <c r="H2376">
        <f>IF(ISNUMBER(B2376),MONTH(B2376),"")</f>
        <v/>
      </c>
      <c r="I2376">
        <f>IFERROR(IF($B$1=0,"",IF(ISNUMBER(INDEX(貼り付け!$A$1:$BZ$3001,2375,$B$1)),"",SUBSTITUTE(SUBSTITUTE(SUBSTITUTE(SUBSTITUTE(TRIM(LEFT(INDEX(貼り付け!$A$1:$BZ$3001,2375,$B$1)&amp;"",FIND(" ",TRIM(INDEX(貼り付け!$A$1:$BZ$3001,2375,$B$1)&amp;"")&amp;" ")-1)),"/","-"),"年","-"),"月","-"),"日",""))),"")</f>
        <v/>
      </c>
      <c r="J2376">
        <f>IFERROR(MID(I2376,FIND("-",I2376)+1,99),"")</f>
        <v/>
      </c>
    </row>
    <row r="2377">
      <c r="B2377">
        <f>IFERROR(IF($B$1=0,"",IF(INDEX(貼り付け!$A$1:$BZ$3001,2376,$B$1)="","",IF(ISNUMBER(INDEX(貼り付け!$A$1:$BZ$3001,2376,$B$1)),INT(INDEX(貼り付け!$A$1:$BZ$3001,2376,$B$1)),DATE(VALUE(LEFT(I2377,FIND("-",I2377)-1)),VALUE(LEFT(J2377,FIND("-",J2377)-1)),VALUE(MID(J2377,FIND("-",J2377)+1,99)))))),"")</f>
        <v/>
      </c>
      <c r="C2377">
        <f>IF($C$1=0,0,IFERROR(VALUE(SUBSTITUTE(SUBSTITUTE(SUBSTITUTE(INDEX(貼り付け!$A$1:$BZ$3001,2376,$C$1)&amp;"",",",""),"¥",""),"￥","")),0))</f>
        <v/>
      </c>
      <c r="D2377">
        <f>IF($D$1=0,0,IFERROR(VALUE(SUBSTITUTE(SUBSTITUTE(SUBSTITUTE(INDEX(貼り付け!$A$1:$BZ$3001,2376,$D$1)&amp;"",",",""),"¥",""),"￥","")),0))</f>
        <v/>
      </c>
      <c r="E2377">
        <f>IF($E$1=0,0,IFERROR(VALUE(SUBSTITUTE(SUBSTITUTE(SUBSTITUTE(INDEX(貼り付け!$A$1:$BZ$3001,2376,$E$1)&amp;"",",",""),"¥",""),"￥","")),0))</f>
        <v/>
      </c>
      <c r="F2377">
        <f>IF($F$1=0,0,IFERROR(VALUE(SUBSTITUTE(SUBSTITUTE(SUBSTITUTE(INDEX(貼り付け!$A$1:$BZ$3001,2376,$F$1)&amp;"",",",""),"¥",""),"￥","")),0))</f>
        <v/>
      </c>
      <c r="G2377">
        <f>IF(ISNUMBER(B2377),YEAR(B2377),"")</f>
        <v/>
      </c>
      <c r="H2377">
        <f>IF(ISNUMBER(B2377),MONTH(B2377),"")</f>
        <v/>
      </c>
      <c r="I2377">
        <f>IFERROR(IF($B$1=0,"",IF(ISNUMBER(INDEX(貼り付け!$A$1:$BZ$3001,2376,$B$1)),"",SUBSTITUTE(SUBSTITUTE(SUBSTITUTE(SUBSTITUTE(TRIM(LEFT(INDEX(貼り付け!$A$1:$BZ$3001,2376,$B$1)&amp;"",FIND(" ",TRIM(INDEX(貼り付け!$A$1:$BZ$3001,2376,$B$1)&amp;"")&amp;" ")-1)),"/","-"),"年","-"),"月","-"),"日",""))),"")</f>
        <v/>
      </c>
      <c r="J2377">
        <f>IFERROR(MID(I2377,FIND("-",I2377)+1,99),"")</f>
        <v/>
      </c>
    </row>
    <row r="2378">
      <c r="B2378">
        <f>IFERROR(IF($B$1=0,"",IF(INDEX(貼り付け!$A$1:$BZ$3001,2377,$B$1)="","",IF(ISNUMBER(INDEX(貼り付け!$A$1:$BZ$3001,2377,$B$1)),INT(INDEX(貼り付け!$A$1:$BZ$3001,2377,$B$1)),DATE(VALUE(LEFT(I2378,FIND("-",I2378)-1)),VALUE(LEFT(J2378,FIND("-",J2378)-1)),VALUE(MID(J2378,FIND("-",J2378)+1,99)))))),"")</f>
        <v/>
      </c>
      <c r="C2378">
        <f>IF($C$1=0,0,IFERROR(VALUE(SUBSTITUTE(SUBSTITUTE(SUBSTITUTE(INDEX(貼り付け!$A$1:$BZ$3001,2377,$C$1)&amp;"",",",""),"¥",""),"￥","")),0))</f>
        <v/>
      </c>
      <c r="D2378">
        <f>IF($D$1=0,0,IFERROR(VALUE(SUBSTITUTE(SUBSTITUTE(SUBSTITUTE(INDEX(貼り付け!$A$1:$BZ$3001,2377,$D$1)&amp;"",",",""),"¥",""),"￥","")),0))</f>
        <v/>
      </c>
      <c r="E2378">
        <f>IF($E$1=0,0,IFERROR(VALUE(SUBSTITUTE(SUBSTITUTE(SUBSTITUTE(INDEX(貼り付け!$A$1:$BZ$3001,2377,$E$1)&amp;"",",",""),"¥",""),"￥","")),0))</f>
        <v/>
      </c>
      <c r="F2378">
        <f>IF($F$1=0,0,IFERROR(VALUE(SUBSTITUTE(SUBSTITUTE(SUBSTITUTE(INDEX(貼り付け!$A$1:$BZ$3001,2377,$F$1)&amp;"",",",""),"¥",""),"￥","")),0))</f>
        <v/>
      </c>
      <c r="G2378">
        <f>IF(ISNUMBER(B2378),YEAR(B2378),"")</f>
        <v/>
      </c>
      <c r="H2378">
        <f>IF(ISNUMBER(B2378),MONTH(B2378),"")</f>
        <v/>
      </c>
      <c r="I2378">
        <f>IFERROR(IF($B$1=0,"",IF(ISNUMBER(INDEX(貼り付け!$A$1:$BZ$3001,2377,$B$1)),"",SUBSTITUTE(SUBSTITUTE(SUBSTITUTE(SUBSTITUTE(TRIM(LEFT(INDEX(貼り付け!$A$1:$BZ$3001,2377,$B$1)&amp;"",FIND(" ",TRIM(INDEX(貼り付け!$A$1:$BZ$3001,2377,$B$1)&amp;"")&amp;" ")-1)),"/","-"),"年","-"),"月","-"),"日",""))),"")</f>
        <v/>
      </c>
      <c r="J2378">
        <f>IFERROR(MID(I2378,FIND("-",I2378)+1,99),"")</f>
        <v/>
      </c>
    </row>
    <row r="2379">
      <c r="B2379">
        <f>IFERROR(IF($B$1=0,"",IF(INDEX(貼り付け!$A$1:$BZ$3001,2378,$B$1)="","",IF(ISNUMBER(INDEX(貼り付け!$A$1:$BZ$3001,2378,$B$1)),INT(INDEX(貼り付け!$A$1:$BZ$3001,2378,$B$1)),DATE(VALUE(LEFT(I2379,FIND("-",I2379)-1)),VALUE(LEFT(J2379,FIND("-",J2379)-1)),VALUE(MID(J2379,FIND("-",J2379)+1,99)))))),"")</f>
        <v/>
      </c>
      <c r="C2379">
        <f>IF($C$1=0,0,IFERROR(VALUE(SUBSTITUTE(SUBSTITUTE(SUBSTITUTE(INDEX(貼り付け!$A$1:$BZ$3001,2378,$C$1)&amp;"",",",""),"¥",""),"￥","")),0))</f>
        <v/>
      </c>
      <c r="D2379">
        <f>IF($D$1=0,0,IFERROR(VALUE(SUBSTITUTE(SUBSTITUTE(SUBSTITUTE(INDEX(貼り付け!$A$1:$BZ$3001,2378,$D$1)&amp;"",",",""),"¥",""),"￥","")),0))</f>
        <v/>
      </c>
      <c r="E2379">
        <f>IF($E$1=0,0,IFERROR(VALUE(SUBSTITUTE(SUBSTITUTE(SUBSTITUTE(INDEX(貼り付け!$A$1:$BZ$3001,2378,$E$1)&amp;"",",",""),"¥",""),"￥","")),0))</f>
        <v/>
      </c>
      <c r="F2379">
        <f>IF($F$1=0,0,IFERROR(VALUE(SUBSTITUTE(SUBSTITUTE(SUBSTITUTE(INDEX(貼り付け!$A$1:$BZ$3001,2378,$F$1)&amp;"",",",""),"¥",""),"￥","")),0))</f>
        <v/>
      </c>
      <c r="G2379">
        <f>IF(ISNUMBER(B2379),YEAR(B2379),"")</f>
        <v/>
      </c>
      <c r="H2379">
        <f>IF(ISNUMBER(B2379),MONTH(B2379),"")</f>
        <v/>
      </c>
      <c r="I2379">
        <f>IFERROR(IF($B$1=0,"",IF(ISNUMBER(INDEX(貼り付け!$A$1:$BZ$3001,2378,$B$1)),"",SUBSTITUTE(SUBSTITUTE(SUBSTITUTE(SUBSTITUTE(TRIM(LEFT(INDEX(貼り付け!$A$1:$BZ$3001,2378,$B$1)&amp;"",FIND(" ",TRIM(INDEX(貼り付け!$A$1:$BZ$3001,2378,$B$1)&amp;"")&amp;" ")-1)),"/","-"),"年","-"),"月","-"),"日",""))),"")</f>
        <v/>
      </c>
      <c r="J2379">
        <f>IFERROR(MID(I2379,FIND("-",I2379)+1,99),"")</f>
        <v/>
      </c>
    </row>
    <row r="2380">
      <c r="B2380">
        <f>IFERROR(IF($B$1=0,"",IF(INDEX(貼り付け!$A$1:$BZ$3001,2379,$B$1)="","",IF(ISNUMBER(INDEX(貼り付け!$A$1:$BZ$3001,2379,$B$1)),INT(INDEX(貼り付け!$A$1:$BZ$3001,2379,$B$1)),DATE(VALUE(LEFT(I2380,FIND("-",I2380)-1)),VALUE(LEFT(J2380,FIND("-",J2380)-1)),VALUE(MID(J2380,FIND("-",J2380)+1,99)))))),"")</f>
        <v/>
      </c>
      <c r="C2380">
        <f>IF($C$1=0,0,IFERROR(VALUE(SUBSTITUTE(SUBSTITUTE(SUBSTITUTE(INDEX(貼り付け!$A$1:$BZ$3001,2379,$C$1)&amp;"",",",""),"¥",""),"￥","")),0))</f>
        <v/>
      </c>
      <c r="D2380">
        <f>IF($D$1=0,0,IFERROR(VALUE(SUBSTITUTE(SUBSTITUTE(SUBSTITUTE(INDEX(貼り付け!$A$1:$BZ$3001,2379,$D$1)&amp;"",",",""),"¥",""),"￥","")),0))</f>
        <v/>
      </c>
      <c r="E2380">
        <f>IF($E$1=0,0,IFERROR(VALUE(SUBSTITUTE(SUBSTITUTE(SUBSTITUTE(INDEX(貼り付け!$A$1:$BZ$3001,2379,$E$1)&amp;"",",",""),"¥",""),"￥","")),0))</f>
        <v/>
      </c>
      <c r="F2380">
        <f>IF($F$1=0,0,IFERROR(VALUE(SUBSTITUTE(SUBSTITUTE(SUBSTITUTE(INDEX(貼り付け!$A$1:$BZ$3001,2379,$F$1)&amp;"",",",""),"¥",""),"￥","")),0))</f>
        <v/>
      </c>
      <c r="G2380">
        <f>IF(ISNUMBER(B2380),YEAR(B2380),"")</f>
        <v/>
      </c>
      <c r="H2380">
        <f>IF(ISNUMBER(B2380),MONTH(B2380),"")</f>
        <v/>
      </c>
      <c r="I2380">
        <f>IFERROR(IF($B$1=0,"",IF(ISNUMBER(INDEX(貼り付け!$A$1:$BZ$3001,2379,$B$1)),"",SUBSTITUTE(SUBSTITUTE(SUBSTITUTE(SUBSTITUTE(TRIM(LEFT(INDEX(貼り付け!$A$1:$BZ$3001,2379,$B$1)&amp;"",FIND(" ",TRIM(INDEX(貼り付け!$A$1:$BZ$3001,2379,$B$1)&amp;"")&amp;" ")-1)),"/","-"),"年","-"),"月","-"),"日",""))),"")</f>
        <v/>
      </c>
      <c r="J2380">
        <f>IFERROR(MID(I2380,FIND("-",I2380)+1,99),"")</f>
        <v/>
      </c>
    </row>
    <row r="2381">
      <c r="B2381">
        <f>IFERROR(IF($B$1=0,"",IF(INDEX(貼り付け!$A$1:$BZ$3001,2380,$B$1)="","",IF(ISNUMBER(INDEX(貼り付け!$A$1:$BZ$3001,2380,$B$1)),INT(INDEX(貼り付け!$A$1:$BZ$3001,2380,$B$1)),DATE(VALUE(LEFT(I2381,FIND("-",I2381)-1)),VALUE(LEFT(J2381,FIND("-",J2381)-1)),VALUE(MID(J2381,FIND("-",J2381)+1,99)))))),"")</f>
        <v/>
      </c>
      <c r="C2381">
        <f>IF($C$1=0,0,IFERROR(VALUE(SUBSTITUTE(SUBSTITUTE(SUBSTITUTE(INDEX(貼り付け!$A$1:$BZ$3001,2380,$C$1)&amp;"",",",""),"¥",""),"￥","")),0))</f>
        <v/>
      </c>
      <c r="D2381">
        <f>IF($D$1=0,0,IFERROR(VALUE(SUBSTITUTE(SUBSTITUTE(SUBSTITUTE(INDEX(貼り付け!$A$1:$BZ$3001,2380,$D$1)&amp;"",",",""),"¥",""),"￥","")),0))</f>
        <v/>
      </c>
      <c r="E2381">
        <f>IF($E$1=0,0,IFERROR(VALUE(SUBSTITUTE(SUBSTITUTE(SUBSTITUTE(INDEX(貼り付け!$A$1:$BZ$3001,2380,$E$1)&amp;"",",",""),"¥",""),"￥","")),0))</f>
        <v/>
      </c>
      <c r="F2381">
        <f>IF($F$1=0,0,IFERROR(VALUE(SUBSTITUTE(SUBSTITUTE(SUBSTITUTE(INDEX(貼り付け!$A$1:$BZ$3001,2380,$F$1)&amp;"",",",""),"¥",""),"￥","")),0))</f>
        <v/>
      </c>
      <c r="G2381">
        <f>IF(ISNUMBER(B2381),YEAR(B2381),"")</f>
        <v/>
      </c>
      <c r="H2381">
        <f>IF(ISNUMBER(B2381),MONTH(B2381),"")</f>
        <v/>
      </c>
      <c r="I2381">
        <f>IFERROR(IF($B$1=0,"",IF(ISNUMBER(INDEX(貼り付け!$A$1:$BZ$3001,2380,$B$1)),"",SUBSTITUTE(SUBSTITUTE(SUBSTITUTE(SUBSTITUTE(TRIM(LEFT(INDEX(貼り付け!$A$1:$BZ$3001,2380,$B$1)&amp;"",FIND(" ",TRIM(INDEX(貼り付け!$A$1:$BZ$3001,2380,$B$1)&amp;"")&amp;" ")-1)),"/","-"),"年","-"),"月","-"),"日",""))),"")</f>
        <v/>
      </c>
      <c r="J2381">
        <f>IFERROR(MID(I2381,FIND("-",I2381)+1,99),"")</f>
        <v/>
      </c>
    </row>
    <row r="2382">
      <c r="B2382">
        <f>IFERROR(IF($B$1=0,"",IF(INDEX(貼り付け!$A$1:$BZ$3001,2381,$B$1)="","",IF(ISNUMBER(INDEX(貼り付け!$A$1:$BZ$3001,2381,$B$1)),INT(INDEX(貼り付け!$A$1:$BZ$3001,2381,$B$1)),DATE(VALUE(LEFT(I2382,FIND("-",I2382)-1)),VALUE(LEFT(J2382,FIND("-",J2382)-1)),VALUE(MID(J2382,FIND("-",J2382)+1,99)))))),"")</f>
        <v/>
      </c>
      <c r="C2382">
        <f>IF($C$1=0,0,IFERROR(VALUE(SUBSTITUTE(SUBSTITUTE(SUBSTITUTE(INDEX(貼り付け!$A$1:$BZ$3001,2381,$C$1)&amp;"",",",""),"¥",""),"￥","")),0))</f>
        <v/>
      </c>
      <c r="D2382">
        <f>IF($D$1=0,0,IFERROR(VALUE(SUBSTITUTE(SUBSTITUTE(SUBSTITUTE(INDEX(貼り付け!$A$1:$BZ$3001,2381,$D$1)&amp;"",",",""),"¥",""),"￥","")),0))</f>
        <v/>
      </c>
      <c r="E2382">
        <f>IF($E$1=0,0,IFERROR(VALUE(SUBSTITUTE(SUBSTITUTE(SUBSTITUTE(INDEX(貼り付け!$A$1:$BZ$3001,2381,$E$1)&amp;"",",",""),"¥",""),"￥","")),0))</f>
        <v/>
      </c>
      <c r="F2382">
        <f>IF($F$1=0,0,IFERROR(VALUE(SUBSTITUTE(SUBSTITUTE(SUBSTITUTE(INDEX(貼り付け!$A$1:$BZ$3001,2381,$F$1)&amp;"",",",""),"¥",""),"￥","")),0))</f>
        <v/>
      </c>
      <c r="G2382">
        <f>IF(ISNUMBER(B2382),YEAR(B2382),"")</f>
        <v/>
      </c>
      <c r="H2382">
        <f>IF(ISNUMBER(B2382),MONTH(B2382),"")</f>
        <v/>
      </c>
      <c r="I2382">
        <f>IFERROR(IF($B$1=0,"",IF(ISNUMBER(INDEX(貼り付け!$A$1:$BZ$3001,2381,$B$1)),"",SUBSTITUTE(SUBSTITUTE(SUBSTITUTE(SUBSTITUTE(TRIM(LEFT(INDEX(貼り付け!$A$1:$BZ$3001,2381,$B$1)&amp;"",FIND(" ",TRIM(INDEX(貼り付け!$A$1:$BZ$3001,2381,$B$1)&amp;"")&amp;" ")-1)),"/","-"),"年","-"),"月","-"),"日",""))),"")</f>
        <v/>
      </c>
      <c r="J2382">
        <f>IFERROR(MID(I2382,FIND("-",I2382)+1,99),"")</f>
        <v/>
      </c>
    </row>
    <row r="2383">
      <c r="B2383">
        <f>IFERROR(IF($B$1=0,"",IF(INDEX(貼り付け!$A$1:$BZ$3001,2382,$B$1)="","",IF(ISNUMBER(INDEX(貼り付け!$A$1:$BZ$3001,2382,$B$1)),INT(INDEX(貼り付け!$A$1:$BZ$3001,2382,$B$1)),DATE(VALUE(LEFT(I2383,FIND("-",I2383)-1)),VALUE(LEFT(J2383,FIND("-",J2383)-1)),VALUE(MID(J2383,FIND("-",J2383)+1,99)))))),"")</f>
        <v/>
      </c>
      <c r="C2383">
        <f>IF($C$1=0,0,IFERROR(VALUE(SUBSTITUTE(SUBSTITUTE(SUBSTITUTE(INDEX(貼り付け!$A$1:$BZ$3001,2382,$C$1)&amp;"",",",""),"¥",""),"￥","")),0))</f>
        <v/>
      </c>
      <c r="D2383">
        <f>IF($D$1=0,0,IFERROR(VALUE(SUBSTITUTE(SUBSTITUTE(SUBSTITUTE(INDEX(貼り付け!$A$1:$BZ$3001,2382,$D$1)&amp;"",",",""),"¥",""),"￥","")),0))</f>
        <v/>
      </c>
      <c r="E2383">
        <f>IF($E$1=0,0,IFERROR(VALUE(SUBSTITUTE(SUBSTITUTE(SUBSTITUTE(INDEX(貼り付け!$A$1:$BZ$3001,2382,$E$1)&amp;"",",",""),"¥",""),"￥","")),0))</f>
        <v/>
      </c>
      <c r="F2383">
        <f>IF($F$1=0,0,IFERROR(VALUE(SUBSTITUTE(SUBSTITUTE(SUBSTITUTE(INDEX(貼り付け!$A$1:$BZ$3001,2382,$F$1)&amp;"",",",""),"¥",""),"￥","")),0))</f>
        <v/>
      </c>
      <c r="G2383">
        <f>IF(ISNUMBER(B2383),YEAR(B2383),"")</f>
        <v/>
      </c>
      <c r="H2383">
        <f>IF(ISNUMBER(B2383),MONTH(B2383),"")</f>
        <v/>
      </c>
      <c r="I2383">
        <f>IFERROR(IF($B$1=0,"",IF(ISNUMBER(INDEX(貼り付け!$A$1:$BZ$3001,2382,$B$1)),"",SUBSTITUTE(SUBSTITUTE(SUBSTITUTE(SUBSTITUTE(TRIM(LEFT(INDEX(貼り付け!$A$1:$BZ$3001,2382,$B$1)&amp;"",FIND(" ",TRIM(INDEX(貼り付け!$A$1:$BZ$3001,2382,$B$1)&amp;"")&amp;" ")-1)),"/","-"),"年","-"),"月","-"),"日",""))),"")</f>
        <v/>
      </c>
      <c r="J2383">
        <f>IFERROR(MID(I2383,FIND("-",I2383)+1,99),"")</f>
        <v/>
      </c>
    </row>
    <row r="2384">
      <c r="B2384">
        <f>IFERROR(IF($B$1=0,"",IF(INDEX(貼り付け!$A$1:$BZ$3001,2383,$B$1)="","",IF(ISNUMBER(INDEX(貼り付け!$A$1:$BZ$3001,2383,$B$1)),INT(INDEX(貼り付け!$A$1:$BZ$3001,2383,$B$1)),DATE(VALUE(LEFT(I2384,FIND("-",I2384)-1)),VALUE(LEFT(J2384,FIND("-",J2384)-1)),VALUE(MID(J2384,FIND("-",J2384)+1,99)))))),"")</f>
        <v/>
      </c>
      <c r="C2384">
        <f>IF($C$1=0,0,IFERROR(VALUE(SUBSTITUTE(SUBSTITUTE(SUBSTITUTE(INDEX(貼り付け!$A$1:$BZ$3001,2383,$C$1)&amp;"",",",""),"¥",""),"￥","")),0))</f>
        <v/>
      </c>
      <c r="D2384">
        <f>IF($D$1=0,0,IFERROR(VALUE(SUBSTITUTE(SUBSTITUTE(SUBSTITUTE(INDEX(貼り付け!$A$1:$BZ$3001,2383,$D$1)&amp;"",",",""),"¥",""),"￥","")),0))</f>
        <v/>
      </c>
      <c r="E2384">
        <f>IF($E$1=0,0,IFERROR(VALUE(SUBSTITUTE(SUBSTITUTE(SUBSTITUTE(INDEX(貼り付け!$A$1:$BZ$3001,2383,$E$1)&amp;"",",",""),"¥",""),"￥","")),0))</f>
        <v/>
      </c>
      <c r="F2384">
        <f>IF($F$1=0,0,IFERROR(VALUE(SUBSTITUTE(SUBSTITUTE(SUBSTITUTE(INDEX(貼り付け!$A$1:$BZ$3001,2383,$F$1)&amp;"",",",""),"¥",""),"￥","")),0))</f>
        <v/>
      </c>
      <c r="G2384">
        <f>IF(ISNUMBER(B2384),YEAR(B2384),"")</f>
        <v/>
      </c>
      <c r="H2384">
        <f>IF(ISNUMBER(B2384),MONTH(B2384),"")</f>
        <v/>
      </c>
      <c r="I2384">
        <f>IFERROR(IF($B$1=0,"",IF(ISNUMBER(INDEX(貼り付け!$A$1:$BZ$3001,2383,$B$1)),"",SUBSTITUTE(SUBSTITUTE(SUBSTITUTE(SUBSTITUTE(TRIM(LEFT(INDEX(貼り付け!$A$1:$BZ$3001,2383,$B$1)&amp;"",FIND(" ",TRIM(INDEX(貼り付け!$A$1:$BZ$3001,2383,$B$1)&amp;"")&amp;" ")-1)),"/","-"),"年","-"),"月","-"),"日",""))),"")</f>
        <v/>
      </c>
      <c r="J2384">
        <f>IFERROR(MID(I2384,FIND("-",I2384)+1,99),"")</f>
        <v/>
      </c>
    </row>
    <row r="2385">
      <c r="B2385">
        <f>IFERROR(IF($B$1=0,"",IF(INDEX(貼り付け!$A$1:$BZ$3001,2384,$B$1)="","",IF(ISNUMBER(INDEX(貼り付け!$A$1:$BZ$3001,2384,$B$1)),INT(INDEX(貼り付け!$A$1:$BZ$3001,2384,$B$1)),DATE(VALUE(LEFT(I2385,FIND("-",I2385)-1)),VALUE(LEFT(J2385,FIND("-",J2385)-1)),VALUE(MID(J2385,FIND("-",J2385)+1,99)))))),"")</f>
        <v/>
      </c>
      <c r="C2385">
        <f>IF($C$1=0,0,IFERROR(VALUE(SUBSTITUTE(SUBSTITUTE(SUBSTITUTE(INDEX(貼り付け!$A$1:$BZ$3001,2384,$C$1)&amp;"",",",""),"¥",""),"￥","")),0))</f>
        <v/>
      </c>
      <c r="D2385">
        <f>IF($D$1=0,0,IFERROR(VALUE(SUBSTITUTE(SUBSTITUTE(SUBSTITUTE(INDEX(貼り付け!$A$1:$BZ$3001,2384,$D$1)&amp;"",",",""),"¥",""),"￥","")),0))</f>
        <v/>
      </c>
      <c r="E2385">
        <f>IF($E$1=0,0,IFERROR(VALUE(SUBSTITUTE(SUBSTITUTE(SUBSTITUTE(INDEX(貼り付け!$A$1:$BZ$3001,2384,$E$1)&amp;"",",",""),"¥",""),"￥","")),0))</f>
        <v/>
      </c>
      <c r="F2385">
        <f>IF($F$1=0,0,IFERROR(VALUE(SUBSTITUTE(SUBSTITUTE(SUBSTITUTE(INDEX(貼り付け!$A$1:$BZ$3001,2384,$F$1)&amp;"",",",""),"¥",""),"￥","")),0))</f>
        <v/>
      </c>
      <c r="G2385">
        <f>IF(ISNUMBER(B2385),YEAR(B2385),"")</f>
        <v/>
      </c>
      <c r="H2385">
        <f>IF(ISNUMBER(B2385),MONTH(B2385),"")</f>
        <v/>
      </c>
      <c r="I2385">
        <f>IFERROR(IF($B$1=0,"",IF(ISNUMBER(INDEX(貼り付け!$A$1:$BZ$3001,2384,$B$1)),"",SUBSTITUTE(SUBSTITUTE(SUBSTITUTE(SUBSTITUTE(TRIM(LEFT(INDEX(貼り付け!$A$1:$BZ$3001,2384,$B$1)&amp;"",FIND(" ",TRIM(INDEX(貼り付け!$A$1:$BZ$3001,2384,$B$1)&amp;"")&amp;" ")-1)),"/","-"),"年","-"),"月","-"),"日",""))),"")</f>
        <v/>
      </c>
      <c r="J2385">
        <f>IFERROR(MID(I2385,FIND("-",I2385)+1,99),"")</f>
        <v/>
      </c>
    </row>
    <row r="2386">
      <c r="B2386">
        <f>IFERROR(IF($B$1=0,"",IF(INDEX(貼り付け!$A$1:$BZ$3001,2385,$B$1)="","",IF(ISNUMBER(INDEX(貼り付け!$A$1:$BZ$3001,2385,$B$1)),INT(INDEX(貼り付け!$A$1:$BZ$3001,2385,$B$1)),DATE(VALUE(LEFT(I2386,FIND("-",I2386)-1)),VALUE(LEFT(J2386,FIND("-",J2386)-1)),VALUE(MID(J2386,FIND("-",J2386)+1,99)))))),"")</f>
        <v/>
      </c>
      <c r="C2386">
        <f>IF($C$1=0,0,IFERROR(VALUE(SUBSTITUTE(SUBSTITUTE(SUBSTITUTE(INDEX(貼り付け!$A$1:$BZ$3001,2385,$C$1)&amp;"",",",""),"¥",""),"￥","")),0))</f>
        <v/>
      </c>
      <c r="D2386">
        <f>IF($D$1=0,0,IFERROR(VALUE(SUBSTITUTE(SUBSTITUTE(SUBSTITUTE(INDEX(貼り付け!$A$1:$BZ$3001,2385,$D$1)&amp;"",",",""),"¥",""),"￥","")),0))</f>
        <v/>
      </c>
      <c r="E2386">
        <f>IF($E$1=0,0,IFERROR(VALUE(SUBSTITUTE(SUBSTITUTE(SUBSTITUTE(INDEX(貼り付け!$A$1:$BZ$3001,2385,$E$1)&amp;"",",",""),"¥",""),"￥","")),0))</f>
        <v/>
      </c>
      <c r="F2386">
        <f>IF($F$1=0,0,IFERROR(VALUE(SUBSTITUTE(SUBSTITUTE(SUBSTITUTE(INDEX(貼り付け!$A$1:$BZ$3001,2385,$F$1)&amp;"",",",""),"¥",""),"￥","")),0))</f>
        <v/>
      </c>
      <c r="G2386">
        <f>IF(ISNUMBER(B2386),YEAR(B2386),"")</f>
        <v/>
      </c>
      <c r="H2386">
        <f>IF(ISNUMBER(B2386),MONTH(B2386),"")</f>
        <v/>
      </c>
      <c r="I2386">
        <f>IFERROR(IF($B$1=0,"",IF(ISNUMBER(INDEX(貼り付け!$A$1:$BZ$3001,2385,$B$1)),"",SUBSTITUTE(SUBSTITUTE(SUBSTITUTE(SUBSTITUTE(TRIM(LEFT(INDEX(貼り付け!$A$1:$BZ$3001,2385,$B$1)&amp;"",FIND(" ",TRIM(INDEX(貼り付け!$A$1:$BZ$3001,2385,$B$1)&amp;"")&amp;" ")-1)),"/","-"),"年","-"),"月","-"),"日",""))),"")</f>
        <v/>
      </c>
      <c r="J2386">
        <f>IFERROR(MID(I2386,FIND("-",I2386)+1,99),"")</f>
        <v/>
      </c>
    </row>
    <row r="2387">
      <c r="B2387">
        <f>IFERROR(IF($B$1=0,"",IF(INDEX(貼り付け!$A$1:$BZ$3001,2386,$B$1)="","",IF(ISNUMBER(INDEX(貼り付け!$A$1:$BZ$3001,2386,$B$1)),INT(INDEX(貼り付け!$A$1:$BZ$3001,2386,$B$1)),DATE(VALUE(LEFT(I2387,FIND("-",I2387)-1)),VALUE(LEFT(J2387,FIND("-",J2387)-1)),VALUE(MID(J2387,FIND("-",J2387)+1,99)))))),"")</f>
        <v/>
      </c>
      <c r="C2387">
        <f>IF($C$1=0,0,IFERROR(VALUE(SUBSTITUTE(SUBSTITUTE(SUBSTITUTE(INDEX(貼り付け!$A$1:$BZ$3001,2386,$C$1)&amp;"",",",""),"¥",""),"￥","")),0))</f>
        <v/>
      </c>
      <c r="D2387">
        <f>IF($D$1=0,0,IFERROR(VALUE(SUBSTITUTE(SUBSTITUTE(SUBSTITUTE(INDEX(貼り付け!$A$1:$BZ$3001,2386,$D$1)&amp;"",",",""),"¥",""),"￥","")),0))</f>
        <v/>
      </c>
      <c r="E2387">
        <f>IF($E$1=0,0,IFERROR(VALUE(SUBSTITUTE(SUBSTITUTE(SUBSTITUTE(INDEX(貼り付け!$A$1:$BZ$3001,2386,$E$1)&amp;"",",",""),"¥",""),"￥","")),0))</f>
        <v/>
      </c>
      <c r="F2387">
        <f>IF($F$1=0,0,IFERROR(VALUE(SUBSTITUTE(SUBSTITUTE(SUBSTITUTE(INDEX(貼り付け!$A$1:$BZ$3001,2386,$F$1)&amp;"",",",""),"¥",""),"￥","")),0))</f>
        <v/>
      </c>
      <c r="G2387">
        <f>IF(ISNUMBER(B2387),YEAR(B2387),"")</f>
        <v/>
      </c>
      <c r="H2387">
        <f>IF(ISNUMBER(B2387),MONTH(B2387),"")</f>
        <v/>
      </c>
      <c r="I2387">
        <f>IFERROR(IF($B$1=0,"",IF(ISNUMBER(INDEX(貼り付け!$A$1:$BZ$3001,2386,$B$1)),"",SUBSTITUTE(SUBSTITUTE(SUBSTITUTE(SUBSTITUTE(TRIM(LEFT(INDEX(貼り付け!$A$1:$BZ$3001,2386,$B$1)&amp;"",FIND(" ",TRIM(INDEX(貼り付け!$A$1:$BZ$3001,2386,$B$1)&amp;"")&amp;" ")-1)),"/","-"),"年","-"),"月","-"),"日",""))),"")</f>
        <v/>
      </c>
      <c r="J2387">
        <f>IFERROR(MID(I2387,FIND("-",I2387)+1,99),"")</f>
        <v/>
      </c>
    </row>
    <row r="2388">
      <c r="B2388">
        <f>IFERROR(IF($B$1=0,"",IF(INDEX(貼り付け!$A$1:$BZ$3001,2387,$B$1)="","",IF(ISNUMBER(INDEX(貼り付け!$A$1:$BZ$3001,2387,$B$1)),INT(INDEX(貼り付け!$A$1:$BZ$3001,2387,$B$1)),DATE(VALUE(LEFT(I2388,FIND("-",I2388)-1)),VALUE(LEFT(J2388,FIND("-",J2388)-1)),VALUE(MID(J2388,FIND("-",J2388)+1,99)))))),"")</f>
        <v/>
      </c>
      <c r="C2388">
        <f>IF($C$1=0,0,IFERROR(VALUE(SUBSTITUTE(SUBSTITUTE(SUBSTITUTE(INDEX(貼り付け!$A$1:$BZ$3001,2387,$C$1)&amp;"",",",""),"¥",""),"￥","")),0))</f>
        <v/>
      </c>
      <c r="D2388">
        <f>IF($D$1=0,0,IFERROR(VALUE(SUBSTITUTE(SUBSTITUTE(SUBSTITUTE(INDEX(貼り付け!$A$1:$BZ$3001,2387,$D$1)&amp;"",",",""),"¥",""),"￥","")),0))</f>
        <v/>
      </c>
      <c r="E2388">
        <f>IF($E$1=0,0,IFERROR(VALUE(SUBSTITUTE(SUBSTITUTE(SUBSTITUTE(INDEX(貼り付け!$A$1:$BZ$3001,2387,$E$1)&amp;"",",",""),"¥",""),"￥","")),0))</f>
        <v/>
      </c>
      <c r="F2388">
        <f>IF($F$1=0,0,IFERROR(VALUE(SUBSTITUTE(SUBSTITUTE(SUBSTITUTE(INDEX(貼り付け!$A$1:$BZ$3001,2387,$F$1)&amp;"",",",""),"¥",""),"￥","")),0))</f>
        <v/>
      </c>
      <c r="G2388">
        <f>IF(ISNUMBER(B2388),YEAR(B2388),"")</f>
        <v/>
      </c>
      <c r="H2388">
        <f>IF(ISNUMBER(B2388),MONTH(B2388),"")</f>
        <v/>
      </c>
      <c r="I2388">
        <f>IFERROR(IF($B$1=0,"",IF(ISNUMBER(INDEX(貼り付け!$A$1:$BZ$3001,2387,$B$1)),"",SUBSTITUTE(SUBSTITUTE(SUBSTITUTE(SUBSTITUTE(TRIM(LEFT(INDEX(貼り付け!$A$1:$BZ$3001,2387,$B$1)&amp;"",FIND(" ",TRIM(INDEX(貼り付け!$A$1:$BZ$3001,2387,$B$1)&amp;"")&amp;" ")-1)),"/","-"),"年","-"),"月","-"),"日",""))),"")</f>
        <v/>
      </c>
      <c r="J2388">
        <f>IFERROR(MID(I2388,FIND("-",I2388)+1,99),"")</f>
        <v/>
      </c>
    </row>
    <row r="2389">
      <c r="B2389">
        <f>IFERROR(IF($B$1=0,"",IF(INDEX(貼り付け!$A$1:$BZ$3001,2388,$B$1)="","",IF(ISNUMBER(INDEX(貼り付け!$A$1:$BZ$3001,2388,$B$1)),INT(INDEX(貼り付け!$A$1:$BZ$3001,2388,$B$1)),DATE(VALUE(LEFT(I2389,FIND("-",I2389)-1)),VALUE(LEFT(J2389,FIND("-",J2389)-1)),VALUE(MID(J2389,FIND("-",J2389)+1,99)))))),"")</f>
        <v/>
      </c>
      <c r="C2389">
        <f>IF($C$1=0,0,IFERROR(VALUE(SUBSTITUTE(SUBSTITUTE(SUBSTITUTE(INDEX(貼り付け!$A$1:$BZ$3001,2388,$C$1)&amp;"",",",""),"¥",""),"￥","")),0))</f>
        <v/>
      </c>
      <c r="D2389">
        <f>IF($D$1=0,0,IFERROR(VALUE(SUBSTITUTE(SUBSTITUTE(SUBSTITUTE(INDEX(貼り付け!$A$1:$BZ$3001,2388,$D$1)&amp;"",",",""),"¥",""),"￥","")),0))</f>
        <v/>
      </c>
      <c r="E2389">
        <f>IF($E$1=0,0,IFERROR(VALUE(SUBSTITUTE(SUBSTITUTE(SUBSTITUTE(INDEX(貼り付け!$A$1:$BZ$3001,2388,$E$1)&amp;"",",",""),"¥",""),"￥","")),0))</f>
        <v/>
      </c>
      <c r="F2389">
        <f>IF($F$1=0,0,IFERROR(VALUE(SUBSTITUTE(SUBSTITUTE(SUBSTITUTE(INDEX(貼り付け!$A$1:$BZ$3001,2388,$F$1)&amp;"",",",""),"¥",""),"￥","")),0))</f>
        <v/>
      </c>
      <c r="G2389">
        <f>IF(ISNUMBER(B2389),YEAR(B2389),"")</f>
        <v/>
      </c>
      <c r="H2389">
        <f>IF(ISNUMBER(B2389),MONTH(B2389),"")</f>
        <v/>
      </c>
      <c r="I2389">
        <f>IFERROR(IF($B$1=0,"",IF(ISNUMBER(INDEX(貼り付け!$A$1:$BZ$3001,2388,$B$1)),"",SUBSTITUTE(SUBSTITUTE(SUBSTITUTE(SUBSTITUTE(TRIM(LEFT(INDEX(貼り付け!$A$1:$BZ$3001,2388,$B$1)&amp;"",FIND(" ",TRIM(INDEX(貼り付け!$A$1:$BZ$3001,2388,$B$1)&amp;"")&amp;" ")-1)),"/","-"),"年","-"),"月","-"),"日",""))),"")</f>
        <v/>
      </c>
      <c r="J2389">
        <f>IFERROR(MID(I2389,FIND("-",I2389)+1,99),"")</f>
        <v/>
      </c>
    </row>
    <row r="2390">
      <c r="B2390">
        <f>IFERROR(IF($B$1=0,"",IF(INDEX(貼り付け!$A$1:$BZ$3001,2389,$B$1)="","",IF(ISNUMBER(INDEX(貼り付け!$A$1:$BZ$3001,2389,$B$1)),INT(INDEX(貼り付け!$A$1:$BZ$3001,2389,$B$1)),DATE(VALUE(LEFT(I2390,FIND("-",I2390)-1)),VALUE(LEFT(J2390,FIND("-",J2390)-1)),VALUE(MID(J2390,FIND("-",J2390)+1,99)))))),"")</f>
        <v/>
      </c>
      <c r="C2390">
        <f>IF($C$1=0,0,IFERROR(VALUE(SUBSTITUTE(SUBSTITUTE(SUBSTITUTE(INDEX(貼り付け!$A$1:$BZ$3001,2389,$C$1)&amp;"",",",""),"¥",""),"￥","")),0))</f>
        <v/>
      </c>
      <c r="D2390">
        <f>IF($D$1=0,0,IFERROR(VALUE(SUBSTITUTE(SUBSTITUTE(SUBSTITUTE(INDEX(貼り付け!$A$1:$BZ$3001,2389,$D$1)&amp;"",",",""),"¥",""),"￥","")),0))</f>
        <v/>
      </c>
      <c r="E2390">
        <f>IF($E$1=0,0,IFERROR(VALUE(SUBSTITUTE(SUBSTITUTE(SUBSTITUTE(INDEX(貼り付け!$A$1:$BZ$3001,2389,$E$1)&amp;"",",",""),"¥",""),"￥","")),0))</f>
        <v/>
      </c>
      <c r="F2390">
        <f>IF($F$1=0,0,IFERROR(VALUE(SUBSTITUTE(SUBSTITUTE(SUBSTITUTE(INDEX(貼り付け!$A$1:$BZ$3001,2389,$F$1)&amp;"",",",""),"¥",""),"￥","")),0))</f>
        <v/>
      </c>
      <c r="G2390">
        <f>IF(ISNUMBER(B2390),YEAR(B2390),"")</f>
        <v/>
      </c>
      <c r="H2390">
        <f>IF(ISNUMBER(B2390),MONTH(B2390),"")</f>
        <v/>
      </c>
      <c r="I2390">
        <f>IFERROR(IF($B$1=0,"",IF(ISNUMBER(INDEX(貼り付け!$A$1:$BZ$3001,2389,$B$1)),"",SUBSTITUTE(SUBSTITUTE(SUBSTITUTE(SUBSTITUTE(TRIM(LEFT(INDEX(貼り付け!$A$1:$BZ$3001,2389,$B$1)&amp;"",FIND(" ",TRIM(INDEX(貼り付け!$A$1:$BZ$3001,2389,$B$1)&amp;"")&amp;" ")-1)),"/","-"),"年","-"),"月","-"),"日",""))),"")</f>
        <v/>
      </c>
      <c r="J2390">
        <f>IFERROR(MID(I2390,FIND("-",I2390)+1,99),"")</f>
        <v/>
      </c>
    </row>
    <row r="2391">
      <c r="B2391">
        <f>IFERROR(IF($B$1=0,"",IF(INDEX(貼り付け!$A$1:$BZ$3001,2390,$B$1)="","",IF(ISNUMBER(INDEX(貼り付け!$A$1:$BZ$3001,2390,$B$1)),INT(INDEX(貼り付け!$A$1:$BZ$3001,2390,$B$1)),DATE(VALUE(LEFT(I2391,FIND("-",I2391)-1)),VALUE(LEFT(J2391,FIND("-",J2391)-1)),VALUE(MID(J2391,FIND("-",J2391)+1,99)))))),"")</f>
        <v/>
      </c>
      <c r="C2391">
        <f>IF($C$1=0,0,IFERROR(VALUE(SUBSTITUTE(SUBSTITUTE(SUBSTITUTE(INDEX(貼り付け!$A$1:$BZ$3001,2390,$C$1)&amp;"",",",""),"¥",""),"￥","")),0))</f>
        <v/>
      </c>
      <c r="D2391">
        <f>IF($D$1=0,0,IFERROR(VALUE(SUBSTITUTE(SUBSTITUTE(SUBSTITUTE(INDEX(貼り付け!$A$1:$BZ$3001,2390,$D$1)&amp;"",",",""),"¥",""),"￥","")),0))</f>
        <v/>
      </c>
      <c r="E2391">
        <f>IF($E$1=0,0,IFERROR(VALUE(SUBSTITUTE(SUBSTITUTE(SUBSTITUTE(INDEX(貼り付け!$A$1:$BZ$3001,2390,$E$1)&amp;"",",",""),"¥",""),"￥","")),0))</f>
        <v/>
      </c>
      <c r="F2391">
        <f>IF($F$1=0,0,IFERROR(VALUE(SUBSTITUTE(SUBSTITUTE(SUBSTITUTE(INDEX(貼り付け!$A$1:$BZ$3001,2390,$F$1)&amp;"",",",""),"¥",""),"￥","")),0))</f>
        <v/>
      </c>
      <c r="G2391">
        <f>IF(ISNUMBER(B2391),YEAR(B2391),"")</f>
        <v/>
      </c>
      <c r="H2391">
        <f>IF(ISNUMBER(B2391),MONTH(B2391),"")</f>
        <v/>
      </c>
      <c r="I2391">
        <f>IFERROR(IF($B$1=0,"",IF(ISNUMBER(INDEX(貼り付け!$A$1:$BZ$3001,2390,$B$1)),"",SUBSTITUTE(SUBSTITUTE(SUBSTITUTE(SUBSTITUTE(TRIM(LEFT(INDEX(貼り付け!$A$1:$BZ$3001,2390,$B$1)&amp;"",FIND(" ",TRIM(INDEX(貼り付け!$A$1:$BZ$3001,2390,$B$1)&amp;"")&amp;" ")-1)),"/","-"),"年","-"),"月","-"),"日",""))),"")</f>
        <v/>
      </c>
      <c r="J2391">
        <f>IFERROR(MID(I2391,FIND("-",I2391)+1,99),"")</f>
        <v/>
      </c>
    </row>
    <row r="2392">
      <c r="B2392">
        <f>IFERROR(IF($B$1=0,"",IF(INDEX(貼り付け!$A$1:$BZ$3001,2391,$B$1)="","",IF(ISNUMBER(INDEX(貼り付け!$A$1:$BZ$3001,2391,$B$1)),INT(INDEX(貼り付け!$A$1:$BZ$3001,2391,$B$1)),DATE(VALUE(LEFT(I2392,FIND("-",I2392)-1)),VALUE(LEFT(J2392,FIND("-",J2392)-1)),VALUE(MID(J2392,FIND("-",J2392)+1,99)))))),"")</f>
        <v/>
      </c>
      <c r="C2392">
        <f>IF($C$1=0,0,IFERROR(VALUE(SUBSTITUTE(SUBSTITUTE(SUBSTITUTE(INDEX(貼り付け!$A$1:$BZ$3001,2391,$C$1)&amp;"",",",""),"¥",""),"￥","")),0))</f>
        <v/>
      </c>
      <c r="D2392">
        <f>IF($D$1=0,0,IFERROR(VALUE(SUBSTITUTE(SUBSTITUTE(SUBSTITUTE(INDEX(貼り付け!$A$1:$BZ$3001,2391,$D$1)&amp;"",",",""),"¥",""),"￥","")),0))</f>
        <v/>
      </c>
      <c r="E2392">
        <f>IF($E$1=0,0,IFERROR(VALUE(SUBSTITUTE(SUBSTITUTE(SUBSTITUTE(INDEX(貼り付け!$A$1:$BZ$3001,2391,$E$1)&amp;"",",",""),"¥",""),"￥","")),0))</f>
        <v/>
      </c>
      <c r="F2392">
        <f>IF($F$1=0,0,IFERROR(VALUE(SUBSTITUTE(SUBSTITUTE(SUBSTITUTE(INDEX(貼り付け!$A$1:$BZ$3001,2391,$F$1)&amp;"",",",""),"¥",""),"￥","")),0))</f>
        <v/>
      </c>
      <c r="G2392">
        <f>IF(ISNUMBER(B2392),YEAR(B2392),"")</f>
        <v/>
      </c>
      <c r="H2392">
        <f>IF(ISNUMBER(B2392),MONTH(B2392),"")</f>
        <v/>
      </c>
      <c r="I2392">
        <f>IFERROR(IF($B$1=0,"",IF(ISNUMBER(INDEX(貼り付け!$A$1:$BZ$3001,2391,$B$1)),"",SUBSTITUTE(SUBSTITUTE(SUBSTITUTE(SUBSTITUTE(TRIM(LEFT(INDEX(貼り付け!$A$1:$BZ$3001,2391,$B$1)&amp;"",FIND(" ",TRIM(INDEX(貼り付け!$A$1:$BZ$3001,2391,$B$1)&amp;"")&amp;" ")-1)),"/","-"),"年","-"),"月","-"),"日",""))),"")</f>
        <v/>
      </c>
      <c r="J2392">
        <f>IFERROR(MID(I2392,FIND("-",I2392)+1,99),"")</f>
        <v/>
      </c>
    </row>
    <row r="2393">
      <c r="B2393">
        <f>IFERROR(IF($B$1=0,"",IF(INDEX(貼り付け!$A$1:$BZ$3001,2392,$B$1)="","",IF(ISNUMBER(INDEX(貼り付け!$A$1:$BZ$3001,2392,$B$1)),INT(INDEX(貼り付け!$A$1:$BZ$3001,2392,$B$1)),DATE(VALUE(LEFT(I2393,FIND("-",I2393)-1)),VALUE(LEFT(J2393,FIND("-",J2393)-1)),VALUE(MID(J2393,FIND("-",J2393)+1,99)))))),"")</f>
        <v/>
      </c>
      <c r="C2393">
        <f>IF($C$1=0,0,IFERROR(VALUE(SUBSTITUTE(SUBSTITUTE(SUBSTITUTE(INDEX(貼り付け!$A$1:$BZ$3001,2392,$C$1)&amp;"",",",""),"¥",""),"￥","")),0))</f>
        <v/>
      </c>
      <c r="D2393">
        <f>IF($D$1=0,0,IFERROR(VALUE(SUBSTITUTE(SUBSTITUTE(SUBSTITUTE(INDEX(貼り付け!$A$1:$BZ$3001,2392,$D$1)&amp;"",",",""),"¥",""),"￥","")),0))</f>
        <v/>
      </c>
      <c r="E2393">
        <f>IF($E$1=0,0,IFERROR(VALUE(SUBSTITUTE(SUBSTITUTE(SUBSTITUTE(INDEX(貼り付け!$A$1:$BZ$3001,2392,$E$1)&amp;"",",",""),"¥",""),"￥","")),0))</f>
        <v/>
      </c>
      <c r="F2393">
        <f>IF($F$1=0,0,IFERROR(VALUE(SUBSTITUTE(SUBSTITUTE(SUBSTITUTE(INDEX(貼り付け!$A$1:$BZ$3001,2392,$F$1)&amp;"",",",""),"¥",""),"￥","")),0))</f>
        <v/>
      </c>
      <c r="G2393">
        <f>IF(ISNUMBER(B2393),YEAR(B2393),"")</f>
        <v/>
      </c>
      <c r="H2393">
        <f>IF(ISNUMBER(B2393),MONTH(B2393),"")</f>
        <v/>
      </c>
      <c r="I2393">
        <f>IFERROR(IF($B$1=0,"",IF(ISNUMBER(INDEX(貼り付け!$A$1:$BZ$3001,2392,$B$1)),"",SUBSTITUTE(SUBSTITUTE(SUBSTITUTE(SUBSTITUTE(TRIM(LEFT(INDEX(貼り付け!$A$1:$BZ$3001,2392,$B$1)&amp;"",FIND(" ",TRIM(INDEX(貼り付け!$A$1:$BZ$3001,2392,$B$1)&amp;"")&amp;" ")-1)),"/","-"),"年","-"),"月","-"),"日",""))),"")</f>
        <v/>
      </c>
      <c r="J2393">
        <f>IFERROR(MID(I2393,FIND("-",I2393)+1,99),"")</f>
        <v/>
      </c>
    </row>
    <row r="2394">
      <c r="B2394">
        <f>IFERROR(IF($B$1=0,"",IF(INDEX(貼り付け!$A$1:$BZ$3001,2393,$B$1)="","",IF(ISNUMBER(INDEX(貼り付け!$A$1:$BZ$3001,2393,$B$1)),INT(INDEX(貼り付け!$A$1:$BZ$3001,2393,$B$1)),DATE(VALUE(LEFT(I2394,FIND("-",I2394)-1)),VALUE(LEFT(J2394,FIND("-",J2394)-1)),VALUE(MID(J2394,FIND("-",J2394)+1,99)))))),"")</f>
        <v/>
      </c>
      <c r="C2394">
        <f>IF($C$1=0,0,IFERROR(VALUE(SUBSTITUTE(SUBSTITUTE(SUBSTITUTE(INDEX(貼り付け!$A$1:$BZ$3001,2393,$C$1)&amp;"",",",""),"¥",""),"￥","")),0))</f>
        <v/>
      </c>
      <c r="D2394">
        <f>IF($D$1=0,0,IFERROR(VALUE(SUBSTITUTE(SUBSTITUTE(SUBSTITUTE(INDEX(貼り付け!$A$1:$BZ$3001,2393,$D$1)&amp;"",",",""),"¥",""),"￥","")),0))</f>
        <v/>
      </c>
      <c r="E2394">
        <f>IF($E$1=0,0,IFERROR(VALUE(SUBSTITUTE(SUBSTITUTE(SUBSTITUTE(INDEX(貼り付け!$A$1:$BZ$3001,2393,$E$1)&amp;"",",",""),"¥",""),"￥","")),0))</f>
        <v/>
      </c>
      <c r="F2394">
        <f>IF($F$1=0,0,IFERROR(VALUE(SUBSTITUTE(SUBSTITUTE(SUBSTITUTE(INDEX(貼り付け!$A$1:$BZ$3001,2393,$F$1)&amp;"",",",""),"¥",""),"￥","")),0))</f>
        <v/>
      </c>
      <c r="G2394">
        <f>IF(ISNUMBER(B2394),YEAR(B2394),"")</f>
        <v/>
      </c>
      <c r="H2394">
        <f>IF(ISNUMBER(B2394),MONTH(B2394),"")</f>
        <v/>
      </c>
      <c r="I2394">
        <f>IFERROR(IF($B$1=0,"",IF(ISNUMBER(INDEX(貼り付け!$A$1:$BZ$3001,2393,$B$1)),"",SUBSTITUTE(SUBSTITUTE(SUBSTITUTE(SUBSTITUTE(TRIM(LEFT(INDEX(貼り付け!$A$1:$BZ$3001,2393,$B$1)&amp;"",FIND(" ",TRIM(INDEX(貼り付け!$A$1:$BZ$3001,2393,$B$1)&amp;"")&amp;" ")-1)),"/","-"),"年","-"),"月","-"),"日",""))),"")</f>
        <v/>
      </c>
      <c r="J2394">
        <f>IFERROR(MID(I2394,FIND("-",I2394)+1,99),"")</f>
        <v/>
      </c>
    </row>
    <row r="2395">
      <c r="B2395">
        <f>IFERROR(IF($B$1=0,"",IF(INDEX(貼り付け!$A$1:$BZ$3001,2394,$B$1)="","",IF(ISNUMBER(INDEX(貼り付け!$A$1:$BZ$3001,2394,$B$1)),INT(INDEX(貼り付け!$A$1:$BZ$3001,2394,$B$1)),DATE(VALUE(LEFT(I2395,FIND("-",I2395)-1)),VALUE(LEFT(J2395,FIND("-",J2395)-1)),VALUE(MID(J2395,FIND("-",J2395)+1,99)))))),"")</f>
        <v/>
      </c>
      <c r="C2395">
        <f>IF($C$1=0,0,IFERROR(VALUE(SUBSTITUTE(SUBSTITUTE(SUBSTITUTE(INDEX(貼り付け!$A$1:$BZ$3001,2394,$C$1)&amp;"",",",""),"¥",""),"￥","")),0))</f>
        <v/>
      </c>
      <c r="D2395">
        <f>IF($D$1=0,0,IFERROR(VALUE(SUBSTITUTE(SUBSTITUTE(SUBSTITUTE(INDEX(貼り付け!$A$1:$BZ$3001,2394,$D$1)&amp;"",",",""),"¥",""),"￥","")),0))</f>
        <v/>
      </c>
      <c r="E2395">
        <f>IF($E$1=0,0,IFERROR(VALUE(SUBSTITUTE(SUBSTITUTE(SUBSTITUTE(INDEX(貼り付け!$A$1:$BZ$3001,2394,$E$1)&amp;"",",",""),"¥",""),"￥","")),0))</f>
        <v/>
      </c>
      <c r="F2395">
        <f>IF($F$1=0,0,IFERROR(VALUE(SUBSTITUTE(SUBSTITUTE(SUBSTITUTE(INDEX(貼り付け!$A$1:$BZ$3001,2394,$F$1)&amp;"",",",""),"¥",""),"￥","")),0))</f>
        <v/>
      </c>
      <c r="G2395">
        <f>IF(ISNUMBER(B2395),YEAR(B2395),"")</f>
        <v/>
      </c>
      <c r="H2395">
        <f>IF(ISNUMBER(B2395),MONTH(B2395),"")</f>
        <v/>
      </c>
      <c r="I2395">
        <f>IFERROR(IF($B$1=0,"",IF(ISNUMBER(INDEX(貼り付け!$A$1:$BZ$3001,2394,$B$1)),"",SUBSTITUTE(SUBSTITUTE(SUBSTITUTE(SUBSTITUTE(TRIM(LEFT(INDEX(貼り付け!$A$1:$BZ$3001,2394,$B$1)&amp;"",FIND(" ",TRIM(INDEX(貼り付け!$A$1:$BZ$3001,2394,$B$1)&amp;"")&amp;" ")-1)),"/","-"),"年","-"),"月","-"),"日",""))),"")</f>
        <v/>
      </c>
      <c r="J2395">
        <f>IFERROR(MID(I2395,FIND("-",I2395)+1,99),"")</f>
        <v/>
      </c>
    </row>
    <row r="2396">
      <c r="B2396">
        <f>IFERROR(IF($B$1=0,"",IF(INDEX(貼り付け!$A$1:$BZ$3001,2395,$B$1)="","",IF(ISNUMBER(INDEX(貼り付け!$A$1:$BZ$3001,2395,$B$1)),INT(INDEX(貼り付け!$A$1:$BZ$3001,2395,$B$1)),DATE(VALUE(LEFT(I2396,FIND("-",I2396)-1)),VALUE(LEFT(J2396,FIND("-",J2396)-1)),VALUE(MID(J2396,FIND("-",J2396)+1,99)))))),"")</f>
        <v/>
      </c>
      <c r="C2396">
        <f>IF($C$1=0,0,IFERROR(VALUE(SUBSTITUTE(SUBSTITUTE(SUBSTITUTE(INDEX(貼り付け!$A$1:$BZ$3001,2395,$C$1)&amp;"",",",""),"¥",""),"￥","")),0))</f>
        <v/>
      </c>
      <c r="D2396">
        <f>IF($D$1=0,0,IFERROR(VALUE(SUBSTITUTE(SUBSTITUTE(SUBSTITUTE(INDEX(貼り付け!$A$1:$BZ$3001,2395,$D$1)&amp;"",",",""),"¥",""),"￥","")),0))</f>
        <v/>
      </c>
      <c r="E2396">
        <f>IF($E$1=0,0,IFERROR(VALUE(SUBSTITUTE(SUBSTITUTE(SUBSTITUTE(INDEX(貼り付け!$A$1:$BZ$3001,2395,$E$1)&amp;"",",",""),"¥",""),"￥","")),0))</f>
        <v/>
      </c>
      <c r="F2396">
        <f>IF($F$1=0,0,IFERROR(VALUE(SUBSTITUTE(SUBSTITUTE(SUBSTITUTE(INDEX(貼り付け!$A$1:$BZ$3001,2395,$F$1)&amp;"",",",""),"¥",""),"￥","")),0))</f>
        <v/>
      </c>
      <c r="G2396">
        <f>IF(ISNUMBER(B2396),YEAR(B2396),"")</f>
        <v/>
      </c>
      <c r="H2396">
        <f>IF(ISNUMBER(B2396),MONTH(B2396),"")</f>
        <v/>
      </c>
      <c r="I2396">
        <f>IFERROR(IF($B$1=0,"",IF(ISNUMBER(INDEX(貼り付け!$A$1:$BZ$3001,2395,$B$1)),"",SUBSTITUTE(SUBSTITUTE(SUBSTITUTE(SUBSTITUTE(TRIM(LEFT(INDEX(貼り付け!$A$1:$BZ$3001,2395,$B$1)&amp;"",FIND(" ",TRIM(INDEX(貼り付け!$A$1:$BZ$3001,2395,$B$1)&amp;"")&amp;" ")-1)),"/","-"),"年","-"),"月","-"),"日",""))),"")</f>
        <v/>
      </c>
      <c r="J2396">
        <f>IFERROR(MID(I2396,FIND("-",I2396)+1,99),"")</f>
        <v/>
      </c>
    </row>
    <row r="2397">
      <c r="B2397">
        <f>IFERROR(IF($B$1=0,"",IF(INDEX(貼り付け!$A$1:$BZ$3001,2396,$B$1)="","",IF(ISNUMBER(INDEX(貼り付け!$A$1:$BZ$3001,2396,$B$1)),INT(INDEX(貼り付け!$A$1:$BZ$3001,2396,$B$1)),DATE(VALUE(LEFT(I2397,FIND("-",I2397)-1)),VALUE(LEFT(J2397,FIND("-",J2397)-1)),VALUE(MID(J2397,FIND("-",J2397)+1,99)))))),"")</f>
        <v/>
      </c>
      <c r="C2397">
        <f>IF($C$1=0,0,IFERROR(VALUE(SUBSTITUTE(SUBSTITUTE(SUBSTITUTE(INDEX(貼り付け!$A$1:$BZ$3001,2396,$C$1)&amp;"",",",""),"¥",""),"￥","")),0))</f>
        <v/>
      </c>
      <c r="D2397">
        <f>IF($D$1=0,0,IFERROR(VALUE(SUBSTITUTE(SUBSTITUTE(SUBSTITUTE(INDEX(貼り付け!$A$1:$BZ$3001,2396,$D$1)&amp;"",",",""),"¥",""),"￥","")),0))</f>
        <v/>
      </c>
      <c r="E2397">
        <f>IF($E$1=0,0,IFERROR(VALUE(SUBSTITUTE(SUBSTITUTE(SUBSTITUTE(INDEX(貼り付け!$A$1:$BZ$3001,2396,$E$1)&amp;"",",",""),"¥",""),"￥","")),0))</f>
        <v/>
      </c>
      <c r="F2397">
        <f>IF($F$1=0,0,IFERROR(VALUE(SUBSTITUTE(SUBSTITUTE(SUBSTITUTE(INDEX(貼り付け!$A$1:$BZ$3001,2396,$F$1)&amp;"",",",""),"¥",""),"￥","")),0))</f>
        <v/>
      </c>
      <c r="G2397">
        <f>IF(ISNUMBER(B2397),YEAR(B2397),"")</f>
        <v/>
      </c>
      <c r="H2397">
        <f>IF(ISNUMBER(B2397),MONTH(B2397),"")</f>
        <v/>
      </c>
      <c r="I2397">
        <f>IFERROR(IF($B$1=0,"",IF(ISNUMBER(INDEX(貼り付け!$A$1:$BZ$3001,2396,$B$1)),"",SUBSTITUTE(SUBSTITUTE(SUBSTITUTE(SUBSTITUTE(TRIM(LEFT(INDEX(貼り付け!$A$1:$BZ$3001,2396,$B$1)&amp;"",FIND(" ",TRIM(INDEX(貼り付け!$A$1:$BZ$3001,2396,$B$1)&amp;"")&amp;" ")-1)),"/","-"),"年","-"),"月","-"),"日",""))),"")</f>
        <v/>
      </c>
      <c r="J2397">
        <f>IFERROR(MID(I2397,FIND("-",I2397)+1,99),"")</f>
        <v/>
      </c>
    </row>
    <row r="2398">
      <c r="B2398">
        <f>IFERROR(IF($B$1=0,"",IF(INDEX(貼り付け!$A$1:$BZ$3001,2397,$B$1)="","",IF(ISNUMBER(INDEX(貼り付け!$A$1:$BZ$3001,2397,$B$1)),INT(INDEX(貼り付け!$A$1:$BZ$3001,2397,$B$1)),DATE(VALUE(LEFT(I2398,FIND("-",I2398)-1)),VALUE(LEFT(J2398,FIND("-",J2398)-1)),VALUE(MID(J2398,FIND("-",J2398)+1,99)))))),"")</f>
        <v/>
      </c>
      <c r="C2398">
        <f>IF($C$1=0,0,IFERROR(VALUE(SUBSTITUTE(SUBSTITUTE(SUBSTITUTE(INDEX(貼り付け!$A$1:$BZ$3001,2397,$C$1)&amp;"",",",""),"¥",""),"￥","")),0))</f>
        <v/>
      </c>
      <c r="D2398">
        <f>IF($D$1=0,0,IFERROR(VALUE(SUBSTITUTE(SUBSTITUTE(SUBSTITUTE(INDEX(貼り付け!$A$1:$BZ$3001,2397,$D$1)&amp;"",",",""),"¥",""),"￥","")),0))</f>
        <v/>
      </c>
      <c r="E2398">
        <f>IF($E$1=0,0,IFERROR(VALUE(SUBSTITUTE(SUBSTITUTE(SUBSTITUTE(INDEX(貼り付け!$A$1:$BZ$3001,2397,$E$1)&amp;"",",",""),"¥",""),"￥","")),0))</f>
        <v/>
      </c>
      <c r="F2398">
        <f>IF($F$1=0,0,IFERROR(VALUE(SUBSTITUTE(SUBSTITUTE(SUBSTITUTE(INDEX(貼り付け!$A$1:$BZ$3001,2397,$F$1)&amp;"",",",""),"¥",""),"￥","")),0))</f>
        <v/>
      </c>
      <c r="G2398">
        <f>IF(ISNUMBER(B2398),YEAR(B2398),"")</f>
        <v/>
      </c>
      <c r="H2398">
        <f>IF(ISNUMBER(B2398),MONTH(B2398),"")</f>
        <v/>
      </c>
      <c r="I2398">
        <f>IFERROR(IF($B$1=0,"",IF(ISNUMBER(INDEX(貼り付け!$A$1:$BZ$3001,2397,$B$1)),"",SUBSTITUTE(SUBSTITUTE(SUBSTITUTE(SUBSTITUTE(TRIM(LEFT(INDEX(貼り付け!$A$1:$BZ$3001,2397,$B$1)&amp;"",FIND(" ",TRIM(INDEX(貼り付け!$A$1:$BZ$3001,2397,$B$1)&amp;"")&amp;" ")-1)),"/","-"),"年","-"),"月","-"),"日",""))),"")</f>
        <v/>
      </c>
      <c r="J2398">
        <f>IFERROR(MID(I2398,FIND("-",I2398)+1,99),"")</f>
        <v/>
      </c>
    </row>
    <row r="2399">
      <c r="B2399">
        <f>IFERROR(IF($B$1=0,"",IF(INDEX(貼り付け!$A$1:$BZ$3001,2398,$B$1)="","",IF(ISNUMBER(INDEX(貼り付け!$A$1:$BZ$3001,2398,$B$1)),INT(INDEX(貼り付け!$A$1:$BZ$3001,2398,$B$1)),DATE(VALUE(LEFT(I2399,FIND("-",I2399)-1)),VALUE(LEFT(J2399,FIND("-",J2399)-1)),VALUE(MID(J2399,FIND("-",J2399)+1,99)))))),"")</f>
        <v/>
      </c>
      <c r="C2399">
        <f>IF($C$1=0,0,IFERROR(VALUE(SUBSTITUTE(SUBSTITUTE(SUBSTITUTE(INDEX(貼り付け!$A$1:$BZ$3001,2398,$C$1)&amp;"",",",""),"¥",""),"￥","")),0))</f>
        <v/>
      </c>
      <c r="D2399">
        <f>IF($D$1=0,0,IFERROR(VALUE(SUBSTITUTE(SUBSTITUTE(SUBSTITUTE(INDEX(貼り付け!$A$1:$BZ$3001,2398,$D$1)&amp;"",",",""),"¥",""),"￥","")),0))</f>
        <v/>
      </c>
      <c r="E2399">
        <f>IF($E$1=0,0,IFERROR(VALUE(SUBSTITUTE(SUBSTITUTE(SUBSTITUTE(INDEX(貼り付け!$A$1:$BZ$3001,2398,$E$1)&amp;"",",",""),"¥",""),"￥","")),0))</f>
        <v/>
      </c>
      <c r="F2399">
        <f>IF($F$1=0,0,IFERROR(VALUE(SUBSTITUTE(SUBSTITUTE(SUBSTITUTE(INDEX(貼り付け!$A$1:$BZ$3001,2398,$F$1)&amp;"",",",""),"¥",""),"￥","")),0))</f>
        <v/>
      </c>
      <c r="G2399">
        <f>IF(ISNUMBER(B2399),YEAR(B2399),"")</f>
        <v/>
      </c>
      <c r="H2399">
        <f>IF(ISNUMBER(B2399),MONTH(B2399),"")</f>
        <v/>
      </c>
      <c r="I2399">
        <f>IFERROR(IF($B$1=0,"",IF(ISNUMBER(INDEX(貼り付け!$A$1:$BZ$3001,2398,$B$1)),"",SUBSTITUTE(SUBSTITUTE(SUBSTITUTE(SUBSTITUTE(TRIM(LEFT(INDEX(貼り付け!$A$1:$BZ$3001,2398,$B$1)&amp;"",FIND(" ",TRIM(INDEX(貼り付け!$A$1:$BZ$3001,2398,$B$1)&amp;"")&amp;" ")-1)),"/","-"),"年","-"),"月","-"),"日",""))),"")</f>
        <v/>
      </c>
      <c r="J2399">
        <f>IFERROR(MID(I2399,FIND("-",I2399)+1,99),"")</f>
        <v/>
      </c>
    </row>
    <row r="2400">
      <c r="B2400">
        <f>IFERROR(IF($B$1=0,"",IF(INDEX(貼り付け!$A$1:$BZ$3001,2399,$B$1)="","",IF(ISNUMBER(INDEX(貼り付け!$A$1:$BZ$3001,2399,$B$1)),INT(INDEX(貼り付け!$A$1:$BZ$3001,2399,$B$1)),DATE(VALUE(LEFT(I2400,FIND("-",I2400)-1)),VALUE(LEFT(J2400,FIND("-",J2400)-1)),VALUE(MID(J2400,FIND("-",J2400)+1,99)))))),"")</f>
        <v/>
      </c>
      <c r="C2400">
        <f>IF($C$1=0,0,IFERROR(VALUE(SUBSTITUTE(SUBSTITUTE(SUBSTITUTE(INDEX(貼り付け!$A$1:$BZ$3001,2399,$C$1)&amp;"",",",""),"¥",""),"￥","")),0))</f>
        <v/>
      </c>
      <c r="D2400">
        <f>IF($D$1=0,0,IFERROR(VALUE(SUBSTITUTE(SUBSTITUTE(SUBSTITUTE(INDEX(貼り付け!$A$1:$BZ$3001,2399,$D$1)&amp;"",",",""),"¥",""),"￥","")),0))</f>
        <v/>
      </c>
      <c r="E2400">
        <f>IF($E$1=0,0,IFERROR(VALUE(SUBSTITUTE(SUBSTITUTE(SUBSTITUTE(INDEX(貼り付け!$A$1:$BZ$3001,2399,$E$1)&amp;"",",",""),"¥",""),"￥","")),0))</f>
        <v/>
      </c>
      <c r="F2400">
        <f>IF($F$1=0,0,IFERROR(VALUE(SUBSTITUTE(SUBSTITUTE(SUBSTITUTE(INDEX(貼り付け!$A$1:$BZ$3001,2399,$F$1)&amp;"",",",""),"¥",""),"￥","")),0))</f>
        <v/>
      </c>
      <c r="G2400">
        <f>IF(ISNUMBER(B2400),YEAR(B2400),"")</f>
        <v/>
      </c>
      <c r="H2400">
        <f>IF(ISNUMBER(B2400),MONTH(B2400),"")</f>
        <v/>
      </c>
      <c r="I2400">
        <f>IFERROR(IF($B$1=0,"",IF(ISNUMBER(INDEX(貼り付け!$A$1:$BZ$3001,2399,$B$1)),"",SUBSTITUTE(SUBSTITUTE(SUBSTITUTE(SUBSTITUTE(TRIM(LEFT(INDEX(貼り付け!$A$1:$BZ$3001,2399,$B$1)&amp;"",FIND(" ",TRIM(INDEX(貼り付け!$A$1:$BZ$3001,2399,$B$1)&amp;"")&amp;" ")-1)),"/","-"),"年","-"),"月","-"),"日",""))),"")</f>
        <v/>
      </c>
      <c r="J2400">
        <f>IFERROR(MID(I2400,FIND("-",I2400)+1,99),"")</f>
        <v/>
      </c>
    </row>
    <row r="2401">
      <c r="B2401">
        <f>IFERROR(IF($B$1=0,"",IF(INDEX(貼り付け!$A$1:$BZ$3001,2400,$B$1)="","",IF(ISNUMBER(INDEX(貼り付け!$A$1:$BZ$3001,2400,$B$1)),INT(INDEX(貼り付け!$A$1:$BZ$3001,2400,$B$1)),DATE(VALUE(LEFT(I2401,FIND("-",I2401)-1)),VALUE(LEFT(J2401,FIND("-",J2401)-1)),VALUE(MID(J2401,FIND("-",J2401)+1,99)))))),"")</f>
        <v/>
      </c>
      <c r="C2401">
        <f>IF($C$1=0,0,IFERROR(VALUE(SUBSTITUTE(SUBSTITUTE(SUBSTITUTE(INDEX(貼り付け!$A$1:$BZ$3001,2400,$C$1)&amp;"",",",""),"¥",""),"￥","")),0))</f>
        <v/>
      </c>
      <c r="D2401">
        <f>IF($D$1=0,0,IFERROR(VALUE(SUBSTITUTE(SUBSTITUTE(SUBSTITUTE(INDEX(貼り付け!$A$1:$BZ$3001,2400,$D$1)&amp;"",",",""),"¥",""),"￥","")),0))</f>
        <v/>
      </c>
      <c r="E2401">
        <f>IF($E$1=0,0,IFERROR(VALUE(SUBSTITUTE(SUBSTITUTE(SUBSTITUTE(INDEX(貼り付け!$A$1:$BZ$3001,2400,$E$1)&amp;"",",",""),"¥",""),"￥","")),0))</f>
        <v/>
      </c>
      <c r="F2401">
        <f>IF($F$1=0,0,IFERROR(VALUE(SUBSTITUTE(SUBSTITUTE(SUBSTITUTE(INDEX(貼り付け!$A$1:$BZ$3001,2400,$F$1)&amp;"",",",""),"¥",""),"￥","")),0))</f>
        <v/>
      </c>
      <c r="G2401">
        <f>IF(ISNUMBER(B2401),YEAR(B2401),"")</f>
        <v/>
      </c>
      <c r="H2401">
        <f>IF(ISNUMBER(B2401),MONTH(B2401),"")</f>
        <v/>
      </c>
      <c r="I2401">
        <f>IFERROR(IF($B$1=0,"",IF(ISNUMBER(INDEX(貼り付け!$A$1:$BZ$3001,2400,$B$1)),"",SUBSTITUTE(SUBSTITUTE(SUBSTITUTE(SUBSTITUTE(TRIM(LEFT(INDEX(貼り付け!$A$1:$BZ$3001,2400,$B$1)&amp;"",FIND(" ",TRIM(INDEX(貼り付け!$A$1:$BZ$3001,2400,$B$1)&amp;"")&amp;" ")-1)),"/","-"),"年","-"),"月","-"),"日",""))),"")</f>
        <v/>
      </c>
      <c r="J2401">
        <f>IFERROR(MID(I2401,FIND("-",I2401)+1,99),"")</f>
        <v/>
      </c>
    </row>
    <row r="2402">
      <c r="B2402">
        <f>IFERROR(IF($B$1=0,"",IF(INDEX(貼り付け!$A$1:$BZ$3001,2401,$B$1)="","",IF(ISNUMBER(INDEX(貼り付け!$A$1:$BZ$3001,2401,$B$1)),INT(INDEX(貼り付け!$A$1:$BZ$3001,2401,$B$1)),DATE(VALUE(LEFT(I2402,FIND("-",I2402)-1)),VALUE(LEFT(J2402,FIND("-",J2402)-1)),VALUE(MID(J2402,FIND("-",J2402)+1,99)))))),"")</f>
        <v/>
      </c>
      <c r="C2402">
        <f>IF($C$1=0,0,IFERROR(VALUE(SUBSTITUTE(SUBSTITUTE(SUBSTITUTE(INDEX(貼り付け!$A$1:$BZ$3001,2401,$C$1)&amp;"",",",""),"¥",""),"￥","")),0))</f>
        <v/>
      </c>
      <c r="D2402">
        <f>IF($D$1=0,0,IFERROR(VALUE(SUBSTITUTE(SUBSTITUTE(SUBSTITUTE(INDEX(貼り付け!$A$1:$BZ$3001,2401,$D$1)&amp;"",",",""),"¥",""),"￥","")),0))</f>
        <v/>
      </c>
      <c r="E2402">
        <f>IF($E$1=0,0,IFERROR(VALUE(SUBSTITUTE(SUBSTITUTE(SUBSTITUTE(INDEX(貼り付け!$A$1:$BZ$3001,2401,$E$1)&amp;"",",",""),"¥",""),"￥","")),0))</f>
        <v/>
      </c>
      <c r="F2402">
        <f>IF($F$1=0,0,IFERROR(VALUE(SUBSTITUTE(SUBSTITUTE(SUBSTITUTE(INDEX(貼り付け!$A$1:$BZ$3001,2401,$F$1)&amp;"",",",""),"¥",""),"￥","")),0))</f>
        <v/>
      </c>
      <c r="G2402">
        <f>IF(ISNUMBER(B2402),YEAR(B2402),"")</f>
        <v/>
      </c>
      <c r="H2402">
        <f>IF(ISNUMBER(B2402),MONTH(B2402),"")</f>
        <v/>
      </c>
      <c r="I2402">
        <f>IFERROR(IF($B$1=0,"",IF(ISNUMBER(INDEX(貼り付け!$A$1:$BZ$3001,2401,$B$1)),"",SUBSTITUTE(SUBSTITUTE(SUBSTITUTE(SUBSTITUTE(TRIM(LEFT(INDEX(貼り付け!$A$1:$BZ$3001,2401,$B$1)&amp;"",FIND(" ",TRIM(INDEX(貼り付け!$A$1:$BZ$3001,2401,$B$1)&amp;"")&amp;" ")-1)),"/","-"),"年","-"),"月","-"),"日",""))),"")</f>
        <v/>
      </c>
      <c r="J2402">
        <f>IFERROR(MID(I2402,FIND("-",I2402)+1,99),"")</f>
        <v/>
      </c>
    </row>
    <row r="2403">
      <c r="B2403">
        <f>IFERROR(IF($B$1=0,"",IF(INDEX(貼り付け!$A$1:$BZ$3001,2402,$B$1)="","",IF(ISNUMBER(INDEX(貼り付け!$A$1:$BZ$3001,2402,$B$1)),INT(INDEX(貼り付け!$A$1:$BZ$3001,2402,$B$1)),DATE(VALUE(LEFT(I2403,FIND("-",I2403)-1)),VALUE(LEFT(J2403,FIND("-",J2403)-1)),VALUE(MID(J2403,FIND("-",J2403)+1,99)))))),"")</f>
        <v/>
      </c>
      <c r="C2403">
        <f>IF($C$1=0,0,IFERROR(VALUE(SUBSTITUTE(SUBSTITUTE(SUBSTITUTE(INDEX(貼り付け!$A$1:$BZ$3001,2402,$C$1)&amp;"",",",""),"¥",""),"￥","")),0))</f>
        <v/>
      </c>
      <c r="D2403">
        <f>IF($D$1=0,0,IFERROR(VALUE(SUBSTITUTE(SUBSTITUTE(SUBSTITUTE(INDEX(貼り付け!$A$1:$BZ$3001,2402,$D$1)&amp;"",",",""),"¥",""),"￥","")),0))</f>
        <v/>
      </c>
      <c r="E2403">
        <f>IF($E$1=0,0,IFERROR(VALUE(SUBSTITUTE(SUBSTITUTE(SUBSTITUTE(INDEX(貼り付け!$A$1:$BZ$3001,2402,$E$1)&amp;"",",",""),"¥",""),"￥","")),0))</f>
        <v/>
      </c>
      <c r="F2403">
        <f>IF($F$1=0,0,IFERROR(VALUE(SUBSTITUTE(SUBSTITUTE(SUBSTITUTE(INDEX(貼り付け!$A$1:$BZ$3001,2402,$F$1)&amp;"",",",""),"¥",""),"￥","")),0))</f>
        <v/>
      </c>
      <c r="G2403">
        <f>IF(ISNUMBER(B2403),YEAR(B2403),"")</f>
        <v/>
      </c>
      <c r="H2403">
        <f>IF(ISNUMBER(B2403),MONTH(B2403),"")</f>
        <v/>
      </c>
      <c r="I2403">
        <f>IFERROR(IF($B$1=0,"",IF(ISNUMBER(INDEX(貼り付け!$A$1:$BZ$3001,2402,$B$1)),"",SUBSTITUTE(SUBSTITUTE(SUBSTITUTE(SUBSTITUTE(TRIM(LEFT(INDEX(貼り付け!$A$1:$BZ$3001,2402,$B$1)&amp;"",FIND(" ",TRIM(INDEX(貼り付け!$A$1:$BZ$3001,2402,$B$1)&amp;"")&amp;" ")-1)),"/","-"),"年","-"),"月","-"),"日",""))),"")</f>
        <v/>
      </c>
      <c r="J2403">
        <f>IFERROR(MID(I2403,FIND("-",I2403)+1,99),"")</f>
        <v/>
      </c>
    </row>
    <row r="2404">
      <c r="B2404">
        <f>IFERROR(IF($B$1=0,"",IF(INDEX(貼り付け!$A$1:$BZ$3001,2403,$B$1)="","",IF(ISNUMBER(INDEX(貼り付け!$A$1:$BZ$3001,2403,$B$1)),INT(INDEX(貼り付け!$A$1:$BZ$3001,2403,$B$1)),DATE(VALUE(LEFT(I2404,FIND("-",I2404)-1)),VALUE(LEFT(J2404,FIND("-",J2404)-1)),VALUE(MID(J2404,FIND("-",J2404)+1,99)))))),"")</f>
        <v/>
      </c>
      <c r="C2404">
        <f>IF($C$1=0,0,IFERROR(VALUE(SUBSTITUTE(SUBSTITUTE(SUBSTITUTE(INDEX(貼り付け!$A$1:$BZ$3001,2403,$C$1)&amp;"",",",""),"¥",""),"￥","")),0))</f>
        <v/>
      </c>
      <c r="D2404">
        <f>IF($D$1=0,0,IFERROR(VALUE(SUBSTITUTE(SUBSTITUTE(SUBSTITUTE(INDEX(貼り付け!$A$1:$BZ$3001,2403,$D$1)&amp;"",",",""),"¥",""),"￥","")),0))</f>
        <v/>
      </c>
      <c r="E2404">
        <f>IF($E$1=0,0,IFERROR(VALUE(SUBSTITUTE(SUBSTITUTE(SUBSTITUTE(INDEX(貼り付け!$A$1:$BZ$3001,2403,$E$1)&amp;"",",",""),"¥",""),"￥","")),0))</f>
        <v/>
      </c>
      <c r="F2404">
        <f>IF($F$1=0,0,IFERROR(VALUE(SUBSTITUTE(SUBSTITUTE(SUBSTITUTE(INDEX(貼り付け!$A$1:$BZ$3001,2403,$F$1)&amp;"",",",""),"¥",""),"￥","")),0))</f>
        <v/>
      </c>
      <c r="G2404">
        <f>IF(ISNUMBER(B2404),YEAR(B2404),"")</f>
        <v/>
      </c>
      <c r="H2404">
        <f>IF(ISNUMBER(B2404),MONTH(B2404),"")</f>
        <v/>
      </c>
      <c r="I2404">
        <f>IFERROR(IF($B$1=0,"",IF(ISNUMBER(INDEX(貼り付け!$A$1:$BZ$3001,2403,$B$1)),"",SUBSTITUTE(SUBSTITUTE(SUBSTITUTE(SUBSTITUTE(TRIM(LEFT(INDEX(貼り付け!$A$1:$BZ$3001,2403,$B$1)&amp;"",FIND(" ",TRIM(INDEX(貼り付け!$A$1:$BZ$3001,2403,$B$1)&amp;"")&amp;" ")-1)),"/","-"),"年","-"),"月","-"),"日",""))),"")</f>
        <v/>
      </c>
      <c r="J2404">
        <f>IFERROR(MID(I2404,FIND("-",I2404)+1,99),"")</f>
        <v/>
      </c>
    </row>
    <row r="2405">
      <c r="B2405">
        <f>IFERROR(IF($B$1=0,"",IF(INDEX(貼り付け!$A$1:$BZ$3001,2404,$B$1)="","",IF(ISNUMBER(INDEX(貼り付け!$A$1:$BZ$3001,2404,$B$1)),INT(INDEX(貼り付け!$A$1:$BZ$3001,2404,$B$1)),DATE(VALUE(LEFT(I2405,FIND("-",I2405)-1)),VALUE(LEFT(J2405,FIND("-",J2405)-1)),VALUE(MID(J2405,FIND("-",J2405)+1,99)))))),"")</f>
        <v/>
      </c>
      <c r="C2405">
        <f>IF($C$1=0,0,IFERROR(VALUE(SUBSTITUTE(SUBSTITUTE(SUBSTITUTE(INDEX(貼り付け!$A$1:$BZ$3001,2404,$C$1)&amp;"",",",""),"¥",""),"￥","")),0))</f>
        <v/>
      </c>
      <c r="D2405">
        <f>IF($D$1=0,0,IFERROR(VALUE(SUBSTITUTE(SUBSTITUTE(SUBSTITUTE(INDEX(貼り付け!$A$1:$BZ$3001,2404,$D$1)&amp;"",",",""),"¥",""),"￥","")),0))</f>
        <v/>
      </c>
      <c r="E2405">
        <f>IF($E$1=0,0,IFERROR(VALUE(SUBSTITUTE(SUBSTITUTE(SUBSTITUTE(INDEX(貼り付け!$A$1:$BZ$3001,2404,$E$1)&amp;"",",",""),"¥",""),"￥","")),0))</f>
        <v/>
      </c>
      <c r="F2405">
        <f>IF($F$1=0,0,IFERROR(VALUE(SUBSTITUTE(SUBSTITUTE(SUBSTITUTE(INDEX(貼り付け!$A$1:$BZ$3001,2404,$F$1)&amp;"",",",""),"¥",""),"￥","")),0))</f>
        <v/>
      </c>
      <c r="G2405">
        <f>IF(ISNUMBER(B2405),YEAR(B2405),"")</f>
        <v/>
      </c>
      <c r="H2405">
        <f>IF(ISNUMBER(B2405),MONTH(B2405),"")</f>
        <v/>
      </c>
      <c r="I2405">
        <f>IFERROR(IF($B$1=0,"",IF(ISNUMBER(INDEX(貼り付け!$A$1:$BZ$3001,2404,$B$1)),"",SUBSTITUTE(SUBSTITUTE(SUBSTITUTE(SUBSTITUTE(TRIM(LEFT(INDEX(貼り付け!$A$1:$BZ$3001,2404,$B$1)&amp;"",FIND(" ",TRIM(INDEX(貼り付け!$A$1:$BZ$3001,2404,$B$1)&amp;"")&amp;" ")-1)),"/","-"),"年","-"),"月","-"),"日",""))),"")</f>
        <v/>
      </c>
      <c r="J2405">
        <f>IFERROR(MID(I2405,FIND("-",I2405)+1,99),"")</f>
        <v/>
      </c>
    </row>
    <row r="2406">
      <c r="B2406">
        <f>IFERROR(IF($B$1=0,"",IF(INDEX(貼り付け!$A$1:$BZ$3001,2405,$B$1)="","",IF(ISNUMBER(INDEX(貼り付け!$A$1:$BZ$3001,2405,$B$1)),INT(INDEX(貼り付け!$A$1:$BZ$3001,2405,$B$1)),DATE(VALUE(LEFT(I2406,FIND("-",I2406)-1)),VALUE(LEFT(J2406,FIND("-",J2406)-1)),VALUE(MID(J2406,FIND("-",J2406)+1,99)))))),"")</f>
        <v/>
      </c>
      <c r="C2406">
        <f>IF($C$1=0,0,IFERROR(VALUE(SUBSTITUTE(SUBSTITUTE(SUBSTITUTE(INDEX(貼り付け!$A$1:$BZ$3001,2405,$C$1)&amp;"",",",""),"¥",""),"￥","")),0))</f>
        <v/>
      </c>
      <c r="D2406">
        <f>IF($D$1=0,0,IFERROR(VALUE(SUBSTITUTE(SUBSTITUTE(SUBSTITUTE(INDEX(貼り付け!$A$1:$BZ$3001,2405,$D$1)&amp;"",",",""),"¥",""),"￥","")),0))</f>
        <v/>
      </c>
      <c r="E2406">
        <f>IF($E$1=0,0,IFERROR(VALUE(SUBSTITUTE(SUBSTITUTE(SUBSTITUTE(INDEX(貼り付け!$A$1:$BZ$3001,2405,$E$1)&amp;"",",",""),"¥",""),"￥","")),0))</f>
        <v/>
      </c>
      <c r="F2406">
        <f>IF($F$1=0,0,IFERROR(VALUE(SUBSTITUTE(SUBSTITUTE(SUBSTITUTE(INDEX(貼り付け!$A$1:$BZ$3001,2405,$F$1)&amp;"",",",""),"¥",""),"￥","")),0))</f>
        <v/>
      </c>
      <c r="G2406">
        <f>IF(ISNUMBER(B2406),YEAR(B2406),"")</f>
        <v/>
      </c>
      <c r="H2406">
        <f>IF(ISNUMBER(B2406),MONTH(B2406),"")</f>
        <v/>
      </c>
      <c r="I2406">
        <f>IFERROR(IF($B$1=0,"",IF(ISNUMBER(INDEX(貼り付け!$A$1:$BZ$3001,2405,$B$1)),"",SUBSTITUTE(SUBSTITUTE(SUBSTITUTE(SUBSTITUTE(TRIM(LEFT(INDEX(貼り付け!$A$1:$BZ$3001,2405,$B$1)&amp;"",FIND(" ",TRIM(INDEX(貼り付け!$A$1:$BZ$3001,2405,$B$1)&amp;"")&amp;" ")-1)),"/","-"),"年","-"),"月","-"),"日",""))),"")</f>
        <v/>
      </c>
      <c r="J2406">
        <f>IFERROR(MID(I2406,FIND("-",I2406)+1,99),"")</f>
        <v/>
      </c>
    </row>
    <row r="2407">
      <c r="B2407">
        <f>IFERROR(IF($B$1=0,"",IF(INDEX(貼り付け!$A$1:$BZ$3001,2406,$B$1)="","",IF(ISNUMBER(INDEX(貼り付け!$A$1:$BZ$3001,2406,$B$1)),INT(INDEX(貼り付け!$A$1:$BZ$3001,2406,$B$1)),DATE(VALUE(LEFT(I2407,FIND("-",I2407)-1)),VALUE(LEFT(J2407,FIND("-",J2407)-1)),VALUE(MID(J2407,FIND("-",J2407)+1,99)))))),"")</f>
        <v/>
      </c>
      <c r="C2407">
        <f>IF($C$1=0,0,IFERROR(VALUE(SUBSTITUTE(SUBSTITUTE(SUBSTITUTE(INDEX(貼り付け!$A$1:$BZ$3001,2406,$C$1)&amp;"",",",""),"¥",""),"￥","")),0))</f>
        <v/>
      </c>
      <c r="D2407">
        <f>IF($D$1=0,0,IFERROR(VALUE(SUBSTITUTE(SUBSTITUTE(SUBSTITUTE(INDEX(貼り付け!$A$1:$BZ$3001,2406,$D$1)&amp;"",",",""),"¥",""),"￥","")),0))</f>
        <v/>
      </c>
      <c r="E2407">
        <f>IF($E$1=0,0,IFERROR(VALUE(SUBSTITUTE(SUBSTITUTE(SUBSTITUTE(INDEX(貼り付け!$A$1:$BZ$3001,2406,$E$1)&amp;"",",",""),"¥",""),"￥","")),0))</f>
        <v/>
      </c>
      <c r="F2407">
        <f>IF($F$1=0,0,IFERROR(VALUE(SUBSTITUTE(SUBSTITUTE(SUBSTITUTE(INDEX(貼り付け!$A$1:$BZ$3001,2406,$F$1)&amp;"",",",""),"¥",""),"￥","")),0))</f>
        <v/>
      </c>
      <c r="G2407">
        <f>IF(ISNUMBER(B2407),YEAR(B2407),"")</f>
        <v/>
      </c>
      <c r="H2407">
        <f>IF(ISNUMBER(B2407),MONTH(B2407),"")</f>
        <v/>
      </c>
      <c r="I2407">
        <f>IFERROR(IF($B$1=0,"",IF(ISNUMBER(INDEX(貼り付け!$A$1:$BZ$3001,2406,$B$1)),"",SUBSTITUTE(SUBSTITUTE(SUBSTITUTE(SUBSTITUTE(TRIM(LEFT(INDEX(貼り付け!$A$1:$BZ$3001,2406,$B$1)&amp;"",FIND(" ",TRIM(INDEX(貼り付け!$A$1:$BZ$3001,2406,$B$1)&amp;"")&amp;" ")-1)),"/","-"),"年","-"),"月","-"),"日",""))),"")</f>
        <v/>
      </c>
      <c r="J2407">
        <f>IFERROR(MID(I2407,FIND("-",I2407)+1,99),"")</f>
        <v/>
      </c>
    </row>
    <row r="2408">
      <c r="B2408">
        <f>IFERROR(IF($B$1=0,"",IF(INDEX(貼り付け!$A$1:$BZ$3001,2407,$B$1)="","",IF(ISNUMBER(INDEX(貼り付け!$A$1:$BZ$3001,2407,$B$1)),INT(INDEX(貼り付け!$A$1:$BZ$3001,2407,$B$1)),DATE(VALUE(LEFT(I2408,FIND("-",I2408)-1)),VALUE(LEFT(J2408,FIND("-",J2408)-1)),VALUE(MID(J2408,FIND("-",J2408)+1,99)))))),"")</f>
        <v/>
      </c>
      <c r="C2408">
        <f>IF($C$1=0,0,IFERROR(VALUE(SUBSTITUTE(SUBSTITUTE(SUBSTITUTE(INDEX(貼り付け!$A$1:$BZ$3001,2407,$C$1)&amp;"",",",""),"¥",""),"￥","")),0))</f>
        <v/>
      </c>
      <c r="D2408">
        <f>IF($D$1=0,0,IFERROR(VALUE(SUBSTITUTE(SUBSTITUTE(SUBSTITUTE(INDEX(貼り付け!$A$1:$BZ$3001,2407,$D$1)&amp;"",",",""),"¥",""),"￥","")),0))</f>
        <v/>
      </c>
      <c r="E2408">
        <f>IF($E$1=0,0,IFERROR(VALUE(SUBSTITUTE(SUBSTITUTE(SUBSTITUTE(INDEX(貼り付け!$A$1:$BZ$3001,2407,$E$1)&amp;"",",",""),"¥",""),"￥","")),0))</f>
        <v/>
      </c>
      <c r="F2408">
        <f>IF($F$1=0,0,IFERROR(VALUE(SUBSTITUTE(SUBSTITUTE(SUBSTITUTE(INDEX(貼り付け!$A$1:$BZ$3001,2407,$F$1)&amp;"",",",""),"¥",""),"￥","")),0))</f>
        <v/>
      </c>
      <c r="G2408">
        <f>IF(ISNUMBER(B2408),YEAR(B2408),"")</f>
        <v/>
      </c>
      <c r="H2408">
        <f>IF(ISNUMBER(B2408),MONTH(B2408),"")</f>
        <v/>
      </c>
      <c r="I2408">
        <f>IFERROR(IF($B$1=0,"",IF(ISNUMBER(INDEX(貼り付け!$A$1:$BZ$3001,2407,$B$1)),"",SUBSTITUTE(SUBSTITUTE(SUBSTITUTE(SUBSTITUTE(TRIM(LEFT(INDEX(貼り付け!$A$1:$BZ$3001,2407,$B$1)&amp;"",FIND(" ",TRIM(INDEX(貼り付け!$A$1:$BZ$3001,2407,$B$1)&amp;"")&amp;" ")-1)),"/","-"),"年","-"),"月","-"),"日",""))),"")</f>
        <v/>
      </c>
      <c r="J2408">
        <f>IFERROR(MID(I2408,FIND("-",I2408)+1,99),"")</f>
        <v/>
      </c>
    </row>
    <row r="2409">
      <c r="B2409">
        <f>IFERROR(IF($B$1=0,"",IF(INDEX(貼り付け!$A$1:$BZ$3001,2408,$B$1)="","",IF(ISNUMBER(INDEX(貼り付け!$A$1:$BZ$3001,2408,$B$1)),INT(INDEX(貼り付け!$A$1:$BZ$3001,2408,$B$1)),DATE(VALUE(LEFT(I2409,FIND("-",I2409)-1)),VALUE(LEFT(J2409,FIND("-",J2409)-1)),VALUE(MID(J2409,FIND("-",J2409)+1,99)))))),"")</f>
        <v/>
      </c>
      <c r="C2409">
        <f>IF($C$1=0,0,IFERROR(VALUE(SUBSTITUTE(SUBSTITUTE(SUBSTITUTE(INDEX(貼り付け!$A$1:$BZ$3001,2408,$C$1)&amp;"",",",""),"¥",""),"￥","")),0))</f>
        <v/>
      </c>
      <c r="D2409">
        <f>IF($D$1=0,0,IFERROR(VALUE(SUBSTITUTE(SUBSTITUTE(SUBSTITUTE(INDEX(貼り付け!$A$1:$BZ$3001,2408,$D$1)&amp;"",",",""),"¥",""),"￥","")),0))</f>
        <v/>
      </c>
      <c r="E2409">
        <f>IF($E$1=0,0,IFERROR(VALUE(SUBSTITUTE(SUBSTITUTE(SUBSTITUTE(INDEX(貼り付け!$A$1:$BZ$3001,2408,$E$1)&amp;"",",",""),"¥",""),"￥","")),0))</f>
        <v/>
      </c>
      <c r="F2409">
        <f>IF($F$1=0,0,IFERROR(VALUE(SUBSTITUTE(SUBSTITUTE(SUBSTITUTE(INDEX(貼り付け!$A$1:$BZ$3001,2408,$F$1)&amp;"",",",""),"¥",""),"￥","")),0))</f>
        <v/>
      </c>
      <c r="G2409">
        <f>IF(ISNUMBER(B2409),YEAR(B2409),"")</f>
        <v/>
      </c>
      <c r="H2409">
        <f>IF(ISNUMBER(B2409),MONTH(B2409),"")</f>
        <v/>
      </c>
      <c r="I2409">
        <f>IFERROR(IF($B$1=0,"",IF(ISNUMBER(INDEX(貼り付け!$A$1:$BZ$3001,2408,$B$1)),"",SUBSTITUTE(SUBSTITUTE(SUBSTITUTE(SUBSTITUTE(TRIM(LEFT(INDEX(貼り付け!$A$1:$BZ$3001,2408,$B$1)&amp;"",FIND(" ",TRIM(INDEX(貼り付け!$A$1:$BZ$3001,2408,$B$1)&amp;"")&amp;" ")-1)),"/","-"),"年","-"),"月","-"),"日",""))),"")</f>
        <v/>
      </c>
      <c r="J2409">
        <f>IFERROR(MID(I2409,FIND("-",I2409)+1,99),"")</f>
        <v/>
      </c>
    </row>
    <row r="2410">
      <c r="B2410">
        <f>IFERROR(IF($B$1=0,"",IF(INDEX(貼り付け!$A$1:$BZ$3001,2409,$B$1)="","",IF(ISNUMBER(INDEX(貼り付け!$A$1:$BZ$3001,2409,$B$1)),INT(INDEX(貼り付け!$A$1:$BZ$3001,2409,$B$1)),DATE(VALUE(LEFT(I2410,FIND("-",I2410)-1)),VALUE(LEFT(J2410,FIND("-",J2410)-1)),VALUE(MID(J2410,FIND("-",J2410)+1,99)))))),"")</f>
        <v/>
      </c>
      <c r="C2410">
        <f>IF($C$1=0,0,IFERROR(VALUE(SUBSTITUTE(SUBSTITUTE(SUBSTITUTE(INDEX(貼り付け!$A$1:$BZ$3001,2409,$C$1)&amp;"",",",""),"¥",""),"￥","")),0))</f>
        <v/>
      </c>
      <c r="D2410">
        <f>IF($D$1=0,0,IFERROR(VALUE(SUBSTITUTE(SUBSTITUTE(SUBSTITUTE(INDEX(貼り付け!$A$1:$BZ$3001,2409,$D$1)&amp;"",",",""),"¥",""),"￥","")),0))</f>
        <v/>
      </c>
      <c r="E2410">
        <f>IF($E$1=0,0,IFERROR(VALUE(SUBSTITUTE(SUBSTITUTE(SUBSTITUTE(INDEX(貼り付け!$A$1:$BZ$3001,2409,$E$1)&amp;"",",",""),"¥",""),"￥","")),0))</f>
        <v/>
      </c>
      <c r="F2410">
        <f>IF($F$1=0,0,IFERROR(VALUE(SUBSTITUTE(SUBSTITUTE(SUBSTITUTE(INDEX(貼り付け!$A$1:$BZ$3001,2409,$F$1)&amp;"",",",""),"¥",""),"￥","")),0))</f>
        <v/>
      </c>
      <c r="G2410">
        <f>IF(ISNUMBER(B2410),YEAR(B2410),"")</f>
        <v/>
      </c>
      <c r="H2410">
        <f>IF(ISNUMBER(B2410),MONTH(B2410),"")</f>
        <v/>
      </c>
      <c r="I2410">
        <f>IFERROR(IF($B$1=0,"",IF(ISNUMBER(INDEX(貼り付け!$A$1:$BZ$3001,2409,$B$1)),"",SUBSTITUTE(SUBSTITUTE(SUBSTITUTE(SUBSTITUTE(TRIM(LEFT(INDEX(貼り付け!$A$1:$BZ$3001,2409,$B$1)&amp;"",FIND(" ",TRIM(INDEX(貼り付け!$A$1:$BZ$3001,2409,$B$1)&amp;"")&amp;" ")-1)),"/","-"),"年","-"),"月","-"),"日",""))),"")</f>
        <v/>
      </c>
      <c r="J2410">
        <f>IFERROR(MID(I2410,FIND("-",I2410)+1,99),"")</f>
        <v/>
      </c>
    </row>
    <row r="2411">
      <c r="B2411">
        <f>IFERROR(IF($B$1=0,"",IF(INDEX(貼り付け!$A$1:$BZ$3001,2410,$B$1)="","",IF(ISNUMBER(INDEX(貼り付け!$A$1:$BZ$3001,2410,$B$1)),INT(INDEX(貼り付け!$A$1:$BZ$3001,2410,$B$1)),DATE(VALUE(LEFT(I2411,FIND("-",I2411)-1)),VALUE(LEFT(J2411,FIND("-",J2411)-1)),VALUE(MID(J2411,FIND("-",J2411)+1,99)))))),"")</f>
        <v/>
      </c>
      <c r="C2411">
        <f>IF($C$1=0,0,IFERROR(VALUE(SUBSTITUTE(SUBSTITUTE(SUBSTITUTE(INDEX(貼り付け!$A$1:$BZ$3001,2410,$C$1)&amp;"",",",""),"¥",""),"￥","")),0))</f>
        <v/>
      </c>
      <c r="D2411">
        <f>IF($D$1=0,0,IFERROR(VALUE(SUBSTITUTE(SUBSTITUTE(SUBSTITUTE(INDEX(貼り付け!$A$1:$BZ$3001,2410,$D$1)&amp;"",",",""),"¥",""),"￥","")),0))</f>
        <v/>
      </c>
      <c r="E2411">
        <f>IF($E$1=0,0,IFERROR(VALUE(SUBSTITUTE(SUBSTITUTE(SUBSTITUTE(INDEX(貼り付け!$A$1:$BZ$3001,2410,$E$1)&amp;"",",",""),"¥",""),"￥","")),0))</f>
        <v/>
      </c>
      <c r="F2411">
        <f>IF($F$1=0,0,IFERROR(VALUE(SUBSTITUTE(SUBSTITUTE(SUBSTITUTE(INDEX(貼り付け!$A$1:$BZ$3001,2410,$F$1)&amp;"",",",""),"¥",""),"￥","")),0))</f>
        <v/>
      </c>
      <c r="G2411">
        <f>IF(ISNUMBER(B2411),YEAR(B2411),"")</f>
        <v/>
      </c>
      <c r="H2411">
        <f>IF(ISNUMBER(B2411),MONTH(B2411),"")</f>
        <v/>
      </c>
      <c r="I2411">
        <f>IFERROR(IF($B$1=0,"",IF(ISNUMBER(INDEX(貼り付け!$A$1:$BZ$3001,2410,$B$1)),"",SUBSTITUTE(SUBSTITUTE(SUBSTITUTE(SUBSTITUTE(TRIM(LEFT(INDEX(貼り付け!$A$1:$BZ$3001,2410,$B$1)&amp;"",FIND(" ",TRIM(INDEX(貼り付け!$A$1:$BZ$3001,2410,$B$1)&amp;"")&amp;" ")-1)),"/","-"),"年","-"),"月","-"),"日",""))),"")</f>
        <v/>
      </c>
      <c r="J2411">
        <f>IFERROR(MID(I2411,FIND("-",I2411)+1,99),"")</f>
        <v/>
      </c>
    </row>
    <row r="2412">
      <c r="B2412">
        <f>IFERROR(IF($B$1=0,"",IF(INDEX(貼り付け!$A$1:$BZ$3001,2411,$B$1)="","",IF(ISNUMBER(INDEX(貼り付け!$A$1:$BZ$3001,2411,$B$1)),INT(INDEX(貼り付け!$A$1:$BZ$3001,2411,$B$1)),DATE(VALUE(LEFT(I2412,FIND("-",I2412)-1)),VALUE(LEFT(J2412,FIND("-",J2412)-1)),VALUE(MID(J2412,FIND("-",J2412)+1,99)))))),"")</f>
        <v/>
      </c>
      <c r="C2412">
        <f>IF($C$1=0,0,IFERROR(VALUE(SUBSTITUTE(SUBSTITUTE(SUBSTITUTE(INDEX(貼り付け!$A$1:$BZ$3001,2411,$C$1)&amp;"",",",""),"¥",""),"￥","")),0))</f>
        <v/>
      </c>
      <c r="D2412">
        <f>IF($D$1=0,0,IFERROR(VALUE(SUBSTITUTE(SUBSTITUTE(SUBSTITUTE(INDEX(貼り付け!$A$1:$BZ$3001,2411,$D$1)&amp;"",",",""),"¥",""),"￥","")),0))</f>
        <v/>
      </c>
      <c r="E2412">
        <f>IF($E$1=0,0,IFERROR(VALUE(SUBSTITUTE(SUBSTITUTE(SUBSTITUTE(INDEX(貼り付け!$A$1:$BZ$3001,2411,$E$1)&amp;"",",",""),"¥",""),"￥","")),0))</f>
        <v/>
      </c>
      <c r="F2412">
        <f>IF($F$1=0,0,IFERROR(VALUE(SUBSTITUTE(SUBSTITUTE(SUBSTITUTE(INDEX(貼り付け!$A$1:$BZ$3001,2411,$F$1)&amp;"",",",""),"¥",""),"￥","")),0))</f>
        <v/>
      </c>
      <c r="G2412">
        <f>IF(ISNUMBER(B2412),YEAR(B2412),"")</f>
        <v/>
      </c>
      <c r="H2412">
        <f>IF(ISNUMBER(B2412),MONTH(B2412),"")</f>
        <v/>
      </c>
      <c r="I2412">
        <f>IFERROR(IF($B$1=0,"",IF(ISNUMBER(INDEX(貼り付け!$A$1:$BZ$3001,2411,$B$1)),"",SUBSTITUTE(SUBSTITUTE(SUBSTITUTE(SUBSTITUTE(TRIM(LEFT(INDEX(貼り付け!$A$1:$BZ$3001,2411,$B$1)&amp;"",FIND(" ",TRIM(INDEX(貼り付け!$A$1:$BZ$3001,2411,$B$1)&amp;"")&amp;" ")-1)),"/","-"),"年","-"),"月","-"),"日",""))),"")</f>
        <v/>
      </c>
      <c r="J2412">
        <f>IFERROR(MID(I2412,FIND("-",I2412)+1,99),"")</f>
        <v/>
      </c>
    </row>
    <row r="2413">
      <c r="B2413">
        <f>IFERROR(IF($B$1=0,"",IF(INDEX(貼り付け!$A$1:$BZ$3001,2412,$B$1)="","",IF(ISNUMBER(INDEX(貼り付け!$A$1:$BZ$3001,2412,$B$1)),INT(INDEX(貼り付け!$A$1:$BZ$3001,2412,$B$1)),DATE(VALUE(LEFT(I2413,FIND("-",I2413)-1)),VALUE(LEFT(J2413,FIND("-",J2413)-1)),VALUE(MID(J2413,FIND("-",J2413)+1,99)))))),"")</f>
        <v/>
      </c>
      <c r="C2413">
        <f>IF($C$1=0,0,IFERROR(VALUE(SUBSTITUTE(SUBSTITUTE(SUBSTITUTE(INDEX(貼り付け!$A$1:$BZ$3001,2412,$C$1)&amp;"",",",""),"¥",""),"￥","")),0))</f>
        <v/>
      </c>
      <c r="D2413">
        <f>IF($D$1=0,0,IFERROR(VALUE(SUBSTITUTE(SUBSTITUTE(SUBSTITUTE(INDEX(貼り付け!$A$1:$BZ$3001,2412,$D$1)&amp;"",",",""),"¥",""),"￥","")),0))</f>
        <v/>
      </c>
      <c r="E2413">
        <f>IF($E$1=0,0,IFERROR(VALUE(SUBSTITUTE(SUBSTITUTE(SUBSTITUTE(INDEX(貼り付け!$A$1:$BZ$3001,2412,$E$1)&amp;"",",",""),"¥",""),"￥","")),0))</f>
        <v/>
      </c>
      <c r="F2413">
        <f>IF($F$1=0,0,IFERROR(VALUE(SUBSTITUTE(SUBSTITUTE(SUBSTITUTE(INDEX(貼り付け!$A$1:$BZ$3001,2412,$F$1)&amp;"",",",""),"¥",""),"￥","")),0))</f>
        <v/>
      </c>
      <c r="G2413">
        <f>IF(ISNUMBER(B2413),YEAR(B2413),"")</f>
        <v/>
      </c>
      <c r="H2413">
        <f>IF(ISNUMBER(B2413),MONTH(B2413),"")</f>
        <v/>
      </c>
      <c r="I2413">
        <f>IFERROR(IF($B$1=0,"",IF(ISNUMBER(INDEX(貼り付け!$A$1:$BZ$3001,2412,$B$1)),"",SUBSTITUTE(SUBSTITUTE(SUBSTITUTE(SUBSTITUTE(TRIM(LEFT(INDEX(貼り付け!$A$1:$BZ$3001,2412,$B$1)&amp;"",FIND(" ",TRIM(INDEX(貼り付け!$A$1:$BZ$3001,2412,$B$1)&amp;"")&amp;" ")-1)),"/","-"),"年","-"),"月","-"),"日",""))),"")</f>
        <v/>
      </c>
      <c r="J2413">
        <f>IFERROR(MID(I2413,FIND("-",I2413)+1,99),"")</f>
        <v/>
      </c>
    </row>
    <row r="2414">
      <c r="B2414">
        <f>IFERROR(IF($B$1=0,"",IF(INDEX(貼り付け!$A$1:$BZ$3001,2413,$B$1)="","",IF(ISNUMBER(INDEX(貼り付け!$A$1:$BZ$3001,2413,$B$1)),INT(INDEX(貼り付け!$A$1:$BZ$3001,2413,$B$1)),DATE(VALUE(LEFT(I2414,FIND("-",I2414)-1)),VALUE(LEFT(J2414,FIND("-",J2414)-1)),VALUE(MID(J2414,FIND("-",J2414)+1,99)))))),"")</f>
        <v/>
      </c>
      <c r="C2414">
        <f>IF($C$1=0,0,IFERROR(VALUE(SUBSTITUTE(SUBSTITUTE(SUBSTITUTE(INDEX(貼り付け!$A$1:$BZ$3001,2413,$C$1)&amp;"",",",""),"¥",""),"￥","")),0))</f>
        <v/>
      </c>
      <c r="D2414">
        <f>IF($D$1=0,0,IFERROR(VALUE(SUBSTITUTE(SUBSTITUTE(SUBSTITUTE(INDEX(貼り付け!$A$1:$BZ$3001,2413,$D$1)&amp;"",",",""),"¥",""),"￥","")),0))</f>
        <v/>
      </c>
      <c r="E2414">
        <f>IF($E$1=0,0,IFERROR(VALUE(SUBSTITUTE(SUBSTITUTE(SUBSTITUTE(INDEX(貼り付け!$A$1:$BZ$3001,2413,$E$1)&amp;"",",",""),"¥",""),"￥","")),0))</f>
        <v/>
      </c>
      <c r="F2414">
        <f>IF($F$1=0,0,IFERROR(VALUE(SUBSTITUTE(SUBSTITUTE(SUBSTITUTE(INDEX(貼り付け!$A$1:$BZ$3001,2413,$F$1)&amp;"",",",""),"¥",""),"￥","")),0))</f>
        <v/>
      </c>
      <c r="G2414">
        <f>IF(ISNUMBER(B2414),YEAR(B2414),"")</f>
        <v/>
      </c>
      <c r="H2414">
        <f>IF(ISNUMBER(B2414),MONTH(B2414),"")</f>
        <v/>
      </c>
      <c r="I2414">
        <f>IFERROR(IF($B$1=0,"",IF(ISNUMBER(INDEX(貼り付け!$A$1:$BZ$3001,2413,$B$1)),"",SUBSTITUTE(SUBSTITUTE(SUBSTITUTE(SUBSTITUTE(TRIM(LEFT(INDEX(貼り付け!$A$1:$BZ$3001,2413,$B$1)&amp;"",FIND(" ",TRIM(INDEX(貼り付け!$A$1:$BZ$3001,2413,$B$1)&amp;"")&amp;" ")-1)),"/","-"),"年","-"),"月","-"),"日",""))),"")</f>
        <v/>
      </c>
      <c r="J2414">
        <f>IFERROR(MID(I2414,FIND("-",I2414)+1,99),"")</f>
        <v/>
      </c>
    </row>
    <row r="2415">
      <c r="B2415">
        <f>IFERROR(IF($B$1=0,"",IF(INDEX(貼り付け!$A$1:$BZ$3001,2414,$B$1)="","",IF(ISNUMBER(INDEX(貼り付け!$A$1:$BZ$3001,2414,$B$1)),INT(INDEX(貼り付け!$A$1:$BZ$3001,2414,$B$1)),DATE(VALUE(LEFT(I2415,FIND("-",I2415)-1)),VALUE(LEFT(J2415,FIND("-",J2415)-1)),VALUE(MID(J2415,FIND("-",J2415)+1,99)))))),"")</f>
        <v/>
      </c>
      <c r="C2415">
        <f>IF($C$1=0,0,IFERROR(VALUE(SUBSTITUTE(SUBSTITUTE(SUBSTITUTE(INDEX(貼り付け!$A$1:$BZ$3001,2414,$C$1)&amp;"",",",""),"¥",""),"￥","")),0))</f>
        <v/>
      </c>
      <c r="D2415">
        <f>IF($D$1=0,0,IFERROR(VALUE(SUBSTITUTE(SUBSTITUTE(SUBSTITUTE(INDEX(貼り付け!$A$1:$BZ$3001,2414,$D$1)&amp;"",",",""),"¥",""),"￥","")),0))</f>
        <v/>
      </c>
      <c r="E2415">
        <f>IF($E$1=0,0,IFERROR(VALUE(SUBSTITUTE(SUBSTITUTE(SUBSTITUTE(INDEX(貼り付け!$A$1:$BZ$3001,2414,$E$1)&amp;"",",",""),"¥",""),"￥","")),0))</f>
        <v/>
      </c>
      <c r="F2415">
        <f>IF($F$1=0,0,IFERROR(VALUE(SUBSTITUTE(SUBSTITUTE(SUBSTITUTE(INDEX(貼り付け!$A$1:$BZ$3001,2414,$F$1)&amp;"",",",""),"¥",""),"￥","")),0))</f>
        <v/>
      </c>
      <c r="G2415">
        <f>IF(ISNUMBER(B2415),YEAR(B2415),"")</f>
        <v/>
      </c>
      <c r="H2415">
        <f>IF(ISNUMBER(B2415),MONTH(B2415),"")</f>
        <v/>
      </c>
      <c r="I2415">
        <f>IFERROR(IF($B$1=0,"",IF(ISNUMBER(INDEX(貼り付け!$A$1:$BZ$3001,2414,$B$1)),"",SUBSTITUTE(SUBSTITUTE(SUBSTITUTE(SUBSTITUTE(TRIM(LEFT(INDEX(貼り付け!$A$1:$BZ$3001,2414,$B$1)&amp;"",FIND(" ",TRIM(INDEX(貼り付け!$A$1:$BZ$3001,2414,$B$1)&amp;"")&amp;" ")-1)),"/","-"),"年","-"),"月","-"),"日",""))),"")</f>
        <v/>
      </c>
      <c r="J2415">
        <f>IFERROR(MID(I2415,FIND("-",I2415)+1,99),"")</f>
        <v/>
      </c>
    </row>
    <row r="2416">
      <c r="B2416">
        <f>IFERROR(IF($B$1=0,"",IF(INDEX(貼り付け!$A$1:$BZ$3001,2415,$B$1)="","",IF(ISNUMBER(INDEX(貼り付け!$A$1:$BZ$3001,2415,$B$1)),INT(INDEX(貼り付け!$A$1:$BZ$3001,2415,$B$1)),DATE(VALUE(LEFT(I2416,FIND("-",I2416)-1)),VALUE(LEFT(J2416,FIND("-",J2416)-1)),VALUE(MID(J2416,FIND("-",J2416)+1,99)))))),"")</f>
        <v/>
      </c>
      <c r="C2416">
        <f>IF($C$1=0,0,IFERROR(VALUE(SUBSTITUTE(SUBSTITUTE(SUBSTITUTE(INDEX(貼り付け!$A$1:$BZ$3001,2415,$C$1)&amp;"",",",""),"¥",""),"￥","")),0))</f>
        <v/>
      </c>
      <c r="D2416">
        <f>IF($D$1=0,0,IFERROR(VALUE(SUBSTITUTE(SUBSTITUTE(SUBSTITUTE(INDEX(貼り付け!$A$1:$BZ$3001,2415,$D$1)&amp;"",",",""),"¥",""),"￥","")),0))</f>
        <v/>
      </c>
      <c r="E2416">
        <f>IF($E$1=0,0,IFERROR(VALUE(SUBSTITUTE(SUBSTITUTE(SUBSTITUTE(INDEX(貼り付け!$A$1:$BZ$3001,2415,$E$1)&amp;"",",",""),"¥",""),"￥","")),0))</f>
        <v/>
      </c>
      <c r="F2416">
        <f>IF($F$1=0,0,IFERROR(VALUE(SUBSTITUTE(SUBSTITUTE(SUBSTITUTE(INDEX(貼り付け!$A$1:$BZ$3001,2415,$F$1)&amp;"",",",""),"¥",""),"￥","")),0))</f>
        <v/>
      </c>
      <c r="G2416">
        <f>IF(ISNUMBER(B2416),YEAR(B2416),"")</f>
        <v/>
      </c>
      <c r="H2416">
        <f>IF(ISNUMBER(B2416),MONTH(B2416),"")</f>
        <v/>
      </c>
      <c r="I2416">
        <f>IFERROR(IF($B$1=0,"",IF(ISNUMBER(INDEX(貼り付け!$A$1:$BZ$3001,2415,$B$1)),"",SUBSTITUTE(SUBSTITUTE(SUBSTITUTE(SUBSTITUTE(TRIM(LEFT(INDEX(貼り付け!$A$1:$BZ$3001,2415,$B$1)&amp;"",FIND(" ",TRIM(INDEX(貼り付け!$A$1:$BZ$3001,2415,$B$1)&amp;"")&amp;" ")-1)),"/","-"),"年","-"),"月","-"),"日",""))),"")</f>
        <v/>
      </c>
      <c r="J2416">
        <f>IFERROR(MID(I2416,FIND("-",I2416)+1,99),"")</f>
        <v/>
      </c>
    </row>
    <row r="2417">
      <c r="B2417">
        <f>IFERROR(IF($B$1=0,"",IF(INDEX(貼り付け!$A$1:$BZ$3001,2416,$B$1)="","",IF(ISNUMBER(INDEX(貼り付け!$A$1:$BZ$3001,2416,$B$1)),INT(INDEX(貼り付け!$A$1:$BZ$3001,2416,$B$1)),DATE(VALUE(LEFT(I2417,FIND("-",I2417)-1)),VALUE(LEFT(J2417,FIND("-",J2417)-1)),VALUE(MID(J2417,FIND("-",J2417)+1,99)))))),"")</f>
        <v/>
      </c>
      <c r="C2417">
        <f>IF($C$1=0,0,IFERROR(VALUE(SUBSTITUTE(SUBSTITUTE(SUBSTITUTE(INDEX(貼り付け!$A$1:$BZ$3001,2416,$C$1)&amp;"",",",""),"¥",""),"￥","")),0))</f>
        <v/>
      </c>
      <c r="D2417">
        <f>IF($D$1=0,0,IFERROR(VALUE(SUBSTITUTE(SUBSTITUTE(SUBSTITUTE(INDEX(貼り付け!$A$1:$BZ$3001,2416,$D$1)&amp;"",",",""),"¥",""),"￥","")),0))</f>
        <v/>
      </c>
      <c r="E2417">
        <f>IF($E$1=0,0,IFERROR(VALUE(SUBSTITUTE(SUBSTITUTE(SUBSTITUTE(INDEX(貼り付け!$A$1:$BZ$3001,2416,$E$1)&amp;"",",",""),"¥",""),"￥","")),0))</f>
        <v/>
      </c>
      <c r="F2417">
        <f>IF($F$1=0,0,IFERROR(VALUE(SUBSTITUTE(SUBSTITUTE(SUBSTITUTE(INDEX(貼り付け!$A$1:$BZ$3001,2416,$F$1)&amp;"",",",""),"¥",""),"￥","")),0))</f>
        <v/>
      </c>
      <c r="G2417">
        <f>IF(ISNUMBER(B2417),YEAR(B2417),"")</f>
        <v/>
      </c>
      <c r="H2417">
        <f>IF(ISNUMBER(B2417),MONTH(B2417),"")</f>
        <v/>
      </c>
      <c r="I2417">
        <f>IFERROR(IF($B$1=0,"",IF(ISNUMBER(INDEX(貼り付け!$A$1:$BZ$3001,2416,$B$1)),"",SUBSTITUTE(SUBSTITUTE(SUBSTITUTE(SUBSTITUTE(TRIM(LEFT(INDEX(貼り付け!$A$1:$BZ$3001,2416,$B$1)&amp;"",FIND(" ",TRIM(INDEX(貼り付け!$A$1:$BZ$3001,2416,$B$1)&amp;"")&amp;" ")-1)),"/","-"),"年","-"),"月","-"),"日",""))),"")</f>
        <v/>
      </c>
      <c r="J2417">
        <f>IFERROR(MID(I2417,FIND("-",I2417)+1,99),"")</f>
        <v/>
      </c>
    </row>
    <row r="2418">
      <c r="B2418">
        <f>IFERROR(IF($B$1=0,"",IF(INDEX(貼り付け!$A$1:$BZ$3001,2417,$B$1)="","",IF(ISNUMBER(INDEX(貼り付け!$A$1:$BZ$3001,2417,$B$1)),INT(INDEX(貼り付け!$A$1:$BZ$3001,2417,$B$1)),DATE(VALUE(LEFT(I2418,FIND("-",I2418)-1)),VALUE(LEFT(J2418,FIND("-",J2418)-1)),VALUE(MID(J2418,FIND("-",J2418)+1,99)))))),"")</f>
        <v/>
      </c>
      <c r="C2418">
        <f>IF($C$1=0,0,IFERROR(VALUE(SUBSTITUTE(SUBSTITUTE(SUBSTITUTE(INDEX(貼り付け!$A$1:$BZ$3001,2417,$C$1)&amp;"",",",""),"¥",""),"￥","")),0))</f>
        <v/>
      </c>
      <c r="D2418">
        <f>IF($D$1=0,0,IFERROR(VALUE(SUBSTITUTE(SUBSTITUTE(SUBSTITUTE(INDEX(貼り付け!$A$1:$BZ$3001,2417,$D$1)&amp;"",",",""),"¥",""),"￥","")),0))</f>
        <v/>
      </c>
      <c r="E2418">
        <f>IF($E$1=0,0,IFERROR(VALUE(SUBSTITUTE(SUBSTITUTE(SUBSTITUTE(INDEX(貼り付け!$A$1:$BZ$3001,2417,$E$1)&amp;"",",",""),"¥",""),"￥","")),0))</f>
        <v/>
      </c>
      <c r="F2418">
        <f>IF($F$1=0,0,IFERROR(VALUE(SUBSTITUTE(SUBSTITUTE(SUBSTITUTE(INDEX(貼り付け!$A$1:$BZ$3001,2417,$F$1)&amp;"",",",""),"¥",""),"￥","")),0))</f>
        <v/>
      </c>
      <c r="G2418">
        <f>IF(ISNUMBER(B2418),YEAR(B2418),"")</f>
        <v/>
      </c>
      <c r="H2418">
        <f>IF(ISNUMBER(B2418),MONTH(B2418),"")</f>
        <v/>
      </c>
      <c r="I2418">
        <f>IFERROR(IF($B$1=0,"",IF(ISNUMBER(INDEX(貼り付け!$A$1:$BZ$3001,2417,$B$1)),"",SUBSTITUTE(SUBSTITUTE(SUBSTITUTE(SUBSTITUTE(TRIM(LEFT(INDEX(貼り付け!$A$1:$BZ$3001,2417,$B$1)&amp;"",FIND(" ",TRIM(INDEX(貼り付け!$A$1:$BZ$3001,2417,$B$1)&amp;"")&amp;" ")-1)),"/","-"),"年","-"),"月","-"),"日",""))),"")</f>
        <v/>
      </c>
      <c r="J2418">
        <f>IFERROR(MID(I2418,FIND("-",I2418)+1,99),"")</f>
        <v/>
      </c>
    </row>
    <row r="2419">
      <c r="B2419">
        <f>IFERROR(IF($B$1=0,"",IF(INDEX(貼り付け!$A$1:$BZ$3001,2418,$B$1)="","",IF(ISNUMBER(INDEX(貼り付け!$A$1:$BZ$3001,2418,$B$1)),INT(INDEX(貼り付け!$A$1:$BZ$3001,2418,$B$1)),DATE(VALUE(LEFT(I2419,FIND("-",I2419)-1)),VALUE(LEFT(J2419,FIND("-",J2419)-1)),VALUE(MID(J2419,FIND("-",J2419)+1,99)))))),"")</f>
        <v/>
      </c>
      <c r="C2419">
        <f>IF($C$1=0,0,IFERROR(VALUE(SUBSTITUTE(SUBSTITUTE(SUBSTITUTE(INDEX(貼り付け!$A$1:$BZ$3001,2418,$C$1)&amp;"",",",""),"¥",""),"￥","")),0))</f>
        <v/>
      </c>
      <c r="D2419">
        <f>IF($D$1=0,0,IFERROR(VALUE(SUBSTITUTE(SUBSTITUTE(SUBSTITUTE(INDEX(貼り付け!$A$1:$BZ$3001,2418,$D$1)&amp;"",",",""),"¥",""),"￥","")),0))</f>
        <v/>
      </c>
      <c r="E2419">
        <f>IF($E$1=0,0,IFERROR(VALUE(SUBSTITUTE(SUBSTITUTE(SUBSTITUTE(INDEX(貼り付け!$A$1:$BZ$3001,2418,$E$1)&amp;"",",",""),"¥",""),"￥","")),0))</f>
        <v/>
      </c>
      <c r="F2419">
        <f>IF($F$1=0,0,IFERROR(VALUE(SUBSTITUTE(SUBSTITUTE(SUBSTITUTE(INDEX(貼り付け!$A$1:$BZ$3001,2418,$F$1)&amp;"",",",""),"¥",""),"￥","")),0))</f>
        <v/>
      </c>
      <c r="G2419">
        <f>IF(ISNUMBER(B2419),YEAR(B2419),"")</f>
        <v/>
      </c>
      <c r="H2419">
        <f>IF(ISNUMBER(B2419),MONTH(B2419),"")</f>
        <v/>
      </c>
      <c r="I2419">
        <f>IFERROR(IF($B$1=0,"",IF(ISNUMBER(INDEX(貼り付け!$A$1:$BZ$3001,2418,$B$1)),"",SUBSTITUTE(SUBSTITUTE(SUBSTITUTE(SUBSTITUTE(TRIM(LEFT(INDEX(貼り付け!$A$1:$BZ$3001,2418,$B$1)&amp;"",FIND(" ",TRIM(INDEX(貼り付け!$A$1:$BZ$3001,2418,$B$1)&amp;"")&amp;" ")-1)),"/","-"),"年","-"),"月","-"),"日",""))),"")</f>
        <v/>
      </c>
      <c r="J2419">
        <f>IFERROR(MID(I2419,FIND("-",I2419)+1,99),"")</f>
        <v/>
      </c>
    </row>
    <row r="2420">
      <c r="B2420">
        <f>IFERROR(IF($B$1=0,"",IF(INDEX(貼り付け!$A$1:$BZ$3001,2419,$B$1)="","",IF(ISNUMBER(INDEX(貼り付け!$A$1:$BZ$3001,2419,$B$1)),INT(INDEX(貼り付け!$A$1:$BZ$3001,2419,$B$1)),DATE(VALUE(LEFT(I2420,FIND("-",I2420)-1)),VALUE(LEFT(J2420,FIND("-",J2420)-1)),VALUE(MID(J2420,FIND("-",J2420)+1,99)))))),"")</f>
        <v/>
      </c>
      <c r="C2420">
        <f>IF($C$1=0,0,IFERROR(VALUE(SUBSTITUTE(SUBSTITUTE(SUBSTITUTE(INDEX(貼り付け!$A$1:$BZ$3001,2419,$C$1)&amp;"",",",""),"¥",""),"￥","")),0))</f>
        <v/>
      </c>
      <c r="D2420">
        <f>IF($D$1=0,0,IFERROR(VALUE(SUBSTITUTE(SUBSTITUTE(SUBSTITUTE(INDEX(貼り付け!$A$1:$BZ$3001,2419,$D$1)&amp;"",",",""),"¥",""),"￥","")),0))</f>
        <v/>
      </c>
      <c r="E2420">
        <f>IF($E$1=0,0,IFERROR(VALUE(SUBSTITUTE(SUBSTITUTE(SUBSTITUTE(INDEX(貼り付け!$A$1:$BZ$3001,2419,$E$1)&amp;"",",",""),"¥",""),"￥","")),0))</f>
        <v/>
      </c>
      <c r="F2420">
        <f>IF($F$1=0,0,IFERROR(VALUE(SUBSTITUTE(SUBSTITUTE(SUBSTITUTE(INDEX(貼り付け!$A$1:$BZ$3001,2419,$F$1)&amp;"",",",""),"¥",""),"￥","")),0))</f>
        <v/>
      </c>
      <c r="G2420">
        <f>IF(ISNUMBER(B2420),YEAR(B2420),"")</f>
        <v/>
      </c>
      <c r="H2420">
        <f>IF(ISNUMBER(B2420),MONTH(B2420),"")</f>
        <v/>
      </c>
      <c r="I2420">
        <f>IFERROR(IF($B$1=0,"",IF(ISNUMBER(INDEX(貼り付け!$A$1:$BZ$3001,2419,$B$1)),"",SUBSTITUTE(SUBSTITUTE(SUBSTITUTE(SUBSTITUTE(TRIM(LEFT(INDEX(貼り付け!$A$1:$BZ$3001,2419,$B$1)&amp;"",FIND(" ",TRIM(INDEX(貼り付け!$A$1:$BZ$3001,2419,$B$1)&amp;"")&amp;" ")-1)),"/","-"),"年","-"),"月","-"),"日",""))),"")</f>
        <v/>
      </c>
      <c r="J2420">
        <f>IFERROR(MID(I2420,FIND("-",I2420)+1,99),"")</f>
        <v/>
      </c>
    </row>
    <row r="2421">
      <c r="B2421">
        <f>IFERROR(IF($B$1=0,"",IF(INDEX(貼り付け!$A$1:$BZ$3001,2420,$B$1)="","",IF(ISNUMBER(INDEX(貼り付け!$A$1:$BZ$3001,2420,$B$1)),INT(INDEX(貼り付け!$A$1:$BZ$3001,2420,$B$1)),DATE(VALUE(LEFT(I2421,FIND("-",I2421)-1)),VALUE(LEFT(J2421,FIND("-",J2421)-1)),VALUE(MID(J2421,FIND("-",J2421)+1,99)))))),"")</f>
        <v/>
      </c>
      <c r="C2421">
        <f>IF($C$1=0,0,IFERROR(VALUE(SUBSTITUTE(SUBSTITUTE(SUBSTITUTE(INDEX(貼り付け!$A$1:$BZ$3001,2420,$C$1)&amp;"",",",""),"¥",""),"￥","")),0))</f>
        <v/>
      </c>
      <c r="D2421">
        <f>IF($D$1=0,0,IFERROR(VALUE(SUBSTITUTE(SUBSTITUTE(SUBSTITUTE(INDEX(貼り付け!$A$1:$BZ$3001,2420,$D$1)&amp;"",",",""),"¥",""),"￥","")),0))</f>
        <v/>
      </c>
      <c r="E2421">
        <f>IF($E$1=0,0,IFERROR(VALUE(SUBSTITUTE(SUBSTITUTE(SUBSTITUTE(INDEX(貼り付け!$A$1:$BZ$3001,2420,$E$1)&amp;"",",",""),"¥",""),"￥","")),0))</f>
        <v/>
      </c>
      <c r="F2421">
        <f>IF($F$1=0,0,IFERROR(VALUE(SUBSTITUTE(SUBSTITUTE(SUBSTITUTE(INDEX(貼り付け!$A$1:$BZ$3001,2420,$F$1)&amp;"",",",""),"¥",""),"￥","")),0))</f>
        <v/>
      </c>
      <c r="G2421">
        <f>IF(ISNUMBER(B2421),YEAR(B2421),"")</f>
        <v/>
      </c>
      <c r="H2421">
        <f>IF(ISNUMBER(B2421),MONTH(B2421),"")</f>
        <v/>
      </c>
      <c r="I2421">
        <f>IFERROR(IF($B$1=0,"",IF(ISNUMBER(INDEX(貼り付け!$A$1:$BZ$3001,2420,$B$1)),"",SUBSTITUTE(SUBSTITUTE(SUBSTITUTE(SUBSTITUTE(TRIM(LEFT(INDEX(貼り付け!$A$1:$BZ$3001,2420,$B$1)&amp;"",FIND(" ",TRIM(INDEX(貼り付け!$A$1:$BZ$3001,2420,$B$1)&amp;"")&amp;" ")-1)),"/","-"),"年","-"),"月","-"),"日",""))),"")</f>
        <v/>
      </c>
      <c r="J2421">
        <f>IFERROR(MID(I2421,FIND("-",I2421)+1,99),"")</f>
        <v/>
      </c>
    </row>
    <row r="2422">
      <c r="B2422">
        <f>IFERROR(IF($B$1=0,"",IF(INDEX(貼り付け!$A$1:$BZ$3001,2421,$B$1)="","",IF(ISNUMBER(INDEX(貼り付け!$A$1:$BZ$3001,2421,$B$1)),INT(INDEX(貼り付け!$A$1:$BZ$3001,2421,$B$1)),DATE(VALUE(LEFT(I2422,FIND("-",I2422)-1)),VALUE(LEFT(J2422,FIND("-",J2422)-1)),VALUE(MID(J2422,FIND("-",J2422)+1,99)))))),"")</f>
        <v/>
      </c>
      <c r="C2422">
        <f>IF($C$1=0,0,IFERROR(VALUE(SUBSTITUTE(SUBSTITUTE(SUBSTITUTE(INDEX(貼り付け!$A$1:$BZ$3001,2421,$C$1)&amp;"",",",""),"¥",""),"￥","")),0))</f>
        <v/>
      </c>
      <c r="D2422">
        <f>IF($D$1=0,0,IFERROR(VALUE(SUBSTITUTE(SUBSTITUTE(SUBSTITUTE(INDEX(貼り付け!$A$1:$BZ$3001,2421,$D$1)&amp;"",",",""),"¥",""),"￥","")),0))</f>
        <v/>
      </c>
      <c r="E2422">
        <f>IF($E$1=0,0,IFERROR(VALUE(SUBSTITUTE(SUBSTITUTE(SUBSTITUTE(INDEX(貼り付け!$A$1:$BZ$3001,2421,$E$1)&amp;"",",",""),"¥",""),"￥","")),0))</f>
        <v/>
      </c>
      <c r="F2422">
        <f>IF($F$1=0,0,IFERROR(VALUE(SUBSTITUTE(SUBSTITUTE(SUBSTITUTE(INDEX(貼り付け!$A$1:$BZ$3001,2421,$F$1)&amp;"",",",""),"¥",""),"￥","")),0))</f>
        <v/>
      </c>
      <c r="G2422">
        <f>IF(ISNUMBER(B2422),YEAR(B2422),"")</f>
        <v/>
      </c>
      <c r="H2422">
        <f>IF(ISNUMBER(B2422),MONTH(B2422),"")</f>
        <v/>
      </c>
      <c r="I2422">
        <f>IFERROR(IF($B$1=0,"",IF(ISNUMBER(INDEX(貼り付け!$A$1:$BZ$3001,2421,$B$1)),"",SUBSTITUTE(SUBSTITUTE(SUBSTITUTE(SUBSTITUTE(TRIM(LEFT(INDEX(貼り付け!$A$1:$BZ$3001,2421,$B$1)&amp;"",FIND(" ",TRIM(INDEX(貼り付け!$A$1:$BZ$3001,2421,$B$1)&amp;"")&amp;" ")-1)),"/","-"),"年","-"),"月","-"),"日",""))),"")</f>
        <v/>
      </c>
      <c r="J2422">
        <f>IFERROR(MID(I2422,FIND("-",I2422)+1,99),"")</f>
        <v/>
      </c>
    </row>
    <row r="2423">
      <c r="B2423">
        <f>IFERROR(IF($B$1=0,"",IF(INDEX(貼り付け!$A$1:$BZ$3001,2422,$B$1)="","",IF(ISNUMBER(INDEX(貼り付け!$A$1:$BZ$3001,2422,$B$1)),INT(INDEX(貼り付け!$A$1:$BZ$3001,2422,$B$1)),DATE(VALUE(LEFT(I2423,FIND("-",I2423)-1)),VALUE(LEFT(J2423,FIND("-",J2423)-1)),VALUE(MID(J2423,FIND("-",J2423)+1,99)))))),"")</f>
        <v/>
      </c>
      <c r="C2423">
        <f>IF($C$1=0,0,IFERROR(VALUE(SUBSTITUTE(SUBSTITUTE(SUBSTITUTE(INDEX(貼り付け!$A$1:$BZ$3001,2422,$C$1)&amp;"",",",""),"¥",""),"￥","")),0))</f>
        <v/>
      </c>
      <c r="D2423">
        <f>IF($D$1=0,0,IFERROR(VALUE(SUBSTITUTE(SUBSTITUTE(SUBSTITUTE(INDEX(貼り付け!$A$1:$BZ$3001,2422,$D$1)&amp;"",",",""),"¥",""),"￥","")),0))</f>
        <v/>
      </c>
      <c r="E2423">
        <f>IF($E$1=0,0,IFERROR(VALUE(SUBSTITUTE(SUBSTITUTE(SUBSTITUTE(INDEX(貼り付け!$A$1:$BZ$3001,2422,$E$1)&amp;"",",",""),"¥",""),"￥","")),0))</f>
        <v/>
      </c>
      <c r="F2423">
        <f>IF($F$1=0,0,IFERROR(VALUE(SUBSTITUTE(SUBSTITUTE(SUBSTITUTE(INDEX(貼り付け!$A$1:$BZ$3001,2422,$F$1)&amp;"",",",""),"¥",""),"￥","")),0))</f>
        <v/>
      </c>
      <c r="G2423">
        <f>IF(ISNUMBER(B2423),YEAR(B2423),"")</f>
        <v/>
      </c>
      <c r="H2423">
        <f>IF(ISNUMBER(B2423),MONTH(B2423),"")</f>
        <v/>
      </c>
      <c r="I2423">
        <f>IFERROR(IF($B$1=0,"",IF(ISNUMBER(INDEX(貼り付け!$A$1:$BZ$3001,2422,$B$1)),"",SUBSTITUTE(SUBSTITUTE(SUBSTITUTE(SUBSTITUTE(TRIM(LEFT(INDEX(貼り付け!$A$1:$BZ$3001,2422,$B$1)&amp;"",FIND(" ",TRIM(INDEX(貼り付け!$A$1:$BZ$3001,2422,$B$1)&amp;"")&amp;" ")-1)),"/","-"),"年","-"),"月","-"),"日",""))),"")</f>
        <v/>
      </c>
      <c r="J2423">
        <f>IFERROR(MID(I2423,FIND("-",I2423)+1,99),"")</f>
        <v/>
      </c>
    </row>
    <row r="2424">
      <c r="B2424">
        <f>IFERROR(IF($B$1=0,"",IF(INDEX(貼り付け!$A$1:$BZ$3001,2423,$B$1)="","",IF(ISNUMBER(INDEX(貼り付け!$A$1:$BZ$3001,2423,$B$1)),INT(INDEX(貼り付け!$A$1:$BZ$3001,2423,$B$1)),DATE(VALUE(LEFT(I2424,FIND("-",I2424)-1)),VALUE(LEFT(J2424,FIND("-",J2424)-1)),VALUE(MID(J2424,FIND("-",J2424)+1,99)))))),"")</f>
        <v/>
      </c>
      <c r="C2424">
        <f>IF($C$1=0,0,IFERROR(VALUE(SUBSTITUTE(SUBSTITUTE(SUBSTITUTE(INDEX(貼り付け!$A$1:$BZ$3001,2423,$C$1)&amp;"",",",""),"¥",""),"￥","")),0))</f>
        <v/>
      </c>
      <c r="D2424">
        <f>IF($D$1=0,0,IFERROR(VALUE(SUBSTITUTE(SUBSTITUTE(SUBSTITUTE(INDEX(貼り付け!$A$1:$BZ$3001,2423,$D$1)&amp;"",",",""),"¥",""),"￥","")),0))</f>
        <v/>
      </c>
      <c r="E2424">
        <f>IF($E$1=0,0,IFERROR(VALUE(SUBSTITUTE(SUBSTITUTE(SUBSTITUTE(INDEX(貼り付け!$A$1:$BZ$3001,2423,$E$1)&amp;"",",",""),"¥",""),"￥","")),0))</f>
        <v/>
      </c>
      <c r="F2424">
        <f>IF($F$1=0,0,IFERROR(VALUE(SUBSTITUTE(SUBSTITUTE(SUBSTITUTE(INDEX(貼り付け!$A$1:$BZ$3001,2423,$F$1)&amp;"",",",""),"¥",""),"￥","")),0))</f>
        <v/>
      </c>
      <c r="G2424">
        <f>IF(ISNUMBER(B2424),YEAR(B2424),"")</f>
        <v/>
      </c>
      <c r="H2424">
        <f>IF(ISNUMBER(B2424),MONTH(B2424),"")</f>
        <v/>
      </c>
      <c r="I2424">
        <f>IFERROR(IF($B$1=0,"",IF(ISNUMBER(INDEX(貼り付け!$A$1:$BZ$3001,2423,$B$1)),"",SUBSTITUTE(SUBSTITUTE(SUBSTITUTE(SUBSTITUTE(TRIM(LEFT(INDEX(貼り付け!$A$1:$BZ$3001,2423,$B$1)&amp;"",FIND(" ",TRIM(INDEX(貼り付け!$A$1:$BZ$3001,2423,$B$1)&amp;"")&amp;" ")-1)),"/","-"),"年","-"),"月","-"),"日",""))),"")</f>
        <v/>
      </c>
      <c r="J2424">
        <f>IFERROR(MID(I2424,FIND("-",I2424)+1,99),"")</f>
        <v/>
      </c>
    </row>
    <row r="2425">
      <c r="B2425">
        <f>IFERROR(IF($B$1=0,"",IF(INDEX(貼り付け!$A$1:$BZ$3001,2424,$B$1)="","",IF(ISNUMBER(INDEX(貼り付け!$A$1:$BZ$3001,2424,$B$1)),INT(INDEX(貼り付け!$A$1:$BZ$3001,2424,$B$1)),DATE(VALUE(LEFT(I2425,FIND("-",I2425)-1)),VALUE(LEFT(J2425,FIND("-",J2425)-1)),VALUE(MID(J2425,FIND("-",J2425)+1,99)))))),"")</f>
        <v/>
      </c>
      <c r="C2425">
        <f>IF($C$1=0,0,IFERROR(VALUE(SUBSTITUTE(SUBSTITUTE(SUBSTITUTE(INDEX(貼り付け!$A$1:$BZ$3001,2424,$C$1)&amp;"",",",""),"¥",""),"￥","")),0))</f>
        <v/>
      </c>
      <c r="D2425">
        <f>IF($D$1=0,0,IFERROR(VALUE(SUBSTITUTE(SUBSTITUTE(SUBSTITUTE(INDEX(貼り付け!$A$1:$BZ$3001,2424,$D$1)&amp;"",",",""),"¥",""),"￥","")),0))</f>
        <v/>
      </c>
      <c r="E2425">
        <f>IF($E$1=0,0,IFERROR(VALUE(SUBSTITUTE(SUBSTITUTE(SUBSTITUTE(INDEX(貼り付け!$A$1:$BZ$3001,2424,$E$1)&amp;"",",",""),"¥",""),"￥","")),0))</f>
        <v/>
      </c>
      <c r="F2425">
        <f>IF($F$1=0,0,IFERROR(VALUE(SUBSTITUTE(SUBSTITUTE(SUBSTITUTE(INDEX(貼り付け!$A$1:$BZ$3001,2424,$F$1)&amp;"",",",""),"¥",""),"￥","")),0))</f>
        <v/>
      </c>
      <c r="G2425">
        <f>IF(ISNUMBER(B2425),YEAR(B2425),"")</f>
        <v/>
      </c>
      <c r="H2425">
        <f>IF(ISNUMBER(B2425),MONTH(B2425),"")</f>
        <v/>
      </c>
      <c r="I2425">
        <f>IFERROR(IF($B$1=0,"",IF(ISNUMBER(INDEX(貼り付け!$A$1:$BZ$3001,2424,$B$1)),"",SUBSTITUTE(SUBSTITUTE(SUBSTITUTE(SUBSTITUTE(TRIM(LEFT(INDEX(貼り付け!$A$1:$BZ$3001,2424,$B$1)&amp;"",FIND(" ",TRIM(INDEX(貼り付け!$A$1:$BZ$3001,2424,$B$1)&amp;"")&amp;" ")-1)),"/","-"),"年","-"),"月","-"),"日",""))),"")</f>
        <v/>
      </c>
      <c r="J2425">
        <f>IFERROR(MID(I2425,FIND("-",I2425)+1,99),"")</f>
        <v/>
      </c>
    </row>
    <row r="2426">
      <c r="B2426">
        <f>IFERROR(IF($B$1=0,"",IF(INDEX(貼り付け!$A$1:$BZ$3001,2425,$B$1)="","",IF(ISNUMBER(INDEX(貼り付け!$A$1:$BZ$3001,2425,$B$1)),INT(INDEX(貼り付け!$A$1:$BZ$3001,2425,$B$1)),DATE(VALUE(LEFT(I2426,FIND("-",I2426)-1)),VALUE(LEFT(J2426,FIND("-",J2426)-1)),VALUE(MID(J2426,FIND("-",J2426)+1,99)))))),"")</f>
        <v/>
      </c>
      <c r="C2426">
        <f>IF($C$1=0,0,IFERROR(VALUE(SUBSTITUTE(SUBSTITUTE(SUBSTITUTE(INDEX(貼り付け!$A$1:$BZ$3001,2425,$C$1)&amp;"",",",""),"¥",""),"￥","")),0))</f>
        <v/>
      </c>
      <c r="D2426">
        <f>IF($D$1=0,0,IFERROR(VALUE(SUBSTITUTE(SUBSTITUTE(SUBSTITUTE(INDEX(貼り付け!$A$1:$BZ$3001,2425,$D$1)&amp;"",",",""),"¥",""),"￥","")),0))</f>
        <v/>
      </c>
      <c r="E2426">
        <f>IF($E$1=0,0,IFERROR(VALUE(SUBSTITUTE(SUBSTITUTE(SUBSTITUTE(INDEX(貼り付け!$A$1:$BZ$3001,2425,$E$1)&amp;"",",",""),"¥",""),"￥","")),0))</f>
        <v/>
      </c>
      <c r="F2426">
        <f>IF($F$1=0,0,IFERROR(VALUE(SUBSTITUTE(SUBSTITUTE(SUBSTITUTE(INDEX(貼り付け!$A$1:$BZ$3001,2425,$F$1)&amp;"",",",""),"¥",""),"￥","")),0))</f>
        <v/>
      </c>
      <c r="G2426">
        <f>IF(ISNUMBER(B2426),YEAR(B2426),"")</f>
        <v/>
      </c>
      <c r="H2426">
        <f>IF(ISNUMBER(B2426),MONTH(B2426),"")</f>
        <v/>
      </c>
      <c r="I2426">
        <f>IFERROR(IF($B$1=0,"",IF(ISNUMBER(INDEX(貼り付け!$A$1:$BZ$3001,2425,$B$1)),"",SUBSTITUTE(SUBSTITUTE(SUBSTITUTE(SUBSTITUTE(TRIM(LEFT(INDEX(貼り付け!$A$1:$BZ$3001,2425,$B$1)&amp;"",FIND(" ",TRIM(INDEX(貼り付け!$A$1:$BZ$3001,2425,$B$1)&amp;"")&amp;" ")-1)),"/","-"),"年","-"),"月","-"),"日",""))),"")</f>
        <v/>
      </c>
      <c r="J2426">
        <f>IFERROR(MID(I2426,FIND("-",I2426)+1,99),"")</f>
        <v/>
      </c>
    </row>
    <row r="2427">
      <c r="B2427">
        <f>IFERROR(IF($B$1=0,"",IF(INDEX(貼り付け!$A$1:$BZ$3001,2426,$B$1)="","",IF(ISNUMBER(INDEX(貼り付け!$A$1:$BZ$3001,2426,$B$1)),INT(INDEX(貼り付け!$A$1:$BZ$3001,2426,$B$1)),DATE(VALUE(LEFT(I2427,FIND("-",I2427)-1)),VALUE(LEFT(J2427,FIND("-",J2427)-1)),VALUE(MID(J2427,FIND("-",J2427)+1,99)))))),"")</f>
        <v/>
      </c>
      <c r="C2427">
        <f>IF($C$1=0,0,IFERROR(VALUE(SUBSTITUTE(SUBSTITUTE(SUBSTITUTE(INDEX(貼り付け!$A$1:$BZ$3001,2426,$C$1)&amp;"",",",""),"¥",""),"￥","")),0))</f>
        <v/>
      </c>
      <c r="D2427">
        <f>IF($D$1=0,0,IFERROR(VALUE(SUBSTITUTE(SUBSTITUTE(SUBSTITUTE(INDEX(貼り付け!$A$1:$BZ$3001,2426,$D$1)&amp;"",",",""),"¥",""),"￥","")),0))</f>
        <v/>
      </c>
      <c r="E2427">
        <f>IF($E$1=0,0,IFERROR(VALUE(SUBSTITUTE(SUBSTITUTE(SUBSTITUTE(INDEX(貼り付け!$A$1:$BZ$3001,2426,$E$1)&amp;"",",",""),"¥",""),"￥","")),0))</f>
        <v/>
      </c>
      <c r="F2427">
        <f>IF($F$1=0,0,IFERROR(VALUE(SUBSTITUTE(SUBSTITUTE(SUBSTITUTE(INDEX(貼り付け!$A$1:$BZ$3001,2426,$F$1)&amp;"",",",""),"¥",""),"￥","")),0))</f>
        <v/>
      </c>
      <c r="G2427">
        <f>IF(ISNUMBER(B2427),YEAR(B2427),"")</f>
        <v/>
      </c>
      <c r="H2427">
        <f>IF(ISNUMBER(B2427),MONTH(B2427),"")</f>
        <v/>
      </c>
      <c r="I2427">
        <f>IFERROR(IF($B$1=0,"",IF(ISNUMBER(INDEX(貼り付け!$A$1:$BZ$3001,2426,$B$1)),"",SUBSTITUTE(SUBSTITUTE(SUBSTITUTE(SUBSTITUTE(TRIM(LEFT(INDEX(貼り付け!$A$1:$BZ$3001,2426,$B$1)&amp;"",FIND(" ",TRIM(INDEX(貼り付け!$A$1:$BZ$3001,2426,$B$1)&amp;"")&amp;" ")-1)),"/","-"),"年","-"),"月","-"),"日",""))),"")</f>
        <v/>
      </c>
      <c r="J2427">
        <f>IFERROR(MID(I2427,FIND("-",I2427)+1,99),"")</f>
        <v/>
      </c>
    </row>
    <row r="2428">
      <c r="B2428">
        <f>IFERROR(IF($B$1=0,"",IF(INDEX(貼り付け!$A$1:$BZ$3001,2427,$B$1)="","",IF(ISNUMBER(INDEX(貼り付け!$A$1:$BZ$3001,2427,$B$1)),INT(INDEX(貼り付け!$A$1:$BZ$3001,2427,$B$1)),DATE(VALUE(LEFT(I2428,FIND("-",I2428)-1)),VALUE(LEFT(J2428,FIND("-",J2428)-1)),VALUE(MID(J2428,FIND("-",J2428)+1,99)))))),"")</f>
        <v/>
      </c>
      <c r="C2428">
        <f>IF($C$1=0,0,IFERROR(VALUE(SUBSTITUTE(SUBSTITUTE(SUBSTITUTE(INDEX(貼り付け!$A$1:$BZ$3001,2427,$C$1)&amp;"",",",""),"¥",""),"￥","")),0))</f>
        <v/>
      </c>
      <c r="D2428">
        <f>IF($D$1=0,0,IFERROR(VALUE(SUBSTITUTE(SUBSTITUTE(SUBSTITUTE(INDEX(貼り付け!$A$1:$BZ$3001,2427,$D$1)&amp;"",",",""),"¥",""),"￥","")),0))</f>
        <v/>
      </c>
      <c r="E2428">
        <f>IF($E$1=0,0,IFERROR(VALUE(SUBSTITUTE(SUBSTITUTE(SUBSTITUTE(INDEX(貼り付け!$A$1:$BZ$3001,2427,$E$1)&amp;"",",",""),"¥",""),"￥","")),0))</f>
        <v/>
      </c>
      <c r="F2428">
        <f>IF($F$1=0,0,IFERROR(VALUE(SUBSTITUTE(SUBSTITUTE(SUBSTITUTE(INDEX(貼り付け!$A$1:$BZ$3001,2427,$F$1)&amp;"",",",""),"¥",""),"￥","")),0))</f>
        <v/>
      </c>
      <c r="G2428">
        <f>IF(ISNUMBER(B2428),YEAR(B2428),"")</f>
        <v/>
      </c>
      <c r="H2428">
        <f>IF(ISNUMBER(B2428),MONTH(B2428),"")</f>
        <v/>
      </c>
      <c r="I2428">
        <f>IFERROR(IF($B$1=0,"",IF(ISNUMBER(INDEX(貼り付け!$A$1:$BZ$3001,2427,$B$1)),"",SUBSTITUTE(SUBSTITUTE(SUBSTITUTE(SUBSTITUTE(TRIM(LEFT(INDEX(貼り付け!$A$1:$BZ$3001,2427,$B$1)&amp;"",FIND(" ",TRIM(INDEX(貼り付け!$A$1:$BZ$3001,2427,$B$1)&amp;"")&amp;" ")-1)),"/","-"),"年","-"),"月","-"),"日",""))),"")</f>
        <v/>
      </c>
      <c r="J2428">
        <f>IFERROR(MID(I2428,FIND("-",I2428)+1,99),"")</f>
        <v/>
      </c>
    </row>
    <row r="2429">
      <c r="B2429">
        <f>IFERROR(IF($B$1=0,"",IF(INDEX(貼り付け!$A$1:$BZ$3001,2428,$B$1)="","",IF(ISNUMBER(INDEX(貼り付け!$A$1:$BZ$3001,2428,$B$1)),INT(INDEX(貼り付け!$A$1:$BZ$3001,2428,$B$1)),DATE(VALUE(LEFT(I2429,FIND("-",I2429)-1)),VALUE(LEFT(J2429,FIND("-",J2429)-1)),VALUE(MID(J2429,FIND("-",J2429)+1,99)))))),"")</f>
        <v/>
      </c>
      <c r="C2429">
        <f>IF($C$1=0,0,IFERROR(VALUE(SUBSTITUTE(SUBSTITUTE(SUBSTITUTE(INDEX(貼り付け!$A$1:$BZ$3001,2428,$C$1)&amp;"",",",""),"¥",""),"￥","")),0))</f>
        <v/>
      </c>
      <c r="D2429">
        <f>IF($D$1=0,0,IFERROR(VALUE(SUBSTITUTE(SUBSTITUTE(SUBSTITUTE(INDEX(貼り付け!$A$1:$BZ$3001,2428,$D$1)&amp;"",",",""),"¥",""),"￥","")),0))</f>
        <v/>
      </c>
      <c r="E2429">
        <f>IF($E$1=0,0,IFERROR(VALUE(SUBSTITUTE(SUBSTITUTE(SUBSTITUTE(INDEX(貼り付け!$A$1:$BZ$3001,2428,$E$1)&amp;"",",",""),"¥",""),"￥","")),0))</f>
        <v/>
      </c>
      <c r="F2429">
        <f>IF($F$1=0,0,IFERROR(VALUE(SUBSTITUTE(SUBSTITUTE(SUBSTITUTE(INDEX(貼り付け!$A$1:$BZ$3001,2428,$F$1)&amp;"",",",""),"¥",""),"￥","")),0))</f>
        <v/>
      </c>
      <c r="G2429">
        <f>IF(ISNUMBER(B2429),YEAR(B2429),"")</f>
        <v/>
      </c>
      <c r="H2429">
        <f>IF(ISNUMBER(B2429),MONTH(B2429),"")</f>
        <v/>
      </c>
      <c r="I2429">
        <f>IFERROR(IF($B$1=0,"",IF(ISNUMBER(INDEX(貼り付け!$A$1:$BZ$3001,2428,$B$1)),"",SUBSTITUTE(SUBSTITUTE(SUBSTITUTE(SUBSTITUTE(TRIM(LEFT(INDEX(貼り付け!$A$1:$BZ$3001,2428,$B$1)&amp;"",FIND(" ",TRIM(INDEX(貼り付け!$A$1:$BZ$3001,2428,$B$1)&amp;"")&amp;" ")-1)),"/","-"),"年","-"),"月","-"),"日",""))),"")</f>
        <v/>
      </c>
      <c r="J2429">
        <f>IFERROR(MID(I2429,FIND("-",I2429)+1,99),"")</f>
        <v/>
      </c>
    </row>
    <row r="2430">
      <c r="B2430">
        <f>IFERROR(IF($B$1=0,"",IF(INDEX(貼り付け!$A$1:$BZ$3001,2429,$B$1)="","",IF(ISNUMBER(INDEX(貼り付け!$A$1:$BZ$3001,2429,$B$1)),INT(INDEX(貼り付け!$A$1:$BZ$3001,2429,$B$1)),DATE(VALUE(LEFT(I2430,FIND("-",I2430)-1)),VALUE(LEFT(J2430,FIND("-",J2430)-1)),VALUE(MID(J2430,FIND("-",J2430)+1,99)))))),"")</f>
        <v/>
      </c>
      <c r="C2430">
        <f>IF($C$1=0,0,IFERROR(VALUE(SUBSTITUTE(SUBSTITUTE(SUBSTITUTE(INDEX(貼り付け!$A$1:$BZ$3001,2429,$C$1)&amp;"",",",""),"¥",""),"￥","")),0))</f>
        <v/>
      </c>
      <c r="D2430">
        <f>IF($D$1=0,0,IFERROR(VALUE(SUBSTITUTE(SUBSTITUTE(SUBSTITUTE(INDEX(貼り付け!$A$1:$BZ$3001,2429,$D$1)&amp;"",",",""),"¥",""),"￥","")),0))</f>
        <v/>
      </c>
      <c r="E2430">
        <f>IF($E$1=0,0,IFERROR(VALUE(SUBSTITUTE(SUBSTITUTE(SUBSTITUTE(INDEX(貼り付け!$A$1:$BZ$3001,2429,$E$1)&amp;"",",",""),"¥",""),"￥","")),0))</f>
        <v/>
      </c>
      <c r="F2430">
        <f>IF($F$1=0,0,IFERROR(VALUE(SUBSTITUTE(SUBSTITUTE(SUBSTITUTE(INDEX(貼り付け!$A$1:$BZ$3001,2429,$F$1)&amp;"",",",""),"¥",""),"￥","")),0))</f>
        <v/>
      </c>
      <c r="G2430">
        <f>IF(ISNUMBER(B2430),YEAR(B2430),"")</f>
        <v/>
      </c>
      <c r="H2430">
        <f>IF(ISNUMBER(B2430),MONTH(B2430),"")</f>
        <v/>
      </c>
      <c r="I2430">
        <f>IFERROR(IF($B$1=0,"",IF(ISNUMBER(INDEX(貼り付け!$A$1:$BZ$3001,2429,$B$1)),"",SUBSTITUTE(SUBSTITUTE(SUBSTITUTE(SUBSTITUTE(TRIM(LEFT(INDEX(貼り付け!$A$1:$BZ$3001,2429,$B$1)&amp;"",FIND(" ",TRIM(INDEX(貼り付け!$A$1:$BZ$3001,2429,$B$1)&amp;"")&amp;" ")-1)),"/","-"),"年","-"),"月","-"),"日",""))),"")</f>
        <v/>
      </c>
      <c r="J2430">
        <f>IFERROR(MID(I2430,FIND("-",I2430)+1,99),"")</f>
        <v/>
      </c>
    </row>
    <row r="2431">
      <c r="B2431">
        <f>IFERROR(IF($B$1=0,"",IF(INDEX(貼り付け!$A$1:$BZ$3001,2430,$B$1)="","",IF(ISNUMBER(INDEX(貼り付け!$A$1:$BZ$3001,2430,$B$1)),INT(INDEX(貼り付け!$A$1:$BZ$3001,2430,$B$1)),DATE(VALUE(LEFT(I2431,FIND("-",I2431)-1)),VALUE(LEFT(J2431,FIND("-",J2431)-1)),VALUE(MID(J2431,FIND("-",J2431)+1,99)))))),"")</f>
        <v/>
      </c>
      <c r="C2431">
        <f>IF($C$1=0,0,IFERROR(VALUE(SUBSTITUTE(SUBSTITUTE(SUBSTITUTE(INDEX(貼り付け!$A$1:$BZ$3001,2430,$C$1)&amp;"",",",""),"¥",""),"￥","")),0))</f>
        <v/>
      </c>
      <c r="D2431">
        <f>IF($D$1=0,0,IFERROR(VALUE(SUBSTITUTE(SUBSTITUTE(SUBSTITUTE(INDEX(貼り付け!$A$1:$BZ$3001,2430,$D$1)&amp;"",",",""),"¥",""),"￥","")),0))</f>
        <v/>
      </c>
      <c r="E2431">
        <f>IF($E$1=0,0,IFERROR(VALUE(SUBSTITUTE(SUBSTITUTE(SUBSTITUTE(INDEX(貼り付け!$A$1:$BZ$3001,2430,$E$1)&amp;"",",",""),"¥",""),"￥","")),0))</f>
        <v/>
      </c>
      <c r="F2431">
        <f>IF($F$1=0,0,IFERROR(VALUE(SUBSTITUTE(SUBSTITUTE(SUBSTITUTE(INDEX(貼り付け!$A$1:$BZ$3001,2430,$F$1)&amp;"",",",""),"¥",""),"￥","")),0))</f>
        <v/>
      </c>
      <c r="G2431">
        <f>IF(ISNUMBER(B2431),YEAR(B2431),"")</f>
        <v/>
      </c>
      <c r="H2431">
        <f>IF(ISNUMBER(B2431),MONTH(B2431),"")</f>
        <v/>
      </c>
      <c r="I2431">
        <f>IFERROR(IF($B$1=0,"",IF(ISNUMBER(INDEX(貼り付け!$A$1:$BZ$3001,2430,$B$1)),"",SUBSTITUTE(SUBSTITUTE(SUBSTITUTE(SUBSTITUTE(TRIM(LEFT(INDEX(貼り付け!$A$1:$BZ$3001,2430,$B$1)&amp;"",FIND(" ",TRIM(INDEX(貼り付け!$A$1:$BZ$3001,2430,$B$1)&amp;"")&amp;" ")-1)),"/","-"),"年","-"),"月","-"),"日",""))),"")</f>
        <v/>
      </c>
      <c r="J2431">
        <f>IFERROR(MID(I2431,FIND("-",I2431)+1,99),"")</f>
        <v/>
      </c>
    </row>
    <row r="2432">
      <c r="B2432">
        <f>IFERROR(IF($B$1=0,"",IF(INDEX(貼り付け!$A$1:$BZ$3001,2431,$B$1)="","",IF(ISNUMBER(INDEX(貼り付け!$A$1:$BZ$3001,2431,$B$1)),INT(INDEX(貼り付け!$A$1:$BZ$3001,2431,$B$1)),DATE(VALUE(LEFT(I2432,FIND("-",I2432)-1)),VALUE(LEFT(J2432,FIND("-",J2432)-1)),VALUE(MID(J2432,FIND("-",J2432)+1,99)))))),"")</f>
        <v/>
      </c>
      <c r="C2432">
        <f>IF($C$1=0,0,IFERROR(VALUE(SUBSTITUTE(SUBSTITUTE(SUBSTITUTE(INDEX(貼り付け!$A$1:$BZ$3001,2431,$C$1)&amp;"",",",""),"¥",""),"￥","")),0))</f>
        <v/>
      </c>
      <c r="D2432">
        <f>IF($D$1=0,0,IFERROR(VALUE(SUBSTITUTE(SUBSTITUTE(SUBSTITUTE(INDEX(貼り付け!$A$1:$BZ$3001,2431,$D$1)&amp;"",",",""),"¥",""),"￥","")),0))</f>
        <v/>
      </c>
      <c r="E2432">
        <f>IF($E$1=0,0,IFERROR(VALUE(SUBSTITUTE(SUBSTITUTE(SUBSTITUTE(INDEX(貼り付け!$A$1:$BZ$3001,2431,$E$1)&amp;"",",",""),"¥",""),"￥","")),0))</f>
        <v/>
      </c>
      <c r="F2432">
        <f>IF($F$1=0,0,IFERROR(VALUE(SUBSTITUTE(SUBSTITUTE(SUBSTITUTE(INDEX(貼り付け!$A$1:$BZ$3001,2431,$F$1)&amp;"",",",""),"¥",""),"￥","")),0))</f>
        <v/>
      </c>
      <c r="G2432">
        <f>IF(ISNUMBER(B2432),YEAR(B2432),"")</f>
        <v/>
      </c>
      <c r="H2432">
        <f>IF(ISNUMBER(B2432),MONTH(B2432),"")</f>
        <v/>
      </c>
      <c r="I2432">
        <f>IFERROR(IF($B$1=0,"",IF(ISNUMBER(INDEX(貼り付け!$A$1:$BZ$3001,2431,$B$1)),"",SUBSTITUTE(SUBSTITUTE(SUBSTITUTE(SUBSTITUTE(TRIM(LEFT(INDEX(貼り付け!$A$1:$BZ$3001,2431,$B$1)&amp;"",FIND(" ",TRIM(INDEX(貼り付け!$A$1:$BZ$3001,2431,$B$1)&amp;"")&amp;" ")-1)),"/","-"),"年","-"),"月","-"),"日",""))),"")</f>
        <v/>
      </c>
      <c r="J2432">
        <f>IFERROR(MID(I2432,FIND("-",I2432)+1,99),"")</f>
        <v/>
      </c>
    </row>
    <row r="2433">
      <c r="B2433">
        <f>IFERROR(IF($B$1=0,"",IF(INDEX(貼り付け!$A$1:$BZ$3001,2432,$B$1)="","",IF(ISNUMBER(INDEX(貼り付け!$A$1:$BZ$3001,2432,$B$1)),INT(INDEX(貼り付け!$A$1:$BZ$3001,2432,$B$1)),DATE(VALUE(LEFT(I2433,FIND("-",I2433)-1)),VALUE(LEFT(J2433,FIND("-",J2433)-1)),VALUE(MID(J2433,FIND("-",J2433)+1,99)))))),"")</f>
        <v/>
      </c>
      <c r="C2433">
        <f>IF($C$1=0,0,IFERROR(VALUE(SUBSTITUTE(SUBSTITUTE(SUBSTITUTE(INDEX(貼り付け!$A$1:$BZ$3001,2432,$C$1)&amp;"",",",""),"¥",""),"￥","")),0))</f>
        <v/>
      </c>
      <c r="D2433">
        <f>IF($D$1=0,0,IFERROR(VALUE(SUBSTITUTE(SUBSTITUTE(SUBSTITUTE(INDEX(貼り付け!$A$1:$BZ$3001,2432,$D$1)&amp;"",",",""),"¥",""),"￥","")),0))</f>
        <v/>
      </c>
      <c r="E2433">
        <f>IF($E$1=0,0,IFERROR(VALUE(SUBSTITUTE(SUBSTITUTE(SUBSTITUTE(INDEX(貼り付け!$A$1:$BZ$3001,2432,$E$1)&amp;"",",",""),"¥",""),"￥","")),0))</f>
        <v/>
      </c>
      <c r="F2433">
        <f>IF($F$1=0,0,IFERROR(VALUE(SUBSTITUTE(SUBSTITUTE(SUBSTITUTE(INDEX(貼り付け!$A$1:$BZ$3001,2432,$F$1)&amp;"",",",""),"¥",""),"￥","")),0))</f>
        <v/>
      </c>
      <c r="G2433">
        <f>IF(ISNUMBER(B2433),YEAR(B2433),"")</f>
        <v/>
      </c>
      <c r="H2433">
        <f>IF(ISNUMBER(B2433),MONTH(B2433),"")</f>
        <v/>
      </c>
      <c r="I2433">
        <f>IFERROR(IF($B$1=0,"",IF(ISNUMBER(INDEX(貼り付け!$A$1:$BZ$3001,2432,$B$1)),"",SUBSTITUTE(SUBSTITUTE(SUBSTITUTE(SUBSTITUTE(TRIM(LEFT(INDEX(貼り付け!$A$1:$BZ$3001,2432,$B$1)&amp;"",FIND(" ",TRIM(INDEX(貼り付け!$A$1:$BZ$3001,2432,$B$1)&amp;"")&amp;" ")-1)),"/","-"),"年","-"),"月","-"),"日",""))),"")</f>
        <v/>
      </c>
      <c r="J2433">
        <f>IFERROR(MID(I2433,FIND("-",I2433)+1,99),"")</f>
        <v/>
      </c>
    </row>
    <row r="2434">
      <c r="B2434">
        <f>IFERROR(IF($B$1=0,"",IF(INDEX(貼り付け!$A$1:$BZ$3001,2433,$B$1)="","",IF(ISNUMBER(INDEX(貼り付け!$A$1:$BZ$3001,2433,$B$1)),INT(INDEX(貼り付け!$A$1:$BZ$3001,2433,$B$1)),DATE(VALUE(LEFT(I2434,FIND("-",I2434)-1)),VALUE(LEFT(J2434,FIND("-",J2434)-1)),VALUE(MID(J2434,FIND("-",J2434)+1,99)))))),"")</f>
        <v/>
      </c>
      <c r="C2434">
        <f>IF($C$1=0,0,IFERROR(VALUE(SUBSTITUTE(SUBSTITUTE(SUBSTITUTE(INDEX(貼り付け!$A$1:$BZ$3001,2433,$C$1)&amp;"",",",""),"¥",""),"￥","")),0))</f>
        <v/>
      </c>
      <c r="D2434">
        <f>IF($D$1=0,0,IFERROR(VALUE(SUBSTITUTE(SUBSTITUTE(SUBSTITUTE(INDEX(貼り付け!$A$1:$BZ$3001,2433,$D$1)&amp;"",",",""),"¥",""),"￥","")),0))</f>
        <v/>
      </c>
      <c r="E2434">
        <f>IF($E$1=0,0,IFERROR(VALUE(SUBSTITUTE(SUBSTITUTE(SUBSTITUTE(INDEX(貼り付け!$A$1:$BZ$3001,2433,$E$1)&amp;"",",",""),"¥",""),"￥","")),0))</f>
        <v/>
      </c>
      <c r="F2434">
        <f>IF($F$1=0,0,IFERROR(VALUE(SUBSTITUTE(SUBSTITUTE(SUBSTITUTE(INDEX(貼り付け!$A$1:$BZ$3001,2433,$F$1)&amp;"",",",""),"¥",""),"￥","")),0))</f>
        <v/>
      </c>
      <c r="G2434">
        <f>IF(ISNUMBER(B2434),YEAR(B2434),"")</f>
        <v/>
      </c>
      <c r="H2434">
        <f>IF(ISNUMBER(B2434),MONTH(B2434),"")</f>
        <v/>
      </c>
      <c r="I2434">
        <f>IFERROR(IF($B$1=0,"",IF(ISNUMBER(INDEX(貼り付け!$A$1:$BZ$3001,2433,$B$1)),"",SUBSTITUTE(SUBSTITUTE(SUBSTITUTE(SUBSTITUTE(TRIM(LEFT(INDEX(貼り付け!$A$1:$BZ$3001,2433,$B$1)&amp;"",FIND(" ",TRIM(INDEX(貼り付け!$A$1:$BZ$3001,2433,$B$1)&amp;"")&amp;" ")-1)),"/","-"),"年","-"),"月","-"),"日",""))),"")</f>
        <v/>
      </c>
      <c r="J2434">
        <f>IFERROR(MID(I2434,FIND("-",I2434)+1,99),"")</f>
        <v/>
      </c>
    </row>
    <row r="2435">
      <c r="B2435">
        <f>IFERROR(IF($B$1=0,"",IF(INDEX(貼り付け!$A$1:$BZ$3001,2434,$B$1)="","",IF(ISNUMBER(INDEX(貼り付け!$A$1:$BZ$3001,2434,$B$1)),INT(INDEX(貼り付け!$A$1:$BZ$3001,2434,$B$1)),DATE(VALUE(LEFT(I2435,FIND("-",I2435)-1)),VALUE(LEFT(J2435,FIND("-",J2435)-1)),VALUE(MID(J2435,FIND("-",J2435)+1,99)))))),"")</f>
        <v/>
      </c>
      <c r="C2435">
        <f>IF($C$1=0,0,IFERROR(VALUE(SUBSTITUTE(SUBSTITUTE(SUBSTITUTE(INDEX(貼り付け!$A$1:$BZ$3001,2434,$C$1)&amp;"",",",""),"¥",""),"￥","")),0))</f>
        <v/>
      </c>
      <c r="D2435">
        <f>IF($D$1=0,0,IFERROR(VALUE(SUBSTITUTE(SUBSTITUTE(SUBSTITUTE(INDEX(貼り付け!$A$1:$BZ$3001,2434,$D$1)&amp;"",",",""),"¥",""),"￥","")),0))</f>
        <v/>
      </c>
      <c r="E2435">
        <f>IF($E$1=0,0,IFERROR(VALUE(SUBSTITUTE(SUBSTITUTE(SUBSTITUTE(INDEX(貼り付け!$A$1:$BZ$3001,2434,$E$1)&amp;"",",",""),"¥",""),"￥","")),0))</f>
        <v/>
      </c>
      <c r="F2435">
        <f>IF($F$1=0,0,IFERROR(VALUE(SUBSTITUTE(SUBSTITUTE(SUBSTITUTE(INDEX(貼り付け!$A$1:$BZ$3001,2434,$F$1)&amp;"",",",""),"¥",""),"￥","")),0))</f>
        <v/>
      </c>
      <c r="G2435">
        <f>IF(ISNUMBER(B2435),YEAR(B2435),"")</f>
        <v/>
      </c>
      <c r="H2435">
        <f>IF(ISNUMBER(B2435),MONTH(B2435),"")</f>
        <v/>
      </c>
      <c r="I2435">
        <f>IFERROR(IF($B$1=0,"",IF(ISNUMBER(INDEX(貼り付け!$A$1:$BZ$3001,2434,$B$1)),"",SUBSTITUTE(SUBSTITUTE(SUBSTITUTE(SUBSTITUTE(TRIM(LEFT(INDEX(貼り付け!$A$1:$BZ$3001,2434,$B$1)&amp;"",FIND(" ",TRIM(INDEX(貼り付け!$A$1:$BZ$3001,2434,$B$1)&amp;"")&amp;" ")-1)),"/","-"),"年","-"),"月","-"),"日",""))),"")</f>
        <v/>
      </c>
      <c r="J2435">
        <f>IFERROR(MID(I2435,FIND("-",I2435)+1,99),"")</f>
        <v/>
      </c>
    </row>
    <row r="2436">
      <c r="B2436">
        <f>IFERROR(IF($B$1=0,"",IF(INDEX(貼り付け!$A$1:$BZ$3001,2435,$B$1)="","",IF(ISNUMBER(INDEX(貼り付け!$A$1:$BZ$3001,2435,$B$1)),INT(INDEX(貼り付け!$A$1:$BZ$3001,2435,$B$1)),DATE(VALUE(LEFT(I2436,FIND("-",I2436)-1)),VALUE(LEFT(J2436,FIND("-",J2436)-1)),VALUE(MID(J2436,FIND("-",J2436)+1,99)))))),"")</f>
        <v/>
      </c>
      <c r="C2436">
        <f>IF($C$1=0,0,IFERROR(VALUE(SUBSTITUTE(SUBSTITUTE(SUBSTITUTE(INDEX(貼り付け!$A$1:$BZ$3001,2435,$C$1)&amp;"",",",""),"¥",""),"￥","")),0))</f>
        <v/>
      </c>
      <c r="D2436">
        <f>IF($D$1=0,0,IFERROR(VALUE(SUBSTITUTE(SUBSTITUTE(SUBSTITUTE(INDEX(貼り付け!$A$1:$BZ$3001,2435,$D$1)&amp;"",",",""),"¥",""),"￥","")),0))</f>
        <v/>
      </c>
      <c r="E2436">
        <f>IF($E$1=0,0,IFERROR(VALUE(SUBSTITUTE(SUBSTITUTE(SUBSTITUTE(INDEX(貼り付け!$A$1:$BZ$3001,2435,$E$1)&amp;"",",",""),"¥",""),"￥","")),0))</f>
        <v/>
      </c>
      <c r="F2436">
        <f>IF($F$1=0,0,IFERROR(VALUE(SUBSTITUTE(SUBSTITUTE(SUBSTITUTE(INDEX(貼り付け!$A$1:$BZ$3001,2435,$F$1)&amp;"",",",""),"¥",""),"￥","")),0))</f>
        <v/>
      </c>
      <c r="G2436">
        <f>IF(ISNUMBER(B2436),YEAR(B2436),"")</f>
        <v/>
      </c>
      <c r="H2436">
        <f>IF(ISNUMBER(B2436),MONTH(B2436),"")</f>
        <v/>
      </c>
      <c r="I2436">
        <f>IFERROR(IF($B$1=0,"",IF(ISNUMBER(INDEX(貼り付け!$A$1:$BZ$3001,2435,$B$1)),"",SUBSTITUTE(SUBSTITUTE(SUBSTITUTE(SUBSTITUTE(TRIM(LEFT(INDEX(貼り付け!$A$1:$BZ$3001,2435,$B$1)&amp;"",FIND(" ",TRIM(INDEX(貼り付け!$A$1:$BZ$3001,2435,$B$1)&amp;"")&amp;" ")-1)),"/","-"),"年","-"),"月","-"),"日",""))),"")</f>
        <v/>
      </c>
      <c r="J2436">
        <f>IFERROR(MID(I2436,FIND("-",I2436)+1,99),"")</f>
        <v/>
      </c>
    </row>
    <row r="2437">
      <c r="B2437">
        <f>IFERROR(IF($B$1=0,"",IF(INDEX(貼り付け!$A$1:$BZ$3001,2436,$B$1)="","",IF(ISNUMBER(INDEX(貼り付け!$A$1:$BZ$3001,2436,$B$1)),INT(INDEX(貼り付け!$A$1:$BZ$3001,2436,$B$1)),DATE(VALUE(LEFT(I2437,FIND("-",I2437)-1)),VALUE(LEFT(J2437,FIND("-",J2437)-1)),VALUE(MID(J2437,FIND("-",J2437)+1,99)))))),"")</f>
        <v/>
      </c>
      <c r="C2437">
        <f>IF($C$1=0,0,IFERROR(VALUE(SUBSTITUTE(SUBSTITUTE(SUBSTITUTE(INDEX(貼り付け!$A$1:$BZ$3001,2436,$C$1)&amp;"",",",""),"¥",""),"￥","")),0))</f>
        <v/>
      </c>
      <c r="D2437">
        <f>IF($D$1=0,0,IFERROR(VALUE(SUBSTITUTE(SUBSTITUTE(SUBSTITUTE(INDEX(貼り付け!$A$1:$BZ$3001,2436,$D$1)&amp;"",",",""),"¥",""),"￥","")),0))</f>
        <v/>
      </c>
      <c r="E2437">
        <f>IF($E$1=0,0,IFERROR(VALUE(SUBSTITUTE(SUBSTITUTE(SUBSTITUTE(INDEX(貼り付け!$A$1:$BZ$3001,2436,$E$1)&amp;"",",",""),"¥",""),"￥","")),0))</f>
        <v/>
      </c>
      <c r="F2437">
        <f>IF($F$1=0,0,IFERROR(VALUE(SUBSTITUTE(SUBSTITUTE(SUBSTITUTE(INDEX(貼り付け!$A$1:$BZ$3001,2436,$F$1)&amp;"",",",""),"¥",""),"￥","")),0))</f>
        <v/>
      </c>
      <c r="G2437">
        <f>IF(ISNUMBER(B2437),YEAR(B2437),"")</f>
        <v/>
      </c>
      <c r="H2437">
        <f>IF(ISNUMBER(B2437),MONTH(B2437),"")</f>
        <v/>
      </c>
      <c r="I2437">
        <f>IFERROR(IF($B$1=0,"",IF(ISNUMBER(INDEX(貼り付け!$A$1:$BZ$3001,2436,$B$1)),"",SUBSTITUTE(SUBSTITUTE(SUBSTITUTE(SUBSTITUTE(TRIM(LEFT(INDEX(貼り付け!$A$1:$BZ$3001,2436,$B$1)&amp;"",FIND(" ",TRIM(INDEX(貼り付け!$A$1:$BZ$3001,2436,$B$1)&amp;"")&amp;" ")-1)),"/","-"),"年","-"),"月","-"),"日",""))),"")</f>
        <v/>
      </c>
      <c r="J2437">
        <f>IFERROR(MID(I2437,FIND("-",I2437)+1,99),"")</f>
        <v/>
      </c>
    </row>
    <row r="2438">
      <c r="B2438">
        <f>IFERROR(IF($B$1=0,"",IF(INDEX(貼り付け!$A$1:$BZ$3001,2437,$B$1)="","",IF(ISNUMBER(INDEX(貼り付け!$A$1:$BZ$3001,2437,$B$1)),INT(INDEX(貼り付け!$A$1:$BZ$3001,2437,$B$1)),DATE(VALUE(LEFT(I2438,FIND("-",I2438)-1)),VALUE(LEFT(J2438,FIND("-",J2438)-1)),VALUE(MID(J2438,FIND("-",J2438)+1,99)))))),"")</f>
        <v/>
      </c>
      <c r="C2438">
        <f>IF($C$1=0,0,IFERROR(VALUE(SUBSTITUTE(SUBSTITUTE(SUBSTITUTE(INDEX(貼り付け!$A$1:$BZ$3001,2437,$C$1)&amp;"",",",""),"¥",""),"￥","")),0))</f>
        <v/>
      </c>
      <c r="D2438">
        <f>IF($D$1=0,0,IFERROR(VALUE(SUBSTITUTE(SUBSTITUTE(SUBSTITUTE(INDEX(貼り付け!$A$1:$BZ$3001,2437,$D$1)&amp;"",",",""),"¥",""),"￥","")),0))</f>
        <v/>
      </c>
      <c r="E2438">
        <f>IF($E$1=0,0,IFERROR(VALUE(SUBSTITUTE(SUBSTITUTE(SUBSTITUTE(INDEX(貼り付け!$A$1:$BZ$3001,2437,$E$1)&amp;"",",",""),"¥",""),"￥","")),0))</f>
        <v/>
      </c>
      <c r="F2438">
        <f>IF($F$1=0,0,IFERROR(VALUE(SUBSTITUTE(SUBSTITUTE(SUBSTITUTE(INDEX(貼り付け!$A$1:$BZ$3001,2437,$F$1)&amp;"",",",""),"¥",""),"￥","")),0))</f>
        <v/>
      </c>
      <c r="G2438">
        <f>IF(ISNUMBER(B2438),YEAR(B2438),"")</f>
        <v/>
      </c>
      <c r="H2438">
        <f>IF(ISNUMBER(B2438),MONTH(B2438),"")</f>
        <v/>
      </c>
      <c r="I2438">
        <f>IFERROR(IF($B$1=0,"",IF(ISNUMBER(INDEX(貼り付け!$A$1:$BZ$3001,2437,$B$1)),"",SUBSTITUTE(SUBSTITUTE(SUBSTITUTE(SUBSTITUTE(TRIM(LEFT(INDEX(貼り付け!$A$1:$BZ$3001,2437,$B$1)&amp;"",FIND(" ",TRIM(INDEX(貼り付け!$A$1:$BZ$3001,2437,$B$1)&amp;"")&amp;" ")-1)),"/","-"),"年","-"),"月","-"),"日",""))),"")</f>
        <v/>
      </c>
      <c r="J2438">
        <f>IFERROR(MID(I2438,FIND("-",I2438)+1,99),"")</f>
        <v/>
      </c>
    </row>
    <row r="2439">
      <c r="B2439">
        <f>IFERROR(IF($B$1=0,"",IF(INDEX(貼り付け!$A$1:$BZ$3001,2438,$B$1)="","",IF(ISNUMBER(INDEX(貼り付け!$A$1:$BZ$3001,2438,$B$1)),INT(INDEX(貼り付け!$A$1:$BZ$3001,2438,$B$1)),DATE(VALUE(LEFT(I2439,FIND("-",I2439)-1)),VALUE(LEFT(J2439,FIND("-",J2439)-1)),VALUE(MID(J2439,FIND("-",J2439)+1,99)))))),"")</f>
        <v/>
      </c>
      <c r="C2439">
        <f>IF($C$1=0,0,IFERROR(VALUE(SUBSTITUTE(SUBSTITUTE(SUBSTITUTE(INDEX(貼り付け!$A$1:$BZ$3001,2438,$C$1)&amp;"",",",""),"¥",""),"￥","")),0))</f>
        <v/>
      </c>
      <c r="D2439">
        <f>IF($D$1=0,0,IFERROR(VALUE(SUBSTITUTE(SUBSTITUTE(SUBSTITUTE(INDEX(貼り付け!$A$1:$BZ$3001,2438,$D$1)&amp;"",",",""),"¥",""),"￥","")),0))</f>
        <v/>
      </c>
      <c r="E2439">
        <f>IF($E$1=0,0,IFERROR(VALUE(SUBSTITUTE(SUBSTITUTE(SUBSTITUTE(INDEX(貼り付け!$A$1:$BZ$3001,2438,$E$1)&amp;"",",",""),"¥",""),"￥","")),0))</f>
        <v/>
      </c>
      <c r="F2439">
        <f>IF($F$1=0,0,IFERROR(VALUE(SUBSTITUTE(SUBSTITUTE(SUBSTITUTE(INDEX(貼り付け!$A$1:$BZ$3001,2438,$F$1)&amp;"",",",""),"¥",""),"￥","")),0))</f>
        <v/>
      </c>
      <c r="G2439">
        <f>IF(ISNUMBER(B2439),YEAR(B2439),"")</f>
        <v/>
      </c>
      <c r="H2439">
        <f>IF(ISNUMBER(B2439),MONTH(B2439),"")</f>
        <v/>
      </c>
      <c r="I2439">
        <f>IFERROR(IF($B$1=0,"",IF(ISNUMBER(INDEX(貼り付け!$A$1:$BZ$3001,2438,$B$1)),"",SUBSTITUTE(SUBSTITUTE(SUBSTITUTE(SUBSTITUTE(TRIM(LEFT(INDEX(貼り付け!$A$1:$BZ$3001,2438,$B$1)&amp;"",FIND(" ",TRIM(INDEX(貼り付け!$A$1:$BZ$3001,2438,$B$1)&amp;"")&amp;" ")-1)),"/","-"),"年","-"),"月","-"),"日",""))),"")</f>
        <v/>
      </c>
      <c r="J2439">
        <f>IFERROR(MID(I2439,FIND("-",I2439)+1,99),"")</f>
        <v/>
      </c>
    </row>
    <row r="2440">
      <c r="B2440">
        <f>IFERROR(IF($B$1=0,"",IF(INDEX(貼り付け!$A$1:$BZ$3001,2439,$B$1)="","",IF(ISNUMBER(INDEX(貼り付け!$A$1:$BZ$3001,2439,$B$1)),INT(INDEX(貼り付け!$A$1:$BZ$3001,2439,$B$1)),DATE(VALUE(LEFT(I2440,FIND("-",I2440)-1)),VALUE(LEFT(J2440,FIND("-",J2440)-1)),VALUE(MID(J2440,FIND("-",J2440)+1,99)))))),"")</f>
        <v/>
      </c>
      <c r="C2440">
        <f>IF($C$1=0,0,IFERROR(VALUE(SUBSTITUTE(SUBSTITUTE(SUBSTITUTE(INDEX(貼り付け!$A$1:$BZ$3001,2439,$C$1)&amp;"",",",""),"¥",""),"￥","")),0))</f>
        <v/>
      </c>
      <c r="D2440">
        <f>IF($D$1=0,0,IFERROR(VALUE(SUBSTITUTE(SUBSTITUTE(SUBSTITUTE(INDEX(貼り付け!$A$1:$BZ$3001,2439,$D$1)&amp;"",",",""),"¥",""),"￥","")),0))</f>
        <v/>
      </c>
      <c r="E2440">
        <f>IF($E$1=0,0,IFERROR(VALUE(SUBSTITUTE(SUBSTITUTE(SUBSTITUTE(INDEX(貼り付け!$A$1:$BZ$3001,2439,$E$1)&amp;"",",",""),"¥",""),"￥","")),0))</f>
        <v/>
      </c>
      <c r="F2440">
        <f>IF($F$1=0,0,IFERROR(VALUE(SUBSTITUTE(SUBSTITUTE(SUBSTITUTE(INDEX(貼り付け!$A$1:$BZ$3001,2439,$F$1)&amp;"",",",""),"¥",""),"￥","")),0))</f>
        <v/>
      </c>
      <c r="G2440">
        <f>IF(ISNUMBER(B2440),YEAR(B2440),"")</f>
        <v/>
      </c>
      <c r="H2440">
        <f>IF(ISNUMBER(B2440),MONTH(B2440),"")</f>
        <v/>
      </c>
      <c r="I2440">
        <f>IFERROR(IF($B$1=0,"",IF(ISNUMBER(INDEX(貼り付け!$A$1:$BZ$3001,2439,$B$1)),"",SUBSTITUTE(SUBSTITUTE(SUBSTITUTE(SUBSTITUTE(TRIM(LEFT(INDEX(貼り付け!$A$1:$BZ$3001,2439,$B$1)&amp;"",FIND(" ",TRIM(INDEX(貼り付け!$A$1:$BZ$3001,2439,$B$1)&amp;"")&amp;" ")-1)),"/","-"),"年","-"),"月","-"),"日",""))),"")</f>
        <v/>
      </c>
      <c r="J2440">
        <f>IFERROR(MID(I2440,FIND("-",I2440)+1,99),"")</f>
        <v/>
      </c>
    </row>
    <row r="2441">
      <c r="B2441">
        <f>IFERROR(IF($B$1=0,"",IF(INDEX(貼り付け!$A$1:$BZ$3001,2440,$B$1)="","",IF(ISNUMBER(INDEX(貼り付け!$A$1:$BZ$3001,2440,$B$1)),INT(INDEX(貼り付け!$A$1:$BZ$3001,2440,$B$1)),DATE(VALUE(LEFT(I2441,FIND("-",I2441)-1)),VALUE(LEFT(J2441,FIND("-",J2441)-1)),VALUE(MID(J2441,FIND("-",J2441)+1,99)))))),"")</f>
        <v/>
      </c>
      <c r="C2441">
        <f>IF($C$1=0,0,IFERROR(VALUE(SUBSTITUTE(SUBSTITUTE(SUBSTITUTE(INDEX(貼り付け!$A$1:$BZ$3001,2440,$C$1)&amp;"",",",""),"¥",""),"￥","")),0))</f>
        <v/>
      </c>
      <c r="D2441">
        <f>IF($D$1=0,0,IFERROR(VALUE(SUBSTITUTE(SUBSTITUTE(SUBSTITUTE(INDEX(貼り付け!$A$1:$BZ$3001,2440,$D$1)&amp;"",",",""),"¥",""),"￥","")),0))</f>
        <v/>
      </c>
      <c r="E2441">
        <f>IF($E$1=0,0,IFERROR(VALUE(SUBSTITUTE(SUBSTITUTE(SUBSTITUTE(INDEX(貼り付け!$A$1:$BZ$3001,2440,$E$1)&amp;"",",",""),"¥",""),"￥","")),0))</f>
        <v/>
      </c>
      <c r="F2441">
        <f>IF($F$1=0,0,IFERROR(VALUE(SUBSTITUTE(SUBSTITUTE(SUBSTITUTE(INDEX(貼り付け!$A$1:$BZ$3001,2440,$F$1)&amp;"",",",""),"¥",""),"￥","")),0))</f>
        <v/>
      </c>
      <c r="G2441">
        <f>IF(ISNUMBER(B2441),YEAR(B2441),"")</f>
        <v/>
      </c>
      <c r="H2441">
        <f>IF(ISNUMBER(B2441),MONTH(B2441),"")</f>
        <v/>
      </c>
      <c r="I2441">
        <f>IFERROR(IF($B$1=0,"",IF(ISNUMBER(INDEX(貼り付け!$A$1:$BZ$3001,2440,$B$1)),"",SUBSTITUTE(SUBSTITUTE(SUBSTITUTE(SUBSTITUTE(TRIM(LEFT(INDEX(貼り付け!$A$1:$BZ$3001,2440,$B$1)&amp;"",FIND(" ",TRIM(INDEX(貼り付け!$A$1:$BZ$3001,2440,$B$1)&amp;"")&amp;" ")-1)),"/","-"),"年","-"),"月","-"),"日",""))),"")</f>
        <v/>
      </c>
      <c r="J2441">
        <f>IFERROR(MID(I2441,FIND("-",I2441)+1,99),"")</f>
        <v/>
      </c>
    </row>
    <row r="2442">
      <c r="B2442">
        <f>IFERROR(IF($B$1=0,"",IF(INDEX(貼り付け!$A$1:$BZ$3001,2441,$B$1)="","",IF(ISNUMBER(INDEX(貼り付け!$A$1:$BZ$3001,2441,$B$1)),INT(INDEX(貼り付け!$A$1:$BZ$3001,2441,$B$1)),DATE(VALUE(LEFT(I2442,FIND("-",I2442)-1)),VALUE(LEFT(J2442,FIND("-",J2442)-1)),VALUE(MID(J2442,FIND("-",J2442)+1,99)))))),"")</f>
        <v/>
      </c>
      <c r="C2442">
        <f>IF($C$1=0,0,IFERROR(VALUE(SUBSTITUTE(SUBSTITUTE(SUBSTITUTE(INDEX(貼り付け!$A$1:$BZ$3001,2441,$C$1)&amp;"",",",""),"¥",""),"￥","")),0))</f>
        <v/>
      </c>
      <c r="D2442">
        <f>IF($D$1=0,0,IFERROR(VALUE(SUBSTITUTE(SUBSTITUTE(SUBSTITUTE(INDEX(貼り付け!$A$1:$BZ$3001,2441,$D$1)&amp;"",",",""),"¥",""),"￥","")),0))</f>
        <v/>
      </c>
      <c r="E2442">
        <f>IF($E$1=0,0,IFERROR(VALUE(SUBSTITUTE(SUBSTITUTE(SUBSTITUTE(INDEX(貼り付け!$A$1:$BZ$3001,2441,$E$1)&amp;"",",",""),"¥",""),"￥","")),0))</f>
        <v/>
      </c>
      <c r="F2442">
        <f>IF($F$1=0,0,IFERROR(VALUE(SUBSTITUTE(SUBSTITUTE(SUBSTITUTE(INDEX(貼り付け!$A$1:$BZ$3001,2441,$F$1)&amp;"",",",""),"¥",""),"￥","")),0))</f>
        <v/>
      </c>
      <c r="G2442">
        <f>IF(ISNUMBER(B2442),YEAR(B2442),"")</f>
        <v/>
      </c>
      <c r="H2442">
        <f>IF(ISNUMBER(B2442),MONTH(B2442),"")</f>
        <v/>
      </c>
      <c r="I2442">
        <f>IFERROR(IF($B$1=0,"",IF(ISNUMBER(INDEX(貼り付け!$A$1:$BZ$3001,2441,$B$1)),"",SUBSTITUTE(SUBSTITUTE(SUBSTITUTE(SUBSTITUTE(TRIM(LEFT(INDEX(貼り付け!$A$1:$BZ$3001,2441,$B$1)&amp;"",FIND(" ",TRIM(INDEX(貼り付け!$A$1:$BZ$3001,2441,$B$1)&amp;"")&amp;" ")-1)),"/","-"),"年","-"),"月","-"),"日",""))),"")</f>
        <v/>
      </c>
      <c r="J2442">
        <f>IFERROR(MID(I2442,FIND("-",I2442)+1,99),"")</f>
        <v/>
      </c>
    </row>
    <row r="2443">
      <c r="B2443">
        <f>IFERROR(IF($B$1=0,"",IF(INDEX(貼り付け!$A$1:$BZ$3001,2442,$B$1)="","",IF(ISNUMBER(INDEX(貼り付け!$A$1:$BZ$3001,2442,$B$1)),INT(INDEX(貼り付け!$A$1:$BZ$3001,2442,$B$1)),DATE(VALUE(LEFT(I2443,FIND("-",I2443)-1)),VALUE(LEFT(J2443,FIND("-",J2443)-1)),VALUE(MID(J2443,FIND("-",J2443)+1,99)))))),"")</f>
        <v/>
      </c>
      <c r="C2443">
        <f>IF($C$1=0,0,IFERROR(VALUE(SUBSTITUTE(SUBSTITUTE(SUBSTITUTE(INDEX(貼り付け!$A$1:$BZ$3001,2442,$C$1)&amp;"",",",""),"¥",""),"￥","")),0))</f>
        <v/>
      </c>
      <c r="D2443">
        <f>IF($D$1=0,0,IFERROR(VALUE(SUBSTITUTE(SUBSTITUTE(SUBSTITUTE(INDEX(貼り付け!$A$1:$BZ$3001,2442,$D$1)&amp;"",",",""),"¥",""),"￥","")),0))</f>
        <v/>
      </c>
      <c r="E2443">
        <f>IF($E$1=0,0,IFERROR(VALUE(SUBSTITUTE(SUBSTITUTE(SUBSTITUTE(INDEX(貼り付け!$A$1:$BZ$3001,2442,$E$1)&amp;"",",",""),"¥",""),"￥","")),0))</f>
        <v/>
      </c>
      <c r="F2443">
        <f>IF($F$1=0,0,IFERROR(VALUE(SUBSTITUTE(SUBSTITUTE(SUBSTITUTE(INDEX(貼り付け!$A$1:$BZ$3001,2442,$F$1)&amp;"",",",""),"¥",""),"￥","")),0))</f>
        <v/>
      </c>
      <c r="G2443">
        <f>IF(ISNUMBER(B2443),YEAR(B2443),"")</f>
        <v/>
      </c>
      <c r="H2443">
        <f>IF(ISNUMBER(B2443),MONTH(B2443),"")</f>
        <v/>
      </c>
      <c r="I2443">
        <f>IFERROR(IF($B$1=0,"",IF(ISNUMBER(INDEX(貼り付け!$A$1:$BZ$3001,2442,$B$1)),"",SUBSTITUTE(SUBSTITUTE(SUBSTITUTE(SUBSTITUTE(TRIM(LEFT(INDEX(貼り付け!$A$1:$BZ$3001,2442,$B$1)&amp;"",FIND(" ",TRIM(INDEX(貼り付け!$A$1:$BZ$3001,2442,$B$1)&amp;"")&amp;" ")-1)),"/","-"),"年","-"),"月","-"),"日",""))),"")</f>
        <v/>
      </c>
      <c r="J2443">
        <f>IFERROR(MID(I2443,FIND("-",I2443)+1,99),"")</f>
        <v/>
      </c>
    </row>
    <row r="2444">
      <c r="B2444">
        <f>IFERROR(IF($B$1=0,"",IF(INDEX(貼り付け!$A$1:$BZ$3001,2443,$B$1)="","",IF(ISNUMBER(INDEX(貼り付け!$A$1:$BZ$3001,2443,$B$1)),INT(INDEX(貼り付け!$A$1:$BZ$3001,2443,$B$1)),DATE(VALUE(LEFT(I2444,FIND("-",I2444)-1)),VALUE(LEFT(J2444,FIND("-",J2444)-1)),VALUE(MID(J2444,FIND("-",J2444)+1,99)))))),"")</f>
        <v/>
      </c>
      <c r="C2444">
        <f>IF($C$1=0,0,IFERROR(VALUE(SUBSTITUTE(SUBSTITUTE(SUBSTITUTE(INDEX(貼り付け!$A$1:$BZ$3001,2443,$C$1)&amp;"",",",""),"¥",""),"￥","")),0))</f>
        <v/>
      </c>
      <c r="D2444">
        <f>IF($D$1=0,0,IFERROR(VALUE(SUBSTITUTE(SUBSTITUTE(SUBSTITUTE(INDEX(貼り付け!$A$1:$BZ$3001,2443,$D$1)&amp;"",",",""),"¥",""),"￥","")),0))</f>
        <v/>
      </c>
      <c r="E2444">
        <f>IF($E$1=0,0,IFERROR(VALUE(SUBSTITUTE(SUBSTITUTE(SUBSTITUTE(INDEX(貼り付け!$A$1:$BZ$3001,2443,$E$1)&amp;"",",",""),"¥",""),"￥","")),0))</f>
        <v/>
      </c>
      <c r="F2444">
        <f>IF($F$1=0,0,IFERROR(VALUE(SUBSTITUTE(SUBSTITUTE(SUBSTITUTE(INDEX(貼り付け!$A$1:$BZ$3001,2443,$F$1)&amp;"",",",""),"¥",""),"￥","")),0))</f>
        <v/>
      </c>
      <c r="G2444">
        <f>IF(ISNUMBER(B2444),YEAR(B2444),"")</f>
        <v/>
      </c>
      <c r="H2444">
        <f>IF(ISNUMBER(B2444),MONTH(B2444),"")</f>
        <v/>
      </c>
      <c r="I2444">
        <f>IFERROR(IF($B$1=0,"",IF(ISNUMBER(INDEX(貼り付け!$A$1:$BZ$3001,2443,$B$1)),"",SUBSTITUTE(SUBSTITUTE(SUBSTITUTE(SUBSTITUTE(TRIM(LEFT(INDEX(貼り付け!$A$1:$BZ$3001,2443,$B$1)&amp;"",FIND(" ",TRIM(INDEX(貼り付け!$A$1:$BZ$3001,2443,$B$1)&amp;"")&amp;" ")-1)),"/","-"),"年","-"),"月","-"),"日",""))),"")</f>
        <v/>
      </c>
      <c r="J2444">
        <f>IFERROR(MID(I2444,FIND("-",I2444)+1,99),"")</f>
        <v/>
      </c>
    </row>
    <row r="2445">
      <c r="B2445">
        <f>IFERROR(IF($B$1=0,"",IF(INDEX(貼り付け!$A$1:$BZ$3001,2444,$B$1)="","",IF(ISNUMBER(INDEX(貼り付け!$A$1:$BZ$3001,2444,$B$1)),INT(INDEX(貼り付け!$A$1:$BZ$3001,2444,$B$1)),DATE(VALUE(LEFT(I2445,FIND("-",I2445)-1)),VALUE(LEFT(J2445,FIND("-",J2445)-1)),VALUE(MID(J2445,FIND("-",J2445)+1,99)))))),"")</f>
        <v/>
      </c>
      <c r="C2445">
        <f>IF($C$1=0,0,IFERROR(VALUE(SUBSTITUTE(SUBSTITUTE(SUBSTITUTE(INDEX(貼り付け!$A$1:$BZ$3001,2444,$C$1)&amp;"",",",""),"¥",""),"￥","")),0))</f>
        <v/>
      </c>
      <c r="D2445">
        <f>IF($D$1=0,0,IFERROR(VALUE(SUBSTITUTE(SUBSTITUTE(SUBSTITUTE(INDEX(貼り付け!$A$1:$BZ$3001,2444,$D$1)&amp;"",",",""),"¥",""),"￥","")),0))</f>
        <v/>
      </c>
      <c r="E2445">
        <f>IF($E$1=0,0,IFERROR(VALUE(SUBSTITUTE(SUBSTITUTE(SUBSTITUTE(INDEX(貼り付け!$A$1:$BZ$3001,2444,$E$1)&amp;"",",",""),"¥",""),"￥","")),0))</f>
        <v/>
      </c>
      <c r="F2445">
        <f>IF($F$1=0,0,IFERROR(VALUE(SUBSTITUTE(SUBSTITUTE(SUBSTITUTE(INDEX(貼り付け!$A$1:$BZ$3001,2444,$F$1)&amp;"",",",""),"¥",""),"￥","")),0))</f>
        <v/>
      </c>
      <c r="G2445">
        <f>IF(ISNUMBER(B2445),YEAR(B2445),"")</f>
        <v/>
      </c>
      <c r="H2445">
        <f>IF(ISNUMBER(B2445),MONTH(B2445),"")</f>
        <v/>
      </c>
      <c r="I2445">
        <f>IFERROR(IF($B$1=0,"",IF(ISNUMBER(INDEX(貼り付け!$A$1:$BZ$3001,2444,$B$1)),"",SUBSTITUTE(SUBSTITUTE(SUBSTITUTE(SUBSTITUTE(TRIM(LEFT(INDEX(貼り付け!$A$1:$BZ$3001,2444,$B$1)&amp;"",FIND(" ",TRIM(INDEX(貼り付け!$A$1:$BZ$3001,2444,$B$1)&amp;"")&amp;" ")-1)),"/","-"),"年","-"),"月","-"),"日",""))),"")</f>
        <v/>
      </c>
      <c r="J2445">
        <f>IFERROR(MID(I2445,FIND("-",I2445)+1,99),"")</f>
        <v/>
      </c>
    </row>
    <row r="2446">
      <c r="B2446">
        <f>IFERROR(IF($B$1=0,"",IF(INDEX(貼り付け!$A$1:$BZ$3001,2445,$B$1)="","",IF(ISNUMBER(INDEX(貼り付け!$A$1:$BZ$3001,2445,$B$1)),INT(INDEX(貼り付け!$A$1:$BZ$3001,2445,$B$1)),DATE(VALUE(LEFT(I2446,FIND("-",I2446)-1)),VALUE(LEFT(J2446,FIND("-",J2446)-1)),VALUE(MID(J2446,FIND("-",J2446)+1,99)))))),"")</f>
        <v/>
      </c>
      <c r="C2446">
        <f>IF($C$1=0,0,IFERROR(VALUE(SUBSTITUTE(SUBSTITUTE(SUBSTITUTE(INDEX(貼り付け!$A$1:$BZ$3001,2445,$C$1)&amp;"",",",""),"¥",""),"￥","")),0))</f>
        <v/>
      </c>
      <c r="D2446">
        <f>IF($D$1=0,0,IFERROR(VALUE(SUBSTITUTE(SUBSTITUTE(SUBSTITUTE(INDEX(貼り付け!$A$1:$BZ$3001,2445,$D$1)&amp;"",",",""),"¥",""),"￥","")),0))</f>
        <v/>
      </c>
      <c r="E2446">
        <f>IF($E$1=0,0,IFERROR(VALUE(SUBSTITUTE(SUBSTITUTE(SUBSTITUTE(INDEX(貼り付け!$A$1:$BZ$3001,2445,$E$1)&amp;"",",",""),"¥",""),"￥","")),0))</f>
        <v/>
      </c>
      <c r="F2446">
        <f>IF($F$1=0,0,IFERROR(VALUE(SUBSTITUTE(SUBSTITUTE(SUBSTITUTE(INDEX(貼り付け!$A$1:$BZ$3001,2445,$F$1)&amp;"",",",""),"¥",""),"￥","")),0))</f>
        <v/>
      </c>
      <c r="G2446">
        <f>IF(ISNUMBER(B2446),YEAR(B2446),"")</f>
        <v/>
      </c>
      <c r="H2446">
        <f>IF(ISNUMBER(B2446),MONTH(B2446),"")</f>
        <v/>
      </c>
      <c r="I2446">
        <f>IFERROR(IF($B$1=0,"",IF(ISNUMBER(INDEX(貼り付け!$A$1:$BZ$3001,2445,$B$1)),"",SUBSTITUTE(SUBSTITUTE(SUBSTITUTE(SUBSTITUTE(TRIM(LEFT(INDEX(貼り付け!$A$1:$BZ$3001,2445,$B$1)&amp;"",FIND(" ",TRIM(INDEX(貼り付け!$A$1:$BZ$3001,2445,$B$1)&amp;"")&amp;" ")-1)),"/","-"),"年","-"),"月","-"),"日",""))),"")</f>
        <v/>
      </c>
      <c r="J2446">
        <f>IFERROR(MID(I2446,FIND("-",I2446)+1,99),"")</f>
        <v/>
      </c>
    </row>
    <row r="2447">
      <c r="B2447">
        <f>IFERROR(IF($B$1=0,"",IF(INDEX(貼り付け!$A$1:$BZ$3001,2446,$B$1)="","",IF(ISNUMBER(INDEX(貼り付け!$A$1:$BZ$3001,2446,$B$1)),INT(INDEX(貼り付け!$A$1:$BZ$3001,2446,$B$1)),DATE(VALUE(LEFT(I2447,FIND("-",I2447)-1)),VALUE(LEFT(J2447,FIND("-",J2447)-1)),VALUE(MID(J2447,FIND("-",J2447)+1,99)))))),"")</f>
        <v/>
      </c>
      <c r="C2447">
        <f>IF($C$1=0,0,IFERROR(VALUE(SUBSTITUTE(SUBSTITUTE(SUBSTITUTE(INDEX(貼り付け!$A$1:$BZ$3001,2446,$C$1)&amp;"",",",""),"¥",""),"￥","")),0))</f>
        <v/>
      </c>
      <c r="D2447">
        <f>IF($D$1=0,0,IFERROR(VALUE(SUBSTITUTE(SUBSTITUTE(SUBSTITUTE(INDEX(貼り付け!$A$1:$BZ$3001,2446,$D$1)&amp;"",",",""),"¥",""),"￥","")),0))</f>
        <v/>
      </c>
      <c r="E2447">
        <f>IF($E$1=0,0,IFERROR(VALUE(SUBSTITUTE(SUBSTITUTE(SUBSTITUTE(INDEX(貼り付け!$A$1:$BZ$3001,2446,$E$1)&amp;"",",",""),"¥",""),"￥","")),0))</f>
        <v/>
      </c>
      <c r="F2447">
        <f>IF($F$1=0,0,IFERROR(VALUE(SUBSTITUTE(SUBSTITUTE(SUBSTITUTE(INDEX(貼り付け!$A$1:$BZ$3001,2446,$F$1)&amp;"",",",""),"¥",""),"￥","")),0))</f>
        <v/>
      </c>
      <c r="G2447">
        <f>IF(ISNUMBER(B2447),YEAR(B2447),"")</f>
        <v/>
      </c>
      <c r="H2447">
        <f>IF(ISNUMBER(B2447),MONTH(B2447),"")</f>
        <v/>
      </c>
      <c r="I2447">
        <f>IFERROR(IF($B$1=0,"",IF(ISNUMBER(INDEX(貼り付け!$A$1:$BZ$3001,2446,$B$1)),"",SUBSTITUTE(SUBSTITUTE(SUBSTITUTE(SUBSTITUTE(TRIM(LEFT(INDEX(貼り付け!$A$1:$BZ$3001,2446,$B$1)&amp;"",FIND(" ",TRIM(INDEX(貼り付け!$A$1:$BZ$3001,2446,$B$1)&amp;"")&amp;" ")-1)),"/","-"),"年","-"),"月","-"),"日",""))),"")</f>
        <v/>
      </c>
      <c r="J2447">
        <f>IFERROR(MID(I2447,FIND("-",I2447)+1,99),"")</f>
        <v/>
      </c>
    </row>
    <row r="2448">
      <c r="B2448">
        <f>IFERROR(IF($B$1=0,"",IF(INDEX(貼り付け!$A$1:$BZ$3001,2447,$B$1)="","",IF(ISNUMBER(INDEX(貼り付け!$A$1:$BZ$3001,2447,$B$1)),INT(INDEX(貼り付け!$A$1:$BZ$3001,2447,$B$1)),DATE(VALUE(LEFT(I2448,FIND("-",I2448)-1)),VALUE(LEFT(J2448,FIND("-",J2448)-1)),VALUE(MID(J2448,FIND("-",J2448)+1,99)))))),"")</f>
        <v/>
      </c>
      <c r="C2448">
        <f>IF($C$1=0,0,IFERROR(VALUE(SUBSTITUTE(SUBSTITUTE(SUBSTITUTE(INDEX(貼り付け!$A$1:$BZ$3001,2447,$C$1)&amp;"",",",""),"¥",""),"￥","")),0))</f>
        <v/>
      </c>
      <c r="D2448">
        <f>IF($D$1=0,0,IFERROR(VALUE(SUBSTITUTE(SUBSTITUTE(SUBSTITUTE(INDEX(貼り付け!$A$1:$BZ$3001,2447,$D$1)&amp;"",",",""),"¥",""),"￥","")),0))</f>
        <v/>
      </c>
      <c r="E2448">
        <f>IF($E$1=0,0,IFERROR(VALUE(SUBSTITUTE(SUBSTITUTE(SUBSTITUTE(INDEX(貼り付け!$A$1:$BZ$3001,2447,$E$1)&amp;"",",",""),"¥",""),"￥","")),0))</f>
        <v/>
      </c>
      <c r="F2448">
        <f>IF($F$1=0,0,IFERROR(VALUE(SUBSTITUTE(SUBSTITUTE(SUBSTITUTE(INDEX(貼り付け!$A$1:$BZ$3001,2447,$F$1)&amp;"",",",""),"¥",""),"￥","")),0))</f>
        <v/>
      </c>
      <c r="G2448">
        <f>IF(ISNUMBER(B2448),YEAR(B2448),"")</f>
        <v/>
      </c>
      <c r="H2448">
        <f>IF(ISNUMBER(B2448),MONTH(B2448),"")</f>
        <v/>
      </c>
      <c r="I2448">
        <f>IFERROR(IF($B$1=0,"",IF(ISNUMBER(INDEX(貼り付け!$A$1:$BZ$3001,2447,$B$1)),"",SUBSTITUTE(SUBSTITUTE(SUBSTITUTE(SUBSTITUTE(TRIM(LEFT(INDEX(貼り付け!$A$1:$BZ$3001,2447,$B$1)&amp;"",FIND(" ",TRIM(INDEX(貼り付け!$A$1:$BZ$3001,2447,$B$1)&amp;"")&amp;" ")-1)),"/","-"),"年","-"),"月","-"),"日",""))),"")</f>
        <v/>
      </c>
      <c r="J2448">
        <f>IFERROR(MID(I2448,FIND("-",I2448)+1,99),"")</f>
        <v/>
      </c>
    </row>
    <row r="2449">
      <c r="B2449">
        <f>IFERROR(IF($B$1=0,"",IF(INDEX(貼り付け!$A$1:$BZ$3001,2448,$B$1)="","",IF(ISNUMBER(INDEX(貼り付け!$A$1:$BZ$3001,2448,$B$1)),INT(INDEX(貼り付け!$A$1:$BZ$3001,2448,$B$1)),DATE(VALUE(LEFT(I2449,FIND("-",I2449)-1)),VALUE(LEFT(J2449,FIND("-",J2449)-1)),VALUE(MID(J2449,FIND("-",J2449)+1,99)))))),"")</f>
        <v/>
      </c>
      <c r="C2449">
        <f>IF($C$1=0,0,IFERROR(VALUE(SUBSTITUTE(SUBSTITUTE(SUBSTITUTE(INDEX(貼り付け!$A$1:$BZ$3001,2448,$C$1)&amp;"",",",""),"¥",""),"￥","")),0))</f>
        <v/>
      </c>
      <c r="D2449">
        <f>IF($D$1=0,0,IFERROR(VALUE(SUBSTITUTE(SUBSTITUTE(SUBSTITUTE(INDEX(貼り付け!$A$1:$BZ$3001,2448,$D$1)&amp;"",",",""),"¥",""),"￥","")),0))</f>
        <v/>
      </c>
      <c r="E2449">
        <f>IF($E$1=0,0,IFERROR(VALUE(SUBSTITUTE(SUBSTITUTE(SUBSTITUTE(INDEX(貼り付け!$A$1:$BZ$3001,2448,$E$1)&amp;"",",",""),"¥",""),"￥","")),0))</f>
        <v/>
      </c>
      <c r="F2449">
        <f>IF($F$1=0,0,IFERROR(VALUE(SUBSTITUTE(SUBSTITUTE(SUBSTITUTE(INDEX(貼り付け!$A$1:$BZ$3001,2448,$F$1)&amp;"",",",""),"¥",""),"￥","")),0))</f>
        <v/>
      </c>
      <c r="G2449">
        <f>IF(ISNUMBER(B2449),YEAR(B2449),"")</f>
        <v/>
      </c>
      <c r="H2449">
        <f>IF(ISNUMBER(B2449),MONTH(B2449),"")</f>
        <v/>
      </c>
      <c r="I2449">
        <f>IFERROR(IF($B$1=0,"",IF(ISNUMBER(INDEX(貼り付け!$A$1:$BZ$3001,2448,$B$1)),"",SUBSTITUTE(SUBSTITUTE(SUBSTITUTE(SUBSTITUTE(TRIM(LEFT(INDEX(貼り付け!$A$1:$BZ$3001,2448,$B$1)&amp;"",FIND(" ",TRIM(INDEX(貼り付け!$A$1:$BZ$3001,2448,$B$1)&amp;"")&amp;" ")-1)),"/","-"),"年","-"),"月","-"),"日",""))),"")</f>
        <v/>
      </c>
      <c r="J2449">
        <f>IFERROR(MID(I2449,FIND("-",I2449)+1,99),"")</f>
        <v/>
      </c>
    </row>
    <row r="2450">
      <c r="B2450">
        <f>IFERROR(IF($B$1=0,"",IF(INDEX(貼り付け!$A$1:$BZ$3001,2449,$B$1)="","",IF(ISNUMBER(INDEX(貼り付け!$A$1:$BZ$3001,2449,$B$1)),INT(INDEX(貼り付け!$A$1:$BZ$3001,2449,$B$1)),DATE(VALUE(LEFT(I2450,FIND("-",I2450)-1)),VALUE(LEFT(J2450,FIND("-",J2450)-1)),VALUE(MID(J2450,FIND("-",J2450)+1,99)))))),"")</f>
        <v/>
      </c>
      <c r="C2450">
        <f>IF($C$1=0,0,IFERROR(VALUE(SUBSTITUTE(SUBSTITUTE(SUBSTITUTE(INDEX(貼り付け!$A$1:$BZ$3001,2449,$C$1)&amp;"",",",""),"¥",""),"￥","")),0))</f>
        <v/>
      </c>
      <c r="D2450">
        <f>IF($D$1=0,0,IFERROR(VALUE(SUBSTITUTE(SUBSTITUTE(SUBSTITUTE(INDEX(貼り付け!$A$1:$BZ$3001,2449,$D$1)&amp;"",",",""),"¥",""),"￥","")),0))</f>
        <v/>
      </c>
      <c r="E2450">
        <f>IF($E$1=0,0,IFERROR(VALUE(SUBSTITUTE(SUBSTITUTE(SUBSTITUTE(INDEX(貼り付け!$A$1:$BZ$3001,2449,$E$1)&amp;"",",",""),"¥",""),"￥","")),0))</f>
        <v/>
      </c>
      <c r="F2450">
        <f>IF($F$1=0,0,IFERROR(VALUE(SUBSTITUTE(SUBSTITUTE(SUBSTITUTE(INDEX(貼り付け!$A$1:$BZ$3001,2449,$F$1)&amp;"",",",""),"¥",""),"￥","")),0))</f>
        <v/>
      </c>
      <c r="G2450">
        <f>IF(ISNUMBER(B2450),YEAR(B2450),"")</f>
        <v/>
      </c>
      <c r="H2450">
        <f>IF(ISNUMBER(B2450),MONTH(B2450),"")</f>
        <v/>
      </c>
      <c r="I2450">
        <f>IFERROR(IF($B$1=0,"",IF(ISNUMBER(INDEX(貼り付け!$A$1:$BZ$3001,2449,$B$1)),"",SUBSTITUTE(SUBSTITUTE(SUBSTITUTE(SUBSTITUTE(TRIM(LEFT(INDEX(貼り付け!$A$1:$BZ$3001,2449,$B$1)&amp;"",FIND(" ",TRIM(INDEX(貼り付け!$A$1:$BZ$3001,2449,$B$1)&amp;"")&amp;" ")-1)),"/","-"),"年","-"),"月","-"),"日",""))),"")</f>
        <v/>
      </c>
      <c r="J2450">
        <f>IFERROR(MID(I2450,FIND("-",I2450)+1,99),"")</f>
        <v/>
      </c>
    </row>
    <row r="2451">
      <c r="B2451">
        <f>IFERROR(IF($B$1=0,"",IF(INDEX(貼り付け!$A$1:$BZ$3001,2450,$B$1)="","",IF(ISNUMBER(INDEX(貼り付け!$A$1:$BZ$3001,2450,$B$1)),INT(INDEX(貼り付け!$A$1:$BZ$3001,2450,$B$1)),DATE(VALUE(LEFT(I2451,FIND("-",I2451)-1)),VALUE(LEFT(J2451,FIND("-",J2451)-1)),VALUE(MID(J2451,FIND("-",J2451)+1,99)))))),"")</f>
        <v/>
      </c>
      <c r="C2451">
        <f>IF($C$1=0,0,IFERROR(VALUE(SUBSTITUTE(SUBSTITUTE(SUBSTITUTE(INDEX(貼り付け!$A$1:$BZ$3001,2450,$C$1)&amp;"",",",""),"¥",""),"￥","")),0))</f>
        <v/>
      </c>
      <c r="D2451">
        <f>IF($D$1=0,0,IFERROR(VALUE(SUBSTITUTE(SUBSTITUTE(SUBSTITUTE(INDEX(貼り付け!$A$1:$BZ$3001,2450,$D$1)&amp;"",",",""),"¥",""),"￥","")),0))</f>
        <v/>
      </c>
      <c r="E2451">
        <f>IF($E$1=0,0,IFERROR(VALUE(SUBSTITUTE(SUBSTITUTE(SUBSTITUTE(INDEX(貼り付け!$A$1:$BZ$3001,2450,$E$1)&amp;"",",",""),"¥",""),"￥","")),0))</f>
        <v/>
      </c>
      <c r="F2451">
        <f>IF($F$1=0,0,IFERROR(VALUE(SUBSTITUTE(SUBSTITUTE(SUBSTITUTE(INDEX(貼り付け!$A$1:$BZ$3001,2450,$F$1)&amp;"",",",""),"¥",""),"￥","")),0))</f>
        <v/>
      </c>
      <c r="G2451">
        <f>IF(ISNUMBER(B2451),YEAR(B2451),"")</f>
        <v/>
      </c>
      <c r="H2451">
        <f>IF(ISNUMBER(B2451),MONTH(B2451),"")</f>
        <v/>
      </c>
      <c r="I2451">
        <f>IFERROR(IF($B$1=0,"",IF(ISNUMBER(INDEX(貼り付け!$A$1:$BZ$3001,2450,$B$1)),"",SUBSTITUTE(SUBSTITUTE(SUBSTITUTE(SUBSTITUTE(TRIM(LEFT(INDEX(貼り付け!$A$1:$BZ$3001,2450,$B$1)&amp;"",FIND(" ",TRIM(INDEX(貼り付け!$A$1:$BZ$3001,2450,$B$1)&amp;"")&amp;" ")-1)),"/","-"),"年","-"),"月","-"),"日",""))),"")</f>
        <v/>
      </c>
      <c r="J2451">
        <f>IFERROR(MID(I2451,FIND("-",I2451)+1,99),"")</f>
        <v/>
      </c>
    </row>
    <row r="2452">
      <c r="B2452">
        <f>IFERROR(IF($B$1=0,"",IF(INDEX(貼り付け!$A$1:$BZ$3001,2451,$B$1)="","",IF(ISNUMBER(INDEX(貼り付け!$A$1:$BZ$3001,2451,$B$1)),INT(INDEX(貼り付け!$A$1:$BZ$3001,2451,$B$1)),DATE(VALUE(LEFT(I2452,FIND("-",I2452)-1)),VALUE(LEFT(J2452,FIND("-",J2452)-1)),VALUE(MID(J2452,FIND("-",J2452)+1,99)))))),"")</f>
        <v/>
      </c>
      <c r="C2452">
        <f>IF($C$1=0,0,IFERROR(VALUE(SUBSTITUTE(SUBSTITUTE(SUBSTITUTE(INDEX(貼り付け!$A$1:$BZ$3001,2451,$C$1)&amp;"",",",""),"¥",""),"￥","")),0))</f>
        <v/>
      </c>
      <c r="D2452">
        <f>IF($D$1=0,0,IFERROR(VALUE(SUBSTITUTE(SUBSTITUTE(SUBSTITUTE(INDEX(貼り付け!$A$1:$BZ$3001,2451,$D$1)&amp;"",",",""),"¥",""),"￥","")),0))</f>
        <v/>
      </c>
      <c r="E2452">
        <f>IF($E$1=0,0,IFERROR(VALUE(SUBSTITUTE(SUBSTITUTE(SUBSTITUTE(INDEX(貼り付け!$A$1:$BZ$3001,2451,$E$1)&amp;"",",",""),"¥",""),"￥","")),0))</f>
        <v/>
      </c>
      <c r="F2452">
        <f>IF($F$1=0,0,IFERROR(VALUE(SUBSTITUTE(SUBSTITUTE(SUBSTITUTE(INDEX(貼り付け!$A$1:$BZ$3001,2451,$F$1)&amp;"",",",""),"¥",""),"￥","")),0))</f>
        <v/>
      </c>
      <c r="G2452">
        <f>IF(ISNUMBER(B2452),YEAR(B2452),"")</f>
        <v/>
      </c>
      <c r="H2452">
        <f>IF(ISNUMBER(B2452),MONTH(B2452),"")</f>
        <v/>
      </c>
      <c r="I2452">
        <f>IFERROR(IF($B$1=0,"",IF(ISNUMBER(INDEX(貼り付け!$A$1:$BZ$3001,2451,$B$1)),"",SUBSTITUTE(SUBSTITUTE(SUBSTITUTE(SUBSTITUTE(TRIM(LEFT(INDEX(貼り付け!$A$1:$BZ$3001,2451,$B$1)&amp;"",FIND(" ",TRIM(INDEX(貼り付け!$A$1:$BZ$3001,2451,$B$1)&amp;"")&amp;" ")-1)),"/","-"),"年","-"),"月","-"),"日",""))),"")</f>
        <v/>
      </c>
      <c r="J2452">
        <f>IFERROR(MID(I2452,FIND("-",I2452)+1,99),"")</f>
        <v/>
      </c>
    </row>
    <row r="2453">
      <c r="B2453">
        <f>IFERROR(IF($B$1=0,"",IF(INDEX(貼り付け!$A$1:$BZ$3001,2452,$B$1)="","",IF(ISNUMBER(INDEX(貼り付け!$A$1:$BZ$3001,2452,$B$1)),INT(INDEX(貼り付け!$A$1:$BZ$3001,2452,$B$1)),DATE(VALUE(LEFT(I2453,FIND("-",I2453)-1)),VALUE(LEFT(J2453,FIND("-",J2453)-1)),VALUE(MID(J2453,FIND("-",J2453)+1,99)))))),"")</f>
        <v/>
      </c>
      <c r="C2453">
        <f>IF($C$1=0,0,IFERROR(VALUE(SUBSTITUTE(SUBSTITUTE(SUBSTITUTE(INDEX(貼り付け!$A$1:$BZ$3001,2452,$C$1)&amp;"",",",""),"¥",""),"￥","")),0))</f>
        <v/>
      </c>
      <c r="D2453">
        <f>IF($D$1=0,0,IFERROR(VALUE(SUBSTITUTE(SUBSTITUTE(SUBSTITUTE(INDEX(貼り付け!$A$1:$BZ$3001,2452,$D$1)&amp;"",",",""),"¥",""),"￥","")),0))</f>
        <v/>
      </c>
      <c r="E2453">
        <f>IF($E$1=0,0,IFERROR(VALUE(SUBSTITUTE(SUBSTITUTE(SUBSTITUTE(INDEX(貼り付け!$A$1:$BZ$3001,2452,$E$1)&amp;"",",",""),"¥",""),"￥","")),0))</f>
        <v/>
      </c>
      <c r="F2453">
        <f>IF($F$1=0,0,IFERROR(VALUE(SUBSTITUTE(SUBSTITUTE(SUBSTITUTE(INDEX(貼り付け!$A$1:$BZ$3001,2452,$F$1)&amp;"",",",""),"¥",""),"￥","")),0))</f>
        <v/>
      </c>
      <c r="G2453">
        <f>IF(ISNUMBER(B2453),YEAR(B2453),"")</f>
        <v/>
      </c>
      <c r="H2453">
        <f>IF(ISNUMBER(B2453),MONTH(B2453),"")</f>
        <v/>
      </c>
      <c r="I2453">
        <f>IFERROR(IF($B$1=0,"",IF(ISNUMBER(INDEX(貼り付け!$A$1:$BZ$3001,2452,$B$1)),"",SUBSTITUTE(SUBSTITUTE(SUBSTITUTE(SUBSTITUTE(TRIM(LEFT(INDEX(貼り付け!$A$1:$BZ$3001,2452,$B$1)&amp;"",FIND(" ",TRIM(INDEX(貼り付け!$A$1:$BZ$3001,2452,$B$1)&amp;"")&amp;" ")-1)),"/","-"),"年","-"),"月","-"),"日",""))),"")</f>
        <v/>
      </c>
      <c r="J2453">
        <f>IFERROR(MID(I2453,FIND("-",I2453)+1,99),"")</f>
        <v/>
      </c>
    </row>
    <row r="2454">
      <c r="B2454">
        <f>IFERROR(IF($B$1=0,"",IF(INDEX(貼り付け!$A$1:$BZ$3001,2453,$B$1)="","",IF(ISNUMBER(INDEX(貼り付け!$A$1:$BZ$3001,2453,$B$1)),INT(INDEX(貼り付け!$A$1:$BZ$3001,2453,$B$1)),DATE(VALUE(LEFT(I2454,FIND("-",I2454)-1)),VALUE(LEFT(J2454,FIND("-",J2454)-1)),VALUE(MID(J2454,FIND("-",J2454)+1,99)))))),"")</f>
        <v/>
      </c>
      <c r="C2454">
        <f>IF($C$1=0,0,IFERROR(VALUE(SUBSTITUTE(SUBSTITUTE(SUBSTITUTE(INDEX(貼り付け!$A$1:$BZ$3001,2453,$C$1)&amp;"",",",""),"¥",""),"￥","")),0))</f>
        <v/>
      </c>
      <c r="D2454">
        <f>IF($D$1=0,0,IFERROR(VALUE(SUBSTITUTE(SUBSTITUTE(SUBSTITUTE(INDEX(貼り付け!$A$1:$BZ$3001,2453,$D$1)&amp;"",",",""),"¥",""),"￥","")),0))</f>
        <v/>
      </c>
      <c r="E2454">
        <f>IF($E$1=0,0,IFERROR(VALUE(SUBSTITUTE(SUBSTITUTE(SUBSTITUTE(INDEX(貼り付け!$A$1:$BZ$3001,2453,$E$1)&amp;"",",",""),"¥",""),"￥","")),0))</f>
        <v/>
      </c>
      <c r="F2454">
        <f>IF($F$1=0,0,IFERROR(VALUE(SUBSTITUTE(SUBSTITUTE(SUBSTITUTE(INDEX(貼り付け!$A$1:$BZ$3001,2453,$F$1)&amp;"",",",""),"¥",""),"￥","")),0))</f>
        <v/>
      </c>
      <c r="G2454">
        <f>IF(ISNUMBER(B2454),YEAR(B2454),"")</f>
        <v/>
      </c>
      <c r="H2454">
        <f>IF(ISNUMBER(B2454),MONTH(B2454),"")</f>
        <v/>
      </c>
      <c r="I2454">
        <f>IFERROR(IF($B$1=0,"",IF(ISNUMBER(INDEX(貼り付け!$A$1:$BZ$3001,2453,$B$1)),"",SUBSTITUTE(SUBSTITUTE(SUBSTITUTE(SUBSTITUTE(TRIM(LEFT(INDEX(貼り付け!$A$1:$BZ$3001,2453,$B$1)&amp;"",FIND(" ",TRIM(INDEX(貼り付け!$A$1:$BZ$3001,2453,$B$1)&amp;"")&amp;" ")-1)),"/","-"),"年","-"),"月","-"),"日",""))),"")</f>
        <v/>
      </c>
      <c r="J2454">
        <f>IFERROR(MID(I2454,FIND("-",I2454)+1,99),"")</f>
        <v/>
      </c>
    </row>
    <row r="2455">
      <c r="B2455">
        <f>IFERROR(IF($B$1=0,"",IF(INDEX(貼り付け!$A$1:$BZ$3001,2454,$B$1)="","",IF(ISNUMBER(INDEX(貼り付け!$A$1:$BZ$3001,2454,$B$1)),INT(INDEX(貼り付け!$A$1:$BZ$3001,2454,$B$1)),DATE(VALUE(LEFT(I2455,FIND("-",I2455)-1)),VALUE(LEFT(J2455,FIND("-",J2455)-1)),VALUE(MID(J2455,FIND("-",J2455)+1,99)))))),"")</f>
        <v/>
      </c>
      <c r="C2455">
        <f>IF($C$1=0,0,IFERROR(VALUE(SUBSTITUTE(SUBSTITUTE(SUBSTITUTE(INDEX(貼り付け!$A$1:$BZ$3001,2454,$C$1)&amp;"",",",""),"¥",""),"￥","")),0))</f>
        <v/>
      </c>
      <c r="D2455">
        <f>IF($D$1=0,0,IFERROR(VALUE(SUBSTITUTE(SUBSTITUTE(SUBSTITUTE(INDEX(貼り付け!$A$1:$BZ$3001,2454,$D$1)&amp;"",",",""),"¥",""),"￥","")),0))</f>
        <v/>
      </c>
      <c r="E2455">
        <f>IF($E$1=0,0,IFERROR(VALUE(SUBSTITUTE(SUBSTITUTE(SUBSTITUTE(INDEX(貼り付け!$A$1:$BZ$3001,2454,$E$1)&amp;"",",",""),"¥",""),"￥","")),0))</f>
        <v/>
      </c>
      <c r="F2455">
        <f>IF($F$1=0,0,IFERROR(VALUE(SUBSTITUTE(SUBSTITUTE(SUBSTITUTE(INDEX(貼り付け!$A$1:$BZ$3001,2454,$F$1)&amp;"",",",""),"¥",""),"￥","")),0))</f>
        <v/>
      </c>
      <c r="G2455">
        <f>IF(ISNUMBER(B2455),YEAR(B2455),"")</f>
        <v/>
      </c>
      <c r="H2455">
        <f>IF(ISNUMBER(B2455),MONTH(B2455),"")</f>
        <v/>
      </c>
      <c r="I2455">
        <f>IFERROR(IF($B$1=0,"",IF(ISNUMBER(INDEX(貼り付け!$A$1:$BZ$3001,2454,$B$1)),"",SUBSTITUTE(SUBSTITUTE(SUBSTITUTE(SUBSTITUTE(TRIM(LEFT(INDEX(貼り付け!$A$1:$BZ$3001,2454,$B$1)&amp;"",FIND(" ",TRIM(INDEX(貼り付け!$A$1:$BZ$3001,2454,$B$1)&amp;"")&amp;" ")-1)),"/","-"),"年","-"),"月","-"),"日",""))),"")</f>
        <v/>
      </c>
      <c r="J2455">
        <f>IFERROR(MID(I2455,FIND("-",I2455)+1,99),"")</f>
        <v/>
      </c>
    </row>
    <row r="2456">
      <c r="B2456">
        <f>IFERROR(IF($B$1=0,"",IF(INDEX(貼り付け!$A$1:$BZ$3001,2455,$B$1)="","",IF(ISNUMBER(INDEX(貼り付け!$A$1:$BZ$3001,2455,$B$1)),INT(INDEX(貼り付け!$A$1:$BZ$3001,2455,$B$1)),DATE(VALUE(LEFT(I2456,FIND("-",I2456)-1)),VALUE(LEFT(J2456,FIND("-",J2456)-1)),VALUE(MID(J2456,FIND("-",J2456)+1,99)))))),"")</f>
        <v/>
      </c>
      <c r="C2456">
        <f>IF($C$1=0,0,IFERROR(VALUE(SUBSTITUTE(SUBSTITUTE(SUBSTITUTE(INDEX(貼り付け!$A$1:$BZ$3001,2455,$C$1)&amp;"",",",""),"¥",""),"￥","")),0))</f>
        <v/>
      </c>
      <c r="D2456">
        <f>IF($D$1=0,0,IFERROR(VALUE(SUBSTITUTE(SUBSTITUTE(SUBSTITUTE(INDEX(貼り付け!$A$1:$BZ$3001,2455,$D$1)&amp;"",",",""),"¥",""),"￥","")),0))</f>
        <v/>
      </c>
      <c r="E2456">
        <f>IF($E$1=0,0,IFERROR(VALUE(SUBSTITUTE(SUBSTITUTE(SUBSTITUTE(INDEX(貼り付け!$A$1:$BZ$3001,2455,$E$1)&amp;"",",",""),"¥",""),"￥","")),0))</f>
        <v/>
      </c>
      <c r="F2456">
        <f>IF($F$1=0,0,IFERROR(VALUE(SUBSTITUTE(SUBSTITUTE(SUBSTITUTE(INDEX(貼り付け!$A$1:$BZ$3001,2455,$F$1)&amp;"",",",""),"¥",""),"￥","")),0))</f>
        <v/>
      </c>
      <c r="G2456">
        <f>IF(ISNUMBER(B2456),YEAR(B2456),"")</f>
        <v/>
      </c>
      <c r="H2456">
        <f>IF(ISNUMBER(B2456),MONTH(B2456),"")</f>
        <v/>
      </c>
      <c r="I2456">
        <f>IFERROR(IF($B$1=0,"",IF(ISNUMBER(INDEX(貼り付け!$A$1:$BZ$3001,2455,$B$1)),"",SUBSTITUTE(SUBSTITUTE(SUBSTITUTE(SUBSTITUTE(TRIM(LEFT(INDEX(貼り付け!$A$1:$BZ$3001,2455,$B$1)&amp;"",FIND(" ",TRIM(INDEX(貼り付け!$A$1:$BZ$3001,2455,$B$1)&amp;"")&amp;" ")-1)),"/","-"),"年","-"),"月","-"),"日",""))),"")</f>
        <v/>
      </c>
      <c r="J2456">
        <f>IFERROR(MID(I2456,FIND("-",I2456)+1,99),"")</f>
        <v/>
      </c>
    </row>
    <row r="2457">
      <c r="B2457">
        <f>IFERROR(IF($B$1=0,"",IF(INDEX(貼り付け!$A$1:$BZ$3001,2456,$B$1)="","",IF(ISNUMBER(INDEX(貼り付け!$A$1:$BZ$3001,2456,$B$1)),INT(INDEX(貼り付け!$A$1:$BZ$3001,2456,$B$1)),DATE(VALUE(LEFT(I2457,FIND("-",I2457)-1)),VALUE(LEFT(J2457,FIND("-",J2457)-1)),VALUE(MID(J2457,FIND("-",J2457)+1,99)))))),"")</f>
        <v/>
      </c>
      <c r="C2457">
        <f>IF($C$1=0,0,IFERROR(VALUE(SUBSTITUTE(SUBSTITUTE(SUBSTITUTE(INDEX(貼り付け!$A$1:$BZ$3001,2456,$C$1)&amp;"",",",""),"¥",""),"￥","")),0))</f>
        <v/>
      </c>
      <c r="D2457">
        <f>IF($D$1=0,0,IFERROR(VALUE(SUBSTITUTE(SUBSTITUTE(SUBSTITUTE(INDEX(貼り付け!$A$1:$BZ$3001,2456,$D$1)&amp;"",",",""),"¥",""),"￥","")),0))</f>
        <v/>
      </c>
      <c r="E2457">
        <f>IF($E$1=0,0,IFERROR(VALUE(SUBSTITUTE(SUBSTITUTE(SUBSTITUTE(INDEX(貼り付け!$A$1:$BZ$3001,2456,$E$1)&amp;"",",",""),"¥",""),"￥","")),0))</f>
        <v/>
      </c>
      <c r="F2457">
        <f>IF($F$1=0,0,IFERROR(VALUE(SUBSTITUTE(SUBSTITUTE(SUBSTITUTE(INDEX(貼り付け!$A$1:$BZ$3001,2456,$F$1)&amp;"",",",""),"¥",""),"￥","")),0))</f>
        <v/>
      </c>
      <c r="G2457">
        <f>IF(ISNUMBER(B2457),YEAR(B2457),"")</f>
        <v/>
      </c>
      <c r="H2457">
        <f>IF(ISNUMBER(B2457),MONTH(B2457),"")</f>
        <v/>
      </c>
      <c r="I2457">
        <f>IFERROR(IF($B$1=0,"",IF(ISNUMBER(INDEX(貼り付け!$A$1:$BZ$3001,2456,$B$1)),"",SUBSTITUTE(SUBSTITUTE(SUBSTITUTE(SUBSTITUTE(TRIM(LEFT(INDEX(貼り付け!$A$1:$BZ$3001,2456,$B$1)&amp;"",FIND(" ",TRIM(INDEX(貼り付け!$A$1:$BZ$3001,2456,$B$1)&amp;"")&amp;" ")-1)),"/","-"),"年","-"),"月","-"),"日",""))),"")</f>
        <v/>
      </c>
      <c r="J2457">
        <f>IFERROR(MID(I2457,FIND("-",I2457)+1,99),"")</f>
        <v/>
      </c>
    </row>
    <row r="2458">
      <c r="B2458">
        <f>IFERROR(IF($B$1=0,"",IF(INDEX(貼り付け!$A$1:$BZ$3001,2457,$B$1)="","",IF(ISNUMBER(INDEX(貼り付け!$A$1:$BZ$3001,2457,$B$1)),INT(INDEX(貼り付け!$A$1:$BZ$3001,2457,$B$1)),DATE(VALUE(LEFT(I2458,FIND("-",I2458)-1)),VALUE(LEFT(J2458,FIND("-",J2458)-1)),VALUE(MID(J2458,FIND("-",J2458)+1,99)))))),"")</f>
        <v/>
      </c>
      <c r="C2458">
        <f>IF($C$1=0,0,IFERROR(VALUE(SUBSTITUTE(SUBSTITUTE(SUBSTITUTE(INDEX(貼り付け!$A$1:$BZ$3001,2457,$C$1)&amp;"",",",""),"¥",""),"￥","")),0))</f>
        <v/>
      </c>
      <c r="D2458">
        <f>IF($D$1=0,0,IFERROR(VALUE(SUBSTITUTE(SUBSTITUTE(SUBSTITUTE(INDEX(貼り付け!$A$1:$BZ$3001,2457,$D$1)&amp;"",",",""),"¥",""),"￥","")),0))</f>
        <v/>
      </c>
      <c r="E2458">
        <f>IF($E$1=0,0,IFERROR(VALUE(SUBSTITUTE(SUBSTITUTE(SUBSTITUTE(INDEX(貼り付け!$A$1:$BZ$3001,2457,$E$1)&amp;"",",",""),"¥",""),"￥","")),0))</f>
        <v/>
      </c>
      <c r="F2458">
        <f>IF($F$1=0,0,IFERROR(VALUE(SUBSTITUTE(SUBSTITUTE(SUBSTITUTE(INDEX(貼り付け!$A$1:$BZ$3001,2457,$F$1)&amp;"",",",""),"¥",""),"￥","")),0))</f>
        <v/>
      </c>
      <c r="G2458">
        <f>IF(ISNUMBER(B2458),YEAR(B2458),"")</f>
        <v/>
      </c>
      <c r="H2458">
        <f>IF(ISNUMBER(B2458),MONTH(B2458),"")</f>
        <v/>
      </c>
      <c r="I2458">
        <f>IFERROR(IF($B$1=0,"",IF(ISNUMBER(INDEX(貼り付け!$A$1:$BZ$3001,2457,$B$1)),"",SUBSTITUTE(SUBSTITUTE(SUBSTITUTE(SUBSTITUTE(TRIM(LEFT(INDEX(貼り付け!$A$1:$BZ$3001,2457,$B$1)&amp;"",FIND(" ",TRIM(INDEX(貼り付け!$A$1:$BZ$3001,2457,$B$1)&amp;"")&amp;" ")-1)),"/","-"),"年","-"),"月","-"),"日",""))),"")</f>
        <v/>
      </c>
      <c r="J2458">
        <f>IFERROR(MID(I2458,FIND("-",I2458)+1,99),"")</f>
        <v/>
      </c>
    </row>
    <row r="2459">
      <c r="B2459">
        <f>IFERROR(IF($B$1=0,"",IF(INDEX(貼り付け!$A$1:$BZ$3001,2458,$B$1)="","",IF(ISNUMBER(INDEX(貼り付け!$A$1:$BZ$3001,2458,$B$1)),INT(INDEX(貼り付け!$A$1:$BZ$3001,2458,$B$1)),DATE(VALUE(LEFT(I2459,FIND("-",I2459)-1)),VALUE(LEFT(J2459,FIND("-",J2459)-1)),VALUE(MID(J2459,FIND("-",J2459)+1,99)))))),"")</f>
        <v/>
      </c>
      <c r="C2459">
        <f>IF($C$1=0,0,IFERROR(VALUE(SUBSTITUTE(SUBSTITUTE(SUBSTITUTE(INDEX(貼り付け!$A$1:$BZ$3001,2458,$C$1)&amp;"",",",""),"¥",""),"￥","")),0))</f>
        <v/>
      </c>
      <c r="D2459">
        <f>IF($D$1=0,0,IFERROR(VALUE(SUBSTITUTE(SUBSTITUTE(SUBSTITUTE(INDEX(貼り付け!$A$1:$BZ$3001,2458,$D$1)&amp;"",",",""),"¥",""),"￥","")),0))</f>
        <v/>
      </c>
      <c r="E2459">
        <f>IF($E$1=0,0,IFERROR(VALUE(SUBSTITUTE(SUBSTITUTE(SUBSTITUTE(INDEX(貼り付け!$A$1:$BZ$3001,2458,$E$1)&amp;"",",",""),"¥",""),"￥","")),0))</f>
        <v/>
      </c>
      <c r="F2459">
        <f>IF($F$1=0,0,IFERROR(VALUE(SUBSTITUTE(SUBSTITUTE(SUBSTITUTE(INDEX(貼り付け!$A$1:$BZ$3001,2458,$F$1)&amp;"",",",""),"¥",""),"￥","")),0))</f>
        <v/>
      </c>
      <c r="G2459">
        <f>IF(ISNUMBER(B2459),YEAR(B2459),"")</f>
        <v/>
      </c>
      <c r="H2459">
        <f>IF(ISNUMBER(B2459),MONTH(B2459),"")</f>
        <v/>
      </c>
      <c r="I2459">
        <f>IFERROR(IF($B$1=0,"",IF(ISNUMBER(INDEX(貼り付け!$A$1:$BZ$3001,2458,$B$1)),"",SUBSTITUTE(SUBSTITUTE(SUBSTITUTE(SUBSTITUTE(TRIM(LEFT(INDEX(貼り付け!$A$1:$BZ$3001,2458,$B$1)&amp;"",FIND(" ",TRIM(INDEX(貼り付け!$A$1:$BZ$3001,2458,$B$1)&amp;"")&amp;" ")-1)),"/","-"),"年","-"),"月","-"),"日",""))),"")</f>
        <v/>
      </c>
      <c r="J2459">
        <f>IFERROR(MID(I2459,FIND("-",I2459)+1,99),"")</f>
        <v/>
      </c>
    </row>
    <row r="2460">
      <c r="B2460">
        <f>IFERROR(IF($B$1=0,"",IF(INDEX(貼り付け!$A$1:$BZ$3001,2459,$B$1)="","",IF(ISNUMBER(INDEX(貼り付け!$A$1:$BZ$3001,2459,$B$1)),INT(INDEX(貼り付け!$A$1:$BZ$3001,2459,$B$1)),DATE(VALUE(LEFT(I2460,FIND("-",I2460)-1)),VALUE(LEFT(J2460,FIND("-",J2460)-1)),VALUE(MID(J2460,FIND("-",J2460)+1,99)))))),"")</f>
        <v/>
      </c>
      <c r="C2460">
        <f>IF($C$1=0,0,IFERROR(VALUE(SUBSTITUTE(SUBSTITUTE(SUBSTITUTE(INDEX(貼り付け!$A$1:$BZ$3001,2459,$C$1)&amp;"",",",""),"¥",""),"￥","")),0))</f>
        <v/>
      </c>
      <c r="D2460">
        <f>IF($D$1=0,0,IFERROR(VALUE(SUBSTITUTE(SUBSTITUTE(SUBSTITUTE(INDEX(貼り付け!$A$1:$BZ$3001,2459,$D$1)&amp;"",",",""),"¥",""),"￥","")),0))</f>
        <v/>
      </c>
      <c r="E2460">
        <f>IF($E$1=0,0,IFERROR(VALUE(SUBSTITUTE(SUBSTITUTE(SUBSTITUTE(INDEX(貼り付け!$A$1:$BZ$3001,2459,$E$1)&amp;"",",",""),"¥",""),"￥","")),0))</f>
        <v/>
      </c>
      <c r="F2460">
        <f>IF($F$1=0,0,IFERROR(VALUE(SUBSTITUTE(SUBSTITUTE(SUBSTITUTE(INDEX(貼り付け!$A$1:$BZ$3001,2459,$F$1)&amp;"",",",""),"¥",""),"￥","")),0))</f>
        <v/>
      </c>
      <c r="G2460">
        <f>IF(ISNUMBER(B2460),YEAR(B2460),"")</f>
        <v/>
      </c>
      <c r="H2460">
        <f>IF(ISNUMBER(B2460),MONTH(B2460),"")</f>
        <v/>
      </c>
      <c r="I2460">
        <f>IFERROR(IF($B$1=0,"",IF(ISNUMBER(INDEX(貼り付け!$A$1:$BZ$3001,2459,$B$1)),"",SUBSTITUTE(SUBSTITUTE(SUBSTITUTE(SUBSTITUTE(TRIM(LEFT(INDEX(貼り付け!$A$1:$BZ$3001,2459,$B$1)&amp;"",FIND(" ",TRIM(INDEX(貼り付け!$A$1:$BZ$3001,2459,$B$1)&amp;"")&amp;" ")-1)),"/","-"),"年","-"),"月","-"),"日",""))),"")</f>
        <v/>
      </c>
      <c r="J2460">
        <f>IFERROR(MID(I2460,FIND("-",I2460)+1,99),"")</f>
        <v/>
      </c>
    </row>
    <row r="2461">
      <c r="B2461">
        <f>IFERROR(IF($B$1=0,"",IF(INDEX(貼り付け!$A$1:$BZ$3001,2460,$B$1)="","",IF(ISNUMBER(INDEX(貼り付け!$A$1:$BZ$3001,2460,$B$1)),INT(INDEX(貼り付け!$A$1:$BZ$3001,2460,$B$1)),DATE(VALUE(LEFT(I2461,FIND("-",I2461)-1)),VALUE(LEFT(J2461,FIND("-",J2461)-1)),VALUE(MID(J2461,FIND("-",J2461)+1,99)))))),"")</f>
        <v/>
      </c>
      <c r="C2461">
        <f>IF($C$1=0,0,IFERROR(VALUE(SUBSTITUTE(SUBSTITUTE(SUBSTITUTE(INDEX(貼り付け!$A$1:$BZ$3001,2460,$C$1)&amp;"",",",""),"¥",""),"￥","")),0))</f>
        <v/>
      </c>
      <c r="D2461">
        <f>IF($D$1=0,0,IFERROR(VALUE(SUBSTITUTE(SUBSTITUTE(SUBSTITUTE(INDEX(貼り付け!$A$1:$BZ$3001,2460,$D$1)&amp;"",",",""),"¥",""),"￥","")),0))</f>
        <v/>
      </c>
      <c r="E2461">
        <f>IF($E$1=0,0,IFERROR(VALUE(SUBSTITUTE(SUBSTITUTE(SUBSTITUTE(INDEX(貼り付け!$A$1:$BZ$3001,2460,$E$1)&amp;"",",",""),"¥",""),"￥","")),0))</f>
        <v/>
      </c>
      <c r="F2461">
        <f>IF($F$1=0,0,IFERROR(VALUE(SUBSTITUTE(SUBSTITUTE(SUBSTITUTE(INDEX(貼り付け!$A$1:$BZ$3001,2460,$F$1)&amp;"",",",""),"¥",""),"￥","")),0))</f>
        <v/>
      </c>
      <c r="G2461">
        <f>IF(ISNUMBER(B2461),YEAR(B2461),"")</f>
        <v/>
      </c>
      <c r="H2461">
        <f>IF(ISNUMBER(B2461),MONTH(B2461),"")</f>
        <v/>
      </c>
      <c r="I2461">
        <f>IFERROR(IF($B$1=0,"",IF(ISNUMBER(INDEX(貼り付け!$A$1:$BZ$3001,2460,$B$1)),"",SUBSTITUTE(SUBSTITUTE(SUBSTITUTE(SUBSTITUTE(TRIM(LEFT(INDEX(貼り付け!$A$1:$BZ$3001,2460,$B$1)&amp;"",FIND(" ",TRIM(INDEX(貼り付け!$A$1:$BZ$3001,2460,$B$1)&amp;"")&amp;" ")-1)),"/","-"),"年","-"),"月","-"),"日",""))),"")</f>
        <v/>
      </c>
      <c r="J2461">
        <f>IFERROR(MID(I2461,FIND("-",I2461)+1,99),"")</f>
        <v/>
      </c>
    </row>
    <row r="2462">
      <c r="B2462">
        <f>IFERROR(IF($B$1=0,"",IF(INDEX(貼り付け!$A$1:$BZ$3001,2461,$B$1)="","",IF(ISNUMBER(INDEX(貼り付け!$A$1:$BZ$3001,2461,$B$1)),INT(INDEX(貼り付け!$A$1:$BZ$3001,2461,$B$1)),DATE(VALUE(LEFT(I2462,FIND("-",I2462)-1)),VALUE(LEFT(J2462,FIND("-",J2462)-1)),VALUE(MID(J2462,FIND("-",J2462)+1,99)))))),"")</f>
        <v/>
      </c>
      <c r="C2462">
        <f>IF($C$1=0,0,IFERROR(VALUE(SUBSTITUTE(SUBSTITUTE(SUBSTITUTE(INDEX(貼り付け!$A$1:$BZ$3001,2461,$C$1)&amp;"",",",""),"¥",""),"￥","")),0))</f>
        <v/>
      </c>
      <c r="D2462">
        <f>IF($D$1=0,0,IFERROR(VALUE(SUBSTITUTE(SUBSTITUTE(SUBSTITUTE(INDEX(貼り付け!$A$1:$BZ$3001,2461,$D$1)&amp;"",",",""),"¥",""),"￥","")),0))</f>
        <v/>
      </c>
      <c r="E2462">
        <f>IF($E$1=0,0,IFERROR(VALUE(SUBSTITUTE(SUBSTITUTE(SUBSTITUTE(INDEX(貼り付け!$A$1:$BZ$3001,2461,$E$1)&amp;"",",",""),"¥",""),"￥","")),0))</f>
        <v/>
      </c>
      <c r="F2462">
        <f>IF($F$1=0,0,IFERROR(VALUE(SUBSTITUTE(SUBSTITUTE(SUBSTITUTE(INDEX(貼り付け!$A$1:$BZ$3001,2461,$F$1)&amp;"",",",""),"¥",""),"￥","")),0))</f>
        <v/>
      </c>
      <c r="G2462">
        <f>IF(ISNUMBER(B2462),YEAR(B2462),"")</f>
        <v/>
      </c>
      <c r="H2462">
        <f>IF(ISNUMBER(B2462),MONTH(B2462),"")</f>
        <v/>
      </c>
      <c r="I2462">
        <f>IFERROR(IF($B$1=0,"",IF(ISNUMBER(INDEX(貼り付け!$A$1:$BZ$3001,2461,$B$1)),"",SUBSTITUTE(SUBSTITUTE(SUBSTITUTE(SUBSTITUTE(TRIM(LEFT(INDEX(貼り付け!$A$1:$BZ$3001,2461,$B$1)&amp;"",FIND(" ",TRIM(INDEX(貼り付け!$A$1:$BZ$3001,2461,$B$1)&amp;"")&amp;" ")-1)),"/","-"),"年","-"),"月","-"),"日",""))),"")</f>
        <v/>
      </c>
      <c r="J2462">
        <f>IFERROR(MID(I2462,FIND("-",I2462)+1,99),"")</f>
        <v/>
      </c>
    </row>
    <row r="2463">
      <c r="B2463">
        <f>IFERROR(IF($B$1=0,"",IF(INDEX(貼り付け!$A$1:$BZ$3001,2462,$B$1)="","",IF(ISNUMBER(INDEX(貼り付け!$A$1:$BZ$3001,2462,$B$1)),INT(INDEX(貼り付け!$A$1:$BZ$3001,2462,$B$1)),DATE(VALUE(LEFT(I2463,FIND("-",I2463)-1)),VALUE(LEFT(J2463,FIND("-",J2463)-1)),VALUE(MID(J2463,FIND("-",J2463)+1,99)))))),"")</f>
        <v/>
      </c>
      <c r="C2463">
        <f>IF($C$1=0,0,IFERROR(VALUE(SUBSTITUTE(SUBSTITUTE(SUBSTITUTE(INDEX(貼り付け!$A$1:$BZ$3001,2462,$C$1)&amp;"",",",""),"¥",""),"￥","")),0))</f>
        <v/>
      </c>
      <c r="D2463">
        <f>IF($D$1=0,0,IFERROR(VALUE(SUBSTITUTE(SUBSTITUTE(SUBSTITUTE(INDEX(貼り付け!$A$1:$BZ$3001,2462,$D$1)&amp;"",",",""),"¥",""),"￥","")),0))</f>
        <v/>
      </c>
      <c r="E2463">
        <f>IF($E$1=0,0,IFERROR(VALUE(SUBSTITUTE(SUBSTITUTE(SUBSTITUTE(INDEX(貼り付け!$A$1:$BZ$3001,2462,$E$1)&amp;"",",",""),"¥",""),"￥","")),0))</f>
        <v/>
      </c>
      <c r="F2463">
        <f>IF($F$1=0,0,IFERROR(VALUE(SUBSTITUTE(SUBSTITUTE(SUBSTITUTE(INDEX(貼り付け!$A$1:$BZ$3001,2462,$F$1)&amp;"",",",""),"¥",""),"￥","")),0))</f>
        <v/>
      </c>
      <c r="G2463">
        <f>IF(ISNUMBER(B2463),YEAR(B2463),"")</f>
        <v/>
      </c>
      <c r="H2463">
        <f>IF(ISNUMBER(B2463),MONTH(B2463),"")</f>
        <v/>
      </c>
      <c r="I2463">
        <f>IFERROR(IF($B$1=0,"",IF(ISNUMBER(INDEX(貼り付け!$A$1:$BZ$3001,2462,$B$1)),"",SUBSTITUTE(SUBSTITUTE(SUBSTITUTE(SUBSTITUTE(TRIM(LEFT(INDEX(貼り付け!$A$1:$BZ$3001,2462,$B$1)&amp;"",FIND(" ",TRIM(INDEX(貼り付け!$A$1:$BZ$3001,2462,$B$1)&amp;"")&amp;" ")-1)),"/","-"),"年","-"),"月","-"),"日",""))),"")</f>
        <v/>
      </c>
      <c r="J2463">
        <f>IFERROR(MID(I2463,FIND("-",I2463)+1,99),"")</f>
        <v/>
      </c>
    </row>
    <row r="2464">
      <c r="B2464">
        <f>IFERROR(IF($B$1=0,"",IF(INDEX(貼り付け!$A$1:$BZ$3001,2463,$B$1)="","",IF(ISNUMBER(INDEX(貼り付け!$A$1:$BZ$3001,2463,$B$1)),INT(INDEX(貼り付け!$A$1:$BZ$3001,2463,$B$1)),DATE(VALUE(LEFT(I2464,FIND("-",I2464)-1)),VALUE(LEFT(J2464,FIND("-",J2464)-1)),VALUE(MID(J2464,FIND("-",J2464)+1,99)))))),"")</f>
        <v/>
      </c>
      <c r="C2464">
        <f>IF($C$1=0,0,IFERROR(VALUE(SUBSTITUTE(SUBSTITUTE(SUBSTITUTE(INDEX(貼り付け!$A$1:$BZ$3001,2463,$C$1)&amp;"",",",""),"¥",""),"￥","")),0))</f>
        <v/>
      </c>
      <c r="D2464">
        <f>IF($D$1=0,0,IFERROR(VALUE(SUBSTITUTE(SUBSTITUTE(SUBSTITUTE(INDEX(貼り付け!$A$1:$BZ$3001,2463,$D$1)&amp;"",",",""),"¥",""),"￥","")),0))</f>
        <v/>
      </c>
      <c r="E2464">
        <f>IF($E$1=0,0,IFERROR(VALUE(SUBSTITUTE(SUBSTITUTE(SUBSTITUTE(INDEX(貼り付け!$A$1:$BZ$3001,2463,$E$1)&amp;"",",",""),"¥",""),"￥","")),0))</f>
        <v/>
      </c>
      <c r="F2464">
        <f>IF($F$1=0,0,IFERROR(VALUE(SUBSTITUTE(SUBSTITUTE(SUBSTITUTE(INDEX(貼り付け!$A$1:$BZ$3001,2463,$F$1)&amp;"",",",""),"¥",""),"￥","")),0))</f>
        <v/>
      </c>
      <c r="G2464">
        <f>IF(ISNUMBER(B2464),YEAR(B2464),"")</f>
        <v/>
      </c>
      <c r="H2464">
        <f>IF(ISNUMBER(B2464),MONTH(B2464),"")</f>
        <v/>
      </c>
      <c r="I2464">
        <f>IFERROR(IF($B$1=0,"",IF(ISNUMBER(INDEX(貼り付け!$A$1:$BZ$3001,2463,$B$1)),"",SUBSTITUTE(SUBSTITUTE(SUBSTITUTE(SUBSTITUTE(TRIM(LEFT(INDEX(貼り付け!$A$1:$BZ$3001,2463,$B$1)&amp;"",FIND(" ",TRIM(INDEX(貼り付け!$A$1:$BZ$3001,2463,$B$1)&amp;"")&amp;" ")-1)),"/","-"),"年","-"),"月","-"),"日",""))),"")</f>
        <v/>
      </c>
      <c r="J2464">
        <f>IFERROR(MID(I2464,FIND("-",I2464)+1,99),"")</f>
        <v/>
      </c>
    </row>
    <row r="2465">
      <c r="B2465">
        <f>IFERROR(IF($B$1=0,"",IF(INDEX(貼り付け!$A$1:$BZ$3001,2464,$B$1)="","",IF(ISNUMBER(INDEX(貼り付け!$A$1:$BZ$3001,2464,$B$1)),INT(INDEX(貼り付け!$A$1:$BZ$3001,2464,$B$1)),DATE(VALUE(LEFT(I2465,FIND("-",I2465)-1)),VALUE(LEFT(J2465,FIND("-",J2465)-1)),VALUE(MID(J2465,FIND("-",J2465)+1,99)))))),"")</f>
        <v/>
      </c>
      <c r="C2465">
        <f>IF($C$1=0,0,IFERROR(VALUE(SUBSTITUTE(SUBSTITUTE(SUBSTITUTE(INDEX(貼り付け!$A$1:$BZ$3001,2464,$C$1)&amp;"",",",""),"¥",""),"￥","")),0))</f>
        <v/>
      </c>
      <c r="D2465">
        <f>IF($D$1=0,0,IFERROR(VALUE(SUBSTITUTE(SUBSTITUTE(SUBSTITUTE(INDEX(貼り付け!$A$1:$BZ$3001,2464,$D$1)&amp;"",",",""),"¥",""),"￥","")),0))</f>
        <v/>
      </c>
      <c r="E2465">
        <f>IF($E$1=0,0,IFERROR(VALUE(SUBSTITUTE(SUBSTITUTE(SUBSTITUTE(INDEX(貼り付け!$A$1:$BZ$3001,2464,$E$1)&amp;"",",",""),"¥",""),"￥","")),0))</f>
        <v/>
      </c>
      <c r="F2465">
        <f>IF($F$1=0,0,IFERROR(VALUE(SUBSTITUTE(SUBSTITUTE(SUBSTITUTE(INDEX(貼り付け!$A$1:$BZ$3001,2464,$F$1)&amp;"",",",""),"¥",""),"￥","")),0))</f>
        <v/>
      </c>
      <c r="G2465">
        <f>IF(ISNUMBER(B2465),YEAR(B2465),"")</f>
        <v/>
      </c>
      <c r="H2465">
        <f>IF(ISNUMBER(B2465),MONTH(B2465),"")</f>
        <v/>
      </c>
      <c r="I2465">
        <f>IFERROR(IF($B$1=0,"",IF(ISNUMBER(INDEX(貼り付け!$A$1:$BZ$3001,2464,$B$1)),"",SUBSTITUTE(SUBSTITUTE(SUBSTITUTE(SUBSTITUTE(TRIM(LEFT(INDEX(貼り付け!$A$1:$BZ$3001,2464,$B$1)&amp;"",FIND(" ",TRIM(INDEX(貼り付け!$A$1:$BZ$3001,2464,$B$1)&amp;"")&amp;" ")-1)),"/","-"),"年","-"),"月","-"),"日",""))),"")</f>
        <v/>
      </c>
      <c r="J2465">
        <f>IFERROR(MID(I2465,FIND("-",I2465)+1,99),"")</f>
        <v/>
      </c>
    </row>
    <row r="2466">
      <c r="B2466">
        <f>IFERROR(IF($B$1=0,"",IF(INDEX(貼り付け!$A$1:$BZ$3001,2465,$B$1)="","",IF(ISNUMBER(INDEX(貼り付け!$A$1:$BZ$3001,2465,$B$1)),INT(INDEX(貼り付け!$A$1:$BZ$3001,2465,$B$1)),DATE(VALUE(LEFT(I2466,FIND("-",I2466)-1)),VALUE(LEFT(J2466,FIND("-",J2466)-1)),VALUE(MID(J2466,FIND("-",J2466)+1,99)))))),"")</f>
        <v/>
      </c>
      <c r="C2466">
        <f>IF($C$1=0,0,IFERROR(VALUE(SUBSTITUTE(SUBSTITUTE(SUBSTITUTE(INDEX(貼り付け!$A$1:$BZ$3001,2465,$C$1)&amp;"",",",""),"¥",""),"￥","")),0))</f>
        <v/>
      </c>
      <c r="D2466">
        <f>IF($D$1=0,0,IFERROR(VALUE(SUBSTITUTE(SUBSTITUTE(SUBSTITUTE(INDEX(貼り付け!$A$1:$BZ$3001,2465,$D$1)&amp;"",",",""),"¥",""),"￥","")),0))</f>
        <v/>
      </c>
      <c r="E2466">
        <f>IF($E$1=0,0,IFERROR(VALUE(SUBSTITUTE(SUBSTITUTE(SUBSTITUTE(INDEX(貼り付け!$A$1:$BZ$3001,2465,$E$1)&amp;"",",",""),"¥",""),"￥","")),0))</f>
        <v/>
      </c>
      <c r="F2466">
        <f>IF($F$1=0,0,IFERROR(VALUE(SUBSTITUTE(SUBSTITUTE(SUBSTITUTE(INDEX(貼り付け!$A$1:$BZ$3001,2465,$F$1)&amp;"",",",""),"¥",""),"￥","")),0))</f>
        <v/>
      </c>
      <c r="G2466">
        <f>IF(ISNUMBER(B2466),YEAR(B2466),"")</f>
        <v/>
      </c>
      <c r="H2466">
        <f>IF(ISNUMBER(B2466),MONTH(B2466),"")</f>
        <v/>
      </c>
      <c r="I2466">
        <f>IFERROR(IF($B$1=0,"",IF(ISNUMBER(INDEX(貼り付け!$A$1:$BZ$3001,2465,$B$1)),"",SUBSTITUTE(SUBSTITUTE(SUBSTITUTE(SUBSTITUTE(TRIM(LEFT(INDEX(貼り付け!$A$1:$BZ$3001,2465,$B$1)&amp;"",FIND(" ",TRIM(INDEX(貼り付け!$A$1:$BZ$3001,2465,$B$1)&amp;"")&amp;" ")-1)),"/","-"),"年","-"),"月","-"),"日",""))),"")</f>
        <v/>
      </c>
      <c r="J2466">
        <f>IFERROR(MID(I2466,FIND("-",I2466)+1,99),"")</f>
        <v/>
      </c>
    </row>
    <row r="2467">
      <c r="B2467">
        <f>IFERROR(IF($B$1=0,"",IF(INDEX(貼り付け!$A$1:$BZ$3001,2466,$B$1)="","",IF(ISNUMBER(INDEX(貼り付け!$A$1:$BZ$3001,2466,$B$1)),INT(INDEX(貼り付け!$A$1:$BZ$3001,2466,$B$1)),DATE(VALUE(LEFT(I2467,FIND("-",I2467)-1)),VALUE(LEFT(J2467,FIND("-",J2467)-1)),VALUE(MID(J2467,FIND("-",J2467)+1,99)))))),"")</f>
        <v/>
      </c>
      <c r="C2467">
        <f>IF($C$1=0,0,IFERROR(VALUE(SUBSTITUTE(SUBSTITUTE(SUBSTITUTE(INDEX(貼り付け!$A$1:$BZ$3001,2466,$C$1)&amp;"",",",""),"¥",""),"￥","")),0))</f>
        <v/>
      </c>
      <c r="D2467">
        <f>IF($D$1=0,0,IFERROR(VALUE(SUBSTITUTE(SUBSTITUTE(SUBSTITUTE(INDEX(貼り付け!$A$1:$BZ$3001,2466,$D$1)&amp;"",",",""),"¥",""),"￥","")),0))</f>
        <v/>
      </c>
      <c r="E2467">
        <f>IF($E$1=0,0,IFERROR(VALUE(SUBSTITUTE(SUBSTITUTE(SUBSTITUTE(INDEX(貼り付け!$A$1:$BZ$3001,2466,$E$1)&amp;"",",",""),"¥",""),"￥","")),0))</f>
        <v/>
      </c>
      <c r="F2467">
        <f>IF($F$1=0,0,IFERROR(VALUE(SUBSTITUTE(SUBSTITUTE(SUBSTITUTE(INDEX(貼り付け!$A$1:$BZ$3001,2466,$F$1)&amp;"",",",""),"¥",""),"￥","")),0))</f>
        <v/>
      </c>
      <c r="G2467">
        <f>IF(ISNUMBER(B2467),YEAR(B2467),"")</f>
        <v/>
      </c>
      <c r="H2467">
        <f>IF(ISNUMBER(B2467),MONTH(B2467),"")</f>
        <v/>
      </c>
      <c r="I2467">
        <f>IFERROR(IF($B$1=0,"",IF(ISNUMBER(INDEX(貼り付け!$A$1:$BZ$3001,2466,$B$1)),"",SUBSTITUTE(SUBSTITUTE(SUBSTITUTE(SUBSTITUTE(TRIM(LEFT(INDEX(貼り付け!$A$1:$BZ$3001,2466,$B$1)&amp;"",FIND(" ",TRIM(INDEX(貼り付け!$A$1:$BZ$3001,2466,$B$1)&amp;"")&amp;" ")-1)),"/","-"),"年","-"),"月","-"),"日",""))),"")</f>
        <v/>
      </c>
      <c r="J2467">
        <f>IFERROR(MID(I2467,FIND("-",I2467)+1,99),"")</f>
        <v/>
      </c>
    </row>
    <row r="2468">
      <c r="B2468">
        <f>IFERROR(IF($B$1=0,"",IF(INDEX(貼り付け!$A$1:$BZ$3001,2467,$B$1)="","",IF(ISNUMBER(INDEX(貼り付け!$A$1:$BZ$3001,2467,$B$1)),INT(INDEX(貼り付け!$A$1:$BZ$3001,2467,$B$1)),DATE(VALUE(LEFT(I2468,FIND("-",I2468)-1)),VALUE(LEFT(J2468,FIND("-",J2468)-1)),VALUE(MID(J2468,FIND("-",J2468)+1,99)))))),"")</f>
        <v/>
      </c>
      <c r="C2468">
        <f>IF($C$1=0,0,IFERROR(VALUE(SUBSTITUTE(SUBSTITUTE(SUBSTITUTE(INDEX(貼り付け!$A$1:$BZ$3001,2467,$C$1)&amp;"",",",""),"¥",""),"￥","")),0))</f>
        <v/>
      </c>
      <c r="D2468">
        <f>IF($D$1=0,0,IFERROR(VALUE(SUBSTITUTE(SUBSTITUTE(SUBSTITUTE(INDEX(貼り付け!$A$1:$BZ$3001,2467,$D$1)&amp;"",",",""),"¥",""),"￥","")),0))</f>
        <v/>
      </c>
      <c r="E2468">
        <f>IF($E$1=0,0,IFERROR(VALUE(SUBSTITUTE(SUBSTITUTE(SUBSTITUTE(INDEX(貼り付け!$A$1:$BZ$3001,2467,$E$1)&amp;"",",",""),"¥",""),"￥","")),0))</f>
        <v/>
      </c>
      <c r="F2468">
        <f>IF($F$1=0,0,IFERROR(VALUE(SUBSTITUTE(SUBSTITUTE(SUBSTITUTE(INDEX(貼り付け!$A$1:$BZ$3001,2467,$F$1)&amp;"",",",""),"¥",""),"￥","")),0))</f>
        <v/>
      </c>
      <c r="G2468">
        <f>IF(ISNUMBER(B2468),YEAR(B2468),"")</f>
        <v/>
      </c>
      <c r="H2468">
        <f>IF(ISNUMBER(B2468),MONTH(B2468),"")</f>
        <v/>
      </c>
      <c r="I2468">
        <f>IFERROR(IF($B$1=0,"",IF(ISNUMBER(INDEX(貼り付け!$A$1:$BZ$3001,2467,$B$1)),"",SUBSTITUTE(SUBSTITUTE(SUBSTITUTE(SUBSTITUTE(TRIM(LEFT(INDEX(貼り付け!$A$1:$BZ$3001,2467,$B$1)&amp;"",FIND(" ",TRIM(INDEX(貼り付け!$A$1:$BZ$3001,2467,$B$1)&amp;"")&amp;" ")-1)),"/","-"),"年","-"),"月","-"),"日",""))),"")</f>
        <v/>
      </c>
      <c r="J2468">
        <f>IFERROR(MID(I2468,FIND("-",I2468)+1,99),"")</f>
        <v/>
      </c>
    </row>
    <row r="2469">
      <c r="B2469">
        <f>IFERROR(IF($B$1=0,"",IF(INDEX(貼り付け!$A$1:$BZ$3001,2468,$B$1)="","",IF(ISNUMBER(INDEX(貼り付け!$A$1:$BZ$3001,2468,$B$1)),INT(INDEX(貼り付け!$A$1:$BZ$3001,2468,$B$1)),DATE(VALUE(LEFT(I2469,FIND("-",I2469)-1)),VALUE(LEFT(J2469,FIND("-",J2469)-1)),VALUE(MID(J2469,FIND("-",J2469)+1,99)))))),"")</f>
        <v/>
      </c>
      <c r="C2469">
        <f>IF($C$1=0,0,IFERROR(VALUE(SUBSTITUTE(SUBSTITUTE(SUBSTITUTE(INDEX(貼り付け!$A$1:$BZ$3001,2468,$C$1)&amp;"",",",""),"¥",""),"￥","")),0))</f>
        <v/>
      </c>
      <c r="D2469">
        <f>IF($D$1=0,0,IFERROR(VALUE(SUBSTITUTE(SUBSTITUTE(SUBSTITUTE(INDEX(貼り付け!$A$1:$BZ$3001,2468,$D$1)&amp;"",",",""),"¥",""),"￥","")),0))</f>
        <v/>
      </c>
      <c r="E2469">
        <f>IF($E$1=0,0,IFERROR(VALUE(SUBSTITUTE(SUBSTITUTE(SUBSTITUTE(INDEX(貼り付け!$A$1:$BZ$3001,2468,$E$1)&amp;"",",",""),"¥",""),"￥","")),0))</f>
        <v/>
      </c>
      <c r="F2469">
        <f>IF($F$1=0,0,IFERROR(VALUE(SUBSTITUTE(SUBSTITUTE(SUBSTITUTE(INDEX(貼り付け!$A$1:$BZ$3001,2468,$F$1)&amp;"",",",""),"¥",""),"￥","")),0))</f>
        <v/>
      </c>
      <c r="G2469">
        <f>IF(ISNUMBER(B2469),YEAR(B2469),"")</f>
        <v/>
      </c>
      <c r="H2469">
        <f>IF(ISNUMBER(B2469),MONTH(B2469),"")</f>
        <v/>
      </c>
      <c r="I2469">
        <f>IFERROR(IF($B$1=0,"",IF(ISNUMBER(INDEX(貼り付け!$A$1:$BZ$3001,2468,$B$1)),"",SUBSTITUTE(SUBSTITUTE(SUBSTITUTE(SUBSTITUTE(TRIM(LEFT(INDEX(貼り付け!$A$1:$BZ$3001,2468,$B$1)&amp;"",FIND(" ",TRIM(INDEX(貼り付け!$A$1:$BZ$3001,2468,$B$1)&amp;"")&amp;" ")-1)),"/","-"),"年","-"),"月","-"),"日",""))),"")</f>
        <v/>
      </c>
      <c r="J2469">
        <f>IFERROR(MID(I2469,FIND("-",I2469)+1,99),"")</f>
        <v/>
      </c>
    </row>
    <row r="2470">
      <c r="B2470">
        <f>IFERROR(IF($B$1=0,"",IF(INDEX(貼り付け!$A$1:$BZ$3001,2469,$B$1)="","",IF(ISNUMBER(INDEX(貼り付け!$A$1:$BZ$3001,2469,$B$1)),INT(INDEX(貼り付け!$A$1:$BZ$3001,2469,$B$1)),DATE(VALUE(LEFT(I2470,FIND("-",I2470)-1)),VALUE(LEFT(J2470,FIND("-",J2470)-1)),VALUE(MID(J2470,FIND("-",J2470)+1,99)))))),"")</f>
        <v/>
      </c>
      <c r="C2470">
        <f>IF($C$1=0,0,IFERROR(VALUE(SUBSTITUTE(SUBSTITUTE(SUBSTITUTE(INDEX(貼り付け!$A$1:$BZ$3001,2469,$C$1)&amp;"",",",""),"¥",""),"￥","")),0))</f>
        <v/>
      </c>
      <c r="D2470">
        <f>IF($D$1=0,0,IFERROR(VALUE(SUBSTITUTE(SUBSTITUTE(SUBSTITUTE(INDEX(貼り付け!$A$1:$BZ$3001,2469,$D$1)&amp;"",",",""),"¥",""),"￥","")),0))</f>
        <v/>
      </c>
      <c r="E2470">
        <f>IF($E$1=0,0,IFERROR(VALUE(SUBSTITUTE(SUBSTITUTE(SUBSTITUTE(INDEX(貼り付け!$A$1:$BZ$3001,2469,$E$1)&amp;"",",",""),"¥",""),"￥","")),0))</f>
        <v/>
      </c>
      <c r="F2470">
        <f>IF($F$1=0,0,IFERROR(VALUE(SUBSTITUTE(SUBSTITUTE(SUBSTITUTE(INDEX(貼り付け!$A$1:$BZ$3001,2469,$F$1)&amp;"",",",""),"¥",""),"￥","")),0))</f>
        <v/>
      </c>
      <c r="G2470">
        <f>IF(ISNUMBER(B2470),YEAR(B2470),"")</f>
        <v/>
      </c>
      <c r="H2470">
        <f>IF(ISNUMBER(B2470),MONTH(B2470),"")</f>
        <v/>
      </c>
      <c r="I2470">
        <f>IFERROR(IF($B$1=0,"",IF(ISNUMBER(INDEX(貼り付け!$A$1:$BZ$3001,2469,$B$1)),"",SUBSTITUTE(SUBSTITUTE(SUBSTITUTE(SUBSTITUTE(TRIM(LEFT(INDEX(貼り付け!$A$1:$BZ$3001,2469,$B$1)&amp;"",FIND(" ",TRIM(INDEX(貼り付け!$A$1:$BZ$3001,2469,$B$1)&amp;"")&amp;" ")-1)),"/","-"),"年","-"),"月","-"),"日",""))),"")</f>
        <v/>
      </c>
      <c r="J2470">
        <f>IFERROR(MID(I2470,FIND("-",I2470)+1,99),"")</f>
        <v/>
      </c>
    </row>
    <row r="2471">
      <c r="B2471">
        <f>IFERROR(IF($B$1=0,"",IF(INDEX(貼り付け!$A$1:$BZ$3001,2470,$B$1)="","",IF(ISNUMBER(INDEX(貼り付け!$A$1:$BZ$3001,2470,$B$1)),INT(INDEX(貼り付け!$A$1:$BZ$3001,2470,$B$1)),DATE(VALUE(LEFT(I2471,FIND("-",I2471)-1)),VALUE(LEFT(J2471,FIND("-",J2471)-1)),VALUE(MID(J2471,FIND("-",J2471)+1,99)))))),"")</f>
        <v/>
      </c>
      <c r="C2471">
        <f>IF($C$1=0,0,IFERROR(VALUE(SUBSTITUTE(SUBSTITUTE(SUBSTITUTE(INDEX(貼り付け!$A$1:$BZ$3001,2470,$C$1)&amp;"",",",""),"¥",""),"￥","")),0))</f>
        <v/>
      </c>
      <c r="D2471">
        <f>IF($D$1=0,0,IFERROR(VALUE(SUBSTITUTE(SUBSTITUTE(SUBSTITUTE(INDEX(貼り付け!$A$1:$BZ$3001,2470,$D$1)&amp;"",",",""),"¥",""),"￥","")),0))</f>
        <v/>
      </c>
      <c r="E2471">
        <f>IF($E$1=0,0,IFERROR(VALUE(SUBSTITUTE(SUBSTITUTE(SUBSTITUTE(INDEX(貼り付け!$A$1:$BZ$3001,2470,$E$1)&amp;"",",",""),"¥",""),"￥","")),0))</f>
        <v/>
      </c>
      <c r="F2471">
        <f>IF($F$1=0,0,IFERROR(VALUE(SUBSTITUTE(SUBSTITUTE(SUBSTITUTE(INDEX(貼り付け!$A$1:$BZ$3001,2470,$F$1)&amp;"",",",""),"¥",""),"￥","")),0))</f>
        <v/>
      </c>
      <c r="G2471">
        <f>IF(ISNUMBER(B2471),YEAR(B2471),"")</f>
        <v/>
      </c>
      <c r="H2471">
        <f>IF(ISNUMBER(B2471),MONTH(B2471),"")</f>
        <v/>
      </c>
      <c r="I2471">
        <f>IFERROR(IF($B$1=0,"",IF(ISNUMBER(INDEX(貼り付け!$A$1:$BZ$3001,2470,$B$1)),"",SUBSTITUTE(SUBSTITUTE(SUBSTITUTE(SUBSTITUTE(TRIM(LEFT(INDEX(貼り付け!$A$1:$BZ$3001,2470,$B$1)&amp;"",FIND(" ",TRIM(INDEX(貼り付け!$A$1:$BZ$3001,2470,$B$1)&amp;"")&amp;" ")-1)),"/","-"),"年","-"),"月","-"),"日",""))),"")</f>
        <v/>
      </c>
      <c r="J2471">
        <f>IFERROR(MID(I2471,FIND("-",I2471)+1,99),"")</f>
        <v/>
      </c>
    </row>
    <row r="2472">
      <c r="B2472">
        <f>IFERROR(IF($B$1=0,"",IF(INDEX(貼り付け!$A$1:$BZ$3001,2471,$B$1)="","",IF(ISNUMBER(INDEX(貼り付け!$A$1:$BZ$3001,2471,$B$1)),INT(INDEX(貼り付け!$A$1:$BZ$3001,2471,$B$1)),DATE(VALUE(LEFT(I2472,FIND("-",I2472)-1)),VALUE(LEFT(J2472,FIND("-",J2472)-1)),VALUE(MID(J2472,FIND("-",J2472)+1,99)))))),"")</f>
        <v/>
      </c>
      <c r="C2472">
        <f>IF($C$1=0,0,IFERROR(VALUE(SUBSTITUTE(SUBSTITUTE(SUBSTITUTE(INDEX(貼り付け!$A$1:$BZ$3001,2471,$C$1)&amp;"",",",""),"¥",""),"￥","")),0))</f>
        <v/>
      </c>
      <c r="D2472">
        <f>IF($D$1=0,0,IFERROR(VALUE(SUBSTITUTE(SUBSTITUTE(SUBSTITUTE(INDEX(貼り付け!$A$1:$BZ$3001,2471,$D$1)&amp;"",",",""),"¥",""),"￥","")),0))</f>
        <v/>
      </c>
      <c r="E2472">
        <f>IF($E$1=0,0,IFERROR(VALUE(SUBSTITUTE(SUBSTITUTE(SUBSTITUTE(INDEX(貼り付け!$A$1:$BZ$3001,2471,$E$1)&amp;"",",",""),"¥",""),"￥","")),0))</f>
        <v/>
      </c>
      <c r="F2472">
        <f>IF($F$1=0,0,IFERROR(VALUE(SUBSTITUTE(SUBSTITUTE(SUBSTITUTE(INDEX(貼り付け!$A$1:$BZ$3001,2471,$F$1)&amp;"",",",""),"¥",""),"￥","")),0))</f>
        <v/>
      </c>
      <c r="G2472">
        <f>IF(ISNUMBER(B2472),YEAR(B2472),"")</f>
        <v/>
      </c>
      <c r="H2472">
        <f>IF(ISNUMBER(B2472),MONTH(B2472),"")</f>
        <v/>
      </c>
      <c r="I2472">
        <f>IFERROR(IF($B$1=0,"",IF(ISNUMBER(INDEX(貼り付け!$A$1:$BZ$3001,2471,$B$1)),"",SUBSTITUTE(SUBSTITUTE(SUBSTITUTE(SUBSTITUTE(TRIM(LEFT(INDEX(貼り付け!$A$1:$BZ$3001,2471,$B$1)&amp;"",FIND(" ",TRIM(INDEX(貼り付け!$A$1:$BZ$3001,2471,$B$1)&amp;"")&amp;" ")-1)),"/","-"),"年","-"),"月","-"),"日",""))),"")</f>
        <v/>
      </c>
      <c r="J2472">
        <f>IFERROR(MID(I2472,FIND("-",I2472)+1,99),"")</f>
        <v/>
      </c>
    </row>
    <row r="2473">
      <c r="B2473">
        <f>IFERROR(IF($B$1=0,"",IF(INDEX(貼り付け!$A$1:$BZ$3001,2472,$B$1)="","",IF(ISNUMBER(INDEX(貼り付け!$A$1:$BZ$3001,2472,$B$1)),INT(INDEX(貼り付け!$A$1:$BZ$3001,2472,$B$1)),DATE(VALUE(LEFT(I2473,FIND("-",I2473)-1)),VALUE(LEFT(J2473,FIND("-",J2473)-1)),VALUE(MID(J2473,FIND("-",J2473)+1,99)))))),"")</f>
        <v/>
      </c>
      <c r="C2473">
        <f>IF($C$1=0,0,IFERROR(VALUE(SUBSTITUTE(SUBSTITUTE(SUBSTITUTE(INDEX(貼り付け!$A$1:$BZ$3001,2472,$C$1)&amp;"",",",""),"¥",""),"￥","")),0))</f>
        <v/>
      </c>
      <c r="D2473">
        <f>IF($D$1=0,0,IFERROR(VALUE(SUBSTITUTE(SUBSTITUTE(SUBSTITUTE(INDEX(貼り付け!$A$1:$BZ$3001,2472,$D$1)&amp;"",",",""),"¥",""),"￥","")),0))</f>
        <v/>
      </c>
      <c r="E2473">
        <f>IF($E$1=0,0,IFERROR(VALUE(SUBSTITUTE(SUBSTITUTE(SUBSTITUTE(INDEX(貼り付け!$A$1:$BZ$3001,2472,$E$1)&amp;"",",",""),"¥",""),"￥","")),0))</f>
        <v/>
      </c>
      <c r="F2473">
        <f>IF($F$1=0,0,IFERROR(VALUE(SUBSTITUTE(SUBSTITUTE(SUBSTITUTE(INDEX(貼り付け!$A$1:$BZ$3001,2472,$F$1)&amp;"",",",""),"¥",""),"￥","")),0))</f>
        <v/>
      </c>
      <c r="G2473">
        <f>IF(ISNUMBER(B2473),YEAR(B2473),"")</f>
        <v/>
      </c>
      <c r="H2473">
        <f>IF(ISNUMBER(B2473),MONTH(B2473),"")</f>
        <v/>
      </c>
      <c r="I2473">
        <f>IFERROR(IF($B$1=0,"",IF(ISNUMBER(INDEX(貼り付け!$A$1:$BZ$3001,2472,$B$1)),"",SUBSTITUTE(SUBSTITUTE(SUBSTITUTE(SUBSTITUTE(TRIM(LEFT(INDEX(貼り付け!$A$1:$BZ$3001,2472,$B$1)&amp;"",FIND(" ",TRIM(INDEX(貼り付け!$A$1:$BZ$3001,2472,$B$1)&amp;"")&amp;" ")-1)),"/","-"),"年","-"),"月","-"),"日",""))),"")</f>
        <v/>
      </c>
      <c r="J2473">
        <f>IFERROR(MID(I2473,FIND("-",I2473)+1,99),"")</f>
        <v/>
      </c>
    </row>
    <row r="2474">
      <c r="B2474">
        <f>IFERROR(IF($B$1=0,"",IF(INDEX(貼り付け!$A$1:$BZ$3001,2473,$B$1)="","",IF(ISNUMBER(INDEX(貼り付け!$A$1:$BZ$3001,2473,$B$1)),INT(INDEX(貼り付け!$A$1:$BZ$3001,2473,$B$1)),DATE(VALUE(LEFT(I2474,FIND("-",I2474)-1)),VALUE(LEFT(J2474,FIND("-",J2474)-1)),VALUE(MID(J2474,FIND("-",J2474)+1,99)))))),"")</f>
        <v/>
      </c>
      <c r="C2474">
        <f>IF($C$1=0,0,IFERROR(VALUE(SUBSTITUTE(SUBSTITUTE(SUBSTITUTE(INDEX(貼り付け!$A$1:$BZ$3001,2473,$C$1)&amp;"",",",""),"¥",""),"￥","")),0))</f>
        <v/>
      </c>
      <c r="D2474">
        <f>IF($D$1=0,0,IFERROR(VALUE(SUBSTITUTE(SUBSTITUTE(SUBSTITUTE(INDEX(貼り付け!$A$1:$BZ$3001,2473,$D$1)&amp;"",",",""),"¥",""),"￥","")),0))</f>
        <v/>
      </c>
      <c r="E2474">
        <f>IF($E$1=0,0,IFERROR(VALUE(SUBSTITUTE(SUBSTITUTE(SUBSTITUTE(INDEX(貼り付け!$A$1:$BZ$3001,2473,$E$1)&amp;"",",",""),"¥",""),"￥","")),0))</f>
        <v/>
      </c>
      <c r="F2474">
        <f>IF($F$1=0,0,IFERROR(VALUE(SUBSTITUTE(SUBSTITUTE(SUBSTITUTE(INDEX(貼り付け!$A$1:$BZ$3001,2473,$F$1)&amp;"",",",""),"¥",""),"￥","")),0))</f>
        <v/>
      </c>
      <c r="G2474">
        <f>IF(ISNUMBER(B2474),YEAR(B2474),"")</f>
        <v/>
      </c>
      <c r="H2474">
        <f>IF(ISNUMBER(B2474),MONTH(B2474),"")</f>
        <v/>
      </c>
      <c r="I2474">
        <f>IFERROR(IF($B$1=0,"",IF(ISNUMBER(INDEX(貼り付け!$A$1:$BZ$3001,2473,$B$1)),"",SUBSTITUTE(SUBSTITUTE(SUBSTITUTE(SUBSTITUTE(TRIM(LEFT(INDEX(貼り付け!$A$1:$BZ$3001,2473,$B$1)&amp;"",FIND(" ",TRIM(INDEX(貼り付け!$A$1:$BZ$3001,2473,$B$1)&amp;"")&amp;" ")-1)),"/","-"),"年","-"),"月","-"),"日",""))),"")</f>
        <v/>
      </c>
      <c r="J2474">
        <f>IFERROR(MID(I2474,FIND("-",I2474)+1,99),"")</f>
        <v/>
      </c>
    </row>
    <row r="2475">
      <c r="B2475">
        <f>IFERROR(IF($B$1=0,"",IF(INDEX(貼り付け!$A$1:$BZ$3001,2474,$B$1)="","",IF(ISNUMBER(INDEX(貼り付け!$A$1:$BZ$3001,2474,$B$1)),INT(INDEX(貼り付け!$A$1:$BZ$3001,2474,$B$1)),DATE(VALUE(LEFT(I2475,FIND("-",I2475)-1)),VALUE(LEFT(J2475,FIND("-",J2475)-1)),VALUE(MID(J2475,FIND("-",J2475)+1,99)))))),"")</f>
        <v/>
      </c>
      <c r="C2475">
        <f>IF($C$1=0,0,IFERROR(VALUE(SUBSTITUTE(SUBSTITUTE(SUBSTITUTE(INDEX(貼り付け!$A$1:$BZ$3001,2474,$C$1)&amp;"",",",""),"¥",""),"￥","")),0))</f>
        <v/>
      </c>
      <c r="D2475">
        <f>IF($D$1=0,0,IFERROR(VALUE(SUBSTITUTE(SUBSTITUTE(SUBSTITUTE(INDEX(貼り付け!$A$1:$BZ$3001,2474,$D$1)&amp;"",",",""),"¥",""),"￥","")),0))</f>
        <v/>
      </c>
      <c r="E2475">
        <f>IF($E$1=0,0,IFERROR(VALUE(SUBSTITUTE(SUBSTITUTE(SUBSTITUTE(INDEX(貼り付け!$A$1:$BZ$3001,2474,$E$1)&amp;"",",",""),"¥",""),"￥","")),0))</f>
        <v/>
      </c>
      <c r="F2475">
        <f>IF($F$1=0,0,IFERROR(VALUE(SUBSTITUTE(SUBSTITUTE(SUBSTITUTE(INDEX(貼り付け!$A$1:$BZ$3001,2474,$F$1)&amp;"",",",""),"¥",""),"￥","")),0))</f>
        <v/>
      </c>
      <c r="G2475">
        <f>IF(ISNUMBER(B2475),YEAR(B2475),"")</f>
        <v/>
      </c>
      <c r="H2475">
        <f>IF(ISNUMBER(B2475),MONTH(B2475),"")</f>
        <v/>
      </c>
      <c r="I2475">
        <f>IFERROR(IF($B$1=0,"",IF(ISNUMBER(INDEX(貼り付け!$A$1:$BZ$3001,2474,$B$1)),"",SUBSTITUTE(SUBSTITUTE(SUBSTITUTE(SUBSTITUTE(TRIM(LEFT(INDEX(貼り付け!$A$1:$BZ$3001,2474,$B$1)&amp;"",FIND(" ",TRIM(INDEX(貼り付け!$A$1:$BZ$3001,2474,$B$1)&amp;"")&amp;" ")-1)),"/","-"),"年","-"),"月","-"),"日",""))),"")</f>
        <v/>
      </c>
      <c r="J2475">
        <f>IFERROR(MID(I2475,FIND("-",I2475)+1,99),"")</f>
        <v/>
      </c>
    </row>
    <row r="2476">
      <c r="B2476">
        <f>IFERROR(IF($B$1=0,"",IF(INDEX(貼り付け!$A$1:$BZ$3001,2475,$B$1)="","",IF(ISNUMBER(INDEX(貼り付け!$A$1:$BZ$3001,2475,$B$1)),INT(INDEX(貼り付け!$A$1:$BZ$3001,2475,$B$1)),DATE(VALUE(LEFT(I2476,FIND("-",I2476)-1)),VALUE(LEFT(J2476,FIND("-",J2476)-1)),VALUE(MID(J2476,FIND("-",J2476)+1,99)))))),"")</f>
        <v/>
      </c>
      <c r="C2476">
        <f>IF($C$1=0,0,IFERROR(VALUE(SUBSTITUTE(SUBSTITUTE(SUBSTITUTE(INDEX(貼り付け!$A$1:$BZ$3001,2475,$C$1)&amp;"",",",""),"¥",""),"￥","")),0))</f>
        <v/>
      </c>
      <c r="D2476">
        <f>IF($D$1=0,0,IFERROR(VALUE(SUBSTITUTE(SUBSTITUTE(SUBSTITUTE(INDEX(貼り付け!$A$1:$BZ$3001,2475,$D$1)&amp;"",",",""),"¥",""),"￥","")),0))</f>
        <v/>
      </c>
      <c r="E2476">
        <f>IF($E$1=0,0,IFERROR(VALUE(SUBSTITUTE(SUBSTITUTE(SUBSTITUTE(INDEX(貼り付け!$A$1:$BZ$3001,2475,$E$1)&amp;"",",",""),"¥",""),"￥","")),0))</f>
        <v/>
      </c>
      <c r="F2476">
        <f>IF($F$1=0,0,IFERROR(VALUE(SUBSTITUTE(SUBSTITUTE(SUBSTITUTE(INDEX(貼り付け!$A$1:$BZ$3001,2475,$F$1)&amp;"",",",""),"¥",""),"￥","")),0))</f>
        <v/>
      </c>
      <c r="G2476">
        <f>IF(ISNUMBER(B2476),YEAR(B2476),"")</f>
        <v/>
      </c>
      <c r="H2476">
        <f>IF(ISNUMBER(B2476),MONTH(B2476),"")</f>
        <v/>
      </c>
      <c r="I2476">
        <f>IFERROR(IF($B$1=0,"",IF(ISNUMBER(INDEX(貼り付け!$A$1:$BZ$3001,2475,$B$1)),"",SUBSTITUTE(SUBSTITUTE(SUBSTITUTE(SUBSTITUTE(TRIM(LEFT(INDEX(貼り付け!$A$1:$BZ$3001,2475,$B$1)&amp;"",FIND(" ",TRIM(INDEX(貼り付け!$A$1:$BZ$3001,2475,$B$1)&amp;"")&amp;" ")-1)),"/","-"),"年","-"),"月","-"),"日",""))),"")</f>
        <v/>
      </c>
      <c r="J2476">
        <f>IFERROR(MID(I2476,FIND("-",I2476)+1,99),"")</f>
        <v/>
      </c>
    </row>
    <row r="2477">
      <c r="B2477">
        <f>IFERROR(IF($B$1=0,"",IF(INDEX(貼り付け!$A$1:$BZ$3001,2476,$B$1)="","",IF(ISNUMBER(INDEX(貼り付け!$A$1:$BZ$3001,2476,$B$1)),INT(INDEX(貼り付け!$A$1:$BZ$3001,2476,$B$1)),DATE(VALUE(LEFT(I2477,FIND("-",I2477)-1)),VALUE(LEFT(J2477,FIND("-",J2477)-1)),VALUE(MID(J2477,FIND("-",J2477)+1,99)))))),"")</f>
        <v/>
      </c>
      <c r="C2477">
        <f>IF($C$1=0,0,IFERROR(VALUE(SUBSTITUTE(SUBSTITUTE(SUBSTITUTE(INDEX(貼り付け!$A$1:$BZ$3001,2476,$C$1)&amp;"",",",""),"¥",""),"￥","")),0))</f>
        <v/>
      </c>
      <c r="D2477">
        <f>IF($D$1=0,0,IFERROR(VALUE(SUBSTITUTE(SUBSTITUTE(SUBSTITUTE(INDEX(貼り付け!$A$1:$BZ$3001,2476,$D$1)&amp;"",",",""),"¥",""),"￥","")),0))</f>
        <v/>
      </c>
      <c r="E2477">
        <f>IF($E$1=0,0,IFERROR(VALUE(SUBSTITUTE(SUBSTITUTE(SUBSTITUTE(INDEX(貼り付け!$A$1:$BZ$3001,2476,$E$1)&amp;"",",",""),"¥",""),"￥","")),0))</f>
        <v/>
      </c>
      <c r="F2477">
        <f>IF($F$1=0,0,IFERROR(VALUE(SUBSTITUTE(SUBSTITUTE(SUBSTITUTE(INDEX(貼り付け!$A$1:$BZ$3001,2476,$F$1)&amp;"",",",""),"¥",""),"￥","")),0))</f>
        <v/>
      </c>
      <c r="G2477">
        <f>IF(ISNUMBER(B2477),YEAR(B2477),"")</f>
        <v/>
      </c>
      <c r="H2477">
        <f>IF(ISNUMBER(B2477),MONTH(B2477),"")</f>
        <v/>
      </c>
      <c r="I2477">
        <f>IFERROR(IF($B$1=0,"",IF(ISNUMBER(INDEX(貼り付け!$A$1:$BZ$3001,2476,$B$1)),"",SUBSTITUTE(SUBSTITUTE(SUBSTITUTE(SUBSTITUTE(TRIM(LEFT(INDEX(貼り付け!$A$1:$BZ$3001,2476,$B$1)&amp;"",FIND(" ",TRIM(INDEX(貼り付け!$A$1:$BZ$3001,2476,$B$1)&amp;"")&amp;" ")-1)),"/","-"),"年","-"),"月","-"),"日",""))),"")</f>
        <v/>
      </c>
      <c r="J2477">
        <f>IFERROR(MID(I2477,FIND("-",I2477)+1,99),"")</f>
        <v/>
      </c>
    </row>
    <row r="2478">
      <c r="B2478">
        <f>IFERROR(IF($B$1=0,"",IF(INDEX(貼り付け!$A$1:$BZ$3001,2477,$B$1)="","",IF(ISNUMBER(INDEX(貼り付け!$A$1:$BZ$3001,2477,$B$1)),INT(INDEX(貼り付け!$A$1:$BZ$3001,2477,$B$1)),DATE(VALUE(LEFT(I2478,FIND("-",I2478)-1)),VALUE(LEFT(J2478,FIND("-",J2478)-1)),VALUE(MID(J2478,FIND("-",J2478)+1,99)))))),"")</f>
        <v/>
      </c>
      <c r="C2478">
        <f>IF($C$1=0,0,IFERROR(VALUE(SUBSTITUTE(SUBSTITUTE(SUBSTITUTE(INDEX(貼り付け!$A$1:$BZ$3001,2477,$C$1)&amp;"",",",""),"¥",""),"￥","")),0))</f>
        <v/>
      </c>
      <c r="D2478">
        <f>IF($D$1=0,0,IFERROR(VALUE(SUBSTITUTE(SUBSTITUTE(SUBSTITUTE(INDEX(貼り付け!$A$1:$BZ$3001,2477,$D$1)&amp;"",",",""),"¥",""),"￥","")),0))</f>
        <v/>
      </c>
      <c r="E2478">
        <f>IF($E$1=0,0,IFERROR(VALUE(SUBSTITUTE(SUBSTITUTE(SUBSTITUTE(INDEX(貼り付け!$A$1:$BZ$3001,2477,$E$1)&amp;"",",",""),"¥",""),"￥","")),0))</f>
        <v/>
      </c>
      <c r="F2478">
        <f>IF($F$1=0,0,IFERROR(VALUE(SUBSTITUTE(SUBSTITUTE(SUBSTITUTE(INDEX(貼り付け!$A$1:$BZ$3001,2477,$F$1)&amp;"",",",""),"¥",""),"￥","")),0))</f>
        <v/>
      </c>
      <c r="G2478">
        <f>IF(ISNUMBER(B2478),YEAR(B2478),"")</f>
        <v/>
      </c>
      <c r="H2478">
        <f>IF(ISNUMBER(B2478),MONTH(B2478),"")</f>
        <v/>
      </c>
      <c r="I2478">
        <f>IFERROR(IF($B$1=0,"",IF(ISNUMBER(INDEX(貼り付け!$A$1:$BZ$3001,2477,$B$1)),"",SUBSTITUTE(SUBSTITUTE(SUBSTITUTE(SUBSTITUTE(TRIM(LEFT(INDEX(貼り付け!$A$1:$BZ$3001,2477,$B$1)&amp;"",FIND(" ",TRIM(INDEX(貼り付け!$A$1:$BZ$3001,2477,$B$1)&amp;"")&amp;" ")-1)),"/","-"),"年","-"),"月","-"),"日",""))),"")</f>
        <v/>
      </c>
      <c r="J2478">
        <f>IFERROR(MID(I2478,FIND("-",I2478)+1,99),"")</f>
        <v/>
      </c>
    </row>
    <row r="2479">
      <c r="B2479">
        <f>IFERROR(IF($B$1=0,"",IF(INDEX(貼り付け!$A$1:$BZ$3001,2478,$B$1)="","",IF(ISNUMBER(INDEX(貼り付け!$A$1:$BZ$3001,2478,$B$1)),INT(INDEX(貼り付け!$A$1:$BZ$3001,2478,$B$1)),DATE(VALUE(LEFT(I2479,FIND("-",I2479)-1)),VALUE(LEFT(J2479,FIND("-",J2479)-1)),VALUE(MID(J2479,FIND("-",J2479)+1,99)))))),"")</f>
        <v/>
      </c>
      <c r="C2479">
        <f>IF($C$1=0,0,IFERROR(VALUE(SUBSTITUTE(SUBSTITUTE(SUBSTITUTE(INDEX(貼り付け!$A$1:$BZ$3001,2478,$C$1)&amp;"",",",""),"¥",""),"￥","")),0))</f>
        <v/>
      </c>
      <c r="D2479">
        <f>IF($D$1=0,0,IFERROR(VALUE(SUBSTITUTE(SUBSTITUTE(SUBSTITUTE(INDEX(貼り付け!$A$1:$BZ$3001,2478,$D$1)&amp;"",",",""),"¥",""),"￥","")),0))</f>
        <v/>
      </c>
      <c r="E2479">
        <f>IF($E$1=0,0,IFERROR(VALUE(SUBSTITUTE(SUBSTITUTE(SUBSTITUTE(INDEX(貼り付け!$A$1:$BZ$3001,2478,$E$1)&amp;"",",",""),"¥",""),"￥","")),0))</f>
        <v/>
      </c>
      <c r="F2479">
        <f>IF($F$1=0,0,IFERROR(VALUE(SUBSTITUTE(SUBSTITUTE(SUBSTITUTE(INDEX(貼り付け!$A$1:$BZ$3001,2478,$F$1)&amp;"",",",""),"¥",""),"￥","")),0))</f>
        <v/>
      </c>
      <c r="G2479">
        <f>IF(ISNUMBER(B2479),YEAR(B2479),"")</f>
        <v/>
      </c>
      <c r="H2479">
        <f>IF(ISNUMBER(B2479),MONTH(B2479),"")</f>
        <v/>
      </c>
      <c r="I2479">
        <f>IFERROR(IF($B$1=0,"",IF(ISNUMBER(INDEX(貼り付け!$A$1:$BZ$3001,2478,$B$1)),"",SUBSTITUTE(SUBSTITUTE(SUBSTITUTE(SUBSTITUTE(TRIM(LEFT(INDEX(貼り付け!$A$1:$BZ$3001,2478,$B$1)&amp;"",FIND(" ",TRIM(INDEX(貼り付け!$A$1:$BZ$3001,2478,$B$1)&amp;"")&amp;" ")-1)),"/","-"),"年","-"),"月","-"),"日",""))),"")</f>
        <v/>
      </c>
      <c r="J2479">
        <f>IFERROR(MID(I2479,FIND("-",I2479)+1,99),"")</f>
        <v/>
      </c>
    </row>
    <row r="2480">
      <c r="B2480">
        <f>IFERROR(IF($B$1=0,"",IF(INDEX(貼り付け!$A$1:$BZ$3001,2479,$B$1)="","",IF(ISNUMBER(INDEX(貼り付け!$A$1:$BZ$3001,2479,$B$1)),INT(INDEX(貼り付け!$A$1:$BZ$3001,2479,$B$1)),DATE(VALUE(LEFT(I2480,FIND("-",I2480)-1)),VALUE(LEFT(J2480,FIND("-",J2480)-1)),VALUE(MID(J2480,FIND("-",J2480)+1,99)))))),"")</f>
        <v/>
      </c>
      <c r="C2480">
        <f>IF($C$1=0,0,IFERROR(VALUE(SUBSTITUTE(SUBSTITUTE(SUBSTITUTE(INDEX(貼り付け!$A$1:$BZ$3001,2479,$C$1)&amp;"",",",""),"¥",""),"￥","")),0))</f>
        <v/>
      </c>
      <c r="D2480">
        <f>IF($D$1=0,0,IFERROR(VALUE(SUBSTITUTE(SUBSTITUTE(SUBSTITUTE(INDEX(貼り付け!$A$1:$BZ$3001,2479,$D$1)&amp;"",",",""),"¥",""),"￥","")),0))</f>
        <v/>
      </c>
      <c r="E2480">
        <f>IF($E$1=0,0,IFERROR(VALUE(SUBSTITUTE(SUBSTITUTE(SUBSTITUTE(INDEX(貼り付け!$A$1:$BZ$3001,2479,$E$1)&amp;"",",",""),"¥",""),"￥","")),0))</f>
        <v/>
      </c>
      <c r="F2480">
        <f>IF($F$1=0,0,IFERROR(VALUE(SUBSTITUTE(SUBSTITUTE(SUBSTITUTE(INDEX(貼り付け!$A$1:$BZ$3001,2479,$F$1)&amp;"",",",""),"¥",""),"￥","")),0))</f>
        <v/>
      </c>
      <c r="G2480">
        <f>IF(ISNUMBER(B2480),YEAR(B2480),"")</f>
        <v/>
      </c>
      <c r="H2480">
        <f>IF(ISNUMBER(B2480),MONTH(B2480),"")</f>
        <v/>
      </c>
      <c r="I2480">
        <f>IFERROR(IF($B$1=0,"",IF(ISNUMBER(INDEX(貼り付け!$A$1:$BZ$3001,2479,$B$1)),"",SUBSTITUTE(SUBSTITUTE(SUBSTITUTE(SUBSTITUTE(TRIM(LEFT(INDEX(貼り付け!$A$1:$BZ$3001,2479,$B$1)&amp;"",FIND(" ",TRIM(INDEX(貼り付け!$A$1:$BZ$3001,2479,$B$1)&amp;"")&amp;" ")-1)),"/","-"),"年","-"),"月","-"),"日",""))),"")</f>
        <v/>
      </c>
      <c r="J2480">
        <f>IFERROR(MID(I2480,FIND("-",I2480)+1,99),"")</f>
        <v/>
      </c>
    </row>
    <row r="2481">
      <c r="B2481">
        <f>IFERROR(IF($B$1=0,"",IF(INDEX(貼り付け!$A$1:$BZ$3001,2480,$B$1)="","",IF(ISNUMBER(INDEX(貼り付け!$A$1:$BZ$3001,2480,$B$1)),INT(INDEX(貼り付け!$A$1:$BZ$3001,2480,$B$1)),DATE(VALUE(LEFT(I2481,FIND("-",I2481)-1)),VALUE(LEFT(J2481,FIND("-",J2481)-1)),VALUE(MID(J2481,FIND("-",J2481)+1,99)))))),"")</f>
        <v/>
      </c>
      <c r="C2481">
        <f>IF($C$1=0,0,IFERROR(VALUE(SUBSTITUTE(SUBSTITUTE(SUBSTITUTE(INDEX(貼り付け!$A$1:$BZ$3001,2480,$C$1)&amp;"",",",""),"¥",""),"￥","")),0))</f>
        <v/>
      </c>
      <c r="D2481">
        <f>IF($D$1=0,0,IFERROR(VALUE(SUBSTITUTE(SUBSTITUTE(SUBSTITUTE(INDEX(貼り付け!$A$1:$BZ$3001,2480,$D$1)&amp;"",",",""),"¥",""),"￥","")),0))</f>
        <v/>
      </c>
      <c r="E2481">
        <f>IF($E$1=0,0,IFERROR(VALUE(SUBSTITUTE(SUBSTITUTE(SUBSTITUTE(INDEX(貼り付け!$A$1:$BZ$3001,2480,$E$1)&amp;"",",",""),"¥",""),"￥","")),0))</f>
        <v/>
      </c>
      <c r="F2481">
        <f>IF($F$1=0,0,IFERROR(VALUE(SUBSTITUTE(SUBSTITUTE(SUBSTITUTE(INDEX(貼り付け!$A$1:$BZ$3001,2480,$F$1)&amp;"",",",""),"¥",""),"￥","")),0))</f>
        <v/>
      </c>
      <c r="G2481">
        <f>IF(ISNUMBER(B2481),YEAR(B2481),"")</f>
        <v/>
      </c>
      <c r="H2481">
        <f>IF(ISNUMBER(B2481),MONTH(B2481),"")</f>
        <v/>
      </c>
      <c r="I2481">
        <f>IFERROR(IF($B$1=0,"",IF(ISNUMBER(INDEX(貼り付け!$A$1:$BZ$3001,2480,$B$1)),"",SUBSTITUTE(SUBSTITUTE(SUBSTITUTE(SUBSTITUTE(TRIM(LEFT(INDEX(貼り付け!$A$1:$BZ$3001,2480,$B$1)&amp;"",FIND(" ",TRIM(INDEX(貼り付け!$A$1:$BZ$3001,2480,$B$1)&amp;"")&amp;" ")-1)),"/","-"),"年","-"),"月","-"),"日",""))),"")</f>
        <v/>
      </c>
      <c r="J2481">
        <f>IFERROR(MID(I2481,FIND("-",I2481)+1,99),"")</f>
        <v/>
      </c>
    </row>
    <row r="2482">
      <c r="B2482">
        <f>IFERROR(IF($B$1=0,"",IF(INDEX(貼り付け!$A$1:$BZ$3001,2481,$B$1)="","",IF(ISNUMBER(INDEX(貼り付け!$A$1:$BZ$3001,2481,$B$1)),INT(INDEX(貼り付け!$A$1:$BZ$3001,2481,$B$1)),DATE(VALUE(LEFT(I2482,FIND("-",I2482)-1)),VALUE(LEFT(J2482,FIND("-",J2482)-1)),VALUE(MID(J2482,FIND("-",J2482)+1,99)))))),"")</f>
        <v/>
      </c>
      <c r="C2482">
        <f>IF($C$1=0,0,IFERROR(VALUE(SUBSTITUTE(SUBSTITUTE(SUBSTITUTE(INDEX(貼り付け!$A$1:$BZ$3001,2481,$C$1)&amp;"",",",""),"¥",""),"￥","")),0))</f>
        <v/>
      </c>
      <c r="D2482">
        <f>IF($D$1=0,0,IFERROR(VALUE(SUBSTITUTE(SUBSTITUTE(SUBSTITUTE(INDEX(貼り付け!$A$1:$BZ$3001,2481,$D$1)&amp;"",",",""),"¥",""),"￥","")),0))</f>
        <v/>
      </c>
      <c r="E2482">
        <f>IF($E$1=0,0,IFERROR(VALUE(SUBSTITUTE(SUBSTITUTE(SUBSTITUTE(INDEX(貼り付け!$A$1:$BZ$3001,2481,$E$1)&amp;"",",",""),"¥",""),"￥","")),0))</f>
        <v/>
      </c>
      <c r="F2482">
        <f>IF($F$1=0,0,IFERROR(VALUE(SUBSTITUTE(SUBSTITUTE(SUBSTITUTE(INDEX(貼り付け!$A$1:$BZ$3001,2481,$F$1)&amp;"",",",""),"¥",""),"￥","")),0))</f>
        <v/>
      </c>
      <c r="G2482">
        <f>IF(ISNUMBER(B2482),YEAR(B2482),"")</f>
        <v/>
      </c>
      <c r="H2482">
        <f>IF(ISNUMBER(B2482),MONTH(B2482),"")</f>
        <v/>
      </c>
      <c r="I2482">
        <f>IFERROR(IF($B$1=0,"",IF(ISNUMBER(INDEX(貼り付け!$A$1:$BZ$3001,2481,$B$1)),"",SUBSTITUTE(SUBSTITUTE(SUBSTITUTE(SUBSTITUTE(TRIM(LEFT(INDEX(貼り付け!$A$1:$BZ$3001,2481,$B$1)&amp;"",FIND(" ",TRIM(INDEX(貼り付け!$A$1:$BZ$3001,2481,$B$1)&amp;"")&amp;" ")-1)),"/","-"),"年","-"),"月","-"),"日",""))),"")</f>
        <v/>
      </c>
      <c r="J2482">
        <f>IFERROR(MID(I2482,FIND("-",I2482)+1,99),"")</f>
        <v/>
      </c>
    </row>
    <row r="2483">
      <c r="B2483">
        <f>IFERROR(IF($B$1=0,"",IF(INDEX(貼り付け!$A$1:$BZ$3001,2482,$B$1)="","",IF(ISNUMBER(INDEX(貼り付け!$A$1:$BZ$3001,2482,$B$1)),INT(INDEX(貼り付け!$A$1:$BZ$3001,2482,$B$1)),DATE(VALUE(LEFT(I2483,FIND("-",I2483)-1)),VALUE(LEFT(J2483,FIND("-",J2483)-1)),VALUE(MID(J2483,FIND("-",J2483)+1,99)))))),"")</f>
        <v/>
      </c>
      <c r="C2483">
        <f>IF($C$1=0,0,IFERROR(VALUE(SUBSTITUTE(SUBSTITUTE(SUBSTITUTE(INDEX(貼り付け!$A$1:$BZ$3001,2482,$C$1)&amp;"",",",""),"¥",""),"￥","")),0))</f>
        <v/>
      </c>
      <c r="D2483">
        <f>IF($D$1=0,0,IFERROR(VALUE(SUBSTITUTE(SUBSTITUTE(SUBSTITUTE(INDEX(貼り付け!$A$1:$BZ$3001,2482,$D$1)&amp;"",",",""),"¥",""),"￥","")),0))</f>
        <v/>
      </c>
      <c r="E2483">
        <f>IF($E$1=0,0,IFERROR(VALUE(SUBSTITUTE(SUBSTITUTE(SUBSTITUTE(INDEX(貼り付け!$A$1:$BZ$3001,2482,$E$1)&amp;"",",",""),"¥",""),"￥","")),0))</f>
        <v/>
      </c>
      <c r="F2483">
        <f>IF($F$1=0,0,IFERROR(VALUE(SUBSTITUTE(SUBSTITUTE(SUBSTITUTE(INDEX(貼り付け!$A$1:$BZ$3001,2482,$F$1)&amp;"",",",""),"¥",""),"￥","")),0))</f>
        <v/>
      </c>
      <c r="G2483">
        <f>IF(ISNUMBER(B2483),YEAR(B2483),"")</f>
        <v/>
      </c>
      <c r="H2483">
        <f>IF(ISNUMBER(B2483),MONTH(B2483),"")</f>
        <v/>
      </c>
      <c r="I2483">
        <f>IFERROR(IF($B$1=0,"",IF(ISNUMBER(INDEX(貼り付け!$A$1:$BZ$3001,2482,$B$1)),"",SUBSTITUTE(SUBSTITUTE(SUBSTITUTE(SUBSTITUTE(TRIM(LEFT(INDEX(貼り付け!$A$1:$BZ$3001,2482,$B$1)&amp;"",FIND(" ",TRIM(INDEX(貼り付け!$A$1:$BZ$3001,2482,$B$1)&amp;"")&amp;" ")-1)),"/","-"),"年","-"),"月","-"),"日",""))),"")</f>
        <v/>
      </c>
      <c r="J2483">
        <f>IFERROR(MID(I2483,FIND("-",I2483)+1,99),"")</f>
        <v/>
      </c>
    </row>
    <row r="2484">
      <c r="B2484">
        <f>IFERROR(IF($B$1=0,"",IF(INDEX(貼り付け!$A$1:$BZ$3001,2483,$B$1)="","",IF(ISNUMBER(INDEX(貼り付け!$A$1:$BZ$3001,2483,$B$1)),INT(INDEX(貼り付け!$A$1:$BZ$3001,2483,$B$1)),DATE(VALUE(LEFT(I2484,FIND("-",I2484)-1)),VALUE(LEFT(J2484,FIND("-",J2484)-1)),VALUE(MID(J2484,FIND("-",J2484)+1,99)))))),"")</f>
        <v/>
      </c>
      <c r="C2484">
        <f>IF($C$1=0,0,IFERROR(VALUE(SUBSTITUTE(SUBSTITUTE(SUBSTITUTE(INDEX(貼り付け!$A$1:$BZ$3001,2483,$C$1)&amp;"",",",""),"¥",""),"￥","")),0))</f>
        <v/>
      </c>
      <c r="D2484">
        <f>IF($D$1=0,0,IFERROR(VALUE(SUBSTITUTE(SUBSTITUTE(SUBSTITUTE(INDEX(貼り付け!$A$1:$BZ$3001,2483,$D$1)&amp;"",",",""),"¥",""),"￥","")),0))</f>
        <v/>
      </c>
      <c r="E2484">
        <f>IF($E$1=0,0,IFERROR(VALUE(SUBSTITUTE(SUBSTITUTE(SUBSTITUTE(INDEX(貼り付け!$A$1:$BZ$3001,2483,$E$1)&amp;"",",",""),"¥",""),"￥","")),0))</f>
        <v/>
      </c>
      <c r="F2484">
        <f>IF($F$1=0,0,IFERROR(VALUE(SUBSTITUTE(SUBSTITUTE(SUBSTITUTE(INDEX(貼り付け!$A$1:$BZ$3001,2483,$F$1)&amp;"",",",""),"¥",""),"￥","")),0))</f>
        <v/>
      </c>
      <c r="G2484">
        <f>IF(ISNUMBER(B2484),YEAR(B2484),"")</f>
        <v/>
      </c>
      <c r="H2484">
        <f>IF(ISNUMBER(B2484),MONTH(B2484),"")</f>
        <v/>
      </c>
      <c r="I2484">
        <f>IFERROR(IF($B$1=0,"",IF(ISNUMBER(INDEX(貼り付け!$A$1:$BZ$3001,2483,$B$1)),"",SUBSTITUTE(SUBSTITUTE(SUBSTITUTE(SUBSTITUTE(TRIM(LEFT(INDEX(貼り付け!$A$1:$BZ$3001,2483,$B$1)&amp;"",FIND(" ",TRIM(INDEX(貼り付け!$A$1:$BZ$3001,2483,$B$1)&amp;"")&amp;" ")-1)),"/","-"),"年","-"),"月","-"),"日",""))),"")</f>
        <v/>
      </c>
      <c r="J2484">
        <f>IFERROR(MID(I2484,FIND("-",I2484)+1,99),"")</f>
        <v/>
      </c>
    </row>
    <row r="2485">
      <c r="B2485">
        <f>IFERROR(IF($B$1=0,"",IF(INDEX(貼り付け!$A$1:$BZ$3001,2484,$B$1)="","",IF(ISNUMBER(INDEX(貼り付け!$A$1:$BZ$3001,2484,$B$1)),INT(INDEX(貼り付け!$A$1:$BZ$3001,2484,$B$1)),DATE(VALUE(LEFT(I2485,FIND("-",I2485)-1)),VALUE(LEFT(J2485,FIND("-",J2485)-1)),VALUE(MID(J2485,FIND("-",J2485)+1,99)))))),"")</f>
        <v/>
      </c>
      <c r="C2485">
        <f>IF($C$1=0,0,IFERROR(VALUE(SUBSTITUTE(SUBSTITUTE(SUBSTITUTE(INDEX(貼り付け!$A$1:$BZ$3001,2484,$C$1)&amp;"",",",""),"¥",""),"￥","")),0))</f>
        <v/>
      </c>
      <c r="D2485">
        <f>IF($D$1=0,0,IFERROR(VALUE(SUBSTITUTE(SUBSTITUTE(SUBSTITUTE(INDEX(貼り付け!$A$1:$BZ$3001,2484,$D$1)&amp;"",",",""),"¥",""),"￥","")),0))</f>
        <v/>
      </c>
      <c r="E2485">
        <f>IF($E$1=0,0,IFERROR(VALUE(SUBSTITUTE(SUBSTITUTE(SUBSTITUTE(INDEX(貼り付け!$A$1:$BZ$3001,2484,$E$1)&amp;"",",",""),"¥",""),"￥","")),0))</f>
        <v/>
      </c>
      <c r="F2485">
        <f>IF($F$1=0,0,IFERROR(VALUE(SUBSTITUTE(SUBSTITUTE(SUBSTITUTE(INDEX(貼り付け!$A$1:$BZ$3001,2484,$F$1)&amp;"",",",""),"¥",""),"￥","")),0))</f>
        <v/>
      </c>
      <c r="G2485">
        <f>IF(ISNUMBER(B2485),YEAR(B2485),"")</f>
        <v/>
      </c>
      <c r="H2485">
        <f>IF(ISNUMBER(B2485),MONTH(B2485),"")</f>
        <v/>
      </c>
      <c r="I2485">
        <f>IFERROR(IF($B$1=0,"",IF(ISNUMBER(INDEX(貼り付け!$A$1:$BZ$3001,2484,$B$1)),"",SUBSTITUTE(SUBSTITUTE(SUBSTITUTE(SUBSTITUTE(TRIM(LEFT(INDEX(貼り付け!$A$1:$BZ$3001,2484,$B$1)&amp;"",FIND(" ",TRIM(INDEX(貼り付け!$A$1:$BZ$3001,2484,$B$1)&amp;"")&amp;" ")-1)),"/","-"),"年","-"),"月","-"),"日",""))),"")</f>
        <v/>
      </c>
      <c r="J2485">
        <f>IFERROR(MID(I2485,FIND("-",I2485)+1,99),"")</f>
        <v/>
      </c>
    </row>
    <row r="2486">
      <c r="B2486">
        <f>IFERROR(IF($B$1=0,"",IF(INDEX(貼り付け!$A$1:$BZ$3001,2485,$B$1)="","",IF(ISNUMBER(INDEX(貼り付け!$A$1:$BZ$3001,2485,$B$1)),INT(INDEX(貼り付け!$A$1:$BZ$3001,2485,$B$1)),DATE(VALUE(LEFT(I2486,FIND("-",I2486)-1)),VALUE(LEFT(J2486,FIND("-",J2486)-1)),VALUE(MID(J2486,FIND("-",J2486)+1,99)))))),"")</f>
        <v/>
      </c>
      <c r="C2486">
        <f>IF($C$1=0,0,IFERROR(VALUE(SUBSTITUTE(SUBSTITUTE(SUBSTITUTE(INDEX(貼り付け!$A$1:$BZ$3001,2485,$C$1)&amp;"",",",""),"¥",""),"￥","")),0))</f>
        <v/>
      </c>
      <c r="D2486">
        <f>IF($D$1=0,0,IFERROR(VALUE(SUBSTITUTE(SUBSTITUTE(SUBSTITUTE(INDEX(貼り付け!$A$1:$BZ$3001,2485,$D$1)&amp;"",",",""),"¥",""),"￥","")),0))</f>
        <v/>
      </c>
      <c r="E2486">
        <f>IF($E$1=0,0,IFERROR(VALUE(SUBSTITUTE(SUBSTITUTE(SUBSTITUTE(INDEX(貼り付け!$A$1:$BZ$3001,2485,$E$1)&amp;"",",",""),"¥",""),"￥","")),0))</f>
        <v/>
      </c>
      <c r="F2486">
        <f>IF($F$1=0,0,IFERROR(VALUE(SUBSTITUTE(SUBSTITUTE(SUBSTITUTE(INDEX(貼り付け!$A$1:$BZ$3001,2485,$F$1)&amp;"",",",""),"¥",""),"￥","")),0))</f>
        <v/>
      </c>
      <c r="G2486">
        <f>IF(ISNUMBER(B2486),YEAR(B2486),"")</f>
        <v/>
      </c>
      <c r="H2486">
        <f>IF(ISNUMBER(B2486),MONTH(B2486),"")</f>
        <v/>
      </c>
      <c r="I2486">
        <f>IFERROR(IF($B$1=0,"",IF(ISNUMBER(INDEX(貼り付け!$A$1:$BZ$3001,2485,$B$1)),"",SUBSTITUTE(SUBSTITUTE(SUBSTITUTE(SUBSTITUTE(TRIM(LEFT(INDEX(貼り付け!$A$1:$BZ$3001,2485,$B$1)&amp;"",FIND(" ",TRIM(INDEX(貼り付け!$A$1:$BZ$3001,2485,$B$1)&amp;"")&amp;" ")-1)),"/","-"),"年","-"),"月","-"),"日",""))),"")</f>
        <v/>
      </c>
      <c r="J2486">
        <f>IFERROR(MID(I2486,FIND("-",I2486)+1,99),"")</f>
        <v/>
      </c>
    </row>
    <row r="2487">
      <c r="B2487">
        <f>IFERROR(IF($B$1=0,"",IF(INDEX(貼り付け!$A$1:$BZ$3001,2486,$B$1)="","",IF(ISNUMBER(INDEX(貼り付け!$A$1:$BZ$3001,2486,$B$1)),INT(INDEX(貼り付け!$A$1:$BZ$3001,2486,$B$1)),DATE(VALUE(LEFT(I2487,FIND("-",I2487)-1)),VALUE(LEFT(J2487,FIND("-",J2487)-1)),VALUE(MID(J2487,FIND("-",J2487)+1,99)))))),"")</f>
        <v/>
      </c>
      <c r="C2487">
        <f>IF($C$1=0,0,IFERROR(VALUE(SUBSTITUTE(SUBSTITUTE(SUBSTITUTE(INDEX(貼り付け!$A$1:$BZ$3001,2486,$C$1)&amp;"",",",""),"¥",""),"￥","")),0))</f>
        <v/>
      </c>
      <c r="D2487">
        <f>IF($D$1=0,0,IFERROR(VALUE(SUBSTITUTE(SUBSTITUTE(SUBSTITUTE(INDEX(貼り付け!$A$1:$BZ$3001,2486,$D$1)&amp;"",",",""),"¥",""),"￥","")),0))</f>
        <v/>
      </c>
      <c r="E2487">
        <f>IF($E$1=0,0,IFERROR(VALUE(SUBSTITUTE(SUBSTITUTE(SUBSTITUTE(INDEX(貼り付け!$A$1:$BZ$3001,2486,$E$1)&amp;"",",",""),"¥",""),"￥","")),0))</f>
        <v/>
      </c>
      <c r="F2487">
        <f>IF($F$1=0,0,IFERROR(VALUE(SUBSTITUTE(SUBSTITUTE(SUBSTITUTE(INDEX(貼り付け!$A$1:$BZ$3001,2486,$F$1)&amp;"",",",""),"¥",""),"￥","")),0))</f>
        <v/>
      </c>
      <c r="G2487">
        <f>IF(ISNUMBER(B2487),YEAR(B2487),"")</f>
        <v/>
      </c>
      <c r="H2487">
        <f>IF(ISNUMBER(B2487),MONTH(B2487),"")</f>
        <v/>
      </c>
      <c r="I2487">
        <f>IFERROR(IF($B$1=0,"",IF(ISNUMBER(INDEX(貼り付け!$A$1:$BZ$3001,2486,$B$1)),"",SUBSTITUTE(SUBSTITUTE(SUBSTITUTE(SUBSTITUTE(TRIM(LEFT(INDEX(貼り付け!$A$1:$BZ$3001,2486,$B$1)&amp;"",FIND(" ",TRIM(INDEX(貼り付け!$A$1:$BZ$3001,2486,$B$1)&amp;"")&amp;" ")-1)),"/","-"),"年","-"),"月","-"),"日",""))),"")</f>
        <v/>
      </c>
      <c r="J2487">
        <f>IFERROR(MID(I2487,FIND("-",I2487)+1,99),"")</f>
        <v/>
      </c>
    </row>
    <row r="2488">
      <c r="B2488">
        <f>IFERROR(IF($B$1=0,"",IF(INDEX(貼り付け!$A$1:$BZ$3001,2487,$B$1)="","",IF(ISNUMBER(INDEX(貼り付け!$A$1:$BZ$3001,2487,$B$1)),INT(INDEX(貼り付け!$A$1:$BZ$3001,2487,$B$1)),DATE(VALUE(LEFT(I2488,FIND("-",I2488)-1)),VALUE(LEFT(J2488,FIND("-",J2488)-1)),VALUE(MID(J2488,FIND("-",J2488)+1,99)))))),"")</f>
        <v/>
      </c>
      <c r="C2488">
        <f>IF($C$1=0,0,IFERROR(VALUE(SUBSTITUTE(SUBSTITUTE(SUBSTITUTE(INDEX(貼り付け!$A$1:$BZ$3001,2487,$C$1)&amp;"",",",""),"¥",""),"￥","")),0))</f>
        <v/>
      </c>
      <c r="D2488">
        <f>IF($D$1=0,0,IFERROR(VALUE(SUBSTITUTE(SUBSTITUTE(SUBSTITUTE(INDEX(貼り付け!$A$1:$BZ$3001,2487,$D$1)&amp;"",",",""),"¥",""),"￥","")),0))</f>
        <v/>
      </c>
      <c r="E2488">
        <f>IF($E$1=0,0,IFERROR(VALUE(SUBSTITUTE(SUBSTITUTE(SUBSTITUTE(INDEX(貼り付け!$A$1:$BZ$3001,2487,$E$1)&amp;"",",",""),"¥",""),"￥","")),0))</f>
        <v/>
      </c>
      <c r="F2488">
        <f>IF($F$1=0,0,IFERROR(VALUE(SUBSTITUTE(SUBSTITUTE(SUBSTITUTE(INDEX(貼り付け!$A$1:$BZ$3001,2487,$F$1)&amp;"",",",""),"¥",""),"￥","")),0))</f>
        <v/>
      </c>
      <c r="G2488">
        <f>IF(ISNUMBER(B2488),YEAR(B2488),"")</f>
        <v/>
      </c>
      <c r="H2488">
        <f>IF(ISNUMBER(B2488),MONTH(B2488),"")</f>
        <v/>
      </c>
      <c r="I2488">
        <f>IFERROR(IF($B$1=0,"",IF(ISNUMBER(INDEX(貼り付け!$A$1:$BZ$3001,2487,$B$1)),"",SUBSTITUTE(SUBSTITUTE(SUBSTITUTE(SUBSTITUTE(TRIM(LEFT(INDEX(貼り付け!$A$1:$BZ$3001,2487,$B$1)&amp;"",FIND(" ",TRIM(INDEX(貼り付け!$A$1:$BZ$3001,2487,$B$1)&amp;"")&amp;" ")-1)),"/","-"),"年","-"),"月","-"),"日",""))),"")</f>
        <v/>
      </c>
      <c r="J2488">
        <f>IFERROR(MID(I2488,FIND("-",I2488)+1,99),"")</f>
        <v/>
      </c>
    </row>
    <row r="2489">
      <c r="B2489">
        <f>IFERROR(IF($B$1=0,"",IF(INDEX(貼り付け!$A$1:$BZ$3001,2488,$B$1)="","",IF(ISNUMBER(INDEX(貼り付け!$A$1:$BZ$3001,2488,$B$1)),INT(INDEX(貼り付け!$A$1:$BZ$3001,2488,$B$1)),DATE(VALUE(LEFT(I2489,FIND("-",I2489)-1)),VALUE(LEFT(J2489,FIND("-",J2489)-1)),VALUE(MID(J2489,FIND("-",J2489)+1,99)))))),"")</f>
        <v/>
      </c>
      <c r="C2489">
        <f>IF($C$1=0,0,IFERROR(VALUE(SUBSTITUTE(SUBSTITUTE(SUBSTITUTE(INDEX(貼り付け!$A$1:$BZ$3001,2488,$C$1)&amp;"",",",""),"¥",""),"￥","")),0))</f>
        <v/>
      </c>
      <c r="D2489">
        <f>IF($D$1=0,0,IFERROR(VALUE(SUBSTITUTE(SUBSTITUTE(SUBSTITUTE(INDEX(貼り付け!$A$1:$BZ$3001,2488,$D$1)&amp;"",",",""),"¥",""),"￥","")),0))</f>
        <v/>
      </c>
      <c r="E2489">
        <f>IF($E$1=0,0,IFERROR(VALUE(SUBSTITUTE(SUBSTITUTE(SUBSTITUTE(INDEX(貼り付け!$A$1:$BZ$3001,2488,$E$1)&amp;"",",",""),"¥",""),"￥","")),0))</f>
        <v/>
      </c>
      <c r="F2489">
        <f>IF($F$1=0,0,IFERROR(VALUE(SUBSTITUTE(SUBSTITUTE(SUBSTITUTE(INDEX(貼り付け!$A$1:$BZ$3001,2488,$F$1)&amp;"",",",""),"¥",""),"￥","")),0))</f>
        <v/>
      </c>
      <c r="G2489">
        <f>IF(ISNUMBER(B2489),YEAR(B2489),"")</f>
        <v/>
      </c>
      <c r="H2489">
        <f>IF(ISNUMBER(B2489),MONTH(B2489),"")</f>
        <v/>
      </c>
      <c r="I2489">
        <f>IFERROR(IF($B$1=0,"",IF(ISNUMBER(INDEX(貼り付け!$A$1:$BZ$3001,2488,$B$1)),"",SUBSTITUTE(SUBSTITUTE(SUBSTITUTE(SUBSTITUTE(TRIM(LEFT(INDEX(貼り付け!$A$1:$BZ$3001,2488,$B$1)&amp;"",FIND(" ",TRIM(INDEX(貼り付け!$A$1:$BZ$3001,2488,$B$1)&amp;"")&amp;" ")-1)),"/","-"),"年","-"),"月","-"),"日",""))),"")</f>
        <v/>
      </c>
      <c r="J2489">
        <f>IFERROR(MID(I2489,FIND("-",I2489)+1,99),"")</f>
        <v/>
      </c>
    </row>
    <row r="2490">
      <c r="B2490">
        <f>IFERROR(IF($B$1=0,"",IF(INDEX(貼り付け!$A$1:$BZ$3001,2489,$B$1)="","",IF(ISNUMBER(INDEX(貼り付け!$A$1:$BZ$3001,2489,$B$1)),INT(INDEX(貼り付け!$A$1:$BZ$3001,2489,$B$1)),DATE(VALUE(LEFT(I2490,FIND("-",I2490)-1)),VALUE(LEFT(J2490,FIND("-",J2490)-1)),VALUE(MID(J2490,FIND("-",J2490)+1,99)))))),"")</f>
        <v/>
      </c>
      <c r="C2490">
        <f>IF($C$1=0,0,IFERROR(VALUE(SUBSTITUTE(SUBSTITUTE(SUBSTITUTE(INDEX(貼り付け!$A$1:$BZ$3001,2489,$C$1)&amp;"",",",""),"¥",""),"￥","")),0))</f>
        <v/>
      </c>
      <c r="D2490">
        <f>IF($D$1=0,0,IFERROR(VALUE(SUBSTITUTE(SUBSTITUTE(SUBSTITUTE(INDEX(貼り付け!$A$1:$BZ$3001,2489,$D$1)&amp;"",",",""),"¥",""),"￥","")),0))</f>
        <v/>
      </c>
      <c r="E2490">
        <f>IF($E$1=0,0,IFERROR(VALUE(SUBSTITUTE(SUBSTITUTE(SUBSTITUTE(INDEX(貼り付け!$A$1:$BZ$3001,2489,$E$1)&amp;"",",",""),"¥",""),"￥","")),0))</f>
        <v/>
      </c>
      <c r="F2490">
        <f>IF($F$1=0,0,IFERROR(VALUE(SUBSTITUTE(SUBSTITUTE(SUBSTITUTE(INDEX(貼り付け!$A$1:$BZ$3001,2489,$F$1)&amp;"",",",""),"¥",""),"￥","")),0))</f>
        <v/>
      </c>
      <c r="G2490">
        <f>IF(ISNUMBER(B2490),YEAR(B2490),"")</f>
        <v/>
      </c>
      <c r="H2490">
        <f>IF(ISNUMBER(B2490),MONTH(B2490),"")</f>
        <v/>
      </c>
      <c r="I2490">
        <f>IFERROR(IF($B$1=0,"",IF(ISNUMBER(INDEX(貼り付け!$A$1:$BZ$3001,2489,$B$1)),"",SUBSTITUTE(SUBSTITUTE(SUBSTITUTE(SUBSTITUTE(TRIM(LEFT(INDEX(貼り付け!$A$1:$BZ$3001,2489,$B$1)&amp;"",FIND(" ",TRIM(INDEX(貼り付け!$A$1:$BZ$3001,2489,$B$1)&amp;"")&amp;" ")-1)),"/","-"),"年","-"),"月","-"),"日",""))),"")</f>
        <v/>
      </c>
      <c r="J2490">
        <f>IFERROR(MID(I2490,FIND("-",I2490)+1,99),"")</f>
        <v/>
      </c>
    </row>
    <row r="2491">
      <c r="B2491">
        <f>IFERROR(IF($B$1=0,"",IF(INDEX(貼り付け!$A$1:$BZ$3001,2490,$B$1)="","",IF(ISNUMBER(INDEX(貼り付け!$A$1:$BZ$3001,2490,$B$1)),INT(INDEX(貼り付け!$A$1:$BZ$3001,2490,$B$1)),DATE(VALUE(LEFT(I2491,FIND("-",I2491)-1)),VALUE(LEFT(J2491,FIND("-",J2491)-1)),VALUE(MID(J2491,FIND("-",J2491)+1,99)))))),"")</f>
        <v/>
      </c>
      <c r="C2491">
        <f>IF($C$1=0,0,IFERROR(VALUE(SUBSTITUTE(SUBSTITUTE(SUBSTITUTE(INDEX(貼り付け!$A$1:$BZ$3001,2490,$C$1)&amp;"",",",""),"¥",""),"￥","")),0))</f>
        <v/>
      </c>
      <c r="D2491">
        <f>IF($D$1=0,0,IFERROR(VALUE(SUBSTITUTE(SUBSTITUTE(SUBSTITUTE(INDEX(貼り付け!$A$1:$BZ$3001,2490,$D$1)&amp;"",",",""),"¥",""),"￥","")),0))</f>
        <v/>
      </c>
      <c r="E2491">
        <f>IF($E$1=0,0,IFERROR(VALUE(SUBSTITUTE(SUBSTITUTE(SUBSTITUTE(INDEX(貼り付け!$A$1:$BZ$3001,2490,$E$1)&amp;"",",",""),"¥",""),"￥","")),0))</f>
        <v/>
      </c>
      <c r="F2491">
        <f>IF($F$1=0,0,IFERROR(VALUE(SUBSTITUTE(SUBSTITUTE(SUBSTITUTE(INDEX(貼り付け!$A$1:$BZ$3001,2490,$F$1)&amp;"",",",""),"¥",""),"￥","")),0))</f>
        <v/>
      </c>
      <c r="G2491">
        <f>IF(ISNUMBER(B2491),YEAR(B2491),"")</f>
        <v/>
      </c>
      <c r="H2491">
        <f>IF(ISNUMBER(B2491),MONTH(B2491),"")</f>
        <v/>
      </c>
      <c r="I2491">
        <f>IFERROR(IF($B$1=0,"",IF(ISNUMBER(INDEX(貼り付け!$A$1:$BZ$3001,2490,$B$1)),"",SUBSTITUTE(SUBSTITUTE(SUBSTITUTE(SUBSTITUTE(TRIM(LEFT(INDEX(貼り付け!$A$1:$BZ$3001,2490,$B$1)&amp;"",FIND(" ",TRIM(INDEX(貼り付け!$A$1:$BZ$3001,2490,$B$1)&amp;"")&amp;" ")-1)),"/","-"),"年","-"),"月","-"),"日",""))),"")</f>
        <v/>
      </c>
      <c r="J2491">
        <f>IFERROR(MID(I2491,FIND("-",I2491)+1,99),"")</f>
        <v/>
      </c>
    </row>
    <row r="2492">
      <c r="B2492">
        <f>IFERROR(IF($B$1=0,"",IF(INDEX(貼り付け!$A$1:$BZ$3001,2491,$B$1)="","",IF(ISNUMBER(INDEX(貼り付け!$A$1:$BZ$3001,2491,$B$1)),INT(INDEX(貼り付け!$A$1:$BZ$3001,2491,$B$1)),DATE(VALUE(LEFT(I2492,FIND("-",I2492)-1)),VALUE(LEFT(J2492,FIND("-",J2492)-1)),VALUE(MID(J2492,FIND("-",J2492)+1,99)))))),"")</f>
        <v/>
      </c>
      <c r="C2492">
        <f>IF($C$1=0,0,IFERROR(VALUE(SUBSTITUTE(SUBSTITUTE(SUBSTITUTE(INDEX(貼り付け!$A$1:$BZ$3001,2491,$C$1)&amp;"",",",""),"¥",""),"￥","")),0))</f>
        <v/>
      </c>
      <c r="D2492">
        <f>IF($D$1=0,0,IFERROR(VALUE(SUBSTITUTE(SUBSTITUTE(SUBSTITUTE(INDEX(貼り付け!$A$1:$BZ$3001,2491,$D$1)&amp;"",",",""),"¥",""),"￥","")),0))</f>
        <v/>
      </c>
      <c r="E2492">
        <f>IF($E$1=0,0,IFERROR(VALUE(SUBSTITUTE(SUBSTITUTE(SUBSTITUTE(INDEX(貼り付け!$A$1:$BZ$3001,2491,$E$1)&amp;"",",",""),"¥",""),"￥","")),0))</f>
        <v/>
      </c>
      <c r="F2492">
        <f>IF($F$1=0,0,IFERROR(VALUE(SUBSTITUTE(SUBSTITUTE(SUBSTITUTE(INDEX(貼り付け!$A$1:$BZ$3001,2491,$F$1)&amp;"",",",""),"¥",""),"￥","")),0))</f>
        <v/>
      </c>
      <c r="G2492">
        <f>IF(ISNUMBER(B2492),YEAR(B2492),"")</f>
        <v/>
      </c>
      <c r="H2492">
        <f>IF(ISNUMBER(B2492),MONTH(B2492),"")</f>
        <v/>
      </c>
      <c r="I2492">
        <f>IFERROR(IF($B$1=0,"",IF(ISNUMBER(INDEX(貼り付け!$A$1:$BZ$3001,2491,$B$1)),"",SUBSTITUTE(SUBSTITUTE(SUBSTITUTE(SUBSTITUTE(TRIM(LEFT(INDEX(貼り付け!$A$1:$BZ$3001,2491,$B$1)&amp;"",FIND(" ",TRIM(INDEX(貼り付け!$A$1:$BZ$3001,2491,$B$1)&amp;"")&amp;" ")-1)),"/","-"),"年","-"),"月","-"),"日",""))),"")</f>
        <v/>
      </c>
      <c r="J2492">
        <f>IFERROR(MID(I2492,FIND("-",I2492)+1,99),"")</f>
        <v/>
      </c>
    </row>
    <row r="2493">
      <c r="B2493">
        <f>IFERROR(IF($B$1=0,"",IF(INDEX(貼り付け!$A$1:$BZ$3001,2492,$B$1)="","",IF(ISNUMBER(INDEX(貼り付け!$A$1:$BZ$3001,2492,$B$1)),INT(INDEX(貼り付け!$A$1:$BZ$3001,2492,$B$1)),DATE(VALUE(LEFT(I2493,FIND("-",I2493)-1)),VALUE(LEFT(J2493,FIND("-",J2493)-1)),VALUE(MID(J2493,FIND("-",J2493)+1,99)))))),"")</f>
        <v/>
      </c>
      <c r="C2493">
        <f>IF($C$1=0,0,IFERROR(VALUE(SUBSTITUTE(SUBSTITUTE(SUBSTITUTE(INDEX(貼り付け!$A$1:$BZ$3001,2492,$C$1)&amp;"",",",""),"¥",""),"￥","")),0))</f>
        <v/>
      </c>
      <c r="D2493">
        <f>IF($D$1=0,0,IFERROR(VALUE(SUBSTITUTE(SUBSTITUTE(SUBSTITUTE(INDEX(貼り付け!$A$1:$BZ$3001,2492,$D$1)&amp;"",",",""),"¥",""),"￥","")),0))</f>
        <v/>
      </c>
      <c r="E2493">
        <f>IF($E$1=0,0,IFERROR(VALUE(SUBSTITUTE(SUBSTITUTE(SUBSTITUTE(INDEX(貼り付け!$A$1:$BZ$3001,2492,$E$1)&amp;"",",",""),"¥",""),"￥","")),0))</f>
        <v/>
      </c>
      <c r="F2493">
        <f>IF($F$1=0,0,IFERROR(VALUE(SUBSTITUTE(SUBSTITUTE(SUBSTITUTE(INDEX(貼り付け!$A$1:$BZ$3001,2492,$F$1)&amp;"",",",""),"¥",""),"￥","")),0))</f>
        <v/>
      </c>
      <c r="G2493">
        <f>IF(ISNUMBER(B2493),YEAR(B2493),"")</f>
        <v/>
      </c>
      <c r="H2493">
        <f>IF(ISNUMBER(B2493),MONTH(B2493),"")</f>
        <v/>
      </c>
      <c r="I2493">
        <f>IFERROR(IF($B$1=0,"",IF(ISNUMBER(INDEX(貼り付け!$A$1:$BZ$3001,2492,$B$1)),"",SUBSTITUTE(SUBSTITUTE(SUBSTITUTE(SUBSTITUTE(TRIM(LEFT(INDEX(貼り付け!$A$1:$BZ$3001,2492,$B$1)&amp;"",FIND(" ",TRIM(INDEX(貼り付け!$A$1:$BZ$3001,2492,$B$1)&amp;"")&amp;" ")-1)),"/","-"),"年","-"),"月","-"),"日",""))),"")</f>
        <v/>
      </c>
      <c r="J2493">
        <f>IFERROR(MID(I2493,FIND("-",I2493)+1,99),"")</f>
        <v/>
      </c>
    </row>
    <row r="2494">
      <c r="B2494">
        <f>IFERROR(IF($B$1=0,"",IF(INDEX(貼り付け!$A$1:$BZ$3001,2493,$B$1)="","",IF(ISNUMBER(INDEX(貼り付け!$A$1:$BZ$3001,2493,$B$1)),INT(INDEX(貼り付け!$A$1:$BZ$3001,2493,$B$1)),DATE(VALUE(LEFT(I2494,FIND("-",I2494)-1)),VALUE(LEFT(J2494,FIND("-",J2494)-1)),VALUE(MID(J2494,FIND("-",J2494)+1,99)))))),"")</f>
        <v/>
      </c>
      <c r="C2494">
        <f>IF($C$1=0,0,IFERROR(VALUE(SUBSTITUTE(SUBSTITUTE(SUBSTITUTE(INDEX(貼り付け!$A$1:$BZ$3001,2493,$C$1)&amp;"",",",""),"¥",""),"￥","")),0))</f>
        <v/>
      </c>
      <c r="D2494">
        <f>IF($D$1=0,0,IFERROR(VALUE(SUBSTITUTE(SUBSTITUTE(SUBSTITUTE(INDEX(貼り付け!$A$1:$BZ$3001,2493,$D$1)&amp;"",",",""),"¥",""),"￥","")),0))</f>
        <v/>
      </c>
      <c r="E2494">
        <f>IF($E$1=0,0,IFERROR(VALUE(SUBSTITUTE(SUBSTITUTE(SUBSTITUTE(INDEX(貼り付け!$A$1:$BZ$3001,2493,$E$1)&amp;"",",",""),"¥",""),"￥","")),0))</f>
        <v/>
      </c>
      <c r="F2494">
        <f>IF($F$1=0,0,IFERROR(VALUE(SUBSTITUTE(SUBSTITUTE(SUBSTITUTE(INDEX(貼り付け!$A$1:$BZ$3001,2493,$F$1)&amp;"",",",""),"¥",""),"￥","")),0))</f>
        <v/>
      </c>
      <c r="G2494">
        <f>IF(ISNUMBER(B2494),YEAR(B2494),"")</f>
        <v/>
      </c>
      <c r="H2494">
        <f>IF(ISNUMBER(B2494),MONTH(B2494),"")</f>
        <v/>
      </c>
      <c r="I2494">
        <f>IFERROR(IF($B$1=0,"",IF(ISNUMBER(INDEX(貼り付け!$A$1:$BZ$3001,2493,$B$1)),"",SUBSTITUTE(SUBSTITUTE(SUBSTITUTE(SUBSTITUTE(TRIM(LEFT(INDEX(貼り付け!$A$1:$BZ$3001,2493,$B$1)&amp;"",FIND(" ",TRIM(INDEX(貼り付け!$A$1:$BZ$3001,2493,$B$1)&amp;"")&amp;" ")-1)),"/","-"),"年","-"),"月","-"),"日",""))),"")</f>
        <v/>
      </c>
      <c r="J2494">
        <f>IFERROR(MID(I2494,FIND("-",I2494)+1,99),"")</f>
        <v/>
      </c>
    </row>
    <row r="2495">
      <c r="B2495">
        <f>IFERROR(IF($B$1=0,"",IF(INDEX(貼り付け!$A$1:$BZ$3001,2494,$B$1)="","",IF(ISNUMBER(INDEX(貼り付け!$A$1:$BZ$3001,2494,$B$1)),INT(INDEX(貼り付け!$A$1:$BZ$3001,2494,$B$1)),DATE(VALUE(LEFT(I2495,FIND("-",I2495)-1)),VALUE(LEFT(J2495,FIND("-",J2495)-1)),VALUE(MID(J2495,FIND("-",J2495)+1,99)))))),"")</f>
        <v/>
      </c>
      <c r="C2495">
        <f>IF($C$1=0,0,IFERROR(VALUE(SUBSTITUTE(SUBSTITUTE(SUBSTITUTE(INDEX(貼り付け!$A$1:$BZ$3001,2494,$C$1)&amp;"",",",""),"¥",""),"￥","")),0))</f>
        <v/>
      </c>
      <c r="D2495">
        <f>IF($D$1=0,0,IFERROR(VALUE(SUBSTITUTE(SUBSTITUTE(SUBSTITUTE(INDEX(貼り付け!$A$1:$BZ$3001,2494,$D$1)&amp;"",",",""),"¥",""),"￥","")),0))</f>
        <v/>
      </c>
      <c r="E2495">
        <f>IF($E$1=0,0,IFERROR(VALUE(SUBSTITUTE(SUBSTITUTE(SUBSTITUTE(INDEX(貼り付け!$A$1:$BZ$3001,2494,$E$1)&amp;"",",",""),"¥",""),"￥","")),0))</f>
        <v/>
      </c>
      <c r="F2495">
        <f>IF($F$1=0,0,IFERROR(VALUE(SUBSTITUTE(SUBSTITUTE(SUBSTITUTE(INDEX(貼り付け!$A$1:$BZ$3001,2494,$F$1)&amp;"",",",""),"¥",""),"￥","")),0))</f>
        <v/>
      </c>
      <c r="G2495">
        <f>IF(ISNUMBER(B2495),YEAR(B2495),"")</f>
        <v/>
      </c>
      <c r="H2495">
        <f>IF(ISNUMBER(B2495),MONTH(B2495),"")</f>
        <v/>
      </c>
      <c r="I2495">
        <f>IFERROR(IF($B$1=0,"",IF(ISNUMBER(INDEX(貼り付け!$A$1:$BZ$3001,2494,$B$1)),"",SUBSTITUTE(SUBSTITUTE(SUBSTITUTE(SUBSTITUTE(TRIM(LEFT(INDEX(貼り付け!$A$1:$BZ$3001,2494,$B$1)&amp;"",FIND(" ",TRIM(INDEX(貼り付け!$A$1:$BZ$3001,2494,$B$1)&amp;"")&amp;" ")-1)),"/","-"),"年","-"),"月","-"),"日",""))),"")</f>
        <v/>
      </c>
      <c r="J2495">
        <f>IFERROR(MID(I2495,FIND("-",I2495)+1,99),"")</f>
        <v/>
      </c>
    </row>
    <row r="2496">
      <c r="B2496">
        <f>IFERROR(IF($B$1=0,"",IF(INDEX(貼り付け!$A$1:$BZ$3001,2495,$B$1)="","",IF(ISNUMBER(INDEX(貼り付け!$A$1:$BZ$3001,2495,$B$1)),INT(INDEX(貼り付け!$A$1:$BZ$3001,2495,$B$1)),DATE(VALUE(LEFT(I2496,FIND("-",I2496)-1)),VALUE(LEFT(J2496,FIND("-",J2496)-1)),VALUE(MID(J2496,FIND("-",J2496)+1,99)))))),"")</f>
        <v/>
      </c>
      <c r="C2496">
        <f>IF($C$1=0,0,IFERROR(VALUE(SUBSTITUTE(SUBSTITUTE(SUBSTITUTE(INDEX(貼り付け!$A$1:$BZ$3001,2495,$C$1)&amp;"",",",""),"¥",""),"￥","")),0))</f>
        <v/>
      </c>
      <c r="D2496">
        <f>IF($D$1=0,0,IFERROR(VALUE(SUBSTITUTE(SUBSTITUTE(SUBSTITUTE(INDEX(貼り付け!$A$1:$BZ$3001,2495,$D$1)&amp;"",",",""),"¥",""),"￥","")),0))</f>
        <v/>
      </c>
      <c r="E2496">
        <f>IF($E$1=0,0,IFERROR(VALUE(SUBSTITUTE(SUBSTITUTE(SUBSTITUTE(INDEX(貼り付け!$A$1:$BZ$3001,2495,$E$1)&amp;"",",",""),"¥",""),"￥","")),0))</f>
        <v/>
      </c>
      <c r="F2496">
        <f>IF($F$1=0,0,IFERROR(VALUE(SUBSTITUTE(SUBSTITUTE(SUBSTITUTE(INDEX(貼り付け!$A$1:$BZ$3001,2495,$F$1)&amp;"",",",""),"¥",""),"￥","")),0))</f>
        <v/>
      </c>
      <c r="G2496">
        <f>IF(ISNUMBER(B2496),YEAR(B2496),"")</f>
        <v/>
      </c>
      <c r="H2496">
        <f>IF(ISNUMBER(B2496),MONTH(B2496),"")</f>
        <v/>
      </c>
      <c r="I2496">
        <f>IFERROR(IF($B$1=0,"",IF(ISNUMBER(INDEX(貼り付け!$A$1:$BZ$3001,2495,$B$1)),"",SUBSTITUTE(SUBSTITUTE(SUBSTITUTE(SUBSTITUTE(TRIM(LEFT(INDEX(貼り付け!$A$1:$BZ$3001,2495,$B$1)&amp;"",FIND(" ",TRIM(INDEX(貼り付け!$A$1:$BZ$3001,2495,$B$1)&amp;"")&amp;" ")-1)),"/","-"),"年","-"),"月","-"),"日",""))),"")</f>
        <v/>
      </c>
      <c r="J2496">
        <f>IFERROR(MID(I2496,FIND("-",I2496)+1,99),"")</f>
        <v/>
      </c>
    </row>
    <row r="2497">
      <c r="B2497">
        <f>IFERROR(IF($B$1=0,"",IF(INDEX(貼り付け!$A$1:$BZ$3001,2496,$B$1)="","",IF(ISNUMBER(INDEX(貼り付け!$A$1:$BZ$3001,2496,$B$1)),INT(INDEX(貼り付け!$A$1:$BZ$3001,2496,$B$1)),DATE(VALUE(LEFT(I2497,FIND("-",I2497)-1)),VALUE(LEFT(J2497,FIND("-",J2497)-1)),VALUE(MID(J2497,FIND("-",J2497)+1,99)))))),"")</f>
        <v/>
      </c>
      <c r="C2497">
        <f>IF($C$1=0,0,IFERROR(VALUE(SUBSTITUTE(SUBSTITUTE(SUBSTITUTE(INDEX(貼り付け!$A$1:$BZ$3001,2496,$C$1)&amp;"",",",""),"¥",""),"￥","")),0))</f>
        <v/>
      </c>
      <c r="D2497">
        <f>IF($D$1=0,0,IFERROR(VALUE(SUBSTITUTE(SUBSTITUTE(SUBSTITUTE(INDEX(貼り付け!$A$1:$BZ$3001,2496,$D$1)&amp;"",",",""),"¥",""),"￥","")),0))</f>
        <v/>
      </c>
      <c r="E2497">
        <f>IF($E$1=0,0,IFERROR(VALUE(SUBSTITUTE(SUBSTITUTE(SUBSTITUTE(INDEX(貼り付け!$A$1:$BZ$3001,2496,$E$1)&amp;"",",",""),"¥",""),"￥","")),0))</f>
        <v/>
      </c>
      <c r="F2497">
        <f>IF($F$1=0,0,IFERROR(VALUE(SUBSTITUTE(SUBSTITUTE(SUBSTITUTE(INDEX(貼り付け!$A$1:$BZ$3001,2496,$F$1)&amp;"",",",""),"¥",""),"￥","")),0))</f>
        <v/>
      </c>
      <c r="G2497">
        <f>IF(ISNUMBER(B2497),YEAR(B2497),"")</f>
        <v/>
      </c>
      <c r="H2497">
        <f>IF(ISNUMBER(B2497),MONTH(B2497),"")</f>
        <v/>
      </c>
      <c r="I2497">
        <f>IFERROR(IF($B$1=0,"",IF(ISNUMBER(INDEX(貼り付け!$A$1:$BZ$3001,2496,$B$1)),"",SUBSTITUTE(SUBSTITUTE(SUBSTITUTE(SUBSTITUTE(TRIM(LEFT(INDEX(貼り付け!$A$1:$BZ$3001,2496,$B$1)&amp;"",FIND(" ",TRIM(INDEX(貼り付け!$A$1:$BZ$3001,2496,$B$1)&amp;"")&amp;" ")-1)),"/","-"),"年","-"),"月","-"),"日",""))),"")</f>
        <v/>
      </c>
      <c r="J2497">
        <f>IFERROR(MID(I2497,FIND("-",I2497)+1,99),"")</f>
        <v/>
      </c>
    </row>
    <row r="2498">
      <c r="B2498">
        <f>IFERROR(IF($B$1=0,"",IF(INDEX(貼り付け!$A$1:$BZ$3001,2497,$B$1)="","",IF(ISNUMBER(INDEX(貼り付け!$A$1:$BZ$3001,2497,$B$1)),INT(INDEX(貼り付け!$A$1:$BZ$3001,2497,$B$1)),DATE(VALUE(LEFT(I2498,FIND("-",I2498)-1)),VALUE(LEFT(J2498,FIND("-",J2498)-1)),VALUE(MID(J2498,FIND("-",J2498)+1,99)))))),"")</f>
        <v/>
      </c>
      <c r="C2498">
        <f>IF($C$1=0,0,IFERROR(VALUE(SUBSTITUTE(SUBSTITUTE(SUBSTITUTE(INDEX(貼り付け!$A$1:$BZ$3001,2497,$C$1)&amp;"",",",""),"¥",""),"￥","")),0))</f>
        <v/>
      </c>
      <c r="D2498">
        <f>IF($D$1=0,0,IFERROR(VALUE(SUBSTITUTE(SUBSTITUTE(SUBSTITUTE(INDEX(貼り付け!$A$1:$BZ$3001,2497,$D$1)&amp;"",",",""),"¥",""),"￥","")),0))</f>
        <v/>
      </c>
      <c r="E2498">
        <f>IF($E$1=0,0,IFERROR(VALUE(SUBSTITUTE(SUBSTITUTE(SUBSTITUTE(INDEX(貼り付け!$A$1:$BZ$3001,2497,$E$1)&amp;"",",",""),"¥",""),"￥","")),0))</f>
        <v/>
      </c>
      <c r="F2498">
        <f>IF($F$1=0,0,IFERROR(VALUE(SUBSTITUTE(SUBSTITUTE(SUBSTITUTE(INDEX(貼り付け!$A$1:$BZ$3001,2497,$F$1)&amp;"",",",""),"¥",""),"￥","")),0))</f>
        <v/>
      </c>
      <c r="G2498">
        <f>IF(ISNUMBER(B2498),YEAR(B2498),"")</f>
        <v/>
      </c>
      <c r="H2498">
        <f>IF(ISNUMBER(B2498),MONTH(B2498),"")</f>
        <v/>
      </c>
      <c r="I2498">
        <f>IFERROR(IF($B$1=0,"",IF(ISNUMBER(INDEX(貼り付け!$A$1:$BZ$3001,2497,$B$1)),"",SUBSTITUTE(SUBSTITUTE(SUBSTITUTE(SUBSTITUTE(TRIM(LEFT(INDEX(貼り付け!$A$1:$BZ$3001,2497,$B$1)&amp;"",FIND(" ",TRIM(INDEX(貼り付け!$A$1:$BZ$3001,2497,$B$1)&amp;"")&amp;" ")-1)),"/","-"),"年","-"),"月","-"),"日",""))),"")</f>
        <v/>
      </c>
      <c r="J2498">
        <f>IFERROR(MID(I2498,FIND("-",I2498)+1,99),"")</f>
        <v/>
      </c>
    </row>
    <row r="2499">
      <c r="B2499">
        <f>IFERROR(IF($B$1=0,"",IF(INDEX(貼り付け!$A$1:$BZ$3001,2498,$B$1)="","",IF(ISNUMBER(INDEX(貼り付け!$A$1:$BZ$3001,2498,$B$1)),INT(INDEX(貼り付け!$A$1:$BZ$3001,2498,$B$1)),DATE(VALUE(LEFT(I2499,FIND("-",I2499)-1)),VALUE(LEFT(J2499,FIND("-",J2499)-1)),VALUE(MID(J2499,FIND("-",J2499)+1,99)))))),"")</f>
        <v/>
      </c>
      <c r="C2499">
        <f>IF($C$1=0,0,IFERROR(VALUE(SUBSTITUTE(SUBSTITUTE(SUBSTITUTE(INDEX(貼り付け!$A$1:$BZ$3001,2498,$C$1)&amp;"",",",""),"¥",""),"￥","")),0))</f>
        <v/>
      </c>
      <c r="D2499">
        <f>IF($D$1=0,0,IFERROR(VALUE(SUBSTITUTE(SUBSTITUTE(SUBSTITUTE(INDEX(貼り付け!$A$1:$BZ$3001,2498,$D$1)&amp;"",",",""),"¥",""),"￥","")),0))</f>
        <v/>
      </c>
      <c r="E2499">
        <f>IF($E$1=0,0,IFERROR(VALUE(SUBSTITUTE(SUBSTITUTE(SUBSTITUTE(INDEX(貼り付け!$A$1:$BZ$3001,2498,$E$1)&amp;"",",",""),"¥",""),"￥","")),0))</f>
        <v/>
      </c>
      <c r="F2499">
        <f>IF($F$1=0,0,IFERROR(VALUE(SUBSTITUTE(SUBSTITUTE(SUBSTITUTE(INDEX(貼り付け!$A$1:$BZ$3001,2498,$F$1)&amp;"",",",""),"¥",""),"￥","")),0))</f>
        <v/>
      </c>
      <c r="G2499">
        <f>IF(ISNUMBER(B2499),YEAR(B2499),"")</f>
        <v/>
      </c>
      <c r="H2499">
        <f>IF(ISNUMBER(B2499),MONTH(B2499),"")</f>
        <v/>
      </c>
      <c r="I2499">
        <f>IFERROR(IF($B$1=0,"",IF(ISNUMBER(INDEX(貼り付け!$A$1:$BZ$3001,2498,$B$1)),"",SUBSTITUTE(SUBSTITUTE(SUBSTITUTE(SUBSTITUTE(TRIM(LEFT(INDEX(貼り付け!$A$1:$BZ$3001,2498,$B$1)&amp;"",FIND(" ",TRIM(INDEX(貼り付け!$A$1:$BZ$3001,2498,$B$1)&amp;"")&amp;" ")-1)),"/","-"),"年","-"),"月","-"),"日",""))),"")</f>
        <v/>
      </c>
      <c r="J2499">
        <f>IFERROR(MID(I2499,FIND("-",I2499)+1,99),"")</f>
        <v/>
      </c>
    </row>
    <row r="2500">
      <c r="B2500">
        <f>IFERROR(IF($B$1=0,"",IF(INDEX(貼り付け!$A$1:$BZ$3001,2499,$B$1)="","",IF(ISNUMBER(INDEX(貼り付け!$A$1:$BZ$3001,2499,$B$1)),INT(INDEX(貼り付け!$A$1:$BZ$3001,2499,$B$1)),DATE(VALUE(LEFT(I2500,FIND("-",I2500)-1)),VALUE(LEFT(J2500,FIND("-",J2500)-1)),VALUE(MID(J2500,FIND("-",J2500)+1,99)))))),"")</f>
        <v/>
      </c>
      <c r="C2500">
        <f>IF($C$1=0,0,IFERROR(VALUE(SUBSTITUTE(SUBSTITUTE(SUBSTITUTE(INDEX(貼り付け!$A$1:$BZ$3001,2499,$C$1)&amp;"",",",""),"¥",""),"￥","")),0))</f>
        <v/>
      </c>
      <c r="D2500">
        <f>IF($D$1=0,0,IFERROR(VALUE(SUBSTITUTE(SUBSTITUTE(SUBSTITUTE(INDEX(貼り付け!$A$1:$BZ$3001,2499,$D$1)&amp;"",",",""),"¥",""),"￥","")),0))</f>
        <v/>
      </c>
      <c r="E2500">
        <f>IF($E$1=0,0,IFERROR(VALUE(SUBSTITUTE(SUBSTITUTE(SUBSTITUTE(INDEX(貼り付け!$A$1:$BZ$3001,2499,$E$1)&amp;"",",",""),"¥",""),"￥","")),0))</f>
        <v/>
      </c>
      <c r="F2500">
        <f>IF($F$1=0,0,IFERROR(VALUE(SUBSTITUTE(SUBSTITUTE(SUBSTITUTE(INDEX(貼り付け!$A$1:$BZ$3001,2499,$F$1)&amp;"",",",""),"¥",""),"￥","")),0))</f>
        <v/>
      </c>
      <c r="G2500">
        <f>IF(ISNUMBER(B2500),YEAR(B2500),"")</f>
        <v/>
      </c>
      <c r="H2500">
        <f>IF(ISNUMBER(B2500),MONTH(B2500),"")</f>
        <v/>
      </c>
      <c r="I2500">
        <f>IFERROR(IF($B$1=0,"",IF(ISNUMBER(INDEX(貼り付け!$A$1:$BZ$3001,2499,$B$1)),"",SUBSTITUTE(SUBSTITUTE(SUBSTITUTE(SUBSTITUTE(TRIM(LEFT(INDEX(貼り付け!$A$1:$BZ$3001,2499,$B$1)&amp;"",FIND(" ",TRIM(INDEX(貼り付け!$A$1:$BZ$3001,2499,$B$1)&amp;"")&amp;" ")-1)),"/","-"),"年","-"),"月","-"),"日",""))),"")</f>
        <v/>
      </c>
      <c r="J2500">
        <f>IFERROR(MID(I2500,FIND("-",I2500)+1,99),"")</f>
        <v/>
      </c>
    </row>
    <row r="2501">
      <c r="B2501">
        <f>IFERROR(IF($B$1=0,"",IF(INDEX(貼り付け!$A$1:$BZ$3001,2500,$B$1)="","",IF(ISNUMBER(INDEX(貼り付け!$A$1:$BZ$3001,2500,$B$1)),INT(INDEX(貼り付け!$A$1:$BZ$3001,2500,$B$1)),DATE(VALUE(LEFT(I2501,FIND("-",I2501)-1)),VALUE(LEFT(J2501,FIND("-",J2501)-1)),VALUE(MID(J2501,FIND("-",J2501)+1,99)))))),"")</f>
        <v/>
      </c>
      <c r="C2501">
        <f>IF($C$1=0,0,IFERROR(VALUE(SUBSTITUTE(SUBSTITUTE(SUBSTITUTE(INDEX(貼り付け!$A$1:$BZ$3001,2500,$C$1)&amp;"",",",""),"¥",""),"￥","")),0))</f>
        <v/>
      </c>
      <c r="D2501">
        <f>IF($D$1=0,0,IFERROR(VALUE(SUBSTITUTE(SUBSTITUTE(SUBSTITUTE(INDEX(貼り付け!$A$1:$BZ$3001,2500,$D$1)&amp;"",",",""),"¥",""),"￥","")),0))</f>
        <v/>
      </c>
      <c r="E2501">
        <f>IF($E$1=0,0,IFERROR(VALUE(SUBSTITUTE(SUBSTITUTE(SUBSTITUTE(INDEX(貼り付け!$A$1:$BZ$3001,2500,$E$1)&amp;"",",",""),"¥",""),"￥","")),0))</f>
        <v/>
      </c>
      <c r="F2501">
        <f>IF($F$1=0,0,IFERROR(VALUE(SUBSTITUTE(SUBSTITUTE(SUBSTITUTE(INDEX(貼り付け!$A$1:$BZ$3001,2500,$F$1)&amp;"",",",""),"¥",""),"￥","")),0))</f>
        <v/>
      </c>
      <c r="G2501">
        <f>IF(ISNUMBER(B2501),YEAR(B2501),"")</f>
        <v/>
      </c>
      <c r="H2501">
        <f>IF(ISNUMBER(B2501),MONTH(B2501),"")</f>
        <v/>
      </c>
      <c r="I2501">
        <f>IFERROR(IF($B$1=0,"",IF(ISNUMBER(INDEX(貼り付け!$A$1:$BZ$3001,2500,$B$1)),"",SUBSTITUTE(SUBSTITUTE(SUBSTITUTE(SUBSTITUTE(TRIM(LEFT(INDEX(貼り付け!$A$1:$BZ$3001,2500,$B$1)&amp;"",FIND(" ",TRIM(INDEX(貼り付け!$A$1:$BZ$3001,2500,$B$1)&amp;"")&amp;" ")-1)),"/","-"),"年","-"),"月","-"),"日",""))),"")</f>
        <v/>
      </c>
      <c r="J2501">
        <f>IFERROR(MID(I2501,FIND("-",I2501)+1,99),"")</f>
        <v/>
      </c>
    </row>
    <row r="2502">
      <c r="B2502">
        <f>IFERROR(IF($B$1=0,"",IF(INDEX(貼り付け!$A$1:$BZ$3001,2501,$B$1)="","",IF(ISNUMBER(INDEX(貼り付け!$A$1:$BZ$3001,2501,$B$1)),INT(INDEX(貼り付け!$A$1:$BZ$3001,2501,$B$1)),DATE(VALUE(LEFT(I2502,FIND("-",I2502)-1)),VALUE(LEFT(J2502,FIND("-",J2502)-1)),VALUE(MID(J2502,FIND("-",J2502)+1,99)))))),"")</f>
        <v/>
      </c>
      <c r="C2502">
        <f>IF($C$1=0,0,IFERROR(VALUE(SUBSTITUTE(SUBSTITUTE(SUBSTITUTE(INDEX(貼り付け!$A$1:$BZ$3001,2501,$C$1)&amp;"",",",""),"¥",""),"￥","")),0))</f>
        <v/>
      </c>
      <c r="D2502">
        <f>IF($D$1=0,0,IFERROR(VALUE(SUBSTITUTE(SUBSTITUTE(SUBSTITUTE(INDEX(貼り付け!$A$1:$BZ$3001,2501,$D$1)&amp;"",",",""),"¥",""),"￥","")),0))</f>
        <v/>
      </c>
      <c r="E2502">
        <f>IF($E$1=0,0,IFERROR(VALUE(SUBSTITUTE(SUBSTITUTE(SUBSTITUTE(INDEX(貼り付け!$A$1:$BZ$3001,2501,$E$1)&amp;"",",",""),"¥",""),"￥","")),0))</f>
        <v/>
      </c>
      <c r="F2502">
        <f>IF($F$1=0,0,IFERROR(VALUE(SUBSTITUTE(SUBSTITUTE(SUBSTITUTE(INDEX(貼り付け!$A$1:$BZ$3001,2501,$F$1)&amp;"",",",""),"¥",""),"￥","")),0))</f>
        <v/>
      </c>
      <c r="G2502">
        <f>IF(ISNUMBER(B2502),YEAR(B2502),"")</f>
        <v/>
      </c>
      <c r="H2502">
        <f>IF(ISNUMBER(B2502),MONTH(B2502),"")</f>
        <v/>
      </c>
      <c r="I2502">
        <f>IFERROR(IF($B$1=0,"",IF(ISNUMBER(INDEX(貼り付け!$A$1:$BZ$3001,2501,$B$1)),"",SUBSTITUTE(SUBSTITUTE(SUBSTITUTE(SUBSTITUTE(TRIM(LEFT(INDEX(貼り付け!$A$1:$BZ$3001,2501,$B$1)&amp;"",FIND(" ",TRIM(INDEX(貼り付け!$A$1:$BZ$3001,2501,$B$1)&amp;"")&amp;" ")-1)),"/","-"),"年","-"),"月","-"),"日",""))),"")</f>
        <v/>
      </c>
      <c r="J2502">
        <f>IFERROR(MID(I2502,FIND("-",I2502)+1,99),"")</f>
        <v/>
      </c>
    </row>
    <row r="2503">
      <c r="B2503">
        <f>IFERROR(IF($B$1=0,"",IF(INDEX(貼り付け!$A$1:$BZ$3001,2502,$B$1)="","",IF(ISNUMBER(INDEX(貼り付け!$A$1:$BZ$3001,2502,$B$1)),INT(INDEX(貼り付け!$A$1:$BZ$3001,2502,$B$1)),DATE(VALUE(LEFT(I2503,FIND("-",I2503)-1)),VALUE(LEFT(J2503,FIND("-",J2503)-1)),VALUE(MID(J2503,FIND("-",J2503)+1,99)))))),"")</f>
        <v/>
      </c>
      <c r="C2503">
        <f>IF($C$1=0,0,IFERROR(VALUE(SUBSTITUTE(SUBSTITUTE(SUBSTITUTE(INDEX(貼り付け!$A$1:$BZ$3001,2502,$C$1)&amp;"",",",""),"¥",""),"￥","")),0))</f>
        <v/>
      </c>
      <c r="D2503">
        <f>IF($D$1=0,0,IFERROR(VALUE(SUBSTITUTE(SUBSTITUTE(SUBSTITUTE(INDEX(貼り付け!$A$1:$BZ$3001,2502,$D$1)&amp;"",",",""),"¥",""),"￥","")),0))</f>
        <v/>
      </c>
      <c r="E2503">
        <f>IF($E$1=0,0,IFERROR(VALUE(SUBSTITUTE(SUBSTITUTE(SUBSTITUTE(INDEX(貼り付け!$A$1:$BZ$3001,2502,$E$1)&amp;"",",",""),"¥",""),"￥","")),0))</f>
        <v/>
      </c>
      <c r="F2503">
        <f>IF($F$1=0,0,IFERROR(VALUE(SUBSTITUTE(SUBSTITUTE(SUBSTITUTE(INDEX(貼り付け!$A$1:$BZ$3001,2502,$F$1)&amp;"",",",""),"¥",""),"￥","")),0))</f>
        <v/>
      </c>
      <c r="G2503">
        <f>IF(ISNUMBER(B2503),YEAR(B2503),"")</f>
        <v/>
      </c>
      <c r="H2503">
        <f>IF(ISNUMBER(B2503),MONTH(B2503),"")</f>
        <v/>
      </c>
      <c r="I2503">
        <f>IFERROR(IF($B$1=0,"",IF(ISNUMBER(INDEX(貼り付け!$A$1:$BZ$3001,2502,$B$1)),"",SUBSTITUTE(SUBSTITUTE(SUBSTITUTE(SUBSTITUTE(TRIM(LEFT(INDEX(貼り付け!$A$1:$BZ$3001,2502,$B$1)&amp;"",FIND(" ",TRIM(INDEX(貼り付け!$A$1:$BZ$3001,2502,$B$1)&amp;"")&amp;" ")-1)),"/","-"),"年","-"),"月","-"),"日",""))),"")</f>
        <v/>
      </c>
      <c r="J2503">
        <f>IFERROR(MID(I2503,FIND("-",I2503)+1,99),"")</f>
        <v/>
      </c>
    </row>
    <row r="2504">
      <c r="B2504">
        <f>IFERROR(IF($B$1=0,"",IF(INDEX(貼り付け!$A$1:$BZ$3001,2503,$B$1)="","",IF(ISNUMBER(INDEX(貼り付け!$A$1:$BZ$3001,2503,$B$1)),INT(INDEX(貼り付け!$A$1:$BZ$3001,2503,$B$1)),DATE(VALUE(LEFT(I2504,FIND("-",I2504)-1)),VALUE(LEFT(J2504,FIND("-",J2504)-1)),VALUE(MID(J2504,FIND("-",J2504)+1,99)))))),"")</f>
        <v/>
      </c>
      <c r="C2504">
        <f>IF($C$1=0,0,IFERROR(VALUE(SUBSTITUTE(SUBSTITUTE(SUBSTITUTE(INDEX(貼り付け!$A$1:$BZ$3001,2503,$C$1)&amp;"",",",""),"¥",""),"￥","")),0))</f>
        <v/>
      </c>
      <c r="D2504">
        <f>IF($D$1=0,0,IFERROR(VALUE(SUBSTITUTE(SUBSTITUTE(SUBSTITUTE(INDEX(貼り付け!$A$1:$BZ$3001,2503,$D$1)&amp;"",",",""),"¥",""),"￥","")),0))</f>
        <v/>
      </c>
      <c r="E2504">
        <f>IF($E$1=0,0,IFERROR(VALUE(SUBSTITUTE(SUBSTITUTE(SUBSTITUTE(INDEX(貼り付け!$A$1:$BZ$3001,2503,$E$1)&amp;"",",",""),"¥",""),"￥","")),0))</f>
        <v/>
      </c>
      <c r="F2504">
        <f>IF($F$1=0,0,IFERROR(VALUE(SUBSTITUTE(SUBSTITUTE(SUBSTITUTE(INDEX(貼り付け!$A$1:$BZ$3001,2503,$F$1)&amp;"",",",""),"¥",""),"￥","")),0))</f>
        <v/>
      </c>
      <c r="G2504">
        <f>IF(ISNUMBER(B2504),YEAR(B2504),"")</f>
        <v/>
      </c>
      <c r="H2504">
        <f>IF(ISNUMBER(B2504),MONTH(B2504),"")</f>
        <v/>
      </c>
      <c r="I2504">
        <f>IFERROR(IF($B$1=0,"",IF(ISNUMBER(INDEX(貼り付け!$A$1:$BZ$3001,2503,$B$1)),"",SUBSTITUTE(SUBSTITUTE(SUBSTITUTE(SUBSTITUTE(TRIM(LEFT(INDEX(貼り付け!$A$1:$BZ$3001,2503,$B$1)&amp;"",FIND(" ",TRIM(INDEX(貼り付け!$A$1:$BZ$3001,2503,$B$1)&amp;"")&amp;" ")-1)),"/","-"),"年","-"),"月","-"),"日",""))),"")</f>
        <v/>
      </c>
      <c r="J2504">
        <f>IFERROR(MID(I2504,FIND("-",I2504)+1,99),"")</f>
        <v/>
      </c>
    </row>
    <row r="2505">
      <c r="B2505">
        <f>IFERROR(IF($B$1=0,"",IF(INDEX(貼り付け!$A$1:$BZ$3001,2504,$B$1)="","",IF(ISNUMBER(INDEX(貼り付け!$A$1:$BZ$3001,2504,$B$1)),INT(INDEX(貼り付け!$A$1:$BZ$3001,2504,$B$1)),DATE(VALUE(LEFT(I2505,FIND("-",I2505)-1)),VALUE(LEFT(J2505,FIND("-",J2505)-1)),VALUE(MID(J2505,FIND("-",J2505)+1,99)))))),"")</f>
        <v/>
      </c>
      <c r="C2505">
        <f>IF($C$1=0,0,IFERROR(VALUE(SUBSTITUTE(SUBSTITUTE(SUBSTITUTE(INDEX(貼り付け!$A$1:$BZ$3001,2504,$C$1)&amp;"",",",""),"¥",""),"￥","")),0))</f>
        <v/>
      </c>
      <c r="D2505">
        <f>IF($D$1=0,0,IFERROR(VALUE(SUBSTITUTE(SUBSTITUTE(SUBSTITUTE(INDEX(貼り付け!$A$1:$BZ$3001,2504,$D$1)&amp;"",",",""),"¥",""),"￥","")),0))</f>
        <v/>
      </c>
      <c r="E2505">
        <f>IF($E$1=0,0,IFERROR(VALUE(SUBSTITUTE(SUBSTITUTE(SUBSTITUTE(INDEX(貼り付け!$A$1:$BZ$3001,2504,$E$1)&amp;"",",",""),"¥",""),"￥","")),0))</f>
        <v/>
      </c>
      <c r="F2505">
        <f>IF($F$1=0,0,IFERROR(VALUE(SUBSTITUTE(SUBSTITUTE(SUBSTITUTE(INDEX(貼り付け!$A$1:$BZ$3001,2504,$F$1)&amp;"",",",""),"¥",""),"￥","")),0))</f>
        <v/>
      </c>
      <c r="G2505">
        <f>IF(ISNUMBER(B2505),YEAR(B2505),"")</f>
        <v/>
      </c>
      <c r="H2505">
        <f>IF(ISNUMBER(B2505),MONTH(B2505),"")</f>
        <v/>
      </c>
      <c r="I2505">
        <f>IFERROR(IF($B$1=0,"",IF(ISNUMBER(INDEX(貼り付け!$A$1:$BZ$3001,2504,$B$1)),"",SUBSTITUTE(SUBSTITUTE(SUBSTITUTE(SUBSTITUTE(TRIM(LEFT(INDEX(貼り付け!$A$1:$BZ$3001,2504,$B$1)&amp;"",FIND(" ",TRIM(INDEX(貼り付け!$A$1:$BZ$3001,2504,$B$1)&amp;"")&amp;" ")-1)),"/","-"),"年","-"),"月","-"),"日",""))),"")</f>
        <v/>
      </c>
      <c r="J2505">
        <f>IFERROR(MID(I2505,FIND("-",I2505)+1,99),"")</f>
        <v/>
      </c>
    </row>
    <row r="2506">
      <c r="B2506">
        <f>IFERROR(IF($B$1=0,"",IF(INDEX(貼り付け!$A$1:$BZ$3001,2505,$B$1)="","",IF(ISNUMBER(INDEX(貼り付け!$A$1:$BZ$3001,2505,$B$1)),INT(INDEX(貼り付け!$A$1:$BZ$3001,2505,$B$1)),DATE(VALUE(LEFT(I2506,FIND("-",I2506)-1)),VALUE(LEFT(J2506,FIND("-",J2506)-1)),VALUE(MID(J2506,FIND("-",J2506)+1,99)))))),"")</f>
        <v/>
      </c>
      <c r="C2506">
        <f>IF($C$1=0,0,IFERROR(VALUE(SUBSTITUTE(SUBSTITUTE(SUBSTITUTE(INDEX(貼り付け!$A$1:$BZ$3001,2505,$C$1)&amp;"",",",""),"¥",""),"￥","")),0))</f>
        <v/>
      </c>
      <c r="D2506">
        <f>IF($D$1=0,0,IFERROR(VALUE(SUBSTITUTE(SUBSTITUTE(SUBSTITUTE(INDEX(貼り付け!$A$1:$BZ$3001,2505,$D$1)&amp;"",",",""),"¥",""),"￥","")),0))</f>
        <v/>
      </c>
      <c r="E2506">
        <f>IF($E$1=0,0,IFERROR(VALUE(SUBSTITUTE(SUBSTITUTE(SUBSTITUTE(INDEX(貼り付け!$A$1:$BZ$3001,2505,$E$1)&amp;"",",",""),"¥",""),"￥","")),0))</f>
        <v/>
      </c>
      <c r="F2506">
        <f>IF($F$1=0,0,IFERROR(VALUE(SUBSTITUTE(SUBSTITUTE(SUBSTITUTE(INDEX(貼り付け!$A$1:$BZ$3001,2505,$F$1)&amp;"",",",""),"¥",""),"￥","")),0))</f>
        <v/>
      </c>
      <c r="G2506">
        <f>IF(ISNUMBER(B2506),YEAR(B2506),"")</f>
        <v/>
      </c>
      <c r="H2506">
        <f>IF(ISNUMBER(B2506),MONTH(B2506),"")</f>
        <v/>
      </c>
      <c r="I2506">
        <f>IFERROR(IF($B$1=0,"",IF(ISNUMBER(INDEX(貼り付け!$A$1:$BZ$3001,2505,$B$1)),"",SUBSTITUTE(SUBSTITUTE(SUBSTITUTE(SUBSTITUTE(TRIM(LEFT(INDEX(貼り付け!$A$1:$BZ$3001,2505,$B$1)&amp;"",FIND(" ",TRIM(INDEX(貼り付け!$A$1:$BZ$3001,2505,$B$1)&amp;"")&amp;" ")-1)),"/","-"),"年","-"),"月","-"),"日",""))),"")</f>
        <v/>
      </c>
      <c r="J2506">
        <f>IFERROR(MID(I2506,FIND("-",I2506)+1,99),"")</f>
        <v/>
      </c>
    </row>
    <row r="2507">
      <c r="B2507">
        <f>IFERROR(IF($B$1=0,"",IF(INDEX(貼り付け!$A$1:$BZ$3001,2506,$B$1)="","",IF(ISNUMBER(INDEX(貼り付け!$A$1:$BZ$3001,2506,$B$1)),INT(INDEX(貼り付け!$A$1:$BZ$3001,2506,$B$1)),DATE(VALUE(LEFT(I2507,FIND("-",I2507)-1)),VALUE(LEFT(J2507,FIND("-",J2507)-1)),VALUE(MID(J2507,FIND("-",J2507)+1,99)))))),"")</f>
        <v/>
      </c>
      <c r="C2507">
        <f>IF($C$1=0,0,IFERROR(VALUE(SUBSTITUTE(SUBSTITUTE(SUBSTITUTE(INDEX(貼り付け!$A$1:$BZ$3001,2506,$C$1)&amp;"",",",""),"¥",""),"￥","")),0))</f>
        <v/>
      </c>
      <c r="D2507">
        <f>IF($D$1=0,0,IFERROR(VALUE(SUBSTITUTE(SUBSTITUTE(SUBSTITUTE(INDEX(貼り付け!$A$1:$BZ$3001,2506,$D$1)&amp;"",",",""),"¥",""),"￥","")),0))</f>
        <v/>
      </c>
      <c r="E2507">
        <f>IF($E$1=0,0,IFERROR(VALUE(SUBSTITUTE(SUBSTITUTE(SUBSTITUTE(INDEX(貼り付け!$A$1:$BZ$3001,2506,$E$1)&amp;"",",",""),"¥",""),"￥","")),0))</f>
        <v/>
      </c>
      <c r="F2507">
        <f>IF($F$1=0,0,IFERROR(VALUE(SUBSTITUTE(SUBSTITUTE(SUBSTITUTE(INDEX(貼り付け!$A$1:$BZ$3001,2506,$F$1)&amp;"",",",""),"¥",""),"￥","")),0))</f>
        <v/>
      </c>
      <c r="G2507">
        <f>IF(ISNUMBER(B2507),YEAR(B2507),"")</f>
        <v/>
      </c>
      <c r="H2507">
        <f>IF(ISNUMBER(B2507),MONTH(B2507),"")</f>
        <v/>
      </c>
      <c r="I2507">
        <f>IFERROR(IF($B$1=0,"",IF(ISNUMBER(INDEX(貼り付け!$A$1:$BZ$3001,2506,$B$1)),"",SUBSTITUTE(SUBSTITUTE(SUBSTITUTE(SUBSTITUTE(TRIM(LEFT(INDEX(貼り付け!$A$1:$BZ$3001,2506,$B$1)&amp;"",FIND(" ",TRIM(INDEX(貼り付け!$A$1:$BZ$3001,2506,$B$1)&amp;"")&amp;" ")-1)),"/","-"),"年","-"),"月","-"),"日",""))),"")</f>
        <v/>
      </c>
      <c r="J2507">
        <f>IFERROR(MID(I2507,FIND("-",I2507)+1,99),"")</f>
        <v/>
      </c>
    </row>
    <row r="2508">
      <c r="B2508">
        <f>IFERROR(IF($B$1=0,"",IF(INDEX(貼り付け!$A$1:$BZ$3001,2507,$B$1)="","",IF(ISNUMBER(INDEX(貼り付け!$A$1:$BZ$3001,2507,$B$1)),INT(INDEX(貼り付け!$A$1:$BZ$3001,2507,$B$1)),DATE(VALUE(LEFT(I2508,FIND("-",I2508)-1)),VALUE(LEFT(J2508,FIND("-",J2508)-1)),VALUE(MID(J2508,FIND("-",J2508)+1,99)))))),"")</f>
        <v/>
      </c>
      <c r="C2508">
        <f>IF($C$1=0,0,IFERROR(VALUE(SUBSTITUTE(SUBSTITUTE(SUBSTITUTE(INDEX(貼り付け!$A$1:$BZ$3001,2507,$C$1)&amp;"",",",""),"¥",""),"￥","")),0))</f>
        <v/>
      </c>
      <c r="D2508">
        <f>IF($D$1=0,0,IFERROR(VALUE(SUBSTITUTE(SUBSTITUTE(SUBSTITUTE(INDEX(貼り付け!$A$1:$BZ$3001,2507,$D$1)&amp;"",",",""),"¥",""),"￥","")),0))</f>
        <v/>
      </c>
      <c r="E2508">
        <f>IF($E$1=0,0,IFERROR(VALUE(SUBSTITUTE(SUBSTITUTE(SUBSTITUTE(INDEX(貼り付け!$A$1:$BZ$3001,2507,$E$1)&amp;"",",",""),"¥",""),"￥","")),0))</f>
        <v/>
      </c>
      <c r="F2508">
        <f>IF($F$1=0,0,IFERROR(VALUE(SUBSTITUTE(SUBSTITUTE(SUBSTITUTE(INDEX(貼り付け!$A$1:$BZ$3001,2507,$F$1)&amp;"",",",""),"¥",""),"￥","")),0))</f>
        <v/>
      </c>
      <c r="G2508">
        <f>IF(ISNUMBER(B2508),YEAR(B2508),"")</f>
        <v/>
      </c>
      <c r="H2508">
        <f>IF(ISNUMBER(B2508),MONTH(B2508),"")</f>
        <v/>
      </c>
      <c r="I2508">
        <f>IFERROR(IF($B$1=0,"",IF(ISNUMBER(INDEX(貼り付け!$A$1:$BZ$3001,2507,$B$1)),"",SUBSTITUTE(SUBSTITUTE(SUBSTITUTE(SUBSTITUTE(TRIM(LEFT(INDEX(貼り付け!$A$1:$BZ$3001,2507,$B$1)&amp;"",FIND(" ",TRIM(INDEX(貼り付け!$A$1:$BZ$3001,2507,$B$1)&amp;"")&amp;" ")-1)),"/","-"),"年","-"),"月","-"),"日",""))),"")</f>
        <v/>
      </c>
      <c r="J2508">
        <f>IFERROR(MID(I2508,FIND("-",I2508)+1,99),"")</f>
        <v/>
      </c>
    </row>
    <row r="2509">
      <c r="B2509">
        <f>IFERROR(IF($B$1=0,"",IF(INDEX(貼り付け!$A$1:$BZ$3001,2508,$B$1)="","",IF(ISNUMBER(INDEX(貼り付け!$A$1:$BZ$3001,2508,$B$1)),INT(INDEX(貼り付け!$A$1:$BZ$3001,2508,$B$1)),DATE(VALUE(LEFT(I2509,FIND("-",I2509)-1)),VALUE(LEFT(J2509,FIND("-",J2509)-1)),VALUE(MID(J2509,FIND("-",J2509)+1,99)))))),"")</f>
        <v/>
      </c>
      <c r="C2509">
        <f>IF($C$1=0,0,IFERROR(VALUE(SUBSTITUTE(SUBSTITUTE(SUBSTITUTE(INDEX(貼り付け!$A$1:$BZ$3001,2508,$C$1)&amp;"",",",""),"¥",""),"￥","")),0))</f>
        <v/>
      </c>
      <c r="D2509">
        <f>IF($D$1=0,0,IFERROR(VALUE(SUBSTITUTE(SUBSTITUTE(SUBSTITUTE(INDEX(貼り付け!$A$1:$BZ$3001,2508,$D$1)&amp;"",",",""),"¥",""),"￥","")),0))</f>
        <v/>
      </c>
      <c r="E2509">
        <f>IF($E$1=0,0,IFERROR(VALUE(SUBSTITUTE(SUBSTITUTE(SUBSTITUTE(INDEX(貼り付け!$A$1:$BZ$3001,2508,$E$1)&amp;"",",",""),"¥",""),"￥","")),0))</f>
        <v/>
      </c>
      <c r="F2509">
        <f>IF($F$1=0,0,IFERROR(VALUE(SUBSTITUTE(SUBSTITUTE(SUBSTITUTE(INDEX(貼り付け!$A$1:$BZ$3001,2508,$F$1)&amp;"",",",""),"¥",""),"￥","")),0))</f>
        <v/>
      </c>
      <c r="G2509">
        <f>IF(ISNUMBER(B2509),YEAR(B2509),"")</f>
        <v/>
      </c>
      <c r="H2509">
        <f>IF(ISNUMBER(B2509),MONTH(B2509),"")</f>
        <v/>
      </c>
      <c r="I2509">
        <f>IFERROR(IF($B$1=0,"",IF(ISNUMBER(INDEX(貼り付け!$A$1:$BZ$3001,2508,$B$1)),"",SUBSTITUTE(SUBSTITUTE(SUBSTITUTE(SUBSTITUTE(TRIM(LEFT(INDEX(貼り付け!$A$1:$BZ$3001,2508,$B$1)&amp;"",FIND(" ",TRIM(INDEX(貼り付け!$A$1:$BZ$3001,2508,$B$1)&amp;"")&amp;" ")-1)),"/","-"),"年","-"),"月","-"),"日",""))),"")</f>
        <v/>
      </c>
      <c r="J2509">
        <f>IFERROR(MID(I2509,FIND("-",I2509)+1,99),"")</f>
        <v/>
      </c>
    </row>
    <row r="2510">
      <c r="B2510">
        <f>IFERROR(IF($B$1=0,"",IF(INDEX(貼り付け!$A$1:$BZ$3001,2509,$B$1)="","",IF(ISNUMBER(INDEX(貼り付け!$A$1:$BZ$3001,2509,$B$1)),INT(INDEX(貼り付け!$A$1:$BZ$3001,2509,$B$1)),DATE(VALUE(LEFT(I2510,FIND("-",I2510)-1)),VALUE(LEFT(J2510,FIND("-",J2510)-1)),VALUE(MID(J2510,FIND("-",J2510)+1,99)))))),"")</f>
        <v/>
      </c>
      <c r="C2510">
        <f>IF($C$1=0,0,IFERROR(VALUE(SUBSTITUTE(SUBSTITUTE(SUBSTITUTE(INDEX(貼り付け!$A$1:$BZ$3001,2509,$C$1)&amp;"",",",""),"¥",""),"￥","")),0))</f>
        <v/>
      </c>
      <c r="D2510">
        <f>IF($D$1=0,0,IFERROR(VALUE(SUBSTITUTE(SUBSTITUTE(SUBSTITUTE(INDEX(貼り付け!$A$1:$BZ$3001,2509,$D$1)&amp;"",",",""),"¥",""),"￥","")),0))</f>
        <v/>
      </c>
      <c r="E2510">
        <f>IF($E$1=0,0,IFERROR(VALUE(SUBSTITUTE(SUBSTITUTE(SUBSTITUTE(INDEX(貼り付け!$A$1:$BZ$3001,2509,$E$1)&amp;"",",",""),"¥",""),"￥","")),0))</f>
        <v/>
      </c>
      <c r="F2510">
        <f>IF($F$1=0,0,IFERROR(VALUE(SUBSTITUTE(SUBSTITUTE(SUBSTITUTE(INDEX(貼り付け!$A$1:$BZ$3001,2509,$F$1)&amp;"",",",""),"¥",""),"￥","")),0))</f>
        <v/>
      </c>
      <c r="G2510">
        <f>IF(ISNUMBER(B2510),YEAR(B2510),"")</f>
        <v/>
      </c>
      <c r="H2510">
        <f>IF(ISNUMBER(B2510),MONTH(B2510),"")</f>
        <v/>
      </c>
      <c r="I2510">
        <f>IFERROR(IF($B$1=0,"",IF(ISNUMBER(INDEX(貼り付け!$A$1:$BZ$3001,2509,$B$1)),"",SUBSTITUTE(SUBSTITUTE(SUBSTITUTE(SUBSTITUTE(TRIM(LEFT(INDEX(貼り付け!$A$1:$BZ$3001,2509,$B$1)&amp;"",FIND(" ",TRIM(INDEX(貼り付け!$A$1:$BZ$3001,2509,$B$1)&amp;"")&amp;" ")-1)),"/","-"),"年","-"),"月","-"),"日",""))),"")</f>
        <v/>
      </c>
      <c r="J2510">
        <f>IFERROR(MID(I2510,FIND("-",I2510)+1,99),"")</f>
        <v/>
      </c>
    </row>
    <row r="2511">
      <c r="B2511">
        <f>IFERROR(IF($B$1=0,"",IF(INDEX(貼り付け!$A$1:$BZ$3001,2510,$B$1)="","",IF(ISNUMBER(INDEX(貼り付け!$A$1:$BZ$3001,2510,$B$1)),INT(INDEX(貼り付け!$A$1:$BZ$3001,2510,$B$1)),DATE(VALUE(LEFT(I2511,FIND("-",I2511)-1)),VALUE(LEFT(J2511,FIND("-",J2511)-1)),VALUE(MID(J2511,FIND("-",J2511)+1,99)))))),"")</f>
        <v/>
      </c>
      <c r="C2511">
        <f>IF($C$1=0,0,IFERROR(VALUE(SUBSTITUTE(SUBSTITUTE(SUBSTITUTE(INDEX(貼り付け!$A$1:$BZ$3001,2510,$C$1)&amp;"",",",""),"¥",""),"￥","")),0))</f>
        <v/>
      </c>
      <c r="D2511">
        <f>IF($D$1=0,0,IFERROR(VALUE(SUBSTITUTE(SUBSTITUTE(SUBSTITUTE(INDEX(貼り付け!$A$1:$BZ$3001,2510,$D$1)&amp;"",",",""),"¥",""),"￥","")),0))</f>
        <v/>
      </c>
      <c r="E2511">
        <f>IF($E$1=0,0,IFERROR(VALUE(SUBSTITUTE(SUBSTITUTE(SUBSTITUTE(INDEX(貼り付け!$A$1:$BZ$3001,2510,$E$1)&amp;"",",",""),"¥",""),"￥","")),0))</f>
        <v/>
      </c>
      <c r="F2511">
        <f>IF($F$1=0,0,IFERROR(VALUE(SUBSTITUTE(SUBSTITUTE(SUBSTITUTE(INDEX(貼り付け!$A$1:$BZ$3001,2510,$F$1)&amp;"",",",""),"¥",""),"￥","")),0))</f>
        <v/>
      </c>
      <c r="G2511">
        <f>IF(ISNUMBER(B2511),YEAR(B2511),"")</f>
        <v/>
      </c>
      <c r="H2511">
        <f>IF(ISNUMBER(B2511),MONTH(B2511),"")</f>
        <v/>
      </c>
      <c r="I2511">
        <f>IFERROR(IF($B$1=0,"",IF(ISNUMBER(INDEX(貼り付け!$A$1:$BZ$3001,2510,$B$1)),"",SUBSTITUTE(SUBSTITUTE(SUBSTITUTE(SUBSTITUTE(TRIM(LEFT(INDEX(貼り付け!$A$1:$BZ$3001,2510,$B$1)&amp;"",FIND(" ",TRIM(INDEX(貼り付け!$A$1:$BZ$3001,2510,$B$1)&amp;"")&amp;" ")-1)),"/","-"),"年","-"),"月","-"),"日",""))),"")</f>
        <v/>
      </c>
      <c r="J2511">
        <f>IFERROR(MID(I2511,FIND("-",I2511)+1,99),"")</f>
        <v/>
      </c>
    </row>
    <row r="2512">
      <c r="B2512">
        <f>IFERROR(IF($B$1=0,"",IF(INDEX(貼り付け!$A$1:$BZ$3001,2511,$B$1)="","",IF(ISNUMBER(INDEX(貼り付け!$A$1:$BZ$3001,2511,$B$1)),INT(INDEX(貼り付け!$A$1:$BZ$3001,2511,$B$1)),DATE(VALUE(LEFT(I2512,FIND("-",I2512)-1)),VALUE(LEFT(J2512,FIND("-",J2512)-1)),VALUE(MID(J2512,FIND("-",J2512)+1,99)))))),"")</f>
        <v/>
      </c>
      <c r="C2512">
        <f>IF($C$1=0,0,IFERROR(VALUE(SUBSTITUTE(SUBSTITUTE(SUBSTITUTE(INDEX(貼り付け!$A$1:$BZ$3001,2511,$C$1)&amp;"",",",""),"¥",""),"￥","")),0))</f>
        <v/>
      </c>
      <c r="D2512">
        <f>IF($D$1=0,0,IFERROR(VALUE(SUBSTITUTE(SUBSTITUTE(SUBSTITUTE(INDEX(貼り付け!$A$1:$BZ$3001,2511,$D$1)&amp;"",",",""),"¥",""),"￥","")),0))</f>
        <v/>
      </c>
      <c r="E2512">
        <f>IF($E$1=0,0,IFERROR(VALUE(SUBSTITUTE(SUBSTITUTE(SUBSTITUTE(INDEX(貼り付け!$A$1:$BZ$3001,2511,$E$1)&amp;"",",",""),"¥",""),"￥","")),0))</f>
        <v/>
      </c>
      <c r="F2512">
        <f>IF($F$1=0,0,IFERROR(VALUE(SUBSTITUTE(SUBSTITUTE(SUBSTITUTE(INDEX(貼り付け!$A$1:$BZ$3001,2511,$F$1)&amp;"",",",""),"¥",""),"￥","")),0))</f>
        <v/>
      </c>
      <c r="G2512">
        <f>IF(ISNUMBER(B2512),YEAR(B2512),"")</f>
        <v/>
      </c>
      <c r="H2512">
        <f>IF(ISNUMBER(B2512),MONTH(B2512),"")</f>
        <v/>
      </c>
      <c r="I2512">
        <f>IFERROR(IF($B$1=0,"",IF(ISNUMBER(INDEX(貼り付け!$A$1:$BZ$3001,2511,$B$1)),"",SUBSTITUTE(SUBSTITUTE(SUBSTITUTE(SUBSTITUTE(TRIM(LEFT(INDEX(貼り付け!$A$1:$BZ$3001,2511,$B$1)&amp;"",FIND(" ",TRIM(INDEX(貼り付け!$A$1:$BZ$3001,2511,$B$1)&amp;"")&amp;" ")-1)),"/","-"),"年","-"),"月","-"),"日",""))),"")</f>
        <v/>
      </c>
      <c r="J2512">
        <f>IFERROR(MID(I2512,FIND("-",I2512)+1,99),"")</f>
        <v/>
      </c>
    </row>
    <row r="2513">
      <c r="B2513">
        <f>IFERROR(IF($B$1=0,"",IF(INDEX(貼り付け!$A$1:$BZ$3001,2512,$B$1)="","",IF(ISNUMBER(INDEX(貼り付け!$A$1:$BZ$3001,2512,$B$1)),INT(INDEX(貼り付け!$A$1:$BZ$3001,2512,$B$1)),DATE(VALUE(LEFT(I2513,FIND("-",I2513)-1)),VALUE(LEFT(J2513,FIND("-",J2513)-1)),VALUE(MID(J2513,FIND("-",J2513)+1,99)))))),"")</f>
        <v/>
      </c>
      <c r="C2513">
        <f>IF($C$1=0,0,IFERROR(VALUE(SUBSTITUTE(SUBSTITUTE(SUBSTITUTE(INDEX(貼り付け!$A$1:$BZ$3001,2512,$C$1)&amp;"",",",""),"¥",""),"￥","")),0))</f>
        <v/>
      </c>
      <c r="D2513">
        <f>IF($D$1=0,0,IFERROR(VALUE(SUBSTITUTE(SUBSTITUTE(SUBSTITUTE(INDEX(貼り付け!$A$1:$BZ$3001,2512,$D$1)&amp;"",",",""),"¥",""),"￥","")),0))</f>
        <v/>
      </c>
      <c r="E2513">
        <f>IF($E$1=0,0,IFERROR(VALUE(SUBSTITUTE(SUBSTITUTE(SUBSTITUTE(INDEX(貼り付け!$A$1:$BZ$3001,2512,$E$1)&amp;"",",",""),"¥",""),"￥","")),0))</f>
        <v/>
      </c>
      <c r="F2513">
        <f>IF($F$1=0,0,IFERROR(VALUE(SUBSTITUTE(SUBSTITUTE(SUBSTITUTE(INDEX(貼り付け!$A$1:$BZ$3001,2512,$F$1)&amp;"",",",""),"¥",""),"￥","")),0))</f>
        <v/>
      </c>
      <c r="G2513">
        <f>IF(ISNUMBER(B2513),YEAR(B2513),"")</f>
        <v/>
      </c>
      <c r="H2513">
        <f>IF(ISNUMBER(B2513),MONTH(B2513),"")</f>
        <v/>
      </c>
      <c r="I2513">
        <f>IFERROR(IF($B$1=0,"",IF(ISNUMBER(INDEX(貼り付け!$A$1:$BZ$3001,2512,$B$1)),"",SUBSTITUTE(SUBSTITUTE(SUBSTITUTE(SUBSTITUTE(TRIM(LEFT(INDEX(貼り付け!$A$1:$BZ$3001,2512,$B$1)&amp;"",FIND(" ",TRIM(INDEX(貼り付け!$A$1:$BZ$3001,2512,$B$1)&amp;"")&amp;" ")-1)),"/","-"),"年","-"),"月","-"),"日",""))),"")</f>
        <v/>
      </c>
      <c r="J2513">
        <f>IFERROR(MID(I2513,FIND("-",I2513)+1,99),"")</f>
        <v/>
      </c>
    </row>
    <row r="2514">
      <c r="B2514">
        <f>IFERROR(IF($B$1=0,"",IF(INDEX(貼り付け!$A$1:$BZ$3001,2513,$B$1)="","",IF(ISNUMBER(INDEX(貼り付け!$A$1:$BZ$3001,2513,$B$1)),INT(INDEX(貼り付け!$A$1:$BZ$3001,2513,$B$1)),DATE(VALUE(LEFT(I2514,FIND("-",I2514)-1)),VALUE(LEFT(J2514,FIND("-",J2514)-1)),VALUE(MID(J2514,FIND("-",J2514)+1,99)))))),"")</f>
        <v/>
      </c>
      <c r="C2514">
        <f>IF($C$1=0,0,IFERROR(VALUE(SUBSTITUTE(SUBSTITUTE(SUBSTITUTE(INDEX(貼り付け!$A$1:$BZ$3001,2513,$C$1)&amp;"",",",""),"¥",""),"￥","")),0))</f>
        <v/>
      </c>
      <c r="D2514">
        <f>IF($D$1=0,0,IFERROR(VALUE(SUBSTITUTE(SUBSTITUTE(SUBSTITUTE(INDEX(貼り付け!$A$1:$BZ$3001,2513,$D$1)&amp;"",",",""),"¥",""),"￥","")),0))</f>
        <v/>
      </c>
      <c r="E2514">
        <f>IF($E$1=0,0,IFERROR(VALUE(SUBSTITUTE(SUBSTITUTE(SUBSTITUTE(INDEX(貼り付け!$A$1:$BZ$3001,2513,$E$1)&amp;"",",",""),"¥",""),"￥","")),0))</f>
        <v/>
      </c>
      <c r="F2514">
        <f>IF($F$1=0,0,IFERROR(VALUE(SUBSTITUTE(SUBSTITUTE(SUBSTITUTE(INDEX(貼り付け!$A$1:$BZ$3001,2513,$F$1)&amp;"",",",""),"¥",""),"￥","")),0))</f>
        <v/>
      </c>
      <c r="G2514">
        <f>IF(ISNUMBER(B2514),YEAR(B2514),"")</f>
        <v/>
      </c>
      <c r="H2514">
        <f>IF(ISNUMBER(B2514),MONTH(B2514),"")</f>
        <v/>
      </c>
      <c r="I2514">
        <f>IFERROR(IF($B$1=0,"",IF(ISNUMBER(INDEX(貼り付け!$A$1:$BZ$3001,2513,$B$1)),"",SUBSTITUTE(SUBSTITUTE(SUBSTITUTE(SUBSTITUTE(TRIM(LEFT(INDEX(貼り付け!$A$1:$BZ$3001,2513,$B$1)&amp;"",FIND(" ",TRIM(INDEX(貼り付け!$A$1:$BZ$3001,2513,$B$1)&amp;"")&amp;" ")-1)),"/","-"),"年","-"),"月","-"),"日",""))),"")</f>
        <v/>
      </c>
      <c r="J2514">
        <f>IFERROR(MID(I2514,FIND("-",I2514)+1,99),"")</f>
        <v/>
      </c>
    </row>
    <row r="2515">
      <c r="B2515">
        <f>IFERROR(IF($B$1=0,"",IF(INDEX(貼り付け!$A$1:$BZ$3001,2514,$B$1)="","",IF(ISNUMBER(INDEX(貼り付け!$A$1:$BZ$3001,2514,$B$1)),INT(INDEX(貼り付け!$A$1:$BZ$3001,2514,$B$1)),DATE(VALUE(LEFT(I2515,FIND("-",I2515)-1)),VALUE(LEFT(J2515,FIND("-",J2515)-1)),VALUE(MID(J2515,FIND("-",J2515)+1,99)))))),"")</f>
        <v/>
      </c>
      <c r="C2515">
        <f>IF($C$1=0,0,IFERROR(VALUE(SUBSTITUTE(SUBSTITUTE(SUBSTITUTE(INDEX(貼り付け!$A$1:$BZ$3001,2514,$C$1)&amp;"",",",""),"¥",""),"￥","")),0))</f>
        <v/>
      </c>
      <c r="D2515">
        <f>IF($D$1=0,0,IFERROR(VALUE(SUBSTITUTE(SUBSTITUTE(SUBSTITUTE(INDEX(貼り付け!$A$1:$BZ$3001,2514,$D$1)&amp;"",",",""),"¥",""),"￥","")),0))</f>
        <v/>
      </c>
      <c r="E2515">
        <f>IF($E$1=0,0,IFERROR(VALUE(SUBSTITUTE(SUBSTITUTE(SUBSTITUTE(INDEX(貼り付け!$A$1:$BZ$3001,2514,$E$1)&amp;"",",",""),"¥",""),"￥","")),0))</f>
        <v/>
      </c>
      <c r="F2515">
        <f>IF($F$1=0,0,IFERROR(VALUE(SUBSTITUTE(SUBSTITUTE(SUBSTITUTE(INDEX(貼り付け!$A$1:$BZ$3001,2514,$F$1)&amp;"",",",""),"¥",""),"￥","")),0))</f>
        <v/>
      </c>
      <c r="G2515">
        <f>IF(ISNUMBER(B2515),YEAR(B2515),"")</f>
        <v/>
      </c>
      <c r="H2515">
        <f>IF(ISNUMBER(B2515),MONTH(B2515),"")</f>
        <v/>
      </c>
      <c r="I2515">
        <f>IFERROR(IF($B$1=0,"",IF(ISNUMBER(INDEX(貼り付け!$A$1:$BZ$3001,2514,$B$1)),"",SUBSTITUTE(SUBSTITUTE(SUBSTITUTE(SUBSTITUTE(TRIM(LEFT(INDEX(貼り付け!$A$1:$BZ$3001,2514,$B$1)&amp;"",FIND(" ",TRIM(INDEX(貼り付け!$A$1:$BZ$3001,2514,$B$1)&amp;"")&amp;" ")-1)),"/","-"),"年","-"),"月","-"),"日",""))),"")</f>
        <v/>
      </c>
      <c r="J2515">
        <f>IFERROR(MID(I2515,FIND("-",I2515)+1,99),"")</f>
        <v/>
      </c>
    </row>
    <row r="2516">
      <c r="B2516">
        <f>IFERROR(IF($B$1=0,"",IF(INDEX(貼り付け!$A$1:$BZ$3001,2515,$B$1)="","",IF(ISNUMBER(INDEX(貼り付け!$A$1:$BZ$3001,2515,$B$1)),INT(INDEX(貼り付け!$A$1:$BZ$3001,2515,$B$1)),DATE(VALUE(LEFT(I2516,FIND("-",I2516)-1)),VALUE(LEFT(J2516,FIND("-",J2516)-1)),VALUE(MID(J2516,FIND("-",J2516)+1,99)))))),"")</f>
        <v/>
      </c>
      <c r="C2516">
        <f>IF($C$1=0,0,IFERROR(VALUE(SUBSTITUTE(SUBSTITUTE(SUBSTITUTE(INDEX(貼り付け!$A$1:$BZ$3001,2515,$C$1)&amp;"",",",""),"¥",""),"￥","")),0))</f>
        <v/>
      </c>
      <c r="D2516">
        <f>IF($D$1=0,0,IFERROR(VALUE(SUBSTITUTE(SUBSTITUTE(SUBSTITUTE(INDEX(貼り付け!$A$1:$BZ$3001,2515,$D$1)&amp;"",",",""),"¥",""),"￥","")),0))</f>
        <v/>
      </c>
      <c r="E2516">
        <f>IF($E$1=0,0,IFERROR(VALUE(SUBSTITUTE(SUBSTITUTE(SUBSTITUTE(INDEX(貼り付け!$A$1:$BZ$3001,2515,$E$1)&amp;"",",",""),"¥",""),"￥","")),0))</f>
        <v/>
      </c>
      <c r="F2516">
        <f>IF($F$1=0,0,IFERROR(VALUE(SUBSTITUTE(SUBSTITUTE(SUBSTITUTE(INDEX(貼り付け!$A$1:$BZ$3001,2515,$F$1)&amp;"",",",""),"¥",""),"￥","")),0))</f>
        <v/>
      </c>
      <c r="G2516">
        <f>IF(ISNUMBER(B2516),YEAR(B2516),"")</f>
        <v/>
      </c>
      <c r="H2516">
        <f>IF(ISNUMBER(B2516),MONTH(B2516),"")</f>
        <v/>
      </c>
      <c r="I2516">
        <f>IFERROR(IF($B$1=0,"",IF(ISNUMBER(INDEX(貼り付け!$A$1:$BZ$3001,2515,$B$1)),"",SUBSTITUTE(SUBSTITUTE(SUBSTITUTE(SUBSTITUTE(TRIM(LEFT(INDEX(貼り付け!$A$1:$BZ$3001,2515,$B$1)&amp;"",FIND(" ",TRIM(INDEX(貼り付け!$A$1:$BZ$3001,2515,$B$1)&amp;"")&amp;" ")-1)),"/","-"),"年","-"),"月","-"),"日",""))),"")</f>
        <v/>
      </c>
      <c r="J2516">
        <f>IFERROR(MID(I2516,FIND("-",I2516)+1,99),"")</f>
        <v/>
      </c>
    </row>
    <row r="2517">
      <c r="B2517">
        <f>IFERROR(IF($B$1=0,"",IF(INDEX(貼り付け!$A$1:$BZ$3001,2516,$B$1)="","",IF(ISNUMBER(INDEX(貼り付け!$A$1:$BZ$3001,2516,$B$1)),INT(INDEX(貼り付け!$A$1:$BZ$3001,2516,$B$1)),DATE(VALUE(LEFT(I2517,FIND("-",I2517)-1)),VALUE(LEFT(J2517,FIND("-",J2517)-1)),VALUE(MID(J2517,FIND("-",J2517)+1,99)))))),"")</f>
        <v/>
      </c>
      <c r="C2517">
        <f>IF($C$1=0,0,IFERROR(VALUE(SUBSTITUTE(SUBSTITUTE(SUBSTITUTE(INDEX(貼り付け!$A$1:$BZ$3001,2516,$C$1)&amp;"",",",""),"¥",""),"￥","")),0))</f>
        <v/>
      </c>
      <c r="D2517">
        <f>IF($D$1=0,0,IFERROR(VALUE(SUBSTITUTE(SUBSTITUTE(SUBSTITUTE(INDEX(貼り付け!$A$1:$BZ$3001,2516,$D$1)&amp;"",",",""),"¥",""),"￥","")),0))</f>
        <v/>
      </c>
      <c r="E2517">
        <f>IF($E$1=0,0,IFERROR(VALUE(SUBSTITUTE(SUBSTITUTE(SUBSTITUTE(INDEX(貼り付け!$A$1:$BZ$3001,2516,$E$1)&amp;"",",",""),"¥",""),"￥","")),0))</f>
        <v/>
      </c>
      <c r="F2517">
        <f>IF($F$1=0,0,IFERROR(VALUE(SUBSTITUTE(SUBSTITUTE(SUBSTITUTE(INDEX(貼り付け!$A$1:$BZ$3001,2516,$F$1)&amp;"",",",""),"¥",""),"￥","")),0))</f>
        <v/>
      </c>
      <c r="G2517">
        <f>IF(ISNUMBER(B2517),YEAR(B2517),"")</f>
        <v/>
      </c>
      <c r="H2517">
        <f>IF(ISNUMBER(B2517),MONTH(B2517),"")</f>
        <v/>
      </c>
      <c r="I2517">
        <f>IFERROR(IF($B$1=0,"",IF(ISNUMBER(INDEX(貼り付け!$A$1:$BZ$3001,2516,$B$1)),"",SUBSTITUTE(SUBSTITUTE(SUBSTITUTE(SUBSTITUTE(TRIM(LEFT(INDEX(貼り付け!$A$1:$BZ$3001,2516,$B$1)&amp;"",FIND(" ",TRIM(INDEX(貼り付け!$A$1:$BZ$3001,2516,$B$1)&amp;"")&amp;" ")-1)),"/","-"),"年","-"),"月","-"),"日",""))),"")</f>
        <v/>
      </c>
      <c r="J2517">
        <f>IFERROR(MID(I2517,FIND("-",I2517)+1,99),"")</f>
        <v/>
      </c>
    </row>
    <row r="2518">
      <c r="B2518">
        <f>IFERROR(IF($B$1=0,"",IF(INDEX(貼り付け!$A$1:$BZ$3001,2517,$B$1)="","",IF(ISNUMBER(INDEX(貼り付け!$A$1:$BZ$3001,2517,$B$1)),INT(INDEX(貼り付け!$A$1:$BZ$3001,2517,$B$1)),DATE(VALUE(LEFT(I2518,FIND("-",I2518)-1)),VALUE(LEFT(J2518,FIND("-",J2518)-1)),VALUE(MID(J2518,FIND("-",J2518)+1,99)))))),"")</f>
        <v/>
      </c>
      <c r="C2518">
        <f>IF($C$1=0,0,IFERROR(VALUE(SUBSTITUTE(SUBSTITUTE(SUBSTITUTE(INDEX(貼り付け!$A$1:$BZ$3001,2517,$C$1)&amp;"",",",""),"¥",""),"￥","")),0))</f>
        <v/>
      </c>
      <c r="D2518">
        <f>IF($D$1=0,0,IFERROR(VALUE(SUBSTITUTE(SUBSTITUTE(SUBSTITUTE(INDEX(貼り付け!$A$1:$BZ$3001,2517,$D$1)&amp;"",",",""),"¥",""),"￥","")),0))</f>
        <v/>
      </c>
      <c r="E2518">
        <f>IF($E$1=0,0,IFERROR(VALUE(SUBSTITUTE(SUBSTITUTE(SUBSTITUTE(INDEX(貼り付け!$A$1:$BZ$3001,2517,$E$1)&amp;"",",",""),"¥",""),"￥","")),0))</f>
        <v/>
      </c>
      <c r="F2518">
        <f>IF($F$1=0,0,IFERROR(VALUE(SUBSTITUTE(SUBSTITUTE(SUBSTITUTE(INDEX(貼り付け!$A$1:$BZ$3001,2517,$F$1)&amp;"",",",""),"¥",""),"￥","")),0))</f>
        <v/>
      </c>
      <c r="G2518">
        <f>IF(ISNUMBER(B2518),YEAR(B2518),"")</f>
        <v/>
      </c>
      <c r="H2518">
        <f>IF(ISNUMBER(B2518),MONTH(B2518),"")</f>
        <v/>
      </c>
      <c r="I2518">
        <f>IFERROR(IF($B$1=0,"",IF(ISNUMBER(INDEX(貼り付け!$A$1:$BZ$3001,2517,$B$1)),"",SUBSTITUTE(SUBSTITUTE(SUBSTITUTE(SUBSTITUTE(TRIM(LEFT(INDEX(貼り付け!$A$1:$BZ$3001,2517,$B$1)&amp;"",FIND(" ",TRIM(INDEX(貼り付け!$A$1:$BZ$3001,2517,$B$1)&amp;"")&amp;" ")-1)),"/","-"),"年","-"),"月","-"),"日",""))),"")</f>
        <v/>
      </c>
      <c r="J2518">
        <f>IFERROR(MID(I2518,FIND("-",I2518)+1,99),"")</f>
        <v/>
      </c>
    </row>
    <row r="2519">
      <c r="B2519">
        <f>IFERROR(IF($B$1=0,"",IF(INDEX(貼り付け!$A$1:$BZ$3001,2518,$B$1)="","",IF(ISNUMBER(INDEX(貼り付け!$A$1:$BZ$3001,2518,$B$1)),INT(INDEX(貼り付け!$A$1:$BZ$3001,2518,$B$1)),DATE(VALUE(LEFT(I2519,FIND("-",I2519)-1)),VALUE(LEFT(J2519,FIND("-",J2519)-1)),VALUE(MID(J2519,FIND("-",J2519)+1,99)))))),"")</f>
        <v/>
      </c>
      <c r="C2519">
        <f>IF($C$1=0,0,IFERROR(VALUE(SUBSTITUTE(SUBSTITUTE(SUBSTITUTE(INDEX(貼り付け!$A$1:$BZ$3001,2518,$C$1)&amp;"",",",""),"¥",""),"￥","")),0))</f>
        <v/>
      </c>
      <c r="D2519">
        <f>IF($D$1=0,0,IFERROR(VALUE(SUBSTITUTE(SUBSTITUTE(SUBSTITUTE(INDEX(貼り付け!$A$1:$BZ$3001,2518,$D$1)&amp;"",",",""),"¥",""),"￥","")),0))</f>
        <v/>
      </c>
      <c r="E2519">
        <f>IF($E$1=0,0,IFERROR(VALUE(SUBSTITUTE(SUBSTITUTE(SUBSTITUTE(INDEX(貼り付け!$A$1:$BZ$3001,2518,$E$1)&amp;"",",",""),"¥",""),"￥","")),0))</f>
        <v/>
      </c>
      <c r="F2519">
        <f>IF($F$1=0,0,IFERROR(VALUE(SUBSTITUTE(SUBSTITUTE(SUBSTITUTE(INDEX(貼り付け!$A$1:$BZ$3001,2518,$F$1)&amp;"",",",""),"¥",""),"￥","")),0))</f>
        <v/>
      </c>
      <c r="G2519">
        <f>IF(ISNUMBER(B2519),YEAR(B2519),"")</f>
        <v/>
      </c>
      <c r="H2519">
        <f>IF(ISNUMBER(B2519),MONTH(B2519),"")</f>
        <v/>
      </c>
      <c r="I2519">
        <f>IFERROR(IF($B$1=0,"",IF(ISNUMBER(INDEX(貼り付け!$A$1:$BZ$3001,2518,$B$1)),"",SUBSTITUTE(SUBSTITUTE(SUBSTITUTE(SUBSTITUTE(TRIM(LEFT(INDEX(貼り付け!$A$1:$BZ$3001,2518,$B$1)&amp;"",FIND(" ",TRIM(INDEX(貼り付け!$A$1:$BZ$3001,2518,$B$1)&amp;"")&amp;" ")-1)),"/","-"),"年","-"),"月","-"),"日",""))),"")</f>
        <v/>
      </c>
      <c r="J2519">
        <f>IFERROR(MID(I2519,FIND("-",I2519)+1,99),"")</f>
        <v/>
      </c>
    </row>
    <row r="2520">
      <c r="B2520">
        <f>IFERROR(IF($B$1=0,"",IF(INDEX(貼り付け!$A$1:$BZ$3001,2519,$B$1)="","",IF(ISNUMBER(INDEX(貼り付け!$A$1:$BZ$3001,2519,$B$1)),INT(INDEX(貼り付け!$A$1:$BZ$3001,2519,$B$1)),DATE(VALUE(LEFT(I2520,FIND("-",I2520)-1)),VALUE(LEFT(J2520,FIND("-",J2520)-1)),VALUE(MID(J2520,FIND("-",J2520)+1,99)))))),"")</f>
        <v/>
      </c>
      <c r="C2520">
        <f>IF($C$1=0,0,IFERROR(VALUE(SUBSTITUTE(SUBSTITUTE(SUBSTITUTE(INDEX(貼り付け!$A$1:$BZ$3001,2519,$C$1)&amp;"",",",""),"¥",""),"￥","")),0))</f>
        <v/>
      </c>
      <c r="D2520">
        <f>IF($D$1=0,0,IFERROR(VALUE(SUBSTITUTE(SUBSTITUTE(SUBSTITUTE(INDEX(貼り付け!$A$1:$BZ$3001,2519,$D$1)&amp;"",",",""),"¥",""),"￥","")),0))</f>
        <v/>
      </c>
      <c r="E2520">
        <f>IF($E$1=0,0,IFERROR(VALUE(SUBSTITUTE(SUBSTITUTE(SUBSTITUTE(INDEX(貼り付け!$A$1:$BZ$3001,2519,$E$1)&amp;"",",",""),"¥",""),"￥","")),0))</f>
        <v/>
      </c>
      <c r="F2520">
        <f>IF($F$1=0,0,IFERROR(VALUE(SUBSTITUTE(SUBSTITUTE(SUBSTITUTE(INDEX(貼り付け!$A$1:$BZ$3001,2519,$F$1)&amp;"",",",""),"¥",""),"￥","")),0))</f>
        <v/>
      </c>
      <c r="G2520">
        <f>IF(ISNUMBER(B2520),YEAR(B2520),"")</f>
        <v/>
      </c>
      <c r="H2520">
        <f>IF(ISNUMBER(B2520),MONTH(B2520),"")</f>
        <v/>
      </c>
      <c r="I2520">
        <f>IFERROR(IF($B$1=0,"",IF(ISNUMBER(INDEX(貼り付け!$A$1:$BZ$3001,2519,$B$1)),"",SUBSTITUTE(SUBSTITUTE(SUBSTITUTE(SUBSTITUTE(TRIM(LEFT(INDEX(貼り付け!$A$1:$BZ$3001,2519,$B$1)&amp;"",FIND(" ",TRIM(INDEX(貼り付け!$A$1:$BZ$3001,2519,$B$1)&amp;"")&amp;" ")-1)),"/","-"),"年","-"),"月","-"),"日",""))),"")</f>
        <v/>
      </c>
      <c r="J2520">
        <f>IFERROR(MID(I2520,FIND("-",I2520)+1,99),"")</f>
        <v/>
      </c>
    </row>
    <row r="2521">
      <c r="B2521">
        <f>IFERROR(IF($B$1=0,"",IF(INDEX(貼り付け!$A$1:$BZ$3001,2520,$B$1)="","",IF(ISNUMBER(INDEX(貼り付け!$A$1:$BZ$3001,2520,$B$1)),INT(INDEX(貼り付け!$A$1:$BZ$3001,2520,$B$1)),DATE(VALUE(LEFT(I2521,FIND("-",I2521)-1)),VALUE(LEFT(J2521,FIND("-",J2521)-1)),VALUE(MID(J2521,FIND("-",J2521)+1,99)))))),"")</f>
        <v/>
      </c>
      <c r="C2521">
        <f>IF($C$1=0,0,IFERROR(VALUE(SUBSTITUTE(SUBSTITUTE(SUBSTITUTE(INDEX(貼り付け!$A$1:$BZ$3001,2520,$C$1)&amp;"",",",""),"¥",""),"￥","")),0))</f>
        <v/>
      </c>
      <c r="D2521">
        <f>IF($D$1=0,0,IFERROR(VALUE(SUBSTITUTE(SUBSTITUTE(SUBSTITUTE(INDEX(貼り付け!$A$1:$BZ$3001,2520,$D$1)&amp;"",",",""),"¥",""),"￥","")),0))</f>
        <v/>
      </c>
      <c r="E2521">
        <f>IF($E$1=0,0,IFERROR(VALUE(SUBSTITUTE(SUBSTITUTE(SUBSTITUTE(INDEX(貼り付け!$A$1:$BZ$3001,2520,$E$1)&amp;"",",",""),"¥",""),"￥","")),0))</f>
        <v/>
      </c>
      <c r="F2521">
        <f>IF($F$1=0,0,IFERROR(VALUE(SUBSTITUTE(SUBSTITUTE(SUBSTITUTE(INDEX(貼り付け!$A$1:$BZ$3001,2520,$F$1)&amp;"",",",""),"¥",""),"￥","")),0))</f>
        <v/>
      </c>
      <c r="G2521">
        <f>IF(ISNUMBER(B2521),YEAR(B2521),"")</f>
        <v/>
      </c>
      <c r="H2521">
        <f>IF(ISNUMBER(B2521),MONTH(B2521),"")</f>
        <v/>
      </c>
      <c r="I2521">
        <f>IFERROR(IF($B$1=0,"",IF(ISNUMBER(INDEX(貼り付け!$A$1:$BZ$3001,2520,$B$1)),"",SUBSTITUTE(SUBSTITUTE(SUBSTITUTE(SUBSTITUTE(TRIM(LEFT(INDEX(貼り付け!$A$1:$BZ$3001,2520,$B$1)&amp;"",FIND(" ",TRIM(INDEX(貼り付け!$A$1:$BZ$3001,2520,$B$1)&amp;"")&amp;" ")-1)),"/","-"),"年","-"),"月","-"),"日",""))),"")</f>
        <v/>
      </c>
      <c r="J2521">
        <f>IFERROR(MID(I2521,FIND("-",I2521)+1,99),"")</f>
        <v/>
      </c>
    </row>
    <row r="2522">
      <c r="B2522">
        <f>IFERROR(IF($B$1=0,"",IF(INDEX(貼り付け!$A$1:$BZ$3001,2521,$B$1)="","",IF(ISNUMBER(INDEX(貼り付け!$A$1:$BZ$3001,2521,$B$1)),INT(INDEX(貼り付け!$A$1:$BZ$3001,2521,$B$1)),DATE(VALUE(LEFT(I2522,FIND("-",I2522)-1)),VALUE(LEFT(J2522,FIND("-",J2522)-1)),VALUE(MID(J2522,FIND("-",J2522)+1,99)))))),"")</f>
        <v/>
      </c>
      <c r="C2522">
        <f>IF($C$1=0,0,IFERROR(VALUE(SUBSTITUTE(SUBSTITUTE(SUBSTITUTE(INDEX(貼り付け!$A$1:$BZ$3001,2521,$C$1)&amp;"",",",""),"¥",""),"￥","")),0))</f>
        <v/>
      </c>
      <c r="D2522">
        <f>IF($D$1=0,0,IFERROR(VALUE(SUBSTITUTE(SUBSTITUTE(SUBSTITUTE(INDEX(貼り付け!$A$1:$BZ$3001,2521,$D$1)&amp;"",",",""),"¥",""),"￥","")),0))</f>
        <v/>
      </c>
      <c r="E2522">
        <f>IF($E$1=0,0,IFERROR(VALUE(SUBSTITUTE(SUBSTITUTE(SUBSTITUTE(INDEX(貼り付け!$A$1:$BZ$3001,2521,$E$1)&amp;"",",",""),"¥",""),"￥","")),0))</f>
        <v/>
      </c>
      <c r="F2522">
        <f>IF($F$1=0,0,IFERROR(VALUE(SUBSTITUTE(SUBSTITUTE(SUBSTITUTE(INDEX(貼り付け!$A$1:$BZ$3001,2521,$F$1)&amp;"",",",""),"¥",""),"￥","")),0))</f>
        <v/>
      </c>
      <c r="G2522">
        <f>IF(ISNUMBER(B2522),YEAR(B2522),"")</f>
        <v/>
      </c>
      <c r="H2522">
        <f>IF(ISNUMBER(B2522),MONTH(B2522),"")</f>
        <v/>
      </c>
      <c r="I2522">
        <f>IFERROR(IF($B$1=0,"",IF(ISNUMBER(INDEX(貼り付け!$A$1:$BZ$3001,2521,$B$1)),"",SUBSTITUTE(SUBSTITUTE(SUBSTITUTE(SUBSTITUTE(TRIM(LEFT(INDEX(貼り付け!$A$1:$BZ$3001,2521,$B$1)&amp;"",FIND(" ",TRIM(INDEX(貼り付け!$A$1:$BZ$3001,2521,$B$1)&amp;"")&amp;" ")-1)),"/","-"),"年","-"),"月","-"),"日",""))),"")</f>
        <v/>
      </c>
      <c r="J2522">
        <f>IFERROR(MID(I2522,FIND("-",I2522)+1,99),"")</f>
        <v/>
      </c>
    </row>
    <row r="2523">
      <c r="B2523">
        <f>IFERROR(IF($B$1=0,"",IF(INDEX(貼り付け!$A$1:$BZ$3001,2522,$B$1)="","",IF(ISNUMBER(INDEX(貼り付け!$A$1:$BZ$3001,2522,$B$1)),INT(INDEX(貼り付け!$A$1:$BZ$3001,2522,$B$1)),DATE(VALUE(LEFT(I2523,FIND("-",I2523)-1)),VALUE(LEFT(J2523,FIND("-",J2523)-1)),VALUE(MID(J2523,FIND("-",J2523)+1,99)))))),"")</f>
        <v/>
      </c>
      <c r="C2523">
        <f>IF($C$1=0,0,IFERROR(VALUE(SUBSTITUTE(SUBSTITUTE(SUBSTITUTE(INDEX(貼り付け!$A$1:$BZ$3001,2522,$C$1)&amp;"",",",""),"¥",""),"￥","")),0))</f>
        <v/>
      </c>
      <c r="D2523">
        <f>IF($D$1=0,0,IFERROR(VALUE(SUBSTITUTE(SUBSTITUTE(SUBSTITUTE(INDEX(貼り付け!$A$1:$BZ$3001,2522,$D$1)&amp;"",",",""),"¥",""),"￥","")),0))</f>
        <v/>
      </c>
      <c r="E2523">
        <f>IF($E$1=0,0,IFERROR(VALUE(SUBSTITUTE(SUBSTITUTE(SUBSTITUTE(INDEX(貼り付け!$A$1:$BZ$3001,2522,$E$1)&amp;"",",",""),"¥",""),"￥","")),0))</f>
        <v/>
      </c>
      <c r="F2523">
        <f>IF($F$1=0,0,IFERROR(VALUE(SUBSTITUTE(SUBSTITUTE(SUBSTITUTE(INDEX(貼り付け!$A$1:$BZ$3001,2522,$F$1)&amp;"",",",""),"¥",""),"￥","")),0))</f>
        <v/>
      </c>
      <c r="G2523">
        <f>IF(ISNUMBER(B2523),YEAR(B2523),"")</f>
        <v/>
      </c>
      <c r="H2523">
        <f>IF(ISNUMBER(B2523),MONTH(B2523),"")</f>
        <v/>
      </c>
      <c r="I2523">
        <f>IFERROR(IF($B$1=0,"",IF(ISNUMBER(INDEX(貼り付け!$A$1:$BZ$3001,2522,$B$1)),"",SUBSTITUTE(SUBSTITUTE(SUBSTITUTE(SUBSTITUTE(TRIM(LEFT(INDEX(貼り付け!$A$1:$BZ$3001,2522,$B$1)&amp;"",FIND(" ",TRIM(INDEX(貼り付け!$A$1:$BZ$3001,2522,$B$1)&amp;"")&amp;" ")-1)),"/","-"),"年","-"),"月","-"),"日",""))),"")</f>
        <v/>
      </c>
      <c r="J2523">
        <f>IFERROR(MID(I2523,FIND("-",I2523)+1,99),"")</f>
        <v/>
      </c>
    </row>
    <row r="2524">
      <c r="B2524">
        <f>IFERROR(IF($B$1=0,"",IF(INDEX(貼り付け!$A$1:$BZ$3001,2523,$B$1)="","",IF(ISNUMBER(INDEX(貼り付け!$A$1:$BZ$3001,2523,$B$1)),INT(INDEX(貼り付け!$A$1:$BZ$3001,2523,$B$1)),DATE(VALUE(LEFT(I2524,FIND("-",I2524)-1)),VALUE(LEFT(J2524,FIND("-",J2524)-1)),VALUE(MID(J2524,FIND("-",J2524)+1,99)))))),"")</f>
        <v/>
      </c>
      <c r="C2524">
        <f>IF($C$1=0,0,IFERROR(VALUE(SUBSTITUTE(SUBSTITUTE(SUBSTITUTE(INDEX(貼り付け!$A$1:$BZ$3001,2523,$C$1)&amp;"",",",""),"¥",""),"￥","")),0))</f>
        <v/>
      </c>
      <c r="D2524">
        <f>IF($D$1=0,0,IFERROR(VALUE(SUBSTITUTE(SUBSTITUTE(SUBSTITUTE(INDEX(貼り付け!$A$1:$BZ$3001,2523,$D$1)&amp;"",",",""),"¥",""),"￥","")),0))</f>
        <v/>
      </c>
      <c r="E2524">
        <f>IF($E$1=0,0,IFERROR(VALUE(SUBSTITUTE(SUBSTITUTE(SUBSTITUTE(INDEX(貼り付け!$A$1:$BZ$3001,2523,$E$1)&amp;"",",",""),"¥",""),"￥","")),0))</f>
        <v/>
      </c>
      <c r="F2524">
        <f>IF($F$1=0,0,IFERROR(VALUE(SUBSTITUTE(SUBSTITUTE(SUBSTITUTE(INDEX(貼り付け!$A$1:$BZ$3001,2523,$F$1)&amp;"",",",""),"¥",""),"￥","")),0))</f>
        <v/>
      </c>
      <c r="G2524">
        <f>IF(ISNUMBER(B2524),YEAR(B2524),"")</f>
        <v/>
      </c>
      <c r="H2524">
        <f>IF(ISNUMBER(B2524),MONTH(B2524),"")</f>
        <v/>
      </c>
      <c r="I2524">
        <f>IFERROR(IF($B$1=0,"",IF(ISNUMBER(INDEX(貼り付け!$A$1:$BZ$3001,2523,$B$1)),"",SUBSTITUTE(SUBSTITUTE(SUBSTITUTE(SUBSTITUTE(TRIM(LEFT(INDEX(貼り付け!$A$1:$BZ$3001,2523,$B$1)&amp;"",FIND(" ",TRIM(INDEX(貼り付け!$A$1:$BZ$3001,2523,$B$1)&amp;"")&amp;" ")-1)),"/","-"),"年","-"),"月","-"),"日",""))),"")</f>
        <v/>
      </c>
      <c r="J2524">
        <f>IFERROR(MID(I2524,FIND("-",I2524)+1,99),"")</f>
        <v/>
      </c>
    </row>
    <row r="2525">
      <c r="B2525">
        <f>IFERROR(IF($B$1=0,"",IF(INDEX(貼り付け!$A$1:$BZ$3001,2524,$B$1)="","",IF(ISNUMBER(INDEX(貼り付け!$A$1:$BZ$3001,2524,$B$1)),INT(INDEX(貼り付け!$A$1:$BZ$3001,2524,$B$1)),DATE(VALUE(LEFT(I2525,FIND("-",I2525)-1)),VALUE(LEFT(J2525,FIND("-",J2525)-1)),VALUE(MID(J2525,FIND("-",J2525)+1,99)))))),"")</f>
        <v/>
      </c>
      <c r="C2525">
        <f>IF($C$1=0,0,IFERROR(VALUE(SUBSTITUTE(SUBSTITUTE(SUBSTITUTE(INDEX(貼り付け!$A$1:$BZ$3001,2524,$C$1)&amp;"",",",""),"¥",""),"￥","")),0))</f>
        <v/>
      </c>
      <c r="D2525">
        <f>IF($D$1=0,0,IFERROR(VALUE(SUBSTITUTE(SUBSTITUTE(SUBSTITUTE(INDEX(貼り付け!$A$1:$BZ$3001,2524,$D$1)&amp;"",",",""),"¥",""),"￥","")),0))</f>
        <v/>
      </c>
      <c r="E2525">
        <f>IF($E$1=0,0,IFERROR(VALUE(SUBSTITUTE(SUBSTITUTE(SUBSTITUTE(INDEX(貼り付け!$A$1:$BZ$3001,2524,$E$1)&amp;"",",",""),"¥",""),"￥","")),0))</f>
        <v/>
      </c>
      <c r="F2525">
        <f>IF($F$1=0,0,IFERROR(VALUE(SUBSTITUTE(SUBSTITUTE(SUBSTITUTE(INDEX(貼り付け!$A$1:$BZ$3001,2524,$F$1)&amp;"",",",""),"¥",""),"￥","")),0))</f>
        <v/>
      </c>
      <c r="G2525">
        <f>IF(ISNUMBER(B2525),YEAR(B2525),"")</f>
        <v/>
      </c>
      <c r="H2525">
        <f>IF(ISNUMBER(B2525),MONTH(B2525),"")</f>
        <v/>
      </c>
      <c r="I2525">
        <f>IFERROR(IF($B$1=0,"",IF(ISNUMBER(INDEX(貼り付け!$A$1:$BZ$3001,2524,$B$1)),"",SUBSTITUTE(SUBSTITUTE(SUBSTITUTE(SUBSTITUTE(TRIM(LEFT(INDEX(貼り付け!$A$1:$BZ$3001,2524,$B$1)&amp;"",FIND(" ",TRIM(INDEX(貼り付け!$A$1:$BZ$3001,2524,$B$1)&amp;"")&amp;" ")-1)),"/","-"),"年","-"),"月","-"),"日",""))),"")</f>
        <v/>
      </c>
      <c r="J2525">
        <f>IFERROR(MID(I2525,FIND("-",I2525)+1,99),"")</f>
        <v/>
      </c>
    </row>
    <row r="2526">
      <c r="B2526">
        <f>IFERROR(IF($B$1=0,"",IF(INDEX(貼り付け!$A$1:$BZ$3001,2525,$B$1)="","",IF(ISNUMBER(INDEX(貼り付け!$A$1:$BZ$3001,2525,$B$1)),INT(INDEX(貼り付け!$A$1:$BZ$3001,2525,$B$1)),DATE(VALUE(LEFT(I2526,FIND("-",I2526)-1)),VALUE(LEFT(J2526,FIND("-",J2526)-1)),VALUE(MID(J2526,FIND("-",J2526)+1,99)))))),"")</f>
        <v/>
      </c>
      <c r="C2526">
        <f>IF($C$1=0,0,IFERROR(VALUE(SUBSTITUTE(SUBSTITUTE(SUBSTITUTE(INDEX(貼り付け!$A$1:$BZ$3001,2525,$C$1)&amp;"",",",""),"¥",""),"￥","")),0))</f>
        <v/>
      </c>
      <c r="D2526">
        <f>IF($D$1=0,0,IFERROR(VALUE(SUBSTITUTE(SUBSTITUTE(SUBSTITUTE(INDEX(貼り付け!$A$1:$BZ$3001,2525,$D$1)&amp;"",",",""),"¥",""),"￥","")),0))</f>
        <v/>
      </c>
      <c r="E2526">
        <f>IF($E$1=0,0,IFERROR(VALUE(SUBSTITUTE(SUBSTITUTE(SUBSTITUTE(INDEX(貼り付け!$A$1:$BZ$3001,2525,$E$1)&amp;"",",",""),"¥",""),"￥","")),0))</f>
        <v/>
      </c>
      <c r="F2526">
        <f>IF($F$1=0,0,IFERROR(VALUE(SUBSTITUTE(SUBSTITUTE(SUBSTITUTE(INDEX(貼り付け!$A$1:$BZ$3001,2525,$F$1)&amp;"",",",""),"¥",""),"￥","")),0))</f>
        <v/>
      </c>
      <c r="G2526">
        <f>IF(ISNUMBER(B2526),YEAR(B2526),"")</f>
        <v/>
      </c>
      <c r="H2526">
        <f>IF(ISNUMBER(B2526),MONTH(B2526),"")</f>
        <v/>
      </c>
      <c r="I2526">
        <f>IFERROR(IF($B$1=0,"",IF(ISNUMBER(INDEX(貼り付け!$A$1:$BZ$3001,2525,$B$1)),"",SUBSTITUTE(SUBSTITUTE(SUBSTITUTE(SUBSTITUTE(TRIM(LEFT(INDEX(貼り付け!$A$1:$BZ$3001,2525,$B$1)&amp;"",FIND(" ",TRIM(INDEX(貼り付け!$A$1:$BZ$3001,2525,$B$1)&amp;"")&amp;" ")-1)),"/","-"),"年","-"),"月","-"),"日",""))),"")</f>
        <v/>
      </c>
      <c r="J2526">
        <f>IFERROR(MID(I2526,FIND("-",I2526)+1,99),"")</f>
        <v/>
      </c>
    </row>
    <row r="2527">
      <c r="B2527">
        <f>IFERROR(IF($B$1=0,"",IF(INDEX(貼り付け!$A$1:$BZ$3001,2526,$B$1)="","",IF(ISNUMBER(INDEX(貼り付け!$A$1:$BZ$3001,2526,$B$1)),INT(INDEX(貼り付け!$A$1:$BZ$3001,2526,$B$1)),DATE(VALUE(LEFT(I2527,FIND("-",I2527)-1)),VALUE(LEFT(J2527,FIND("-",J2527)-1)),VALUE(MID(J2527,FIND("-",J2527)+1,99)))))),"")</f>
        <v/>
      </c>
      <c r="C2527">
        <f>IF($C$1=0,0,IFERROR(VALUE(SUBSTITUTE(SUBSTITUTE(SUBSTITUTE(INDEX(貼り付け!$A$1:$BZ$3001,2526,$C$1)&amp;"",",",""),"¥",""),"￥","")),0))</f>
        <v/>
      </c>
      <c r="D2527">
        <f>IF($D$1=0,0,IFERROR(VALUE(SUBSTITUTE(SUBSTITUTE(SUBSTITUTE(INDEX(貼り付け!$A$1:$BZ$3001,2526,$D$1)&amp;"",",",""),"¥",""),"￥","")),0))</f>
        <v/>
      </c>
      <c r="E2527">
        <f>IF($E$1=0,0,IFERROR(VALUE(SUBSTITUTE(SUBSTITUTE(SUBSTITUTE(INDEX(貼り付け!$A$1:$BZ$3001,2526,$E$1)&amp;"",",",""),"¥",""),"￥","")),0))</f>
        <v/>
      </c>
      <c r="F2527">
        <f>IF($F$1=0,0,IFERROR(VALUE(SUBSTITUTE(SUBSTITUTE(SUBSTITUTE(INDEX(貼り付け!$A$1:$BZ$3001,2526,$F$1)&amp;"",",",""),"¥",""),"￥","")),0))</f>
        <v/>
      </c>
      <c r="G2527">
        <f>IF(ISNUMBER(B2527),YEAR(B2527),"")</f>
        <v/>
      </c>
      <c r="H2527">
        <f>IF(ISNUMBER(B2527),MONTH(B2527),"")</f>
        <v/>
      </c>
      <c r="I2527">
        <f>IFERROR(IF($B$1=0,"",IF(ISNUMBER(INDEX(貼り付け!$A$1:$BZ$3001,2526,$B$1)),"",SUBSTITUTE(SUBSTITUTE(SUBSTITUTE(SUBSTITUTE(TRIM(LEFT(INDEX(貼り付け!$A$1:$BZ$3001,2526,$B$1)&amp;"",FIND(" ",TRIM(INDEX(貼り付け!$A$1:$BZ$3001,2526,$B$1)&amp;"")&amp;" ")-1)),"/","-"),"年","-"),"月","-"),"日",""))),"")</f>
        <v/>
      </c>
      <c r="J2527">
        <f>IFERROR(MID(I2527,FIND("-",I2527)+1,99),"")</f>
        <v/>
      </c>
    </row>
    <row r="2528">
      <c r="B2528">
        <f>IFERROR(IF($B$1=0,"",IF(INDEX(貼り付け!$A$1:$BZ$3001,2527,$B$1)="","",IF(ISNUMBER(INDEX(貼り付け!$A$1:$BZ$3001,2527,$B$1)),INT(INDEX(貼り付け!$A$1:$BZ$3001,2527,$B$1)),DATE(VALUE(LEFT(I2528,FIND("-",I2528)-1)),VALUE(LEFT(J2528,FIND("-",J2528)-1)),VALUE(MID(J2528,FIND("-",J2528)+1,99)))))),"")</f>
        <v/>
      </c>
      <c r="C2528">
        <f>IF($C$1=0,0,IFERROR(VALUE(SUBSTITUTE(SUBSTITUTE(SUBSTITUTE(INDEX(貼り付け!$A$1:$BZ$3001,2527,$C$1)&amp;"",",",""),"¥",""),"￥","")),0))</f>
        <v/>
      </c>
      <c r="D2528">
        <f>IF($D$1=0,0,IFERROR(VALUE(SUBSTITUTE(SUBSTITUTE(SUBSTITUTE(INDEX(貼り付け!$A$1:$BZ$3001,2527,$D$1)&amp;"",",",""),"¥",""),"￥","")),0))</f>
        <v/>
      </c>
      <c r="E2528">
        <f>IF($E$1=0,0,IFERROR(VALUE(SUBSTITUTE(SUBSTITUTE(SUBSTITUTE(INDEX(貼り付け!$A$1:$BZ$3001,2527,$E$1)&amp;"",",",""),"¥",""),"￥","")),0))</f>
        <v/>
      </c>
      <c r="F2528">
        <f>IF($F$1=0,0,IFERROR(VALUE(SUBSTITUTE(SUBSTITUTE(SUBSTITUTE(INDEX(貼り付け!$A$1:$BZ$3001,2527,$F$1)&amp;"",",",""),"¥",""),"￥","")),0))</f>
        <v/>
      </c>
      <c r="G2528">
        <f>IF(ISNUMBER(B2528),YEAR(B2528),"")</f>
        <v/>
      </c>
      <c r="H2528">
        <f>IF(ISNUMBER(B2528),MONTH(B2528),"")</f>
        <v/>
      </c>
      <c r="I2528">
        <f>IFERROR(IF($B$1=0,"",IF(ISNUMBER(INDEX(貼り付け!$A$1:$BZ$3001,2527,$B$1)),"",SUBSTITUTE(SUBSTITUTE(SUBSTITUTE(SUBSTITUTE(TRIM(LEFT(INDEX(貼り付け!$A$1:$BZ$3001,2527,$B$1)&amp;"",FIND(" ",TRIM(INDEX(貼り付け!$A$1:$BZ$3001,2527,$B$1)&amp;"")&amp;" ")-1)),"/","-"),"年","-"),"月","-"),"日",""))),"")</f>
        <v/>
      </c>
      <c r="J2528">
        <f>IFERROR(MID(I2528,FIND("-",I2528)+1,99),"")</f>
        <v/>
      </c>
    </row>
    <row r="2529">
      <c r="B2529">
        <f>IFERROR(IF($B$1=0,"",IF(INDEX(貼り付け!$A$1:$BZ$3001,2528,$B$1)="","",IF(ISNUMBER(INDEX(貼り付け!$A$1:$BZ$3001,2528,$B$1)),INT(INDEX(貼り付け!$A$1:$BZ$3001,2528,$B$1)),DATE(VALUE(LEFT(I2529,FIND("-",I2529)-1)),VALUE(LEFT(J2529,FIND("-",J2529)-1)),VALUE(MID(J2529,FIND("-",J2529)+1,99)))))),"")</f>
        <v/>
      </c>
      <c r="C2529">
        <f>IF($C$1=0,0,IFERROR(VALUE(SUBSTITUTE(SUBSTITUTE(SUBSTITUTE(INDEX(貼り付け!$A$1:$BZ$3001,2528,$C$1)&amp;"",",",""),"¥",""),"￥","")),0))</f>
        <v/>
      </c>
      <c r="D2529">
        <f>IF($D$1=0,0,IFERROR(VALUE(SUBSTITUTE(SUBSTITUTE(SUBSTITUTE(INDEX(貼り付け!$A$1:$BZ$3001,2528,$D$1)&amp;"",",",""),"¥",""),"￥","")),0))</f>
        <v/>
      </c>
      <c r="E2529">
        <f>IF($E$1=0,0,IFERROR(VALUE(SUBSTITUTE(SUBSTITUTE(SUBSTITUTE(INDEX(貼り付け!$A$1:$BZ$3001,2528,$E$1)&amp;"",",",""),"¥",""),"￥","")),0))</f>
        <v/>
      </c>
      <c r="F2529">
        <f>IF($F$1=0,0,IFERROR(VALUE(SUBSTITUTE(SUBSTITUTE(SUBSTITUTE(INDEX(貼り付け!$A$1:$BZ$3001,2528,$F$1)&amp;"",",",""),"¥",""),"￥","")),0))</f>
        <v/>
      </c>
      <c r="G2529">
        <f>IF(ISNUMBER(B2529),YEAR(B2529),"")</f>
        <v/>
      </c>
      <c r="H2529">
        <f>IF(ISNUMBER(B2529),MONTH(B2529),"")</f>
        <v/>
      </c>
      <c r="I2529">
        <f>IFERROR(IF($B$1=0,"",IF(ISNUMBER(INDEX(貼り付け!$A$1:$BZ$3001,2528,$B$1)),"",SUBSTITUTE(SUBSTITUTE(SUBSTITUTE(SUBSTITUTE(TRIM(LEFT(INDEX(貼り付け!$A$1:$BZ$3001,2528,$B$1)&amp;"",FIND(" ",TRIM(INDEX(貼り付け!$A$1:$BZ$3001,2528,$B$1)&amp;"")&amp;" ")-1)),"/","-"),"年","-"),"月","-"),"日",""))),"")</f>
        <v/>
      </c>
      <c r="J2529">
        <f>IFERROR(MID(I2529,FIND("-",I2529)+1,99),"")</f>
        <v/>
      </c>
    </row>
    <row r="2530">
      <c r="B2530">
        <f>IFERROR(IF($B$1=0,"",IF(INDEX(貼り付け!$A$1:$BZ$3001,2529,$B$1)="","",IF(ISNUMBER(INDEX(貼り付け!$A$1:$BZ$3001,2529,$B$1)),INT(INDEX(貼り付け!$A$1:$BZ$3001,2529,$B$1)),DATE(VALUE(LEFT(I2530,FIND("-",I2530)-1)),VALUE(LEFT(J2530,FIND("-",J2530)-1)),VALUE(MID(J2530,FIND("-",J2530)+1,99)))))),"")</f>
        <v/>
      </c>
      <c r="C2530">
        <f>IF($C$1=0,0,IFERROR(VALUE(SUBSTITUTE(SUBSTITUTE(SUBSTITUTE(INDEX(貼り付け!$A$1:$BZ$3001,2529,$C$1)&amp;"",",",""),"¥",""),"￥","")),0))</f>
        <v/>
      </c>
      <c r="D2530">
        <f>IF($D$1=0,0,IFERROR(VALUE(SUBSTITUTE(SUBSTITUTE(SUBSTITUTE(INDEX(貼り付け!$A$1:$BZ$3001,2529,$D$1)&amp;"",",",""),"¥",""),"￥","")),0))</f>
        <v/>
      </c>
      <c r="E2530">
        <f>IF($E$1=0,0,IFERROR(VALUE(SUBSTITUTE(SUBSTITUTE(SUBSTITUTE(INDEX(貼り付け!$A$1:$BZ$3001,2529,$E$1)&amp;"",",",""),"¥",""),"￥","")),0))</f>
        <v/>
      </c>
      <c r="F2530">
        <f>IF($F$1=0,0,IFERROR(VALUE(SUBSTITUTE(SUBSTITUTE(SUBSTITUTE(INDEX(貼り付け!$A$1:$BZ$3001,2529,$F$1)&amp;"",",",""),"¥",""),"￥","")),0))</f>
        <v/>
      </c>
      <c r="G2530">
        <f>IF(ISNUMBER(B2530),YEAR(B2530),"")</f>
        <v/>
      </c>
      <c r="H2530">
        <f>IF(ISNUMBER(B2530),MONTH(B2530),"")</f>
        <v/>
      </c>
      <c r="I2530">
        <f>IFERROR(IF($B$1=0,"",IF(ISNUMBER(INDEX(貼り付け!$A$1:$BZ$3001,2529,$B$1)),"",SUBSTITUTE(SUBSTITUTE(SUBSTITUTE(SUBSTITUTE(TRIM(LEFT(INDEX(貼り付け!$A$1:$BZ$3001,2529,$B$1)&amp;"",FIND(" ",TRIM(INDEX(貼り付け!$A$1:$BZ$3001,2529,$B$1)&amp;"")&amp;" ")-1)),"/","-"),"年","-"),"月","-"),"日",""))),"")</f>
        <v/>
      </c>
      <c r="J2530">
        <f>IFERROR(MID(I2530,FIND("-",I2530)+1,99),"")</f>
        <v/>
      </c>
    </row>
    <row r="2531">
      <c r="B2531">
        <f>IFERROR(IF($B$1=0,"",IF(INDEX(貼り付け!$A$1:$BZ$3001,2530,$B$1)="","",IF(ISNUMBER(INDEX(貼り付け!$A$1:$BZ$3001,2530,$B$1)),INT(INDEX(貼り付け!$A$1:$BZ$3001,2530,$B$1)),DATE(VALUE(LEFT(I2531,FIND("-",I2531)-1)),VALUE(LEFT(J2531,FIND("-",J2531)-1)),VALUE(MID(J2531,FIND("-",J2531)+1,99)))))),"")</f>
        <v/>
      </c>
      <c r="C2531">
        <f>IF($C$1=0,0,IFERROR(VALUE(SUBSTITUTE(SUBSTITUTE(SUBSTITUTE(INDEX(貼り付け!$A$1:$BZ$3001,2530,$C$1)&amp;"",",",""),"¥",""),"￥","")),0))</f>
        <v/>
      </c>
      <c r="D2531">
        <f>IF($D$1=0,0,IFERROR(VALUE(SUBSTITUTE(SUBSTITUTE(SUBSTITUTE(INDEX(貼り付け!$A$1:$BZ$3001,2530,$D$1)&amp;"",",",""),"¥",""),"￥","")),0))</f>
        <v/>
      </c>
      <c r="E2531">
        <f>IF($E$1=0,0,IFERROR(VALUE(SUBSTITUTE(SUBSTITUTE(SUBSTITUTE(INDEX(貼り付け!$A$1:$BZ$3001,2530,$E$1)&amp;"",",",""),"¥",""),"￥","")),0))</f>
        <v/>
      </c>
      <c r="F2531">
        <f>IF($F$1=0,0,IFERROR(VALUE(SUBSTITUTE(SUBSTITUTE(SUBSTITUTE(INDEX(貼り付け!$A$1:$BZ$3001,2530,$F$1)&amp;"",",",""),"¥",""),"￥","")),0))</f>
        <v/>
      </c>
      <c r="G2531">
        <f>IF(ISNUMBER(B2531),YEAR(B2531),"")</f>
        <v/>
      </c>
      <c r="H2531">
        <f>IF(ISNUMBER(B2531),MONTH(B2531),"")</f>
        <v/>
      </c>
      <c r="I2531">
        <f>IFERROR(IF($B$1=0,"",IF(ISNUMBER(INDEX(貼り付け!$A$1:$BZ$3001,2530,$B$1)),"",SUBSTITUTE(SUBSTITUTE(SUBSTITUTE(SUBSTITUTE(TRIM(LEFT(INDEX(貼り付け!$A$1:$BZ$3001,2530,$B$1)&amp;"",FIND(" ",TRIM(INDEX(貼り付け!$A$1:$BZ$3001,2530,$B$1)&amp;"")&amp;" ")-1)),"/","-"),"年","-"),"月","-"),"日",""))),"")</f>
        <v/>
      </c>
      <c r="J2531">
        <f>IFERROR(MID(I2531,FIND("-",I2531)+1,99),"")</f>
        <v/>
      </c>
    </row>
    <row r="2532">
      <c r="B2532">
        <f>IFERROR(IF($B$1=0,"",IF(INDEX(貼り付け!$A$1:$BZ$3001,2531,$B$1)="","",IF(ISNUMBER(INDEX(貼り付け!$A$1:$BZ$3001,2531,$B$1)),INT(INDEX(貼り付け!$A$1:$BZ$3001,2531,$B$1)),DATE(VALUE(LEFT(I2532,FIND("-",I2532)-1)),VALUE(LEFT(J2532,FIND("-",J2532)-1)),VALUE(MID(J2532,FIND("-",J2532)+1,99)))))),"")</f>
        <v/>
      </c>
      <c r="C2532">
        <f>IF($C$1=0,0,IFERROR(VALUE(SUBSTITUTE(SUBSTITUTE(SUBSTITUTE(INDEX(貼り付け!$A$1:$BZ$3001,2531,$C$1)&amp;"",",",""),"¥",""),"￥","")),0))</f>
        <v/>
      </c>
      <c r="D2532">
        <f>IF($D$1=0,0,IFERROR(VALUE(SUBSTITUTE(SUBSTITUTE(SUBSTITUTE(INDEX(貼り付け!$A$1:$BZ$3001,2531,$D$1)&amp;"",",",""),"¥",""),"￥","")),0))</f>
        <v/>
      </c>
      <c r="E2532">
        <f>IF($E$1=0,0,IFERROR(VALUE(SUBSTITUTE(SUBSTITUTE(SUBSTITUTE(INDEX(貼り付け!$A$1:$BZ$3001,2531,$E$1)&amp;"",",",""),"¥",""),"￥","")),0))</f>
        <v/>
      </c>
      <c r="F2532">
        <f>IF($F$1=0,0,IFERROR(VALUE(SUBSTITUTE(SUBSTITUTE(SUBSTITUTE(INDEX(貼り付け!$A$1:$BZ$3001,2531,$F$1)&amp;"",",",""),"¥",""),"￥","")),0))</f>
        <v/>
      </c>
      <c r="G2532">
        <f>IF(ISNUMBER(B2532),YEAR(B2532),"")</f>
        <v/>
      </c>
      <c r="H2532">
        <f>IF(ISNUMBER(B2532),MONTH(B2532),"")</f>
        <v/>
      </c>
      <c r="I2532">
        <f>IFERROR(IF($B$1=0,"",IF(ISNUMBER(INDEX(貼り付け!$A$1:$BZ$3001,2531,$B$1)),"",SUBSTITUTE(SUBSTITUTE(SUBSTITUTE(SUBSTITUTE(TRIM(LEFT(INDEX(貼り付け!$A$1:$BZ$3001,2531,$B$1)&amp;"",FIND(" ",TRIM(INDEX(貼り付け!$A$1:$BZ$3001,2531,$B$1)&amp;"")&amp;" ")-1)),"/","-"),"年","-"),"月","-"),"日",""))),"")</f>
        <v/>
      </c>
      <c r="J2532">
        <f>IFERROR(MID(I2532,FIND("-",I2532)+1,99),"")</f>
        <v/>
      </c>
    </row>
    <row r="2533">
      <c r="B2533">
        <f>IFERROR(IF($B$1=0,"",IF(INDEX(貼り付け!$A$1:$BZ$3001,2532,$B$1)="","",IF(ISNUMBER(INDEX(貼り付け!$A$1:$BZ$3001,2532,$B$1)),INT(INDEX(貼り付け!$A$1:$BZ$3001,2532,$B$1)),DATE(VALUE(LEFT(I2533,FIND("-",I2533)-1)),VALUE(LEFT(J2533,FIND("-",J2533)-1)),VALUE(MID(J2533,FIND("-",J2533)+1,99)))))),"")</f>
        <v/>
      </c>
      <c r="C2533">
        <f>IF($C$1=0,0,IFERROR(VALUE(SUBSTITUTE(SUBSTITUTE(SUBSTITUTE(INDEX(貼り付け!$A$1:$BZ$3001,2532,$C$1)&amp;"",",",""),"¥",""),"￥","")),0))</f>
        <v/>
      </c>
      <c r="D2533">
        <f>IF($D$1=0,0,IFERROR(VALUE(SUBSTITUTE(SUBSTITUTE(SUBSTITUTE(INDEX(貼り付け!$A$1:$BZ$3001,2532,$D$1)&amp;"",",",""),"¥",""),"￥","")),0))</f>
        <v/>
      </c>
      <c r="E2533">
        <f>IF($E$1=0,0,IFERROR(VALUE(SUBSTITUTE(SUBSTITUTE(SUBSTITUTE(INDEX(貼り付け!$A$1:$BZ$3001,2532,$E$1)&amp;"",",",""),"¥",""),"￥","")),0))</f>
        <v/>
      </c>
      <c r="F2533">
        <f>IF($F$1=0,0,IFERROR(VALUE(SUBSTITUTE(SUBSTITUTE(SUBSTITUTE(INDEX(貼り付け!$A$1:$BZ$3001,2532,$F$1)&amp;"",",",""),"¥",""),"￥","")),0))</f>
        <v/>
      </c>
      <c r="G2533">
        <f>IF(ISNUMBER(B2533),YEAR(B2533),"")</f>
        <v/>
      </c>
      <c r="H2533">
        <f>IF(ISNUMBER(B2533),MONTH(B2533),"")</f>
        <v/>
      </c>
      <c r="I2533">
        <f>IFERROR(IF($B$1=0,"",IF(ISNUMBER(INDEX(貼り付け!$A$1:$BZ$3001,2532,$B$1)),"",SUBSTITUTE(SUBSTITUTE(SUBSTITUTE(SUBSTITUTE(TRIM(LEFT(INDEX(貼り付け!$A$1:$BZ$3001,2532,$B$1)&amp;"",FIND(" ",TRIM(INDEX(貼り付け!$A$1:$BZ$3001,2532,$B$1)&amp;"")&amp;" ")-1)),"/","-"),"年","-"),"月","-"),"日",""))),"")</f>
        <v/>
      </c>
      <c r="J2533">
        <f>IFERROR(MID(I2533,FIND("-",I2533)+1,99),"")</f>
        <v/>
      </c>
    </row>
    <row r="2534">
      <c r="B2534">
        <f>IFERROR(IF($B$1=0,"",IF(INDEX(貼り付け!$A$1:$BZ$3001,2533,$B$1)="","",IF(ISNUMBER(INDEX(貼り付け!$A$1:$BZ$3001,2533,$B$1)),INT(INDEX(貼り付け!$A$1:$BZ$3001,2533,$B$1)),DATE(VALUE(LEFT(I2534,FIND("-",I2534)-1)),VALUE(LEFT(J2534,FIND("-",J2534)-1)),VALUE(MID(J2534,FIND("-",J2534)+1,99)))))),"")</f>
        <v/>
      </c>
      <c r="C2534">
        <f>IF($C$1=0,0,IFERROR(VALUE(SUBSTITUTE(SUBSTITUTE(SUBSTITUTE(INDEX(貼り付け!$A$1:$BZ$3001,2533,$C$1)&amp;"",",",""),"¥",""),"￥","")),0))</f>
        <v/>
      </c>
      <c r="D2534">
        <f>IF($D$1=0,0,IFERROR(VALUE(SUBSTITUTE(SUBSTITUTE(SUBSTITUTE(INDEX(貼り付け!$A$1:$BZ$3001,2533,$D$1)&amp;"",",",""),"¥",""),"￥","")),0))</f>
        <v/>
      </c>
      <c r="E2534">
        <f>IF($E$1=0,0,IFERROR(VALUE(SUBSTITUTE(SUBSTITUTE(SUBSTITUTE(INDEX(貼り付け!$A$1:$BZ$3001,2533,$E$1)&amp;"",",",""),"¥",""),"￥","")),0))</f>
        <v/>
      </c>
      <c r="F2534">
        <f>IF($F$1=0,0,IFERROR(VALUE(SUBSTITUTE(SUBSTITUTE(SUBSTITUTE(INDEX(貼り付け!$A$1:$BZ$3001,2533,$F$1)&amp;"",",",""),"¥",""),"￥","")),0))</f>
        <v/>
      </c>
      <c r="G2534">
        <f>IF(ISNUMBER(B2534),YEAR(B2534),"")</f>
        <v/>
      </c>
      <c r="H2534">
        <f>IF(ISNUMBER(B2534),MONTH(B2534),"")</f>
        <v/>
      </c>
      <c r="I2534">
        <f>IFERROR(IF($B$1=0,"",IF(ISNUMBER(INDEX(貼り付け!$A$1:$BZ$3001,2533,$B$1)),"",SUBSTITUTE(SUBSTITUTE(SUBSTITUTE(SUBSTITUTE(TRIM(LEFT(INDEX(貼り付け!$A$1:$BZ$3001,2533,$B$1)&amp;"",FIND(" ",TRIM(INDEX(貼り付け!$A$1:$BZ$3001,2533,$B$1)&amp;"")&amp;" ")-1)),"/","-"),"年","-"),"月","-"),"日",""))),"")</f>
        <v/>
      </c>
      <c r="J2534">
        <f>IFERROR(MID(I2534,FIND("-",I2534)+1,99),"")</f>
        <v/>
      </c>
    </row>
    <row r="2535">
      <c r="B2535">
        <f>IFERROR(IF($B$1=0,"",IF(INDEX(貼り付け!$A$1:$BZ$3001,2534,$B$1)="","",IF(ISNUMBER(INDEX(貼り付け!$A$1:$BZ$3001,2534,$B$1)),INT(INDEX(貼り付け!$A$1:$BZ$3001,2534,$B$1)),DATE(VALUE(LEFT(I2535,FIND("-",I2535)-1)),VALUE(LEFT(J2535,FIND("-",J2535)-1)),VALUE(MID(J2535,FIND("-",J2535)+1,99)))))),"")</f>
        <v/>
      </c>
      <c r="C2535">
        <f>IF($C$1=0,0,IFERROR(VALUE(SUBSTITUTE(SUBSTITUTE(SUBSTITUTE(INDEX(貼り付け!$A$1:$BZ$3001,2534,$C$1)&amp;"",",",""),"¥",""),"￥","")),0))</f>
        <v/>
      </c>
      <c r="D2535">
        <f>IF($D$1=0,0,IFERROR(VALUE(SUBSTITUTE(SUBSTITUTE(SUBSTITUTE(INDEX(貼り付け!$A$1:$BZ$3001,2534,$D$1)&amp;"",",",""),"¥",""),"￥","")),0))</f>
        <v/>
      </c>
      <c r="E2535">
        <f>IF($E$1=0,0,IFERROR(VALUE(SUBSTITUTE(SUBSTITUTE(SUBSTITUTE(INDEX(貼り付け!$A$1:$BZ$3001,2534,$E$1)&amp;"",",",""),"¥",""),"￥","")),0))</f>
        <v/>
      </c>
      <c r="F2535">
        <f>IF($F$1=0,0,IFERROR(VALUE(SUBSTITUTE(SUBSTITUTE(SUBSTITUTE(INDEX(貼り付け!$A$1:$BZ$3001,2534,$F$1)&amp;"",",",""),"¥",""),"￥","")),0))</f>
        <v/>
      </c>
      <c r="G2535">
        <f>IF(ISNUMBER(B2535),YEAR(B2535),"")</f>
        <v/>
      </c>
      <c r="H2535">
        <f>IF(ISNUMBER(B2535),MONTH(B2535),"")</f>
        <v/>
      </c>
      <c r="I2535">
        <f>IFERROR(IF($B$1=0,"",IF(ISNUMBER(INDEX(貼り付け!$A$1:$BZ$3001,2534,$B$1)),"",SUBSTITUTE(SUBSTITUTE(SUBSTITUTE(SUBSTITUTE(TRIM(LEFT(INDEX(貼り付け!$A$1:$BZ$3001,2534,$B$1)&amp;"",FIND(" ",TRIM(INDEX(貼り付け!$A$1:$BZ$3001,2534,$B$1)&amp;"")&amp;" ")-1)),"/","-"),"年","-"),"月","-"),"日",""))),"")</f>
        <v/>
      </c>
      <c r="J2535">
        <f>IFERROR(MID(I2535,FIND("-",I2535)+1,99),"")</f>
        <v/>
      </c>
    </row>
    <row r="2536">
      <c r="B2536">
        <f>IFERROR(IF($B$1=0,"",IF(INDEX(貼り付け!$A$1:$BZ$3001,2535,$B$1)="","",IF(ISNUMBER(INDEX(貼り付け!$A$1:$BZ$3001,2535,$B$1)),INT(INDEX(貼り付け!$A$1:$BZ$3001,2535,$B$1)),DATE(VALUE(LEFT(I2536,FIND("-",I2536)-1)),VALUE(LEFT(J2536,FIND("-",J2536)-1)),VALUE(MID(J2536,FIND("-",J2536)+1,99)))))),"")</f>
        <v/>
      </c>
      <c r="C2536">
        <f>IF($C$1=0,0,IFERROR(VALUE(SUBSTITUTE(SUBSTITUTE(SUBSTITUTE(INDEX(貼り付け!$A$1:$BZ$3001,2535,$C$1)&amp;"",",",""),"¥",""),"￥","")),0))</f>
        <v/>
      </c>
      <c r="D2536">
        <f>IF($D$1=0,0,IFERROR(VALUE(SUBSTITUTE(SUBSTITUTE(SUBSTITUTE(INDEX(貼り付け!$A$1:$BZ$3001,2535,$D$1)&amp;"",",",""),"¥",""),"￥","")),0))</f>
        <v/>
      </c>
      <c r="E2536">
        <f>IF($E$1=0,0,IFERROR(VALUE(SUBSTITUTE(SUBSTITUTE(SUBSTITUTE(INDEX(貼り付け!$A$1:$BZ$3001,2535,$E$1)&amp;"",",",""),"¥",""),"￥","")),0))</f>
        <v/>
      </c>
      <c r="F2536">
        <f>IF($F$1=0,0,IFERROR(VALUE(SUBSTITUTE(SUBSTITUTE(SUBSTITUTE(INDEX(貼り付け!$A$1:$BZ$3001,2535,$F$1)&amp;"",",",""),"¥",""),"￥","")),0))</f>
        <v/>
      </c>
      <c r="G2536">
        <f>IF(ISNUMBER(B2536),YEAR(B2536),"")</f>
        <v/>
      </c>
      <c r="H2536">
        <f>IF(ISNUMBER(B2536),MONTH(B2536),"")</f>
        <v/>
      </c>
      <c r="I2536">
        <f>IFERROR(IF($B$1=0,"",IF(ISNUMBER(INDEX(貼り付け!$A$1:$BZ$3001,2535,$B$1)),"",SUBSTITUTE(SUBSTITUTE(SUBSTITUTE(SUBSTITUTE(TRIM(LEFT(INDEX(貼り付け!$A$1:$BZ$3001,2535,$B$1)&amp;"",FIND(" ",TRIM(INDEX(貼り付け!$A$1:$BZ$3001,2535,$B$1)&amp;"")&amp;" ")-1)),"/","-"),"年","-"),"月","-"),"日",""))),"")</f>
        <v/>
      </c>
      <c r="J2536">
        <f>IFERROR(MID(I2536,FIND("-",I2536)+1,99),"")</f>
        <v/>
      </c>
    </row>
    <row r="2537">
      <c r="B2537">
        <f>IFERROR(IF($B$1=0,"",IF(INDEX(貼り付け!$A$1:$BZ$3001,2536,$B$1)="","",IF(ISNUMBER(INDEX(貼り付け!$A$1:$BZ$3001,2536,$B$1)),INT(INDEX(貼り付け!$A$1:$BZ$3001,2536,$B$1)),DATE(VALUE(LEFT(I2537,FIND("-",I2537)-1)),VALUE(LEFT(J2537,FIND("-",J2537)-1)),VALUE(MID(J2537,FIND("-",J2537)+1,99)))))),"")</f>
        <v/>
      </c>
      <c r="C2537">
        <f>IF($C$1=0,0,IFERROR(VALUE(SUBSTITUTE(SUBSTITUTE(SUBSTITUTE(INDEX(貼り付け!$A$1:$BZ$3001,2536,$C$1)&amp;"",",",""),"¥",""),"￥","")),0))</f>
        <v/>
      </c>
      <c r="D2537">
        <f>IF($D$1=0,0,IFERROR(VALUE(SUBSTITUTE(SUBSTITUTE(SUBSTITUTE(INDEX(貼り付け!$A$1:$BZ$3001,2536,$D$1)&amp;"",",",""),"¥",""),"￥","")),0))</f>
        <v/>
      </c>
      <c r="E2537">
        <f>IF($E$1=0,0,IFERROR(VALUE(SUBSTITUTE(SUBSTITUTE(SUBSTITUTE(INDEX(貼り付け!$A$1:$BZ$3001,2536,$E$1)&amp;"",",",""),"¥",""),"￥","")),0))</f>
        <v/>
      </c>
      <c r="F2537">
        <f>IF($F$1=0,0,IFERROR(VALUE(SUBSTITUTE(SUBSTITUTE(SUBSTITUTE(INDEX(貼り付け!$A$1:$BZ$3001,2536,$F$1)&amp;"",",",""),"¥",""),"￥","")),0))</f>
        <v/>
      </c>
      <c r="G2537">
        <f>IF(ISNUMBER(B2537),YEAR(B2537),"")</f>
        <v/>
      </c>
      <c r="H2537">
        <f>IF(ISNUMBER(B2537),MONTH(B2537),"")</f>
        <v/>
      </c>
      <c r="I2537">
        <f>IFERROR(IF($B$1=0,"",IF(ISNUMBER(INDEX(貼り付け!$A$1:$BZ$3001,2536,$B$1)),"",SUBSTITUTE(SUBSTITUTE(SUBSTITUTE(SUBSTITUTE(TRIM(LEFT(INDEX(貼り付け!$A$1:$BZ$3001,2536,$B$1)&amp;"",FIND(" ",TRIM(INDEX(貼り付け!$A$1:$BZ$3001,2536,$B$1)&amp;"")&amp;" ")-1)),"/","-"),"年","-"),"月","-"),"日",""))),"")</f>
        <v/>
      </c>
      <c r="J2537">
        <f>IFERROR(MID(I2537,FIND("-",I2537)+1,99),"")</f>
        <v/>
      </c>
    </row>
    <row r="2538">
      <c r="B2538">
        <f>IFERROR(IF($B$1=0,"",IF(INDEX(貼り付け!$A$1:$BZ$3001,2537,$B$1)="","",IF(ISNUMBER(INDEX(貼り付け!$A$1:$BZ$3001,2537,$B$1)),INT(INDEX(貼り付け!$A$1:$BZ$3001,2537,$B$1)),DATE(VALUE(LEFT(I2538,FIND("-",I2538)-1)),VALUE(LEFT(J2538,FIND("-",J2538)-1)),VALUE(MID(J2538,FIND("-",J2538)+1,99)))))),"")</f>
        <v/>
      </c>
      <c r="C2538">
        <f>IF($C$1=0,0,IFERROR(VALUE(SUBSTITUTE(SUBSTITUTE(SUBSTITUTE(INDEX(貼り付け!$A$1:$BZ$3001,2537,$C$1)&amp;"",",",""),"¥",""),"￥","")),0))</f>
        <v/>
      </c>
      <c r="D2538">
        <f>IF($D$1=0,0,IFERROR(VALUE(SUBSTITUTE(SUBSTITUTE(SUBSTITUTE(INDEX(貼り付け!$A$1:$BZ$3001,2537,$D$1)&amp;"",",",""),"¥",""),"￥","")),0))</f>
        <v/>
      </c>
      <c r="E2538">
        <f>IF($E$1=0,0,IFERROR(VALUE(SUBSTITUTE(SUBSTITUTE(SUBSTITUTE(INDEX(貼り付け!$A$1:$BZ$3001,2537,$E$1)&amp;"",",",""),"¥",""),"￥","")),0))</f>
        <v/>
      </c>
      <c r="F2538">
        <f>IF($F$1=0,0,IFERROR(VALUE(SUBSTITUTE(SUBSTITUTE(SUBSTITUTE(INDEX(貼り付け!$A$1:$BZ$3001,2537,$F$1)&amp;"",",",""),"¥",""),"￥","")),0))</f>
        <v/>
      </c>
      <c r="G2538">
        <f>IF(ISNUMBER(B2538),YEAR(B2538),"")</f>
        <v/>
      </c>
      <c r="H2538">
        <f>IF(ISNUMBER(B2538),MONTH(B2538),"")</f>
        <v/>
      </c>
      <c r="I2538">
        <f>IFERROR(IF($B$1=0,"",IF(ISNUMBER(INDEX(貼り付け!$A$1:$BZ$3001,2537,$B$1)),"",SUBSTITUTE(SUBSTITUTE(SUBSTITUTE(SUBSTITUTE(TRIM(LEFT(INDEX(貼り付け!$A$1:$BZ$3001,2537,$B$1)&amp;"",FIND(" ",TRIM(INDEX(貼り付け!$A$1:$BZ$3001,2537,$B$1)&amp;"")&amp;" ")-1)),"/","-"),"年","-"),"月","-"),"日",""))),"")</f>
        <v/>
      </c>
      <c r="J2538">
        <f>IFERROR(MID(I2538,FIND("-",I2538)+1,99),"")</f>
        <v/>
      </c>
    </row>
    <row r="2539">
      <c r="B2539">
        <f>IFERROR(IF($B$1=0,"",IF(INDEX(貼り付け!$A$1:$BZ$3001,2538,$B$1)="","",IF(ISNUMBER(INDEX(貼り付け!$A$1:$BZ$3001,2538,$B$1)),INT(INDEX(貼り付け!$A$1:$BZ$3001,2538,$B$1)),DATE(VALUE(LEFT(I2539,FIND("-",I2539)-1)),VALUE(LEFT(J2539,FIND("-",J2539)-1)),VALUE(MID(J2539,FIND("-",J2539)+1,99)))))),"")</f>
        <v/>
      </c>
      <c r="C2539">
        <f>IF($C$1=0,0,IFERROR(VALUE(SUBSTITUTE(SUBSTITUTE(SUBSTITUTE(INDEX(貼り付け!$A$1:$BZ$3001,2538,$C$1)&amp;"",",",""),"¥",""),"￥","")),0))</f>
        <v/>
      </c>
      <c r="D2539">
        <f>IF($D$1=0,0,IFERROR(VALUE(SUBSTITUTE(SUBSTITUTE(SUBSTITUTE(INDEX(貼り付け!$A$1:$BZ$3001,2538,$D$1)&amp;"",",",""),"¥",""),"￥","")),0))</f>
        <v/>
      </c>
      <c r="E2539">
        <f>IF($E$1=0,0,IFERROR(VALUE(SUBSTITUTE(SUBSTITUTE(SUBSTITUTE(INDEX(貼り付け!$A$1:$BZ$3001,2538,$E$1)&amp;"",",",""),"¥",""),"￥","")),0))</f>
        <v/>
      </c>
      <c r="F2539">
        <f>IF($F$1=0,0,IFERROR(VALUE(SUBSTITUTE(SUBSTITUTE(SUBSTITUTE(INDEX(貼り付け!$A$1:$BZ$3001,2538,$F$1)&amp;"",",",""),"¥",""),"￥","")),0))</f>
        <v/>
      </c>
      <c r="G2539">
        <f>IF(ISNUMBER(B2539),YEAR(B2539),"")</f>
        <v/>
      </c>
      <c r="H2539">
        <f>IF(ISNUMBER(B2539),MONTH(B2539),"")</f>
        <v/>
      </c>
      <c r="I2539">
        <f>IFERROR(IF($B$1=0,"",IF(ISNUMBER(INDEX(貼り付け!$A$1:$BZ$3001,2538,$B$1)),"",SUBSTITUTE(SUBSTITUTE(SUBSTITUTE(SUBSTITUTE(TRIM(LEFT(INDEX(貼り付け!$A$1:$BZ$3001,2538,$B$1)&amp;"",FIND(" ",TRIM(INDEX(貼り付け!$A$1:$BZ$3001,2538,$B$1)&amp;"")&amp;" ")-1)),"/","-"),"年","-"),"月","-"),"日",""))),"")</f>
        <v/>
      </c>
      <c r="J2539">
        <f>IFERROR(MID(I2539,FIND("-",I2539)+1,99),"")</f>
        <v/>
      </c>
    </row>
    <row r="2540">
      <c r="B2540">
        <f>IFERROR(IF($B$1=0,"",IF(INDEX(貼り付け!$A$1:$BZ$3001,2539,$B$1)="","",IF(ISNUMBER(INDEX(貼り付け!$A$1:$BZ$3001,2539,$B$1)),INT(INDEX(貼り付け!$A$1:$BZ$3001,2539,$B$1)),DATE(VALUE(LEFT(I2540,FIND("-",I2540)-1)),VALUE(LEFT(J2540,FIND("-",J2540)-1)),VALUE(MID(J2540,FIND("-",J2540)+1,99)))))),"")</f>
        <v/>
      </c>
      <c r="C2540">
        <f>IF($C$1=0,0,IFERROR(VALUE(SUBSTITUTE(SUBSTITUTE(SUBSTITUTE(INDEX(貼り付け!$A$1:$BZ$3001,2539,$C$1)&amp;"",",",""),"¥",""),"￥","")),0))</f>
        <v/>
      </c>
      <c r="D2540">
        <f>IF($D$1=0,0,IFERROR(VALUE(SUBSTITUTE(SUBSTITUTE(SUBSTITUTE(INDEX(貼り付け!$A$1:$BZ$3001,2539,$D$1)&amp;"",",",""),"¥",""),"￥","")),0))</f>
        <v/>
      </c>
      <c r="E2540">
        <f>IF($E$1=0,0,IFERROR(VALUE(SUBSTITUTE(SUBSTITUTE(SUBSTITUTE(INDEX(貼り付け!$A$1:$BZ$3001,2539,$E$1)&amp;"",",",""),"¥",""),"￥","")),0))</f>
        <v/>
      </c>
      <c r="F2540">
        <f>IF($F$1=0,0,IFERROR(VALUE(SUBSTITUTE(SUBSTITUTE(SUBSTITUTE(INDEX(貼り付け!$A$1:$BZ$3001,2539,$F$1)&amp;"",",",""),"¥",""),"￥","")),0))</f>
        <v/>
      </c>
      <c r="G2540">
        <f>IF(ISNUMBER(B2540),YEAR(B2540),"")</f>
        <v/>
      </c>
      <c r="H2540">
        <f>IF(ISNUMBER(B2540),MONTH(B2540),"")</f>
        <v/>
      </c>
      <c r="I2540">
        <f>IFERROR(IF($B$1=0,"",IF(ISNUMBER(INDEX(貼り付け!$A$1:$BZ$3001,2539,$B$1)),"",SUBSTITUTE(SUBSTITUTE(SUBSTITUTE(SUBSTITUTE(TRIM(LEFT(INDEX(貼り付け!$A$1:$BZ$3001,2539,$B$1)&amp;"",FIND(" ",TRIM(INDEX(貼り付け!$A$1:$BZ$3001,2539,$B$1)&amp;"")&amp;" ")-1)),"/","-"),"年","-"),"月","-"),"日",""))),"")</f>
        <v/>
      </c>
      <c r="J2540">
        <f>IFERROR(MID(I2540,FIND("-",I2540)+1,99),"")</f>
        <v/>
      </c>
    </row>
    <row r="2541">
      <c r="B2541">
        <f>IFERROR(IF($B$1=0,"",IF(INDEX(貼り付け!$A$1:$BZ$3001,2540,$B$1)="","",IF(ISNUMBER(INDEX(貼り付け!$A$1:$BZ$3001,2540,$B$1)),INT(INDEX(貼り付け!$A$1:$BZ$3001,2540,$B$1)),DATE(VALUE(LEFT(I2541,FIND("-",I2541)-1)),VALUE(LEFT(J2541,FIND("-",J2541)-1)),VALUE(MID(J2541,FIND("-",J2541)+1,99)))))),"")</f>
        <v/>
      </c>
      <c r="C2541">
        <f>IF($C$1=0,0,IFERROR(VALUE(SUBSTITUTE(SUBSTITUTE(SUBSTITUTE(INDEX(貼り付け!$A$1:$BZ$3001,2540,$C$1)&amp;"",",",""),"¥",""),"￥","")),0))</f>
        <v/>
      </c>
      <c r="D2541">
        <f>IF($D$1=0,0,IFERROR(VALUE(SUBSTITUTE(SUBSTITUTE(SUBSTITUTE(INDEX(貼り付け!$A$1:$BZ$3001,2540,$D$1)&amp;"",",",""),"¥",""),"￥","")),0))</f>
        <v/>
      </c>
      <c r="E2541">
        <f>IF($E$1=0,0,IFERROR(VALUE(SUBSTITUTE(SUBSTITUTE(SUBSTITUTE(INDEX(貼り付け!$A$1:$BZ$3001,2540,$E$1)&amp;"",",",""),"¥",""),"￥","")),0))</f>
        <v/>
      </c>
      <c r="F2541">
        <f>IF($F$1=0,0,IFERROR(VALUE(SUBSTITUTE(SUBSTITUTE(SUBSTITUTE(INDEX(貼り付け!$A$1:$BZ$3001,2540,$F$1)&amp;"",",",""),"¥",""),"￥","")),0))</f>
        <v/>
      </c>
      <c r="G2541">
        <f>IF(ISNUMBER(B2541),YEAR(B2541),"")</f>
        <v/>
      </c>
      <c r="H2541">
        <f>IF(ISNUMBER(B2541),MONTH(B2541),"")</f>
        <v/>
      </c>
      <c r="I2541">
        <f>IFERROR(IF($B$1=0,"",IF(ISNUMBER(INDEX(貼り付け!$A$1:$BZ$3001,2540,$B$1)),"",SUBSTITUTE(SUBSTITUTE(SUBSTITUTE(SUBSTITUTE(TRIM(LEFT(INDEX(貼り付け!$A$1:$BZ$3001,2540,$B$1)&amp;"",FIND(" ",TRIM(INDEX(貼り付け!$A$1:$BZ$3001,2540,$B$1)&amp;"")&amp;" ")-1)),"/","-"),"年","-"),"月","-"),"日",""))),"")</f>
        <v/>
      </c>
      <c r="J2541">
        <f>IFERROR(MID(I2541,FIND("-",I2541)+1,99),"")</f>
        <v/>
      </c>
    </row>
    <row r="2542">
      <c r="B2542">
        <f>IFERROR(IF($B$1=0,"",IF(INDEX(貼り付け!$A$1:$BZ$3001,2541,$B$1)="","",IF(ISNUMBER(INDEX(貼り付け!$A$1:$BZ$3001,2541,$B$1)),INT(INDEX(貼り付け!$A$1:$BZ$3001,2541,$B$1)),DATE(VALUE(LEFT(I2542,FIND("-",I2542)-1)),VALUE(LEFT(J2542,FIND("-",J2542)-1)),VALUE(MID(J2542,FIND("-",J2542)+1,99)))))),"")</f>
        <v/>
      </c>
      <c r="C2542">
        <f>IF($C$1=0,0,IFERROR(VALUE(SUBSTITUTE(SUBSTITUTE(SUBSTITUTE(INDEX(貼り付け!$A$1:$BZ$3001,2541,$C$1)&amp;"",",",""),"¥",""),"￥","")),0))</f>
        <v/>
      </c>
      <c r="D2542">
        <f>IF($D$1=0,0,IFERROR(VALUE(SUBSTITUTE(SUBSTITUTE(SUBSTITUTE(INDEX(貼り付け!$A$1:$BZ$3001,2541,$D$1)&amp;"",",",""),"¥",""),"￥","")),0))</f>
        <v/>
      </c>
      <c r="E2542">
        <f>IF($E$1=0,0,IFERROR(VALUE(SUBSTITUTE(SUBSTITUTE(SUBSTITUTE(INDEX(貼り付け!$A$1:$BZ$3001,2541,$E$1)&amp;"",",",""),"¥",""),"￥","")),0))</f>
        <v/>
      </c>
      <c r="F2542">
        <f>IF($F$1=0,0,IFERROR(VALUE(SUBSTITUTE(SUBSTITUTE(SUBSTITUTE(INDEX(貼り付け!$A$1:$BZ$3001,2541,$F$1)&amp;"",",",""),"¥",""),"￥","")),0))</f>
        <v/>
      </c>
      <c r="G2542">
        <f>IF(ISNUMBER(B2542),YEAR(B2542),"")</f>
        <v/>
      </c>
      <c r="H2542">
        <f>IF(ISNUMBER(B2542),MONTH(B2542),"")</f>
        <v/>
      </c>
      <c r="I2542">
        <f>IFERROR(IF($B$1=0,"",IF(ISNUMBER(INDEX(貼り付け!$A$1:$BZ$3001,2541,$B$1)),"",SUBSTITUTE(SUBSTITUTE(SUBSTITUTE(SUBSTITUTE(TRIM(LEFT(INDEX(貼り付け!$A$1:$BZ$3001,2541,$B$1)&amp;"",FIND(" ",TRIM(INDEX(貼り付け!$A$1:$BZ$3001,2541,$B$1)&amp;"")&amp;" ")-1)),"/","-"),"年","-"),"月","-"),"日",""))),"")</f>
        <v/>
      </c>
      <c r="J2542">
        <f>IFERROR(MID(I2542,FIND("-",I2542)+1,99),"")</f>
        <v/>
      </c>
    </row>
    <row r="2543">
      <c r="B2543">
        <f>IFERROR(IF($B$1=0,"",IF(INDEX(貼り付け!$A$1:$BZ$3001,2542,$B$1)="","",IF(ISNUMBER(INDEX(貼り付け!$A$1:$BZ$3001,2542,$B$1)),INT(INDEX(貼り付け!$A$1:$BZ$3001,2542,$B$1)),DATE(VALUE(LEFT(I2543,FIND("-",I2543)-1)),VALUE(LEFT(J2543,FIND("-",J2543)-1)),VALUE(MID(J2543,FIND("-",J2543)+1,99)))))),"")</f>
        <v/>
      </c>
      <c r="C2543">
        <f>IF($C$1=0,0,IFERROR(VALUE(SUBSTITUTE(SUBSTITUTE(SUBSTITUTE(INDEX(貼り付け!$A$1:$BZ$3001,2542,$C$1)&amp;"",",",""),"¥",""),"￥","")),0))</f>
        <v/>
      </c>
      <c r="D2543">
        <f>IF($D$1=0,0,IFERROR(VALUE(SUBSTITUTE(SUBSTITUTE(SUBSTITUTE(INDEX(貼り付け!$A$1:$BZ$3001,2542,$D$1)&amp;"",",",""),"¥",""),"￥","")),0))</f>
        <v/>
      </c>
      <c r="E2543">
        <f>IF($E$1=0,0,IFERROR(VALUE(SUBSTITUTE(SUBSTITUTE(SUBSTITUTE(INDEX(貼り付け!$A$1:$BZ$3001,2542,$E$1)&amp;"",",",""),"¥",""),"￥","")),0))</f>
        <v/>
      </c>
      <c r="F2543">
        <f>IF($F$1=0,0,IFERROR(VALUE(SUBSTITUTE(SUBSTITUTE(SUBSTITUTE(INDEX(貼り付け!$A$1:$BZ$3001,2542,$F$1)&amp;"",",",""),"¥",""),"￥","")),0))</f>
        <v/>
      </c>
      <c r="G2543">
        <f>IF(ISNUMBER(B2543),YEAR(B2543),"")</f>
        <v/>
      </c>
      <c r="H2543">
        <f>IF(ISNUMBER(B2543),MONTH(B2543),"")</f>
        <v/>
      </c>
      <c r="I2543">
        <f>IFERROR(IF($B$1=0,"",IF(ISNUMBER(INDEX(貼り付け!$A$1:$BZ$3001,2542,$B$1)),"",SUBSTITUTE(SUBSTITUTE(SUBSTITUTE(SUBSTITUTE(TRIM(LEFT(INDEX(貼り付け!$A$1:$BZ$3001,2542,$B$1)&amp;"",FIND(" ",TRIM(INDEX(貼り付け!$A$1:$BZ$3001,2542,$B$1)&amp;"")&amp;" ")-1)),"/","-"),"年","-"),"月","-"),"日",""))),"")</f>
        <v/>
      </c>
      <c r="J2543">
        <f>IFERROR(MID(I2543,FIND("-",I2543)+1,99),"")</f>
        <v/>
      </c>
    </row>
    <row r="2544">
      <c r="B2544">
        <f>IFERROR(IF($B$1=0,"",IF(INDEX(貼り付け!$A$1:$BZ$3001,2543,$B$1)="","",IF(ISNUMBER(INDEX(貼り付け!$A$1:$BZ$3001,2543,$B$1)),INT(INDEX(貼り付け!$A$1:$BZ$3001,2543,$B$1)),DATE(VALUE(LEFT(I2544,FIND("-",I2544)-1)),VALUE(LEFT(J2544,FIND("-",J2544)-1)),VALUE(MID(J2544,FIND("-",J2544)+1,99)))))),"")</f>
        <v/>
      </c>
      <c r="C2544">
        <f>IF($C$1=0,0,IFERROR(VALUE(SUBSTITUTE(SUBSTITUTE(SUBSTITUTE(INDEX(貼り付け!$A$1:$BZ$3001,2543,$C$1)&amp;"",",",""),"¥",""),"￥","")),0))</f>
        <v/>
      </c>
      <c r="D2544">
        <f>IF($D$1=0,0,IFERROR(VALUE(SUBSTITUTE(SUBSTITUTE(SUBSTITUTE(INDEX(貼り付け!$A$1:$BZ$3001,2543,$D$1)&amp;"",",",""),"¥",""),"￥","")),0))</f>
        <v/>
      </c>
      <c r="E2544">
        <f>IF($E$1=0,0,IFERROR(VALUE(SUBSTITUTE(SUBSTITUTE(SUBSTITUTE(INDEX(貼り付け!$A$1:$BZ$3001,2543,$E$1)&amp;"",",",""),"¥",""),"￥","")),0))</f>
        <v/>
      </c>
      <c r="F2544">
        <f>IF($F$1=0,0,IFERROR(VALUE(SUBSTITUTE(SUBSTITUTE(SUBSTITUTE(INDEX(貼り付け!$A$1:$BZ$3001,2543,$F$1)&amp;"",",",""),"¥",""),"￥","")),0))</f>
        <v/>
      </c>
      <c r="G2544">
        <f>IF(ISNUMBER(B2544),YEAR(B2544),"")</f>
        <v/>
      </c>
      <c r="H2544">
        <f>IF(ISNUMBER(B2544),MONTH(B2544),"")</f>
        <v/>
      </c>
      <c r="I2544">
        <f>IFERROR(IF($B$1=0,"",IF(ISNUMBER(INDEX(貼り付け!$A$1:$BZ$3001,2543,$B$1)),"",SUBSTITUTE(SUBSTITUTE(SUBSTITUTE(SUBSTITUTE(TRIM(LEFT(INDEX(貼り付け!$A$1:$BZ$3001,2543,$B$1)&amp;"",FIND(" ",TRIM(INDEX(貼り付け!$A$1:$BZ$3001,2543,$B$1)&amp;"")&amp;" ")-1)),"/","-"),"年","-"),"月","-"),"日",""))),"")</f>
        <v/>
      </c>
      <c r="J2544">
        <f>IFERROR(MID(I2544,FIND("-",I2544)+1,99),"")</f>
        <v/>
      </c>
    </row>
    <row r="2545">
      <c r="B2545">
        <f>IFERROR(IF($B$1=0,"",IF(INDEX(貼り付け!$A$1:$BZ$3001,2544,$B$1)="","",IF(ISNUMBER(INDEX(貼り付け!$A$1:$BZ$3001,2544,$B$1)),INT(INDEX(貼り付け!$A$1:$BZ$3001,2544,$B$1)),DATE(VALUE(LEFT(I2545,FIND("-",I2545)-1)),VALUE(LEFT(J2545,FIND("-",J2545)-1)),VALUE(MID(J2545,FIND("-",J2545)+1,99)))))),"")</f>
        <v/>
      </c>
      <c r="C2545">
        <f>IF($C$1=0,0,IFERROR(VALUE(SUBSTITUTE(SUBSTITUTE(SUBSTITUTE(INDEX(貼り付け!$A$1:$BZ$3001,2544,$C$1)&amp;"",",",""),"¥",""),"￥","")),0))</f>
        <v/>
      </c>
      <c r="D2545">
        <f>IF($D$1=0,0,IFERROR(VALUE(SUBSTITUTE(SUBSTITUTE(SUBSTITUTE(INDEX(貼り付け!$A$1:$BZ$3001,2544,$D$1)&amp;"",",",""),"¥",""),"￥","")),0))</f>
        <v/>
      </c>
      <c r="E2545">
        <f>IF($E$1=0,0,IFERROR(VALUE(SUBSTITUTE(SUBSTITUTE(SUBSTITUTE(INDEX(貼り付け!$A$1:$BZ$3001,2544,$E$1)&amp;"",",",""),"¥",""),"￥","")),0))</f>
        <v/>
      </c>
      <c r="F2545">
        <f>IF($F$1=0,0,IFERROR(VALUE(SUBSTITUTE(SUBSTITUTE(SUBSTITUTE(INDEX(貼り付け!$A$1:$BZ$3001,2544,$F$1)&amp;"",",",""),"¥",""),"￥","")),0))</f>
        <v/>
      </c>
      <c r="G2545">
        <f>IF(ISNUMBER(B2545),YEAR(B2545),"")</f>
        <v/>
      </c>
      <c r="H2545">
        <f>IF(ISNUMBER(B2545),MONTH(B2545),"")</f>
        <v/>
      </c>
      <c r="I2545">
        <f>IFERROR(IF($B$1=0,"",IF(ISNUMBER(INDEX(貼り付け!$A$1:$BZ$3001,2544,$B$1)),"",SUBSTITUTE(SUBSTITUTE(SUBSTITUTE(SUBSTITUTE(TRIM(LEFT(INDEX(貼り付け!$A$1:$BZ$3001,2544,$B$1)&amp;"",FIND(" ",TRIM(INDEX(貼り付け!$A$1:$BZ$3001,2544,$B$1)&amp;"")&amp;" ")-1)),"/","-"),"年","-"),"月","-"),"日",""))),"")</f>
        <v/>
      </c>
      <c r="J2545">
        <f>IFERROR(MID(I2545,FIND("-",I2545)+1,99),"")</f>
        <v/>
      </c>
    </row>
    <row r="2546">
      <c r="B2546">
        <f>IFERROR(IF($B$1=0,"",IF(INDEX(貼り付け!$A$1:$BZ$3001,2545,$B$1)="","",IF(ISNUMBER(INDEX(貼り付け!$A$1:$BZ$3001,2545,$B$1)),INT(INDEX(貼り付け!$A$1:$BZ$3001,2545,$B$1)),DATE(VALUE(LEFT(I2546,FIND("-",I2546)-1)),VALUE(LEFT(J2546,FIND("-",J2546)-1)),VALUE(MID(J2546,FIND("-",J2546)+1,99)))))),"")</f>
        <v/>
      </c>
      <c r="C2546">
        <f>IF($C$1=0,0,IFERROR(VALUE(SUBSTITUTE(SUBSTITUTE(SUBSTITUTE(INDEX(貼り付け!$A$1:$BZ$3001,2545,$C$1)&amp;"",",",""),"¥",""),"￥","")),0))</f>
        <v/>
      </c>
      <c r="D2546">
        <f>IF($D$1=0,0,IFERROR(VALUE(SUBSTITUTE(SUBSTITUTE(SUBSTITUTE(INDEX(貼り付け!$A$1:$BZ$3001,2545,$D$1)&amp;"",",",""),"¥",""),"￥","")),0))</f>
        <v/>
      </c>
      <c r="E2546">
        <f>IF($E$1=0,0,IFERROR(VALUE(SUBSTITUTE(SUBSTITUTE(SUBSTITUTE(INDEX(貼り付け!$A$1:$BZ$3001,2545,$E$1)&amp;"",",",""),"¥",""),"￥","")),0))</f>
        <v/>
      </c>
      <c r="F2546">
        <f>IF($F$1=0,0,IFERROR(VALUE(SUBSTITUTE(SUBSTITUTE(SUBSTITUTE(INDEX(貼り付け!$A$1:$BZ$3001,2545,$F$1)&amp;"",",",""),"¥",""),"￥","")),0))</f>
        <v/>
      </c>
      <c r="G2546">
        <f>IF(ISNUMBER(B2546),YEAR(B2546),"")</f>
        <v/>
      </c>
      <c r="H2546">
        <f>IF(ISNUMBER(B2546),MONTH(B2546),"")</f>
        <v/>
      </c>
      <c r="I2546">
        <f>IFERROR(IF($B$1=0,"",IF(ISNUMBER(INDEX(貼り付け!$A$1:$BZ$3001,2545,$B$1)),"",SUBSTITUTE(SUBSTITUTE(SUBSTITUTE(SUBSTITUTE(TRIM(LEFT(INDEX(貼り付け!$A$1:$BZ$3001,2545,$B$1)&amp;"",FIND(" ",TRIM(INDEX(貼り付け!$A$1:$BZ$3001,2545,$B$1)&amp;"")&amp;" ")-1)),"/","-"),"年","-"),"月","-"),"日",""))),"")</f>
        <v/>
      </c>
      <c r="J2546">
        <f>IFERROR(MID(I2546,FIND("-",I2546)+1,99),"")</f>
        <v/>
      </c>
    </row>
    <row r="2547">
      <c r="B2547">
        <f>IFERROR(IF($B$1=0,"",IF(INDEX(貼り付け!$A$1:$BZ$3001,2546,$B$1)="","",IF(ISNUMBER(INDEX(貼り付け!$A$1:$BZ$3001,2546,$B$1)),INT(INDEX(貼り付け!$A$1:$BZ$3001,2546,$B$1)),DATE(VALUE(LEFT(I2547,FIND("-",I2547)-1)),VALUE(LEFT(J2547,FIND("-",J2547)-1)),VALUE(MID(J2547,FIND("-",J2547)+1,99)))))),"")</f>
        <v/>
      </c>
      <c r="C2547">
        <f>IF($C$1=0,0,IFERROR(VALUE(SUBSTITUTE(SUBSTITUTE(SUBSTITUTE(INDEX(貼り付け!$A$1:$BZ$3001,2546,$C$1)&amp;"",",",""),"¥",""),"￥","")),0))</f>
        <v/>
      </c>
      <c r="D2547">
        <f>IF($D$1=0,0,IFERROR(VALUE(SUBSTITUTE(SUBSTITUTE(SUBSTITUTE(INDEX(貼り付け!$A$1:$BZ$3001,2546,$D$1)&amp;"",",",""),"¥",""),"￥","")),0))</f>
        <v/>
      </c>
      <c r="E2547">
        <f>IF($E$1=0,0,IFERROR(VALUE(SUBSTITUTE(SUBSTITUTE(SUBSTITUTE(INDEX(貼り付け!$A$1:$BZ$3001,2546,$E$1)&amp;"",",",""),"¥",""),"￥","")),0))</f>
        <v/>
      </c>
      <c r="F2547">
        <f>IF($F$1=0,0,IFERROR(VALUE(SUBSTITUTE(SUBSTITUTE(SUBSTITUTE(INDEX(貼り付け!$A$1:$BZ$3001,2546,$F$1)&amp;"",",",""),"¥",""),"￥","")),0))</f>
        <v/>
      </c>
      <c r="G2547">
        <f>IF(ISNUMBER(B2547),YEAR(B2547),"")</f>
        <v/>
      </c>
      <c r="H2547">
        <f>IF(ISNUMBER(B2547),MONTH(B2547),"")</f>
        <v/>
      </c>
      <c r="I2547">
        <f>IFERROR(IF($B$1=0,"",IF(ISNUMBER(INDEX(貼り付け!$A$1:$BZ$3001,2546,$B$1)),"",SUBSTITUTE(SUBSTITUTE(SUBSTITUTE(SUBSTITUTE(TRIM(LEFT(INDEX(貼り付け!$A$1:$BZ$3001,2546,$B$1)&amp;"",FIND(" ",TRIM(INDEX(貼り付け!$A$1:$BZ$3001,2546,$B$1)&amp;"")&amp;" ")-1)),"/","-"),"年","-"),"月","-"),"日",""))),"")</f>
        <v/>
      </c>
      <c r="J2547">
        <f>IFERROR(MID(I2547,FIND("-",I2547)+1,99),"")</f>
        <v/>
      </c>
    </row>
    <row r="2548">
      <c r="B2548">
        <f>IFERROR(IF($B$1=0,"",IF(INDEX(貼り付け!$A$1:$BZ$3001,2547,$B$1)="","",IF(ISNUMBER(INDEX(貼り付け!$A$1:$BZ$3001,2547,$B$1)),INT(INDEX(貼り付け!$A$1:$BZ$3001,2547,$B$1)),DATE(VALUE(LEFT(I2548,FIND("-",I2548)-1)),VALUE(LEFT(J2548,FIND("-",J2548)-1)),VALUE(MID(J2548,FIND("-",J2548)+1,99)))))),"")</f>
        <v/>
      </c>
      <c r="C2548">
        <f>IF($C$1=0,0,IFERROR(VALUE(SUBSTITUTE(SUBSTITUTE(SUBSTITUTE(INDEX(貼り付け!$A$1:$BZ$3001,2547,$C$1)&amp;"",",",""),"¥",""),"￥","")),0))</f>
        <v/>
      </c>
      <c r="D2548">
        <f>IF($D$1=0,0,IFERROR(VALUE(SUBSTITUTE(SUBSTITUTE(SUBSTITUTE(INDEX(貼り付け!$A$1:$BZ$3001,2547,$D$1)&amp;"",",",""),"¥",""),"￥","")),0))</f>
        <v/>
      </c>
      <c r="E2548">
        <f>IF($E$1=0,0,IFERROR(VALUE(SUBSTITUTE(SUBSTITUTE(SUBSTITUTE(INDEX(貼り付け!$A$1:$BZ$3001,2547,$E$1)&amp;"",",",""),"¥",""),"￥","")),0))</f>
        <v/>
      </c>
      <c r="F2548">
        <f>IF($F$1=0,0,IFERROR(VALUE(SUBSTITUTE(SUBSTITUTE(SUBSTITUTE(INDEX(貼り付け!$A$1:$BZ$3001,2547,$F$1)&amp;"",",",""),"¥",""),"￥","")),0))</f>
        <v/>
      </c>
      <c r="G2548">
        <f>IF(ISNUMBER(B2548),YEAR(B2548),"")</f>
        <v/>
      </c>
      <c r="H2548">
        <f>IF(ISNUMBER(B2548),MONTH(B2548),"")</f>
        <v/>
      </c>
      <c r="I2548">
        <f>IFERROR(IF($B$1=0,"",IF(ISNUMBER(INDEX(貼り付け!$A$1:$BZ$3001,2547,$B$1)),"",SUBSTITUTE(SUBSTITUTE(SUBSTITUTE(SUBSTITUTE(TRIM(LEFT(INDEX(貼り付け!$A$1:$BZ$3001,2547,$B$1)&amp;"",FIND(" ",TRIM(INDEX(貼り付け!$A$1:$BZ$3001,2547,$B$1)&amp;"")&amp;" ")-1)),"/","-"),"年","-"),"月","-"),"日",""))),"")</f>
        <v/>
      </c>
      <c r="J2548">
        <f>IFERROR(MID(I2548,FIND("-",I2548)+1,99),"")</f>
        <v/>
      </c>
    </row>
    <row r="2549">
      <c r="B2549">
        <f>IFERROR(IF($B$1=0,"",IF(INDEX(貼り付け!$A$1:$BZ$3001,2548,$B$1)="","",IF(ISNUMBER(INDEX(貼り付け!$A$1:$BZ$3001,2548,$B$1)),INT(INDEX(貼り付け!$A$1:$BZ$3001,2548,$B$1)),DATE(VALUE(LEFT(I2549,FIND("-",I2549)-1)),VALUE(LEFT(J2549,FIND("-",J2549)-1)),VALUE(MID(J2549,FIND("-",J2549)+1,99)))))),"")</f>
        <v/>
      </c>
      <c r="C2549">
        <f>IF($C$1=0,0,IFERROR(VALUE(SUBSTITUTE(SUBSTITUTE(SUBSTITUTE(INDEX(貼り付け!$A$1:$BZ$3001,2548,$C$1)&amp;"",",",""),"¥",""),"￥","")),0))</f>
        <v/>
      </c>
      <c r="D2549">
        <f>IF($D$1=0,0,IFERROR(VALUE(SUBSTITUTE(SUBSTITUTE(SUBSTITUTE(INDEX(貼り付け!$A$1:$BZ$3001,2548,$D$1)&amp;"",",",""),"¥",""),"￥","")),0))</f>
        <v/>
      </c>
      <c r="E2549">
        <f>IF($E$1=0,0,IFERROR(VALUE(SUBSTITUTE(SUBSTITUTE(SUBSTITUTE(INDEX(貼り付け!$A$1:$BZ$3001,2548,$E$1)&amp;"",",",""),"¥",""),"￥","")),0))</f>
        <v/>
      </c>
      <c r="F2549">
        <f>IF($F$1=0,0,IFERROR(VALUE(SUBSTITUTE(SUBSTITUTE(SUBSTITUTE(INDEX(貼り付け!$A$1:$BZ$3001,2548,$F$1)&amp;"",",",""),"¥",""),"￥","")),0))</f>
        <v/>
      </c>
      <c r="G2549">
        <f>IF(ISNUMBER(B2549),YEAR(B2549),"")</f>
        <v/>
      </c>
      <c r="H2549">
        <f>IF(ISNUMBER(B2549),MONTH(B2549),"")</f>
        <v/>
      </c>
      <c r="I2549">
        <f>IFERROR(IF($B$1=0,"",IF(ISNUMBER(INDEX(貼り付け!$A$1:$BZ$3001,2548,$B$1)),"",SUBSTITUTE(SUBSTITUTE(SUBSTITUTE(SUBSTITUTE(TRIM(LEFT(INDEX(貼り付け!$A$1:$BZ$3001,2548,$B$1)&amp;"",FIND(" ",TRIM(INDEX(貼り付け!$A$1:$BZ$3001,2548,$B$1)&amp;"")&amp;" ")-1)),"/","-"),"年","-"),"月","-"),"日",""))),"")</f>
        <v/>
      </c>
      <c r="J2549">
        <f>IFERROR(MID(I2549,FIND("-",I2549)+1,99),"")</f>
        <v/>
      </c>
    </row>
    <row r="2550">
      <c r="B2550">
        <f>IFERROR(IF($B$1=0,"",IF(INDEX(貼り付け!$A$1:$BZ$3001,2549,$B$1)="","",IF(ISNUMBER(INDEX(貼り付け!$A$1:$BZ$3001,2549,$B$1)),INT(INDEX(貼り付け!$A$1:$BZ$3001,2549,$B$1)),DATE(VALUE(LEFT(I2550,FIND("-",I2550)-1)),VALUE(LEFT(J2550,FIND("-",J2550)-1)),VALUE(MID(J2550,FIND("-",J2550)+1,99)))))),"")</f>
        <v/>
      </c>
      <c r="C2550">
        <f>IF($C$1=0,0,IFERROR(VALUE(SUBSTITUTE(SUBSTITUTE(SUBSTITUTE(INDEX(貼り付け!$A$1:$BZ$3001,2549,$C$1)&amp;"",",",""),"¥",""),"￥","")),0))</f>
        <v/>
      </c>
      <c r="D2550">
        <f>IF($D$1=0,0,IFERROR(VALUE(SUBSTITUTE(SUBSTITUTE(SUBSTITUTE(INDEX(貼り付け!$A$1:$BZ$3001,2549,$D$1)&amp;"",",",""),"¥",""),"￥","")),0))</f>
        <v/>
      </c>
      <c r="E2550">
        <f>IF($E$1=0,0,IFERROR(VALUE(SUBSTITUTE(SUBSTITUTE(SUBSTITUTE(INDEX(貼り付け!$A$1:$BZ$3001,2549,$E$1)&amp;"",",",""),"¥",""),"￥","")),0))</f>
        <v/>
      </c>
      <c r="F2550">
        <f>IF($F$1=0,0,IFERROR(VALUE(SUBSTITUTE(SUBSTITUTE(SUBSTITUTE(INDEX(貼り付け!$A$1:$BZ$3001,2549,$F$1)&amp;"",",",""),"¥",""),"￥","")),0))</f>
        <v/>
      </c>
      <c r="G2550">
        <f>IF(ISNUMBER(B2550),YEAR(B2550),"")</f>
        <v/>
      </c>
      <c r="H2550">
        <f>IF(ISNUMBER(B2550),MONTH(B2550),"")</f>
        <v/>
      </c>
      <c r="I2550">
        <f>IFERROR(IF($B$1=0,"",IF(ISNUMBER(INDEX(貼り付け!$A$1:$BZ$3001,2549,$B$1)),"",SUBSTITUTE(SUBSTITUTE(SUBSTITUTE(SUBSTITUTE(TRIM(LEFT(INDEX(貼り付け!$A$1:$BZ$3001,2549,$B$1)&amp;"",FIND(" ",TRIM(INDEX(貼り付け!$A$1:$BZ$3001,2549,$B$1)&amp;"")&amp;" ")-1)),"/","-"),"年","-"),"月","-"),"日",""))),"")</f>
        <v/>
      </c>
      <c r="J2550">
        <f>IFERROR(MID(I2550,FIND("-",I2550)+1,99),"")</f>
        <v/>
      </c>
    </row>
    <row r="2551">
      <c r="B2551">
        <f>IFERROR(IF($B$1=0,"",IF(INDEX(貼り付け!$A$1:$BZ$3001,2550,$B$1)="","",IF(ISNUMBER(INDEX(貼り付け!$A$1:$BZ$3001,2550,$B$1)),INT(INDEX(貼り付け!$A$1:$BZ$3001,2550,$B$1)),DATE(VALUE(LEFT(I2551,FIND("-",I2551)-1)),VALUE(LEFT(J2551,FIND("-",J2551)-1)),VALUE(MID(J2551,FIND("-",J2551)+1,99)))))),"")</f>
        <v/>
      </c>
      <c r="C2551">
        <f>IF($C$1=0,0,IFERROR(VALUE(SUBSTITUTE(SUBSTITUTE(SUBSTITUTE(INDEX(貼り付け!$A$1:$BZ$3001,2550,$C$1)&amp;"",",",""),"¥",""),"￥","")),0))</f>
        <v/>
      </c>
      <c r="D2551">
        <f>IF($D$1=0,0,IFERROR(VALUE(SUBSTITUTE(SUBSTITUTE(SUBSTITUTE(INDEX(貼り付け!$A$1:$BZ$3001,2550,$D$1)&amp;"",",",""),"¥",""),"￥","")),0))</f>
        <v/>
      </c>
      <c r="E2551">
        <f>IF($E$1=0,0,IFERROR(VALUE(SUBSTITUTE(SUBSTITUTE(SUBSTITUTE(INDEX(貼り付け!$A$1:$BZ$3001,2550,$E$1)&amp;"",",",""),"¥",""),"￥","")),0))</f>
        <v/>
      </c>
      <c r="F2551">
        <f>IF($F$1=0,0,IFERROR(VALUE(SUBSTITUTE(SUBSTITUTE(SUBSTITUTE(INDEX(貼り付け!$A$1:$BZ$3001,2550,$F$1)&amp;"",",",""),"¥",""),"￥","")),0))</f>
        <v/>
      </c>
      <c r="G2551">
        <f>IF(ISNUMBER(B2551),YEAR(B2551),"")</f>
        <v/>
      </c>
      <c r="H2551">
        <f>IF(ISNUMBER(B2551),MONTH(B2551),"")</f>
        <v/>
      </c>
      <c r="I2551">
        <f>IFERROR(IF($B$1=0,"",IF(ISNUMBER(INDEX(貼り付け!$A$1:$BZ$3001,2550,$B$1)),"",SUBSTITUTE(SUBSTITUTE(SUBSTITUTE(SUBSTITUTE(TRIM(LEFT(INDEX(貼り付け!$A$1:$BZ$3001,2550,$B$1)&amp;"",FIND(" ",TRIM(INDEX(貼り付け!$A$1:$BZ$3001,2550,$B$1)&amp;"")&amp;" ")-1)),"/","-"),"年","-"),"月","-"),"日",""))),"")</f>
        <v/>
      </c>
      <c r="J2551">
        <f>IFERROR(MID(I2551,FIND("-",I2551)+1,99),"")</f>
        <v/>
      </c>
    </row>
    <row r="2552">
      <c r="B2552">
        <f>IFERROR(IF($B$1=0,"",IF(INDEX(貼り付け!$A$1:$BZ$3001,2551,$B$1)="","",IF(ISNUMBER(INDEX(貼り付け!$A$1:$BZ$3001,2551,$B$1)),INT(INDEX(貼り付け!$A$1:$BZ$3001,2551,$B$1)),DATE(VALUE(LEFT(I2552,FIND("-",I2552)-1)),VALUE(LEFT(J2552,FIND("-",J2552)-1)),VALUE(MID(J2552,FIND("-",J2552)+1,99)))))),"")</f>
        <v/>
      </c>
      <c r="C2552">
        <f>IF($C$1=0,0,IFERROR(VALUE(SUBSTITUTE(SUBSTITUTE(SUBSTITUTE(INDEX(貼り付け!$A$1:$BZ$3001,2551,$C$1)&amp;"",",",""),"¥",""),"￥","")),0))</f>
        <v/>
      </c>
      <c r="D2552">
        <f>IF($D$1=0,0,IFERROR(VALUE(SUBSTITUTE(SUBSTITUTE(SUBSTITUTE(INDEX(貼り付け!$A$1:$BZ$3001,2551,$D$1)&amp;"",",",""),"¥",""),"￥","")),0))</f>
        <v/>
      </c>
      <c r="E2552">
        <f>IF($E$1=0,0,IFERROR(VALUE(SUBSTITUTE(SUBSTITUTE(SUBSTITUTE(INDEX(貼り付け!$A$1:$BZ$3001,2551,$E$1)&amp;"",",",""),"¥",""),"￥","")),0))</f>
        <v/>
      </c>
      <c r="F2552">
        <f>IF($F$1=0,0,IFERROR(VALUE(SUBSTITUTE(SUBSTITUTE(SUBSTITUTE(INDEX(貼り付け!$A$1:$BZ$3001,2551,$F$1)&amp;"",",",""),"¥",""),"￥","")),0))</f>
        <v/>
      </c>
      <c r="G2552">
        <f>IF(ISNUMBER(B2552),YEAR(B2552),"")</f>
        <v/>
      </c>
      <c r="H2552">
        <f>IF(ISNUMBER(B2552),MONTH(B2552),"")</f>
        <v/>
      </c>
      <c r="I2552">
        <f>IFERROR(IF($B$1=0,"",IF(ISNUMBER(INDEX(貼り付け!$A$1:$BZ$3001,2551,$B$1)),"",SUBSTITUTE(SUBSTITUTE(SUBSTITUTE(SUBSTITUTE(TRIM(LEFT(INDEX(貼り付け!$A$1:$BZ$3001,2551,$B$1)&amp;"",FIND(" ",TRIM(INDEX(貼り付け!$A$1:$BZ$3001,2551,$B$1)&amp;"")&amp;" ")-1)),"/","-"),"年","-"),"月","-"),"日",""))),"")</f>
        <v/>
      </c>
      <c r="J2552">
        <f>IFERROR(MID(I2552,FIND("-",I2552)+1,99),"")</f>
        <v/>
      </c>
    </row>
    <row r="2553">
      <c r="B2553">
        <f>IFERROR(IF($B$1=0,"",IF(INDEX(貼り付け!$A$1:$BZ$3001,2552,$B$1)="","",IF(ISNUMBER(INDEX(貼り付け!$A$1:$BZ$3001,2552,$B$1)),INT(INDEX(貼り付け!$A$1:$BZ$3001,2552,$B$1)),DATE(VALUE(LEFT(I2553,FIND("-",I2553)-1)),VALUE(LEFT(J2553,FIND("-",J2553)-1)),VALUE(MID(J2553,FIND("-",J2553)+1,99)))))),"")</f>
        <v/>
      </c>
      <c r="C2553">
        <f>IF($C$1=0,0,IFERROR(VALUE(SUBSTITUTE(SUBSTITUTE(SUBSTITUTE(INDEX(貼り付け!$A$1:$BZ$3001,2552,$C$1)&amp;"",",",""),"¥",""),"￥","")),0))</f>
        <v/>
      </c>
      <c r="D2553">
        <f>IF($D$1=0,0,IFERROR(VALUE(SUBSTITUTE(SUBSTITUTE(SUBSTITUTE(INDEX(貼り付け!$A$1:$BZ$3001,2552,$D$1)&amp;"",",",""),"¥",""),"￥","")),0))</f>
        <v/>
      </c>
      <c r="E2553">
        <f>IF($E$1=0,0,IFERROR(VALUE(SUBSTITUTE(SUBSTITUTE(SUBSTITUTE(INDEX(貼り付け!$A$1:$BZ$3001,2552,$E$1)&amp;"",",",""),"¥",""),"￥","")),0))</f>
        <v/>
      </c>
      <c r="F2553">
        <f>IF($F$1=0,0,IFERROR(VALUE(SUBSTITUTE(SUBSTITUTE(SUBSTITUTE(INDEX(貼り付け!$A$1:$BZ$3001,2552,$F$1)&amp;"",",",""),"¥",""),"￥","")),0))</f>
        <v/>
      </c>
      <c r="G2553">
        <f>IF(ISNUMBER(B2553),YEAR(B2553),"")</f>
        <v/>
      </c>
      <c r="H2553">
        <f>IF(ISNUMBER(B2553),MONTH(B2553),"")</f>
        <v/>
      </c>
      <c r="I2553">
        <f>IFERROR(IF($B$1=0,"",IF(ISNUMBER(INDEX(貼り付け!$A$1:$BZ$3001,2552,$B$1)),"",SUBSTITUTE(SUBSTITUTE(SUBSTITUTE(SUBSTITUTE(TRIM(LEFT(INDEX(貼り付け!$A$1:$BZ$3001,2552,$B$1)&amp;"",FIND(" ",TRIM(INDEX(貼り付け!$A$1:$BZ$3001,2552,$B$1)&amp;"")&amp;" ")-1)),"/","-"),"年","-"),"月","-"),"日",""))),"")</f>
        <v/>
      </c>
      <c r="J2553">
        <f>IFERROR(MID(I2553,FIND("-",I2553)+1,99),"")</f>
        <v/>
      </c>
    </row>
    <row r="2554">
      <c r="B2554">
        <f>IFERROR(IF($B$1=0,"",IF(INDEX(貼り付け!$A$1:$BZ$3001,2553,$B$1)="","",IF(ISNUMBER(INDEX(貼り付け!$A$1:$BZ$3001,2553,$B$1)),INT(INDEX(貼り付け!$A$1:$BZ$3001,2553,$B$1)),DATE(VALUE(LEFT(I2554,FIND("-",I2554)-1)),VALUE(LEFT(J2554,FIND("-",J2554)-1)),VALUE(MID(J2554,FIND("-",J2554)+1,99)))))),"")</f>
        <v/>
      </c>
      <c r="C2554">
        <f>IF($C$1=0,0,IFERROR(VALUE(SUBSTITUTE(SUBSTITUTE(SUBSTITUTE(INDEX(貼り付け!$A$1:$BZ$3001,2553,$C$1)&amp;"",",",""),"¥",""),"￥","")),0))</f>
        <v/>
      </c>
      <c r="D2554">
        <f>IF($D$1=0,0,IFERROR(VALUE(SUBSTITUTE(SUBSTITUTE(SUBSTITUTE(INDEX(貼り付け!$A$1:$BZ$3001,2553,$D$1)&amp;"",",",""),"¥",""),"￥","")),0))</f>
        <v/>
      </c>
      <c r="E2554">
        <f>IF($E$1=0,0,IFERROR(VALUE(SUBSTITUTE(SUBSTITUTE(SUBSTITUTE(INDEX(貼り付け!$A$1:$BZ$3001,2553,$E$1)&amp;"",",",""),"¥",""),"￥","")),0))</f>
        <v/>
      </c>
      <c r="F2554">
        <f>IF($F$1=0,0,IFERROR(VALUE(SUBSTITUTE(SUBSTITUTE(SUBSTITUTE(INDEX(貼り付け!$A$1:$BZ$3001,2553,$F$1)&amp;"",",",""),"¥",""),"￥","")),0))</f>
        <v/>
      </c>
      <c r="G2554">
        <f>IF(ISNUMBER(B2554),YEAR(B2554),"")</f>
        <v/>
      </c>
      <c r="H2554">
        <f>IF(ISNUMBER(B2554),MONTH(B2554),"")</f>
        <v/>
      </c>
      <c r="I2554">
        <f>IFERROR(IF($B$1=0,"",IF(ISNUMBER(INDEX(貼り付け!$A$1:$BZ$3001,2553,$B$1)),"",SUBSTITUTE(SUBSTITUTE(SUBSTITUTE(SUBSTITUTE(TRIM(LEFT(INDEX(貼り付け!$A$1:$BZ$3001,2553,$B$1)&amp;"",FIND(" ",TRIM(INDEX(貼り付け!$A$1:$BZ$3001,2553,$B$1)&amp;"")&amp;" ")-1)),"/","-"),"年","-"),"月","-"),"日",""))),"")</f>
        <v/>
      </c>
      <c r="J2554">
        <f>IFERROR(MID(I2554,FIND("-",I2554)+1,99),"")</f>
        <v/>
      </c>
    </row>
    <row r="2555">
      <c r="B2555">
        <f>IFERROR(IF($B$1=0,"",IF(INDEX(貼り付け!$A$1:$BZ$3001,2554,$B$1)="","",IF(ISNUMBER(INDEX(貼り付け!$A$1:$BZ$3001,2554,$B$1)),INT(INDEX(貼り付け!$A$1:$BZ$3001,2554,$B$1)),DATE(VALUE(LEFT(I2555,FIND("-",I2555)-1)),VALUE(LEFT(J2555,FIND("-",J2555)-1)),VALUE(MID(J2555,FIND("-",J2555)+1,99)))))),"")</f>
        <v/>
      </c>
      <c r="C2555">
        <f>IF($C$1=0,0,IFERROR(VALUE(SUBSTITUTE(SUBSTITUTE(SUBSTITUTE(INDEX(貼り付け!$A$1:$BZ$3001,2554,$C$1)&amp;"",",",""),"¥",""),"￥","")),0))</f>
        <v/>
      </c>
      <c r="D2555">
        <f>IF($D$1=0,0,IFERROR(VALUE(SUBSTITUTE(SUBSTITUTE(SUBSTITUTE(INDEX(貼り付け!$A$1:$BZ$3001,2554,$D$1)&amp;"",",",""),"¥",""),"￥","")),0))</f>
        <v/>
      </c>
      <c r="E2555">
        <f>IF($E$1=0,0,IFERROR(VALUE(SUBSTITUTE(SUBSTITUTE(SUBSTITUTE(INDEX(貼り付け!$A$1:$BZ$3001,2554,$E$1)&amp;"",",",""),"¥",""),"￥","")),0))</f>
        <v/>
      </c>
      <c r="F2555">
        <f>IF($F$1=0,0,IFERROR(VALUE(SUBSTITUTE(SUBSTITUTE(SUBSTITUTE(INDEX(貼り付け!$A$1:$BZ$3001,2554,$F$1)&amp;"",",",""),"¥",""),"￥","")),0))</f>
        <v/>
      </c>
      <c r="G2555">
        <f>IF(ISNUMBER(B2555),YEAR(B2555),"")</f>
        <v/>
      </c>
      <c r="H2555">
        <f>IF(ISNUMBER(B2555),MONTH(B2555),"")</f>
        <v/>
      </c>
      <c r="I2555">
        <f>IFERROR(IF($B$1=0,"",IF(ISNUMBER(INDEX(貼り付け!$A$1:$BZ$3001,2554,$B$1)),"",SUBSTITUTE(SUBSTITUTE(SUBSTITUTE(SUBSTITUTE(TRIM(LEFT(INDEX(貼り付け!$A$1:$BZ$3001,2554,$B$1)&amp;"",FIND(" ",TRIM(INDEX(貼り付け!$A$1:$BZ$3001,2554,$B$1)&amp;"")&amp;" ")-1)),"/","-"),"年","-"),"月","-"),"日",""))),"")</f>
        <v/>
      </c>
      <c r="J2555">
        <f>IFERROR(MID(I2555,FIND("-",I2555)+1,99),"")</f>
        <v/>
      </c>
    </row>
    <row r="2556">
      <c r="B2556">
        <f>IFERROR(IF($B$1=0,"",IF(INDEX(貼り付け!$A$1:$BZ$3001,2555,$B$1)="","",IF(ISNUMBER(INDEX(貼り付け!$A$1:$BZ$3001,2555,$B$1)),INT(INDEX(貼り付け!$A$1:$BZ$3001,2555,$B$1)),DATE(VALUE(LEFT(I2556,FIND("-",I2556)-1)),VALUE(LEFT(J2556,FIND("-",J2556)-1)),VALUE(MID(J2556,FIND("-",J2556)+1,99)))))),"")</f>
        <v/>
      </c>
      <c r="C2556">
        <f>IF($C$1=0,0,IFERROR(VALUE(SUBSTITUTE(SUBSTITUTE(SUBSTITUTE(INDEX(貼り付け!$A$1:$BZ$3001,2555,$C$1)&amp;"",",",""),"¥",""),"￥","")),0))</f>
        <v/>
      </c>
      <c r="D2556">
        <f>IF($D$1=0,0,IFERROR(VALUE(SUBSTITUTE(SUBSTITUTE(SUBSTITUTE(INDEX(貼り付け!$A$1:$BZ$3001,2555,$D$1)&amp;"",",",""),"¥",""),"￥","")),0))</f>
        <v/>
      </c>
      <c r="E2556">
        <f>IF($E$1=0,0,IFERROR(VALUE(SUBSTITUTE(SUBSTITUTE(SUBSTITUTE(INDEX(貼り付け!$A$1:$BZ$3001,2555,$E$1)&amp;"",",",""),"¥",""),"￥","")),0))</f>
        <v/>
      </c>
      <c r="F2556">
        <f>IF($F$1=0,0,IFERROR(VALUE(SUBSTITUTE(SUBSTITUTE(SUBSTITUTE(INDEX(貼り付け!$A$1:$BZ$3001,2555,$F$1)&amp;"",",",""),"¥",""),"￥","")),0))</f>
        <v/>
      </c>
      <c r="G2556">
        <f>IF(ISNUMBER(B2556),YEAR(B2556),"")</f>
        <v/>
      </c>
      <c r="H2556">
        <f>IF(ISNUMBER(B2556),MONTH(B2556),"")</f>
        <v/>
      </c>
      <c r="I2556">
        <f>IFERROR(IF($B$1=0,"",IF(ISNUMBER(INDEX(貼り付け!$A$1:$BZ$3001,2555,$B$1)),"",SUBSTITUTE(SUBSTITUTE(SUBSTITUTE(SUBSTITUTE(TRIM(LEFT(INDEX(貼り付け!$A$1:$BZ$3001,2555,$B$1)&amp;"",FIND(" ",TRIM(INDEX(貼り付け!$A$1:$BZ$3001,2555,$B$1)&amp;"")&amp;" ")-1)),"/","-"),"年","-"),"月","-"),"日",""))),"")</f>
        <v/>
      </c>
      <c r="J2556">
        <f>IFERROR(MID(I2556,FIND("-",I2556)+1,99),"")</f>
        <v/>
      </c>
    </row>
    <row r="2557">
      <c r="B2557">
        <f>IFERROR(IF($B$1=0,"",IF(INDEX(貼り付け!$A$1:$BZ$3001,2556,$B$1)="","",IF(ISNUMBER(INDEX(貼り付け!$A$1:$BZ$3001,2556,$B$1)),INT(INDEX(貼り付け!$A$1:$BZ$3001,2556,$B$1)),DATE(VALUE(LEFT(I2557,FIND("-",I2557)-1)),VALUE(LEFT(J2557,FIND("-",J2557)-1)),VALUE(MID(J2557,FIND("-",J2557)+1,99)))))),"")</f>
        <v/>
      </c>
      <c r="C2557">
        <f>IF($C$1=0,0,IFERROR(VALUE(SUBSTITUTE(SUBSTITUTE(SUBSTITUTE(INDEX(貼り付け!$A$1:$BZ$3001,2556,$C$1)&amp;"",",",""),"¥",""),"￥","")),0))</f>
        <v/>
      </c>
      <c r="D2557">
        <f>IF($D$1=0,0,IFERROR(VALUE(SUBSTITUTE(SUBSTITUTE(SUBSTITUTE(INDEX(貼り付け!$A$1:$BZ$3001,2556,$D$1)&amp;"",",",""),"¥",""),"￥","")),0))</f>
        <v/>
      </c>
      <c r="E2557">
        <f>IF($E$1=0,0,IFERROR(VALUE(SUBSTITUTE(SUBSTITUTE(SUBSTITUTE(INDEX(貼り付け!$A$1:$BZ$3001,2556,$E$1)&amp;"",",",""),"¥",""),"￥","")),0))</f>
        <v/>
      </c>
      <c r="F2557">
        <f>IF($F$1=0,0,IFERROR(VALUE(SUBSTITUTE(SUBSTITUTE(SUBSTITUTE(INDEX(貼り付け!$A$1:$BZ$3001,2556,$F$1)&amp;"",",",""),"¥",""),"￥","")),0))</f>
        <v/>
      </c>
      <c r="G2557">
        <f>IF(ISNUMBER(B2557),YEAR(B2557),"")</f>
        <v/>
      </c>
      <c r="H2557">
        <f>IF(ISNUMBER(B2557),MONTH(B2557),"")</f>
        <v/>
      </c>
      <c r="I2557">
        <f>IFERROR(IF($B$1=0,"",IF(ISNUMBER(INDEX(貼り付け!$A$1:$BZ$3001,2556,$B$1)),"",SUBSTITUTE(SUBSTITUTE(SUBSTITUTE(SUBSTITUTE(TRIM(LEFT(INDEX(貼り付け!$A$1:$BZ$3001,2556,$B$1)&amp;"",FIND(" ",TRIM(INDEX(貼り付け!$A$1:$BZ$3001,2556,$B$1)&amp;"")&amp;" ")-1)),"/","-"),"年","-"),"月","-"),"日",""))),"")</f>
        <v/>
      </c>
      <c r="J2557">
        <f>IFERROR(MID(I2557,FIND("-",I2557)+1,99),"")</f>
        <v/>
      </c>
    </row>
    <row r="2558">
      <c r="B2558">
        <f>IFERROR(IF($B$1=0,"",IF(INDEX(貼り付け!$A$1:$BZ$3001,2557,$B$1)="","",IF(ISNUMBER(INDEX(貼り付け!$A$1:$BZ$3001,2557,$B$1)),INT(INDEX(貼り付け!$A$1:$BZ$3001,2557,$B$1)),DATE(VALUE(LEFT(I2558,FIND("-",I2558)-1)),VALUE(LEFT(J2558,FIND("-",J2558)-1)),VALUE(MID(J2558,FIND("-",J2558)+1,99)))))),"")</f>
        <v/>
      </c>
      <c r="C2558">
        <f>IF($C$1=0,0,IFERROR(VALUE(SUBSTITUTE(SUBSTITUTE(SUBSTITUTE(INDEX(貼り付け!$A$1:$BZ$3001,2557,$C$1)&amp;"",",",""),"¥",""),"￥","")),0))</f>
        <v/>
      </c>
      <c r="D2558">
        <f>IF($D$1=0,0,IFERROR(VALUE(SUBSTITUTE(SUBSTITUTE(SUBSTITUTE(INDEX(貼り付け!$A$1:$BZ$3001,2557,$D$1)&amp;"",",",""),"¥",""),"￥","")),0))</f>
        <v/>
      </c>
      <c r="E2558">
        <f>IF($E$1=0,0,IFERROR(VALUE(SUBSTITUTE(SUBSTITUTE(SUBSTITUTE(INDEX(貼り付け!$A$1:$BZ$3001,2557,$E$1)&amp;"",",",""),"¥",""),"￥","")),0))</f>
        <v/>
      </c>
      <c r="F2558">
        <f>IF($F$1=0,0,IFERROR(VALUE(SUBSTITUTE(SUBSTITUTE(SUBSTITUTE(INDEX(貼り付け!$A$1:$BZ$3001,2557,$F$1)&amp;"",",",""),"¥",""),"￥","")),0))</f>
        <v/>
      </c>
      <c r="G2558">
        <f>IF(ISNUMBER(B2558),YEAR(B2558),"")</f>
        <v/>
      </c>
      <c r="H2558">
        <f>IF(ISNUMBER(B2558),MONTH(B2558),"")</f>
        <v/>
      </c>
      <c r="I2558">
        <f>IFERROR(IF($B$1=0,"",IF(ISNUMBER(INDEX(貼り付け!$A$1:$BZ$3001,2557,$B$1)),"",SUBSTITUTE(SUBSTITUTE(SUBSTITUTE(SUBSTITUTE(TRIM(LEFT(INDEX(貼り付け!$A$1:$BZ$3001,2557,$B$1)&amp;"",FIND(" ",TRIM(INDEX(貼り付け!$A$1:$BZ$3001,2557,$B$1)&amp;"")&amp;" ")-1)),"/","-"),"年","-"),"月","-"),"日",""))),"")</f>
        <v/>
      </c>
      <c r="J2558">
        <f>IFERROR(MID(I2558,FIND("-",I2558)+1,99),"")</f>
        <v/>
      </c>
    </row>
    <row r="2559">
      <c r="B2559">
        <f>IFERROR(IF($B$1=0,"",IF(INDEX(貼り付け!$A$1:$BZ$3001,2558,$B$1)="","",IF(ISNUMBER(INDEX(貼り付け!$A$1:$BZ$3001,2558,$B$1)),INT(INDEX(貼り付け!$A$1:$BZ$3001,2558,$B$1)),DATE(VALUE(LEFT(I2559,FIND("-",I2559)-1)),VALUE(LEFT(J2559,FIND("-",J2559)-1)),VALUE(MID(J2559,FIND("-",J2559)+1,99)))))),"")</f>
        <v/>
      </c>
      <c r="C2559">
        <f>IF($C$1=0,0,IFERROR(VALUE(SUBSTITUTE(SUBSTITUTE(SUBSTITUTE(INDEX(貼り付け!$A$1:$BZ$3001,2558,$C$1)&amp;"",",",""),"¥",""),"￥","")),0))</f>
        <v/>
      </c>
      <c r="D2559">
        <f>IF($D$1=0,0,IFERROR(VALUE(SUBSTITUTE(SUBSTITUTE(SUBSTITUTE(INDEX(貼り付け!$A$1:$BZ$3001,2558,$D$1)&amp;"",",",""),"¥",""),"￥","")),0))</f>
        <v/>
      </c>
      <c r="E2559">
        <f>IF($E$1=0,0,IFERROR(VALUE(SUBSTITUTE(SUBSTITUTE(SUBSTITUTE(INDEX(貼り付け!$A$1:$BZ$3001,2558,$E$1)&amp;"",",",""),"¥",""),"￥","")),0))</f>
        <v/>
      </c>
      <c r="F2559">
        <f>IF($F$1=0,0,IFERROR(VALUE(SUBSTITUTE(SUBSTITUTE(SUBSTITUTE(INDEX(貼り付け!$A$1:$BZ$3001,2558,$F$1)&amp;"",",",""),"¥",""),"￥","")),0))</f>
        <v/>
      </c>
      <c r="G2559">
        <f>IF(ISNUMBER(B2559),YEAR(B2559),"")</f>
        <v/>
      </c>
      <c r="H2559">
        <f>IF(ISNUMBER(B2559),MONTH(B2559),"")</f>
        <v/>
      </c>
      <c r="I2559">
        <f>IFERROR(IF($B$1=0,"",IF(ISNUMBER(INDEX(貼り付け!$A$1:$BZ$3001,2558,$B$1)),"",SUBSTITUTE(SUBSTITUTE(SUBSTITUTE(SUBSTITUTE(TRIM(LEFT(INDEX(貼り付け!$A$1:$BZ$3001,2558,$B$1)&amp;"",FIND(" ",TRIM(INDEX(貼り付け!$A$1:$BZ$3001,2558,$B$1)&amp;"")&amp;" ")-1)),"/","-"),"年","-"),"月","-"),"日",""))),"")</f>
        <v/>
      </c>
      <c r="J2559">
        <f>IFERROR(MID(I2559,FIND("-",I2559)+1,99),"")</f>
        <v/>
      </c>
    </row>
    <row r="2560">
      <c r="B2560">
        <f>IFERROR(IF($B$1=0,"",IF(INDEX(貼り付け!$A$1:$BZ$3001,2559,$B$1)="","",IF(ISNUMBER(INDEX(貼り付け!$A$1:$BZ$3001,2559,$B$1)),INT(INDEX(貼り付け!$A$1:$BZ$3001,2559,$B$1)),DATE(VALUE(LEFT(I2560,FIND("-",I2560)-1)),VALUE(LEFT(J2560,FIND("-",J2560)-1)),VALUE(MID(J2560,FIND("-",J2560)+1,99)))))),"")</f>
        <v/>
      </c>
      <c r="C2560">
        <f>IF($C$1=0,0,IFERROR(VALUE(SUBSTITUTE(SUBSTITUTE(SUBSTITUTE(INDEX(貼り付け!$A$1:$BZ$3001,2559,$C$1)&amp;"",",",""),"¥",""),"￥","")),0))</f>
        <v/>
      </c>
      <c r="D2560">
        <f>IF($D$1=0,0,IFERROR(VALUE(SUBSTITUTE(SUBSTITUTE(SUBSTITUTE(INDEX(貼り付け!$A$1:$BZ$3001,2559,$D$1)&amp;"",",",""),"¥",""),"￥","")),0))</f>
        <v/>
      </c>
      <c r="E2560">
        <f>IF($E$1=0,0,IFERROR(VALUE(SUBSTITUTE(SUBSTITUTE(SUBSTITUTE(INDEX(貼り付け!$A$1:$BZ$3001,2559,$E$1)&amp;"",",",""),"¥",""),"￥","")),0))</f>
        <v/>
      </c>
      <c r="F2560">
        <f>IF($F$1=0,0,IFERROR(VALUE(SUBSTITUTE(SUBSTITUTE(SUBSTITUTE(INDEX(貼り付け!$A$1:$BZ$3001,2559,$F$1)&amp;"",",",""),"¥",""),"￥","")),0))</f>
        <v/>
      </c>
      <c r="G2560">
        <f>IF(ISNUMBER(B2560),YEAR(B2560),"")</f>
        <v/>
      </c>
      <c r="H2560">
        <f>IF(ISNUMBER(B2560),MONTH(B2560),"")</f>
        <v/>
      </c>
      <c r="I2560">
        <f>IFERROR(IF($B$1=0,"",IF(ISNUMBER(INDEX(貼り付け!$A$1:$BZ$3001,2559,$B$1)),"",SUBSTITUTE(SUBSTITUTE(SUBSTITUTE(SUBSTITUTE(TRIM(LEFT(INDEX(貼り付け!$A$1:$BZ$3001,2559,$B$1)&amp;"",FIND(" ",TRIM(INDEX(貼り付け!$A$1:$BZ$3001,2559,$B$1)&amp;"")&amp;" ")-1)),"/","-"),"年","-"),"月","-"),"日",""))),"")</f>
        <v/>
      </c>
      <c r="J2560">
        <f>IFERROR(MID(I2560,FIND("-",I2560)+1,99),"")</f>
        <v/>
      </c>
    </row>
    <row r="2561">
      <c r="B2561">
        <f>IFERROR(IF($B$1=0,"",IF(INDEX(貼り付け!$A$1:$BZ$3001,2560,$B$1)="","",IF(ISNUMBER(INDEX(貼り付け!$A$1:$BZ$3001,2560,$B$1)),INT(INDEX(貼り付け!$A$1:$BZ$3001,2560,$B$1)),DATE(VALUE(LEFT(I2561,FIND("-",I2561)-1)),VALUE(LEFT(J2561,FIND("-",J2561)-1)),VALUE(MID(J2561,FIND("-",J2561)+1,99)))))),"")</f>
        <v/>
      </c>
      <c r="C2561">
        <f>IF($C$1=0,0,IFERROR(VALUE(SUBSTITUTE(SUBSTITUTE(SUBSTITUTE(INDEX(貼り付け!$A$1:$BZ$3001,2560,$C$1)&amp;"",",",""),"¥",""),"￥","")),0))</f>
        <v/>
      </c>
      <c r="D2561">
        <f>IF($D$1=0,0,IFERROR(VALUE(SUBSTITUTE(SUBSTITUTE(SUBSTITUTE(INDEX(貼り付け!$A$1:$BZ$3001,2560,$D$1)&amp;"",",",""),"¥",""),"￥","")),0))</f>
        <v/>
      </c>
      <c r="E2561">
        <f>IF($E$1=0,0,IFERROR(VALUE(SUBSTITUTE(SUBSTITUTE(SUBSTITUTE(INDEX(貼り付け!$A$1:$BZ$3001,2560,$E$1)&amp;"",",",""),"¥",""),"￥","")),0))</f>
        <v/>
      </c>
      <c r="F2561">
        <f>IF($F$1=0,0,IFERROR(VALUE(SUBSTITUTE(SUBSTITUTE(SUBSTITUTE(INDEX(貼り付け!$A$1:$BZ$3001,2560,$F$1)&amp;"",",",""),"¥",""),"￥","")),0))</f>
        <v/>
      </c>
      <c r="G2561">
        <f>IF(ISNUMBER(B2561),YEAR(B2561),"")</f>
        <v/>
      </c>
      <c r="H2561">
        <f>IF(ISNUMBER(B2561),MONTH(B2561),"")</f>
        <v/>
      </c>
      <c r="I2561">
        <f>IFERROR(IF($B$1=0,"",IF(ISNUMBER(INDEX(貼り付け!$A$1:$BZ$3001,2560,$B$1)),"",SUBSTITUTE(SUBSTITUTE(SUBSTITUTE(SUBSTITUTE(TRIM(LEFT(INDEX(貼り付け!$A$1:$BZ$3001,2560,$B$1)&amp;"",FIND(" ",TRIM(INDEX(貼り付け!$A$1:$BZ$3001,2560,$B$1)&amp;"")&amp;" ")-1)),"/","-"),"年","-"),"月","-"),"日",""))),"")</f>
        <v/>
      </c>
      <c r="J2561">
        <f>IFERROR(MID(I2561,FIND("-",I2561)+1,99),"")</f>
        <v/>
      </c>
    </row>
    <row r="2562">
      <c r="B2562">
        <f>IFERROR(IF($B$1=0,"",IF(INDEX(貼り付け!$A$1:$BZ$3001,2561,$B$1)="","",IF(ISNUMBER(INDEX(貼り付け!$A$1:$BZ$3001,2561,$B$1)),INT(INDEX(貼り付け!$A$1:$BZ$3001,2561,$B$1)),DATE(VALUE(LEFT(I2562,FIND("-",I2562)-1)),VALUE(LEFT(J2562,FIND("-",J2562)-1)),VALUE(MID(J2562,FIND("-",J2562)+1,99)))))),"")</f>
        <v/>
      </c>
      <c r="C2562">
        <f>IF($C$1=0,0,IFERROR(VALUE(SUBSTITUTE(SUBSTITUTE(SUBSTITUTE(INDEX(貼り付け!$A$1:$BZ$3001,2561,$C$1)&amp;"",",",""),"¥",""),"￥","")),0))</f>
        <v/>
      </c>
      <c r="D2562">
        <f>IF($D$1=0,0,IFERROR(VALUE(SUBSTITUTE(SUBSTITUTE(SUBSTITUTE(INDEX(貼り付け!$A$1:$BZ$3001,2561,$D$1)&amp;"",",",""),"¥",""),"￥","")),0))</f>
        <v/>
      </c>
      <c r="E2562">
        <f>IF($E$1=0,0,IFERROR(VALUE(SUBSTITUTE(SUBSTITUTE(SUBSTITUTE(INDEX(貼り付け!$A$1:$BZ$3001,2561,$E$1)&amp;"",",",""),"¥",""),"￥","")),0))</f>
        <v/>
      </c>
      <c r="F2562">
        <f>IF($F$1=0,0,IFERROR(VALUE(SUBSTITUTE(SUBSTITUTE(SUBSTITUTE(INDEX(貼り付け!$A$1:$BZ$3001,2561,$F$1)&amp;"",",",""),"¥",""),"￥","")),0))</f>
        <v/>
      </c>
      <c r="G2562">
        <f>IF(ISNUMBER(B2562),YEAR(B2562),"")</f>
        <v/>
      </c>
      <c r="H2562">
        <f>IF(ISNUMBER(B2562),MONTH(B2562),"")</f>
        <v/>
      </c>
      <c r="I2562">
        <f>IFERROR(IF($B$1=0,"",IF(ISNUMBER(INDEX(貼り付け!$A$1:$BZ$3001,2561,$B$1)),"",SUBSTITUTE(SUBSTITUTE(SUBSTITUTE(SUBSTITUTE(TRIM(LEFT(INDEX(貼り付け!$A$1:$BZ$3001,2561,$B$1)&amp;"",FIND(" ",TRIM(INDEX(貼り付け!$A$1:$BZ$3001,2561,$B$1)&amp;"")&amp;" ")-1)),"/","-"),"年","-"),"月","-"),"日",""))),"")</f>
        <v/>
      </c>
      <c r="J2562">
        <f>IFERROR(MID(I2562,FIND("-",I2562)+1,99),"")</f>
        <v/>
      </c>
    </row>
    <row r="2563">
      <c r="B2563">
        <f>IFERROR(IF($B$1=0,"",IF(INDEX(貼り付け!$A$1:$BZ$3001,2562,$B$1)="","",IF(ISNUMBER(INDEX(貼り付け!$A$1:$BZ$3001,2562,$B$1)),INT(INDEX(貼り付け!$A$1:$BZ$3001,2562,$B$1)),DATE(VALUE(LEFT(I2563,FIND("-",I2563)-1)),VALUE(LEFT(J2563,FIND("-",J2563)-1)),VALUE(MID(J2563,FIND("-",J2563)+1,99)))))),"")</f>
        <v/>
      </c>
      <c r="C2563">
        <f>IF($C$1=0,0,IFERROR(VALUE(SUBSTITUTE(SUBSTITUTE(SUBSTITUTE(INDEX(貼り付け!$A$1:$BZ$3001,2562,$C$1)&amp;"",",",""),"¥",""),"￥","")),0))</f>
        <v/>
      </c>
      <c r="D2563">
        <f>IF($D$1=0,0,IFERROR(VALUE(SUBSTITUTE(SUBSTITUTE(SUBSTITUTE(INDEX(貼り付け!$A$1:$BZ$3001,2562,$D$1)&amp;"",",",""),"¥",""),"￥","")),0))</f>
        <v/>
      </c>
      <c r="E2563">
        <f>IF($E$1=0,0,IFERROR(VALUE(SUBSTITUTE(SUBSTITUTE(SUBSTITUTE(INDEX(貼り付け!$A$1:$BZ$3001,2562,$E$1)&amp;"",",",""),"¥",""),"￥","")),0))</f>
        <v/>
      </c>
      <c r="F2563">
        <f>IF($F$1=0,0,IFERROR(VALUE(SUBSTITUTE(SUBSTITUTE(SUBSTITUTE(INDEX(貼り付け!$A$1:$BZ$3001,2562,$F$1)&amp;"",",",""),"¥",""),"￥","")),0))</f>
        <v/>
      </c>
      <c r="G2563">
        <f>IF(ISNUMBER(B2563),YEAR(B2563),"")</f>
        <v/>
      </c>
      <c r="H2563">
        <f>IF(ISNUMBER(B2563),MONTH(B2563),"")</f>
        <v/>
      </c>
      <c r="I2563">
        <f>IFERROR(IF($B$1=0,"",IF(ISNUMBER(INDEX(貼り付け!$A$1:$BZ$3001,2562,$B$1)),"",SUBSTITUTE(SUBSTITUTE(SUBSTITUTE(SUBSTITUTE(TRIM(LEFT(INDEX(貼り付け!$A$1:$BZ$3001,2562,$B$1)&amp;"",FIND(" ",TRIM(INDEX(貼り付け!$A$1:$BZ$3001,2562,$B$1)&amp;"")&amp;" ")-1)),"/","-"),"年","-"),"月","-"),"日",""))),"")</f>
        <v/>
      </c>
      <c r="J2563">
        <f>IFERROR(MID(I2563,FIND("-",I2563)+1,99),"")</f>
        <v/>
      </c>
    </row>
    <row r="2564">
      <c r="B2564">
        <f>IFERROR(IF($B$1=0,"",IF(INDEX(貼り付け!$A$1:$BZ$3001,2563,$B$1)="","",IF(ISNUMBER(INDEX(貼り付け!$A$1:$BZ$3001,2563,$B$1)),INT(INDEX(貼り付け!$A$1:$BZ$3001,2563,$B$1)),DATE(VALUE(LEFT(I2564,FIND("-",I2564)-1)),VALUE(LEFT(J2564,FIND("-",J2564)-1)),VALUE(MID(J2564,FIND("-",J2564)+1,99)))))),"")</f>
        <v/>
      </c>
      <c r="C2564">
        <f>IF($C$1=0,0,IFERROR(VALUE(SUBSTITUTE(SUBSTITUTE(SUBSTITUTE(INDEX(貼り付け!$A$1:$BZ$3001,2563,$C$1)&amp;"",",",""),"¥",""),"￥","")),0))</f>
        <v/>
      </c>
      <c r="D2564">
        <f>IF($D$1=0,0,IFERROR(VALUE(SUBSTITUTE(SUBSTITUTE(SUBSTITUTE(INDEX(貼り付け!$A$1:$BZ$3001,2563,$D$1)&amp;"",",",""),"¥",""),"￥","")),0))</f>
        <v/>
      </c>
      <c r="E2564">
        <f>IF($E$1=0,0,IFERROR(VALUE(SUBSTITUTE(SUBSTITUTE(SUBSTITUTE(INDEX(貼り付け!$A$1:$BZ$3001,2563,$E$1)&amp;"",",",""),"¥",""),"￥","")),0))</f>
        <v/>
      </c>
      <c r="F2564">
        <f>IF($F$1=0,0,IFERROR(VALUE(SUBSTITUTE(SUBSTITUTE(SUBSTITUTE(INDEX(貼り付け!$A$1:$BZ$3001,2563,$F$1)&amp;"",",",""),"¥",""),"￥","")),0))</f>
        <v/>
      </c>
      <c r="G2564">
        <f>IF(ISNUMBER(B2564),YEAR(B2564),"")</f>
        <v/>
      </c>
      <c r="H2564">
        <f>IF(ISNUMBER(B2564),MONTH(B2564),"")</f>
        <v/>
      </c>
      <c r="I2564">
        <f>IFERROR(IF($B$1=0,"",IF(ISNUMBER(INDEX(貼り付け!$A$1:$BZ$3001,2563,$B$1)),"",SUBSTITUTE(SUBSTITUTE(SUBSTITUTE(SUBSTITUTE(TRIM(LEFT(INDEX(貼り付け!$A$1:$BZ$3001,2563,$B$1)&amp;"",FIND(" ",TRIM(INDEX(貼り付け!$A$1:$BZ$3001,2563,$B$1)&amp;"")&amp;" ")-1)),"/","-"),"年","-"),"月","-"),"日",""))),"")</f>
        <v/>
      </c>
      <c r="J2564">
        <f>IFERROR(MID(I2564,FIND("-",I2564)+1,99),"")</f>
        <v/>
      </c>
    </row>
    <row r="2565">
      <c r="B2565">
        <f>IFERROR(IF($B$1=0,"",IF(INDEX(貼り付け!$A$1:$BZ$3001,2564,$B$1)="","",IF(ISNUMBER(INDEX(貼り付け!$A$1:$BZ$3001,2564,$B$1)),INT(INDEX(貼り付け!$A$1:$BZ$3001,2564,$B$1)),DATE(VALUE(LEFT(I2565,FIND("-",I2565)-1)),VALUE(LEFT(J2565,FIND("-",J2565)-1)),VALUE(MID(J2565,FIND("-",J2565)+1,99)))))),"")</f>
        <v/>
      </c>
      <c r="C2565">
        <f>IF($C$1=0,0,IFERROR(VALUE(SUBSTITUTE(SUBSTITUTE(SUBSTITUTE(INDEX(貼り付け!$A$1:$BZ$3001,2564,$C$1)&amp;"",",",""),"¥",""),"￥","")),0))</f>
        <v/>
      </c>
      <c r="D2565">
        <f>IF($D$1=0,0,IFERROR(VALUE(SUBSTITUTE(SUBSTITUTE(SUBSTITUTE(INDEX(貼り付け!$A$1:$BZ$3001,2564,$D$1)&amp;"",",",""),"¥",""),"￥","")),0))</f>
        <v/>
      </c>
      <c r="E2565">
        <f>IF($E$1=0,0,IFERROR(VALUE(SUBSTITUTE(SUBSTITUTE(SUBSTITUTE(INDEX(貼り付け!$A$1:$BZ$3001,2564,$E$1)&amp;"",",",""),"¥",""),"￥","")),0))</f>
        <v/>
      </c>
      <c r="F2565">
        <f>IF($F$1=0,0,IFERROR(VALUE(SUBSTITUTE(SUBSTITUTE(SUBSTITUTE(INDEX(貼り付け!$A$1:$BZ$3001,2564,$F$1)&amp;"",",",""),"¥",""),"￥","")),0))</f>
        <v/>
      </c>
      <c r="G2565">
        <f>IF(ISNUMBER(B2565),YEAR(B2565),"")</f>
        <v/>
      </c>
      <c r="H2565">
        <f>IF(ISNUMBER(B2565),MONTH(B2565),"")</f>
        <v/>
      </c>
      <c r="I2565">
        <f>IFERROR(IF($B$1=0,"",IF(ISNUMBER(INDEX(貼り付け!$A$1:$BZ$3001,2564,$B$1)),"",SUBSTITUTE(SUBSTITUTE(SUBSTITUTE(SUBSTITUTE(TRIM(LEFT(INDEX(貼り付け!$A$1:$BZ$3001,2564,$B$1)&amp;"",FIND(" ",TRIM(INDEX(貼り付け!$A$1:$BZ$3001,2564,$B$1)&amp;"")&amp;" ")-1)),"/","-"),"年","-"),"月","-"),"日",""))),"")</f>
        <v/>
      </c>
      <c r="J2565">
        <f>IFERROR(MID(I2565,FIND("-",I2565)+1,99),"")</f>
        <v/>
      </c>
    </row>
    <row r="2566">
      <c r="B2566">
        <f>IFERROR(IF($B$1=0,"",IF(INDEX(貼り付け!$A$1:$BZ$3001,2565,$B$1)="","",IF(ISNUMBER(INDEX(貼り付け!$A$1:$BZ$3001,2565,$B$1)),INT(INDEX(貼り付け!$A$1:$BZ$3001,2565,$B$1)),DATE(VALUE(LEFT(I2566,FIND("-",I2566)-1)),VALUE(LEFT(J2566,FIND("-",J2566)-1)),VALUE(MID(J2566,FIND("-",J2566)+1,99)))))),"")</f>
        <v/>
      </c>
      <c r="C2566">
        <f>IF($C$1=0,0,IFERROR(VALUE(SUBSTITUTE(SUBSTITUTE(SUBSTITUTE(INDEX(貼り付け!$A$1:$BZ$3001,2565,$C$1)&amp;"",",",""),"¥",""),"￥","")),0))</f>
        <v/>
      </c>
      <c r="D2566">
        <f>IF($D$1=0,0,IFERROR(VALUE(SUBSTITUTE(SUBSTITUTE(SUBSTITUTE(INDEX(貼り付け!$A$1:$BZ$3001,2565,$D$1)&amp;"",",",""),"¥",""),"￥","")),0))</f>
        <v/>
      </c>
      <c r="E2566">
        <f>IF($E$1=0,0,IFERROR(VALUE(SUBSTITUTE(SUBSTITUTE(SUBSTITUTE(INDEX(貼り付け!$A$1:$BZ$3001,2565,$E$1)&amp;"",",",""),"¥",""),"￥","")),0))</f>
        <v/>
      </c>
      <c r="F2566">
        <f>IF($F$1=0,0,IFERROR(VALUE(SUBSTITUTE(SUBSTITUTE(SUBSTITUTE(INDEX(貼り付け!$A$1:$BZ$3001,2565,$F$1)&amp;"",",",""),"¥",""),"￥","")),0))</f>
        <v/>
      </c>
      <c r="G2566">
        <f>IF(ISNUMBER(B2566),YEAR(B2566),"")</f>
        <v/>
      </c>
      <c r="H2566">
        <f>IF(ISNUMBER(B2566),MONTH(B2566),"")</f>
        <v/>
      </c>
      <c r="I2566">
        <f>IFERROR(IF($B$1=0,"",IF(ISNUMBER(INDEX(貼り付け!$A$1:$BZ$3001,2565,$B$1)),"",SUBSTITUTE(SUBSTITUTE(SUBSTITUTE(SUBSTITUTE(TRIM(LEFT(INDEX(貼り付け!$A$1:$BZ$3001,2565,$B$1)&amp;"",FIND(" ",TRIM(INDEX(貼り付け!$A$1:$BZ$3001,2565,$B$1)&amp;"")&amp;" ")-1)),"/","-"),"年","-"),"月","-"),"日",""))),"")</f>
        <v/>
      </c>
      <c r="J2566">
        <f>IFERROR(MID(I2566,FIND("-",I2566)+1,99),"")</f>
        <v/>
      </c>
    </row>
    <row r="2567">
      <c r="B2567">
        <f>IFERROR(IF($B$1=0,"",IF(INDEX(貼り付け!$A$1:$BZ$3001,2566,$B$1)="","",IF(ISNUMBER(INDEX(貼り付け!$A$1:$BZ$3001,2566,$B$1)),INT(INDEX(貼り付け!$A$1:$BZ$3001,2566,$B$1)),DATE(VALUE(LEFT(I2567,FIND("-",I2567)-1)),VALUE(LEFT(J2567,FIND("-",J2567)-1)),VALUE(MID(J2567,FIND("-",J2567)+1,99)))))),"")</f>
        <v/>
      </c>
      <c r="C2567">
        <f>IF($C$1=0,0,IFERROR(VALUE(SUBSTITUTE(SUBSTITUTE(SUBSTITUTE(INDEX(貼り付け!$A$1:$BZ$3001,2566,$C$1)&amp;"",",",""),"¥",""),"￥","")),0))</f>
        <v/>
      </c>
      <c r="D2567">
        <f>IF($D$1=0,0,IFERROR(VALUE(SUBSTITUTE(SUBSTITUTE(SUBSTITUTE(INDEX(貼り付け!$A$1:$BZ$3001,2566,$D$1)&amp;"",",",""),"¥",""),"￥","")),0))</f>
        <v/>
      </c>
      <c r="E2567">
        <f>IF($E$1=0,0,IFERROR(VALUE(SUBSTITUTE(SUBSTITUTE(SUBSTITUTE(INDEX(貼り付け!$A$1:$BZ$3001,2566,$E$1)&amp;"",",",""),"¥",""),"￥","")),0))</f>
        <v/>
      </c>
      <c r="F2567">
        <f>IF($F$1=0,0,IFERROR(VALUE(SUBSTITUTE(SUBSTITUTE(SUBSTITUTE(INDEX(貼り付け!$A$1:$BZ$3001,2566,$F$1)&amp;"",",",""),"¥",""),"￥","")),0))</f>
        <v/>
      </c>
      <c r="G2567">
        <f>IF(ISNUMBER(B2567),YEAR(B2567),"")</f>
        <v/>
      </c>
      <c r="H2567">
        <f>IF(ISNUMBER(B2567),MONTH(B2567),"")</f>
        <v/>
      </c>
      <c r="I2567">
        <f>IFERROR(IF($B$1=0,"",IF(ISNUMBER(INDEX(貼り付け!$A$1:$BZ$3001,2566,$B$1)),"",SUBSTITUTE(SUBSTITUTE(SUBSTITUTE(SUBSTITUTE(TRIM(LEFT(INDEX(貼り付け!$A$1:$BZ$3001,2566,$B$1)&amp;"",FIND(" ",TRIM(INDEX(貼り付け!$A$1:$BZ$3001,2566,$B$1)&amp;"")&amp;" ")-1)),"/","-"),"年","-"),"月","-"),"日",""))),"")</f>
        <v/>
      </c>
      <c r="J2567">
        <f>IFERROR(MID(I2567,FIND("-",I2567)+1,99),"")</f>
        <v/>
      </c>
    </row>
    <row r="2568">
      <c r="B2568">
        <f>IFERROR(IF($B$1=0,"",IF(INDEX(貼り付け!$A$1:$BZ$3001,2567,$B$1)="","",IF(ISNUMBER(INDEX(貼り付け!$A$1:$BZ$3001,2567,$B$1)),INT(INDEX(貼り付け!$A$1:$BZ$3001,2567,$B$1)),DATE(VALUE(LEFT(I2568,FIND("-",I2568)-1)),VALUE(LEFT(J2568,FIND("-",J2568)-1)),VALUE(MID(J2568,FIND("-",J2568)+1,99)))))),"")</f>
        <v/>
      </c>
      <c r="C2568">
        <f>IF($C$1=0,0,IFERROR(VALUE(SUBSTITUTE(SUBSTITUTE(SUBSTITUTE(INDEX(貼り付け!$A$1:$BZ$3001,2567,$C$1)&amp;"",",",""),"¥",""),"￥","")),0))</f>
        <v/>
      </c>
      <c r="D2568">
        <f>IF($D$1=0,0,IFERROR(VALUE(SUBSTITUTE(SUBSTITUTE(SUBSTITUTE(INDEX(貼り付け!$A$1:$BZ$3001,2567,$D$1)&amp;"",",",""),"¥",""),"￥","")),0))</f>
        <v/>
      </c>
      <c r="E2568">
        <f>IF($E$1=0,0,IFERROR(VALUE(SUBSTITUTE(SUBSTITUTE(SUBSTITUTE(INDEX(貼り付け!$A$1:$BZ$3001,2567,$E$1)&amp;"",",",""),"¥",""),"￥","")),0))</f>
        <v/>
      </c>
      <c r="F2568">
        <f>IF($F$1=0,0,IFERROR(VALUE(SUBSTITUTE(SUBSTITUTE(SUBSTITUTE(INDEX(貼り付け!$A$1:$BZ$3001,2567,$F$1)&amp;"",",",""),"¥",""),"￥","")),0))</f>
        <v/>
      </c>
      <c r="G2568">
        <f>IF(ISNUMBER(B2568),YEAR(B2568),"")</f>
        <v/>
      </c>
      <c r="H2568">
        <f>IF(ISNUMBER(B2568),MONTH(B2568),"")</f>
        <v/>
      </c>
      <c r="I2568">
        <f>IFERROR(IF($B$1=0,"",IF(ISNUMBER(INDEX(貼り付け!$A$1:$BZ$3001,2567,$B$1)),"",SUBSTITUTE(SUBSTITUTE(SUBSTITUTE(SUBSTITUTE(TRIM(LEFT(INDEX(貼り付け!$A$1:$BZ$3001,2567,$B$1)&amp;"",FIND(" ",TRIM(INDEX(貼り付け!$A$1:$BZ$3001,2567,$B$1)&amp;"")&amp;" ")-1)),"/","-"),"年","-"),"月","-"),"日",""))),"")</f>
        <v/>
      </c>
      <c r="J2568">
        <f>IFERROR(MID(I2568,FIND("-",I2568)+1,99),"")</f>
        <v/>
      </c>
    </row>
    <row r="2569">
      <c r="B2569">
        <f>IFERROR(IF($B$1=0,"",IF(INDEX(貼り付け!$A$1:$BZ$3001,2568,$B$1)="","",IF(ISNUMBER(INDEX(貼り付け!$A$1:$BZ$3001,2568,$B$1)),INT(INDEX(貼り付け!$A$1:$BZ$3001,2568,$B$1)),DATE(VALUE(LEFT(I2569,FIND("-",I2569)-1)),VALUE(LEFT(J2569,FIND("-",J2569)-1)),VALUE(MID(J2569,FIND("-",J2569)+1,99)))))),"")</f>
        <v/>
      </c>
      <c r="C2569">
        <f>IF($C$1=0,0,IFERROR(VALUE(SUBSTITUTE(SUBSTITUTE(SUBSTITUTE(INDEX(貼り付け!$A$1:$BZ$3001,2568,$C$1)&amp;"",",",""),"¥",""),"￥","")),0))</f>
        <v/>
      </c>
      <c r="D2569">
        <f>IF($D$1=0,0,IFERROR(VALUE(SUBSTITUTE(SUBSTITUTE(SUBSTITUTE(INDEX(貼り付け!$A$1:$BZ$3001,2568,$D$1)&amp;"",",",""),"¥",""),"￥","")),0))</f>
        <v/>
      </c>
      <c r="E2569">
        <f>IF($E$1=0,0,IFERROR(VALUE(SUBSTITUTE(SUBSTITUTE(SUBSTITUTE(INDEX(貼り付け!$A$1:$BZ$3001,2568,$E$1)&amp;"",",",""),"¥",""),"￥","")),0))</f>
        <v/>
      </c>
      <c r="F2569">
        <f>IF($F$1=0,0,IFERROR(VALUE(SUBSTITUTE(SUBSTITUTE(SUBSTITUTE(INDEX(貼り付け!$A$1:$BZ$3001,2568,$F$1)&amp;"",",",""),"¥",""),"￥","")),0))</f>
        <v/>
      </c>
      <c r="G2569">
        <f>IF(ISNUMBER(B2569),YEAR(B2569),"")</f>
        <v/>
      </c>
      <c r="H2569">
        <f>IF(ISNUMBER(B2569),MONTH(B2569),"")</f>
        <v/>
      </c>
      <c r="I2569">
        <f>IFERROR(IF($B$1=0,"",IF(ISNUMBER(INDEX(貼り付け!$A$1:$BZ$3001,2568,$B$1)),"",SUBSTITUTE(SUBSTITUTE(SUBSTITUTE(SUBSTITUTE(TRIM(LEFT(INDEX(貼り付け!$A$1:$BZ$3001,2568,$B$1)&amp;"",FIND(" ",TRIM(INDEX(貼り付け!$A$1:$BZ$3001,2568,$B$1)&amp;"")&amp;" ")-1)),"/","-"),"年","-"),"月","-"),"日",""))),"")</f>
        <v/>
      </c>
      <c r="J2569">
        <f>IFERROR(MID(I2569,FIND("-",I2569)+1,99),"")</f>
        <v/>
      </c>
    </row>
    <row r="2570">
      <c r="B2570">
        <f>IFERROR(IF($B$1=0,"",IF(INDEX(貼り付け!$A$1:$BZ$3001,2569,$B$1)="","",IF(ISNUMBER(INDEX(貼り付け!$A$1:$BZ$3001,2569,$B$1)),INT(INDEX(貼り付け!$A$1:$BZ$3001,2569,$B$1)),DATE(VALUE(LEFT(I2570,FIND("-",I2570)-1)),VALUE(LEFT(J2570,FIND("-",J2570)-1)),VALUE(MID(J2570,FIND("-",J2570)+1,99)))))),"")</f>
        <v/>
      </c>
      <c r="C2570">
        <f>IF($C$1=0,0,IFERROR(VALUE(SUBSTITUTE(SUBSTITUTE(SUBSTITUTE(INDEX(貼り付け!$A$1:$BZ$3001,2569,$C$1)&amp;"",",",""),"¥",""),"￥","")),0))</f>
        <v/>
      </c>
      <c r="D2570">
        <f>IF($D$1=0,0,IFERROR(VALUE(SUBSTITUTE(SUBSTITUTE(SUBSTITUTE(INDEX(貼り付け!$A$1:$BZ$3001,2569,$D$1)&amp;"",",",""),"¥",""),"￥","")),0))</f>
        <v/>
      </c>
      <c r="E2570">
        <f>IF($E$1=0,0,IFERROR(VALUE(SUBSTITUTE(SUBSTITUTE(SUBSTITUTE(INDEX(貼り付け!$A$1:$BZ$3001,2569,$E$1)&amp;"",",",""),"¥",""),"￥","")),0))</f>
        <v/>
      </c>
      <c r="F2570">
        <f>IF($F$1=0,0,IFERROR(VALUE(SUBSTITUTE(SUBSTITUTE(SUBSTITUTE(INDEX(貼り付け!$A$1:$BZ$3001,2569,$F$1)&amp;"",",",""),"¥",""),"￥","")),0))</f>
        <v/>
      </c>
      <c r="G2570">
        <f>IF(ISNUMBER(B2570),YEAR(B2570),"")</f>
        <v/>
      </c>
      <c r="H2570">
        <f>IF(ISNUMBER(B2570),MONTH(B2570),"")</f>
        <v/>
      </c>
      <c r="I2570">
        <f>IFERROR(IF($B$1=0,"",IF(ISNUMBER(INDEX(貼り付け!$A$1:$BZ$3001,2569,$B$1)),"",SUBSTITUTE(SUBSTITUTE(SUBSTITUTE(SUBSTITUTE(TRIM(LEFT(INDEX(貼り付け!$A$1:$BZ$3001,2569,$B$1)&amp;"",FIND(" ",TRIM(INDEX(貼り付け!$A$1:$BZ$3001,2569,$B$1)&amp;"")&amp;" ")-1)),"/","-"),"年","-"),"月","-"),"日",""))),"")</f>
        <v/>
      </c>
      <c r="J2570">
        <f>IFERROR(MID(I2570,FIND("-",I2570)+1,99),"")</f>
        <v/>
      </c>
    </row>
    <row r="2571">
      <c r="B2571">
        <f>IFERROR(IF($B$1=0,"",IF(INDEX(貼り付け!$A$1:$BZ$3001,2570,$B$1)="","",IF(ISNUMBER(INDEX(貼り付け!$A$1:$BZ$3001,2570,$B$1)),INT(INDEX(貼り付け!$A$1:$BZ$3001,2570,$B$1)),DATE(VALUE(LEFT(I2571,FIND("-",I2571)-1)),VALUE(LEFT(J2571,FIND("-",J2571)-1)),VALUE(MID(J2571,FIND("-",J2571)+1,99)))))),"")</f>
        <v/>
      </c>
      <c r="C2571">
        <f>IF($C$1=0,0,IFERROR(VALUE(SUBSTITUTE(SUBSTITUTE(SUBSTITUTE(INDEX(貼り付け!$A$1:$BZ$3001,2570,$C$1)&amp;"",",",""),"¥",""),"￥","")),0))</f>
        <v/>
      </c>
      <c r="D2571">
        <f>IF($D$1=0,0,IFERROR(VALUE(SUBSTITUTE(SUBSTITUTE(SUBSTITUTE(INDEX(貼り付け!$A$1:$BZ$3001,2570,$D$1)&amp;"",",",""),"¥",""),"￥","")),0))</f>
        <v/>
      </c>
      <c r="E2571">
        <f>IF($E$1=0,0,IFERROR(VALUE(SUBSTITUTE(SUBSTITUTE(SUBSTITUTE(INDEX(貼り付け!$A$1:$BZ$3001,2570,$E$1)&amp;"",",",""),"¥",""),"￥","")),0))</f>
        <v/>
      </c>
      <c r="F2571">
        <f>IF($F$1=0,0,IFERROR(VALUE(SUBSTITUTE(SUBSTITUTE(SUBSTITUTE(INDEX(貼り付け!$A$1:$BZ$3001,2570,$F$1)&amp;"",",",""),"¥",""),"￥","")),0))</f>
        <v/>
      </c>
      <c r="G2571">
        <f>IF(ISNUMBER(B2571),YEAR(B2571),"")</f>
        <v/>
      </c>
      <c r="H2571">
        <f>IF(ISNUMBER(B2571),MONTH(B2571),"")</f>
        <v/>
      </c>
      <c r="I2571">
        <f>IFERROR(IF($B$1=0,"",IF(ISNUMBER(INDEX(貼り付け!$A$1:$BZ$3001,2570,$B$1)),"",SUBSTITUTE(SUBSTITUTE(SUBSTITUTE(SUBSTITUTE(TRIM(LEFT(INDEX(貼り付け!$A$1:$BZ$3001,2570,$B$1)&amp;"",FIND(" ",TRIM(INDEX(貼り付け!$A$1:$BZ$3001,2570,$B$1)&amp;"")&amp;" ")-1)),"/","-"),"年","-"),"月","-"),"日",""))),"")</f>
        <v/>
      </c>
      <c r="J2571">
        <f>IFERROR(MID(I2571,FIND("-",I2571)+1,99),"")</f>
        <v/>
      </c>
    </row>
    <row r="2572">
      <c r="B2572">
        <f>IFERROR(IF($B$1=0,"",IF(INDEX(貼り付け!$A$1:$BZ$3001,2571,$B$1)="","",IF(ISNUMBER(INDEX(貼り付け!$A$1:$BZ$3001,2571,$B$1)),INT(INDEX(貼り付け!$A$1:$BZ$3001,2571,$B$1)),DATE(VALUE(LEFT(I2572,FIND("-",I2572)-1)),VALUE(LEFT(J2572,FIND("-",J2572)-1)),VALUE(MID(J2572,FIND("-",J2572)+1,99)))))),"")</f>
        <v/>
      </c>
      <c r="C2572">
        <f>IF($C$1=0,0,IFERROR(VALUE(SUBSTITUTE(SUBSTITUTE(SUBSTITUTE(INDEX(貼り付け!$A$1:$BZ$3001,2571,$C$1)&amp;"",",",""),"¥",""),"￥","")),0))</f>
        <v/>
      </c>
      <c r="D2572">
        <f>IF($D$1=0,0,IFERROR(VALUE(SUBSTITUTE(SUBSTITUTE(SUBSTITUTE(INDEX(貼り付け!$A$1:$BZ$3001,2571,$D$1)&amp;"",",",""),"¥",""),"￥","")),0))</f>
        <v/>
      </c>
      <c r="E2572">
        <f>IF($E$1=0,0,IFERROR(VALUE(SUBSTITUTE(SUBSTITUTE(SUBSTITUTE(INDEX(貼り付け!$A$1:$BZ$3001,2571,$E$1)&amp;"",",",""),"¥",""),"￥","")),0))</f>
        <v/>
      </c>
      <c r="F2572">
        <f>IF($F$1=0,0,IFERROR(VALUE(SUBSTITUTE(SUBSTITUTE(SUBSTITUTE(INDEX(貼り付け!$A$1:$BZ$3001,2571,$F$1)&amp;"",",",""),"¥",""),"￥","")),0))</f>
        <v/>
      </c>
      <c r="G2572">
        <f>IF(ISNUMBER(B2572),YEAR(B2572),"")</f>
        <v/>
      </c>
      <c r="H2572">
        <f>IF(ISNUMBER(B2572),MONTH(B2572),"")</f>
        <v/>
      </c>
      <c r="I2572">
        <f>IFERROR(IF($B$1=0,"",IF(ISNUMBER(INDEX(貼り付け!$A$1:$BZ$3001,2571,$B$1)),"",SUBSTITUTE(SUBSTITUTE(SUBSTITUTE(SUBSTITUTE(TRIM(LEFT(INDEX(貼り付け!$A$1:$BZ$3001,2571,$B$1)&amp;"",FIND(" ",TRIM(INDEX(貼り付け!$A$1:$BZ$3001,2571,$B$1)&amp;"")&amp;" ")-1)),"/","-"),"年","-"),"月","-"),"日",""))),"")</f>
        <v/>
      </c>
      <c r="J2572">
        <f>IFERROR(MID(I2572,FIND("-",I2572)+1,99),"")</f>
        <v/>
      </c>
    </row>
    <row r="2573">
      <c r="B2573">
        <f>IFERROR(IF($B$1=0,"",IF(INDEX(貼り付け!$A$1:$BZ$3001,2572,$B$1)="","",IF(ISNUMBER(INDEX(貼り付け!$A$1:$BZ$3001,2572,$B$1)),INT(INDEX(貼り付け!$A$1:$BZ$3001,2572,$B$1)),DATE(VALUE(LEFT(I2573,FIND("-",I2573)-1)),VALUE(LEFT(J2573,FIND("-",J2573)-1)),VALUE(MID(J2573,FIND("-",J2573)+1,99)))))),"")</f>
        <v/>
      </c>
      <c r="C2573">
        <f>IF($C$1=0,0,IFERROR(VALUE(SUBSTITUTE(SUBSTITUTE(SUBSTITUTE(INDEX(貼り付け!$A$1:$BZ$3001,2572,$C$1)&amp;"",",",""),"¥",""),"￥","")),0))</f>
        <v/>
      </c>
      <c r="D2573">
        <f>IF($D$1=0,0,IFERROR(VALUE(SUBSTITUTE(SUBSTITUTE(SUBSTITUTE(INDEX(貼り付け!$A$1:$BZ$3001,2572,$D$1)&amp;"",",",""),"¥",""),"￥","")),0))</f>
        <v/>
      </c>
      <c r="E2573">
        <f>IF($E$1=0,0,IFERROR(VALUE(SUBSTITUTE(SUBSTITUTE(SUBSTITUTE(INDEX(貼り付け!$A$1:$BZ$3001,2572,$E$1)&amp;"",",",""),"¥",""),"￥","")),0))</f>
        <v/>
      </c>
      <c r="F2573">
        <f>IF($F$1=0,0,IFERROR(VALUE(SUBSTITUTE(SUBSTITUTE(SUBSTITUTE(INDEX(貼り付け!$A$1:$BZ$3001,2572,$F$1)&amp;"",",",""),"¥",""),"￥","")),0))</f>
        <v/>
      </c>
      <c r="G2573">
        <f>IF(ISNUMBER(B2573),YEAR(B2573),"")</f>
        <v/>
      </c>
      <c r="H2573">
        <f>IF(ISNUMBER(B2573),MONTH(B2573),"")</f>
        <v/>
      </c>
      <c r="I2573">
        <f>IFERROR(IF($B$1=0,"",IF(ISNUMBER(INDEX(貼り付け!$A$1:$BZ$3001,2572,$B$1)),"",SUBSTITUTE(SUBSTITUTE(SUBSTITUTE(SUBSTITUTE(TRIM(LEFT(INDEX(貼り付け!$A$1:$BZ$3001,2572,$B$1)&amp;"",FIND(" ",TRIM(INDEX(貼り付け!$A$1:$BZ$3001,2572,$B$1)&amp;"")&amp;" ")-1)),"/","-"),"年","-"),"月","-"),"日",""))),"")</f>
        <v/>
      </c>
      <c r="J2573">
        <f>IFERROR(MID(I2573,FIND("-",I2573)+1,99),"")</f>
        <v/>
      </c>
    </row>
    <row r="2574">
      <c r="B2574">
        <f>IFERROR(IF($B$1=0,"",IF(INDEX(貼り付け!$A$1:$BZ$3001,2573,$B$1)="","",IF(ISNUMBER(INDEX(貼り付け!$A$1:$BZ$3001,2573,$B$1)),INT(INDEX(貼り付け!$A$1:$BZ$3001,2573,$B$1)),DATE(VALUE(LEFT(I2574,FIND("-",I2574)-1)),VALUE(LEFT(J2574,FIND("-",J2574)-1)),VALUE(MID(J2574,FIND("-",J2574)+1,99)))))),"")</f>
        <v/>
      </c>
      <c r="C2574">
        <f>IF($C$1=0,0,IFERROR(VALUE(SUBSTITUTE(SUBSTITUTE(SUBSTITUTE(INDEX(貼り付け!$A$1:$BZ$3001,2573,$C$1)&amp;"",",",""),"¥",""),"￥","")),0))</f>
        <v/>
      </c>
      <c r="D2574">
        <f>IF($D$1=0,0,IFERROR(VALUE(SUBSTITUTE(SUBSTITUTE(SUBSTITUTE(INDEX(貼り付け!$A$1:$BZ$3001,2573,$D$1)&amp;"",",",""),"¥",""),"￥","")),0))</f>
        <v/>
      </c>
      <c r="E2574">
        <f>IF($E$1=0,0,IFERROR(VALUE(SUBSTITUTE(SUBSTITUTE(SUBSTITUTE(INDEX(貼り付け!$A$1:$BZ$3001,2573,$E$1)&amp;"",",",""),"¥",""),"￥","")),0))</f>
        <v/>
      </c>
      <c r="F2574">
        <f>IF($F$1=0,0,IFERROR(VALUE(SUBSTITUTE(SUBSTITUTE(SUBSTITUTE(INDEX(貼り付け!$A$1:$BZ$3001,2573,$F$1)&amp;"",",",""),"¥",""),"￥","")),0))</f>
        <v/>
      </c>
      <c r="G2574">
        <f>IF(ISNUMBER(B2574),YEAR(B2574),"")</f>
        <v/>
      </c>
      <c r="H2574">
        <f>IF(ISNUMBER(B2574),MONTH(B2574),"")</f>
        <v/>
      </c>
      <c r="I2574">
        <f>IFERROR(IF($B$1=0,"",IF(ISNUMBER(INDEX(貼り付け!$A$1:$BZ$3001,2573,$B$1)),"",SUBSTITUTE(SUBSTITUTE(SUBSTITUTE(SUBSTITUTE(TRIM(LEFT(INDEX(貼り付け!$A$1:$BZ$3001,2573,$B$1)&amp;"",FIND(" ",TRIM(INDEX(貼り付け!$A$1:$BZ$3001,2573,$B$1)&amp;"")&amp;" ")-1)),"/","-"),"年","-"),"月","-"),"日",""))),"")</f>
        <v/>
      </c>
      <c r="J2574">
        <f>IFERROR(MID(I2574,FIND("-",I2574)+1,99),"")</f>
        <v/>
      </c>
    </row>
    <row r="2575">
      <c r="B2575">
        <f>IFERROR(IF($B$1=0,"",IF(INDEX(貼り付け!$A$1:$BZ$3001,2574,$B$1)="","",IF(ISNUMBER(INDEX(貼り付け!$A$1:$BZ$3001,2574,$B$1)),INT(INDEX(貼り付け!$A$1:$BZ$3001,2574,$B$1)),DATE(VALUE(LEFT(I2575,FIND("-",I2575)-1)),VALUE(LEFT(J2575,FIND("-",J2575)-1)),VALUE(MID(J2575,FIND("-",J2575)+1,99)))))),"")</f>
        <v/>
      </c>
      <c r="C2575">
        <f>IF($C$1=0,0,IFERROR(VALUE(SUBSTITUTE(SUBSTITUTE(SUBSTITUTE(INDEX(貼り付け!$A$1:$BZ$3001,2574,$C$1)&amp;"",",",""),"¥",""),"￥","")),0))</f>
        <v/>
      </c>
      <c r="D2575">
        <f>IF($D$1=0,0,IFERROR(VALUE(SUBSTITUTE(SUBSTITUTE(SUBSTITUTE(INDEX(貼り付け!$A$1:$BZ$3001,2574,$D$1)&amp;"",",",""),"¥",""),"￥","")),0))</f>
        <v/>
      </c>
      <c r="E2575">
        <f>IF($E$1=0,0,IFERROR(VALUE(SUBSTITUTE(SUBSTITUTE(SUBSTITUTE(INDEX(貼り付け!$A$1:$BZ$3001,2574,$E$1)&amp;"",",",""),"¥",""),"￥","")),0))</f>
        <v/>
      </c>
      <c r="F2575">
        <f>IF($F$1=0,0,IFERROR(VALUE(SUBSTITUTE(SUBSTITUTE(SUBSTITUTE(INDEX(貼り付け!$A$1:$BZ$3001,2574,$F$1)&amp;"",",",""),"¥",""),"￥","")),0))</f>
        <v/>
      </c>
      <c r="G2575">
        <f>IF(ISNUMBER(B2575),YEAR(B2575),"")</f>
        <v/>
      </c>
      <c r="H2575">
        <f>IF(ISNUMBER(B2575),MONTH(B2575),"")</f>
        <v/>
      </c>
      <c r="I2575">
        <f>IFERROR(IF($B$1=0,"",IF(ISNUMBER(INDEX(貼り付け!$A$1:$BZ$3001,2574,$B$1)),"",SUBSTITUTE(SUBSTITUTE(SUBSTITUTE(SUBSTITUTE(TRIM(LEFT(INDEX(貼り付け!$A$1:$BZ$3001,2574,$B$1)&amp;"",FIND(" ",TRIM(INDEX(貼り付け!$A$1:$BZ$3001,2574,$B$1)&amp;"")&amp;" ")-1)),"/","-"),"年","-"),"月","-"),"日",""))),"")</f>
        <v/>
      </c>
      <c r="J2575">
        <f>IFERROR(MID(I2575,FIND("-",I2575)+1,99),"")</f>
        <v/>
      </c>
    </row>
    <row r="2576">
      <c r="B2576">
        <f>IFERROR(IF($B$1=0,"",IF(INDEX(貼り付け!$A$1:$BZ$3001,2575,$B$1)="","",IF(ISNUMBER(INDEX(貼り付け!$A$1:$BZ$3001,2575,$B$1)),INT(INDEX(貼り付け!$A$1:$BZ$3001,2575,$B$1)),DATE(VALUE(LEFT(I2576,FIND("-",I2576)-1)),VALUE(LEFT(J2576,FIND("-",J2576)-1)),VALUE(MID(J2576,FIND("-",J2576)+1,99)))))),"")</f>
        <v/>
      </c>
      <c r="C2576">
        <f>IF($C$1=0,0,IFERROR(VALUE(SUBSTITUTE(SUBSTITUTE(SUBSTITUTE(INDEX(貼り付け!$A$1:$BZ$3001,2575,$C$1)&amp;"",",",""),"¥",""),"￥","")),0))</f>
        <v/>
      </c>
      <c r="D2576">
        <f>IF($D$1=0,0,IFERROR(VALUE(SUBSTITUTE(SUBSTITUTE(SUBSTITUTE(INDEX(貼り付け!$A$1:$BZ$3001,2575,$D$1)&amp;"",",",""),"¥",""),"￥","")),0))</f>
        <v/>
      </c>
      <c r="E2576">
        <f>IF($E$1=0,0,IFERROR(VALUE(SUBSTITUTE(SUBSTITUTE(SUBSTITUTE(INDEX(貼り付け!$A$1:$BZ$3001,2575,$E$1)&amp;"",",",""),"¥",""),"￥","")),0))</f>
        <v/>
      </c>
      <c r="F2576">
        <f>IF($F$1=0,0,IFERROR(VALUE(SUBSTITUTE(SUBSTITUTE(SUBSTITUTE(INDEX(貼り付け!$A$1:$BZ$3001,2575,$F$1)&amp;"",",",""),"¥",""),"￥","")),0))</f>
        <v/>
      </c>
      <c r="G2576">
        <f>IF(ISNUMBER(B2576),YEAR(B2576),"")</f>
        <v/>
      </c>
      <c r="H2576">
        <f>IF(ISNUMBER(B2576),MONTH(B2576),"")</f>
        <v/>
      </c>
      <c r="I2576">
        <f>IFERROR(IF($B$1=0,"",IF(ISNUMBER(INDEX(貼り付け!$A$1:$BZ$3001,2575,$B$1)),"",SUBSTITUTE(SUBSTITUTE(SUBSTITUTE(SUBSTITUTE(TRIM(LEFT(INDEX(貼り付け!$A$1:$BZ$3001,2575,$B$1)&amp;"",FIND(" ",TRIM(INDEX(貼り付け!$A$1:$BZ$3001,2575,$B$1)&amp;"")&amp;" ")-1)),"/","-"),"年","-"),"月","-"),"日",""))),"")</f>
        <v/>
      </c>
      <c r="J2576">
        <f>IFERROR(MID(I2576,FIND("-",I2576)+1,99),"")</f>
        <v/>
      </c>
    </row>
    <row r="2577">
      <c r="B2577">
        <f>IFERROR(IF($B$1=0,"",IF(INDEX(貼り付け!$A$1:$BZ$3001,2576,$B$1)="","",IF(ISNUMBER(INDEX(貼り付け!$A$1:$BZ$3001,2576,$B$1)),INT(INDEX(貼り付け!$A$1:$BZ$3001,2576,$B$1)),DATE(VALUE(LEFT(I2577,FIND("-",I2577)-1)),VALUE(LEFT(J2577,FIND("-",J2577)-1)),VALUE(MID(J2577,FIND("-",J2577)+1,99)))))),"")</f>
        <v/>
      </c>
      <c r="C2577">
        <f>IF($C$1=0,0,IFERROR(VALUE(SUBSTITUTE(SUBSTITUTE(SUBSTITUTE(INDEX(貼り付け!$A$1:$BZ$3001,2576,$C$1)&amp;"",",",""),"¥",""),"￥","")),0))</f>
        <v/>
      </c>
      <c r="D2577">
        <f>IF($D$1=0,0,IFERROR(VALUE(SUBSTITUTE(SUBSTITUTE(SUBSTITUTE(INDEX(貼り付け!$A$1:$BZ$3001,2576,$D$1)&amp;"",",",""),"¥",""),"￥","")),0))</f>
        <v/>
      </c>
      <c r="E2577">
        <f>IF($E$1=0,0,IFERROR(VALUE(SUBSTITUTE(SUBSTITUTE(SUBSTITUTE(INDEX(貼り付け!$A$1:$BZ$3001,2576,$E$1)&amp;"",",",""),"¥",""),"￥","")),0))</f>
        <v/>
      </c>
      <c r="F2577">
        <f>IF($F$1=0,0,IFERROR(VALUE(SUBSTITUTE(SUBSTITUTE(SUBSTITUTE(INDEX(貼り付け!$A$1:$BZ$3001,2576,$F$1)&amp;"",",",""),"¥",""),"￥","")),0))</f>
        <v/>
      </c>
      <c r="G2577">
        <f>IF(ISNUMBER(B2577),YEAR(B2577),"")</f>
        <v/>
      </c>
      <c r="H2577">
        <f>IF(ISNUMBER(B2577),MONTH(B2577),"")</f>
        <v/>
      </c>
      <c r="I2577">
        <f>IFERROR(IF($B$1=0,"",IF(ISNUMBER(INDEX(貼り付け!$A$1:$BZ$3001,2576,$B$1)),"",SUBSTITUTE(SUBSTITUTE(SUBSTITUTE(SUBSTITUTE(TRIM(LEFT(INDEX(貼り付け!$A$1:$BZ$3001,2576,$B$1)&amp;"",FIND(" ",TRIM(INDEX(貼り付け!$A$1:$BZ$3001,2576,$B$1)&amp;"")&amp;" ")-1)),"/","-"),"年","-"),"月","-"),"日",""))),"")</f>
        <v/>
      </c>
      <c r="J2577">
        <f>IFERROR(MID(I2577,FIND("-",I2577)+1,99),"")</f>
        <v/>
      </c>
    </row>
    <row r="2578">
      <c r="B2578">
        <f>IFERROR(IF($B$1=0,"",IF(INDEX(貼り付け!$A$1:$BZ$3001,2577,$B$1)="","",IF(ISNUMBER(INDEX(貼り付け!$A$1:$BZ$3001,2577,$B$1)),INT(INDEX(貼り付け!$A$1:$BZ$3001,2577,$B$1)),DATE(VALUE(LEFT(I2578,FIND("-",I2578)-1)),VALUE(LEFT(J2578,FIND("-",J2578)-1)),VALUE(MID(J2578,FIND("-",J2578)+1,99)))))),"")</f>
        <v/>
      </c>
      <c r="C2578">
        <f>IF($C$1=0,0,IFERROR(VALUE(SUBSTITUTE(SUBSTITUTE(SUBSTITUTE(INDEX(貼り付け!$A$1:$BZ$3001,2577,$C$1)&amp;"",",",""),"¥",""),"￥","")),0))</f>
        <v/>
      </c>
      <c r="D2578">
        <f>IF($D$1=0,0,IFERROR(VALUE(SUBSTITUTE(SUBSTITUTE(SUBSTITUTE(INDEX(貼り付け!$A$1:$BZ$3001,2577,$D$1)&amp;"",",",""),"¥",""),"￥","")),0))</f>
        <v/>
      </c>
      <c r="E2578">
        <f>IF($E$1=0,0,IFERROR(VALUE(SUBSTITUTE(SUBSTITUTE(SUBSTITUTE(INDEX(貼り付け!$A$1:$BZ$3001,2577,$E$1)&amp;"",",",""),"¥",""),"￥","")),0))</f>
        <v/>
      </c>
      <c r="F2578">
        <f>IF($F$1=0,0,IFERROR(VALUE(SUBSTITUTE(SUBSTITUTE(SUBSTITUTE(INDEX(貼り付け!$A$1:$BZ$3001,2577,$F$1)&amp;"",",",""),"¥",""),"￥","")),0))</f>
        <v/>
      </c>
      <c r="G2578">
        <f>IF(ISNUMBER(B2578),YEAR(B2578),"")</f>
        <v/>
      </c>
      <c r="H2578">
        <f>IF(ISNUMBER(B2578),MONTH(B2578),"")</f>
        <v/>
      </c>
      <c r="I2578">
        <f>IFERROR(IF($B$1=0,"",IF(ISNUMBER(INDEX(貼り付け!$A$1:$BZ$3001,2577,$B$1)),"",SUBSTITUTE(SUBSTITUTE(SUBSTITUTE(SUBSTITUTE(TRIM(LEFT(INDEX(貼り付け!$A$1:$BZ$3001,2577,$B$1)&amp;"",FIND(" ",TRIM(INDEX(貼り付け!$A$1:$BZ$3001,2577,$B$1)&amp;"")&amp;" ")-1)),"/","-"),"年","-"),"月","-"),"日",""))),"")</f>
        <v/>
      </c>
      <c r="J2578">
        <f>IFERROR(MID(I2578,FIND("-",I2578)+1,99),"")</f>
        <v/>
      </c>
    </row>
    <row r="2579">
      <c r="B2579">
        <f>IFERROR(IF($B$1=0,"",IF(INDEX(貼り付け!$A$1:$BZ$3001,2578,$B$1)="","",IF(ISNUMBER(INDEX(貼り付け!$A$1:$BZ$3001,2578,$B$1)),INT(INDEX(貼り付け!$A$1:$BZ$3001,2578,$B$1)),DATE(VALUE(LEFT(I2579,FIND("-",I2579)-1)),VALUE(LEFT(J2579,FIND("-",J2579)-1)),VALUE(MID(J2579,FIND("-",J2579)+1,99)))))),"")</f>
        <v/>
      </c>
      <c r="C2579">
        <f>IF($C$1=0,0,IFERROR(VALUE(SUBSTITUTE(SUBSTITUTE(SUBSTITUTE(INDEX(貼り付け!$A$1:$BZ$3001,2578,$C$1)&amp;"",",",""),"¥",""),"￥","")),0))</f>
        <v/>
      </c>
      <c r="D2579">
        <f>IF($D$1=0,0,IFERROR(VALUE(SUBSTITUTE(SUBSTITUTE(SUBSTITUTE(INDEX(貼り付け!$A$1:$BZ$3001,2578,$D$1)&amp;"",",",""),"¥",""),"￥","")),0))</f>
        <v/>
      </c>
      <c r="E2579">
        <f>IF($E$1=0,0,IFERROR(VALUE(SUBSTITUTE(SUBSTITUTE(SUBSTITUTE(INDEX(貼り付け!$A$1:$BZ$3001,2578,$E$1)&amp;"",",",""),"¥",""),"￥","")),0))</f>
        <v/>
      </c>
      <c r="F2579">
        <f>IF($F$1=0,0,IFERROR(VALUE(SUBSTITUTE(SUBSTITUTE(SUBSTITUTE(INDEX(貼り付け!$A$1:$BZ$3001,2578,$F$1)&amp;"",",",""),"¥",""),"￥","")),0))</f>
        <v/>
      </c>
      <c r="G2579">
        <f>IF(ISNUMBER(B2579),YEAR(B2579),"")</f>
        <v/>
      </c>
      <c r="H2579">
        <f>IF(ISNUMBER(B2579),MONTH(B2579),"")</f>
        <v/>
      </c>
      <c r="I2579">
        <f>IFERROR(IF($B$1=0,"",IF(ISNUMBER(INDEX(貼り付け!$A$1:$BZ$3001,2578,$B$1)),"",SUBSTITUTE(SUBSTITUTE(SUBSTITUTE(SUBSTITUTE(TRIM(LEFT(INDEX(貼り付け!$A$1:$BZ$3001,2578,$B$1)&amp;"",FIND(" ",TRIM(INDEX(貼り付け!$A$1:$BZ$3001,2578,$B$1)&amp;"")&amp;" ")-1)),"/","-"),"年","-"),"月","-"),"日",""))),"")</f>
        <v/>
      </c>
      <c r="J2579">
        <f>IFERROR(MID(I2579,FIND("-",I2579)+1,99),"")</f>
        <v/>
      </c>
    </row>
    <row r="2580">
      <c r="B2580">
        <f>IFERROR(IF($B$1=0,"",IF(INDEX(貼り付け!$A$1:$BZ$3001,2579,$B$1)="","",IF(ISNUMBER(INDEX(貼り付け!$A$1:$BZ$3001,2579,$B$1)),INT(INDEX(貼り付け!$A$1:$BZ$3001,2579,$B$1)),DATE(VALUE(LEFT(I2580,FIND("-",I2580)-1)),VALUE(LEFT(J2580,FIND("-",J2580)-1)),VALUE(MID(J2580,FIND("-",J2580)+1,99)))))),"")</f>
        <v/>
      </c>
      <c r="C2580">
        <f>IF($C$1=0,0,IFERROR(VALUE(SUBSTITUTE(SUBSTITUTE(SUBSTITUTE(INDEX(貼り付け!$A$1:$BZ$3001,2579,$C$1)&amp;"",",",""),"¥",""),"￥","")),0))</f>
        <v/>
      </c>
      <c r="D2580">
        <f>IF($D$1=0,0,IFERROR(VALUE(SUBSTITUTE(SUBSTITUTE(SUBSTITUTE(INDEX(貼り付け!$A$1:$BZ$3001,2579,$D$1)&amp;"",",",""),"¥",""),"￥","")),0))</f>
        <v/>
      </c>
      <c r="E2580">
        <f>IF($E$1=0,0,IFERROR(VALUE(SUBSTITUTE(SUBSTITUTE(SUBSTITUTE(INDEX(貼り付け!$A$1:$BZ$3001,2579,$E$1)&amp;"",",",""),"¥",""),"￥","")),0))</f>
        <v/>
      </c>
      <c r="F2580">
        <f>IF($F$1=0,0,IFERROR(VALUE(SUBSTITUTE(SUBSTITUTE(SUBSTITUTE(INDEX(貼り付け!$A$1:$BZ$3001,2579,$F$1)&amp;"",",",""),"¥",""),"￥","")),0))</f>
        <v/>
      </c>
      <c r="G2580">
        <f>IF(ISNUMBER(B2580),YEAR(B2580),"")</f>
        <v/>
      </c>
      <c r="H2580">
        <f>IF(ISNUMBER(B2580),MONTH(B2580),"")</f>
        <v/>
      </c>
      <c r="I2580">
        <f>IFERROR(IF($B$1=0,"",IF(ISNUMBER(INDEX(貼り付け!$A$1:$BZ$3001,2579,$B$1)),"",SUBSTITUTE(SUBSTITUTE(SUBSTITUTE(SUBSTITUTE(TRIM(LEFT(INDEX(貼り付け!$A$1:$BZ$3001,2579,$B$1)&amp;"",FIND(" ",TRIM(INDEX(貼り付け!$A$1:$BZ$3001,2579,$B$1)&amp;"")&amp;" ")-1)),"/","-"),"年","-"),"月","-"),"日",""))),"")</f>
        <v/>
      </c>
      <c r="J2580">
        <f>IFERROR(MID(I2580,FIND("-",I2580)+1,99),"")</f>
        <v/>
      </c>
    </row>
    <row r="2581">
      <c r="B2581">
        <f>IFERROR(IF($B$1=0,"",IF(INDEX(貼り付け!$A$1:$BZ$3001,2580,$B$1)="","",IF(ISNUMBER(INDEX(貼り付け!$A$1:$BZ$3001,2580,$B$1)),INT(INDEX(貼り付け!$A$1:$BZ$3001,2580,$B$1)),DATE(VALUE(LEFT(I2581,FIND("-",I2581)-1)),VALUE(LEFT(J2581,FIND("-",J2581)-1)),VALUE(MID(J2581,FIND("-",J2581)+1,99)))))),"")</f>
        <v/>
      </c>
      <c r="C2581">
        <f>IF($C$1=0,0,IFERROR(VALUE(SUBSTITUTE(SUBSTITUTE(SUBSTITUTE(INDEX(貼り付け!$A$1:$BZ$3001,2580,$C$1)&amp;"",",",""),"¥",""),"￥","")),0))</f>
        <v/>
      </c>
      <c r="D2581">
        <f>IF($D$1=0,0,IFERROR(VALUE(SUBSTITUTE(SUBSTITUTE(SUBSTITUTE(INDEX(貼り付け!$A$1:$BZ$3001,2580,$D$1)&amp;"",",",""),"¥",""),"￥","")),0))</f>
        <v/>
      </c>
      <c r="E2581">
        <f>IF($E$1=0,0,IFERROR(VALUE(SUBSTITUTE(SUBSTITUTE(SUBSTITUTE(INDEX(貼り付け!$A$1:$BZ$3001,2580,$E$1)&amp;"",",",""),"¥",""),"￥","")),0))</f>
        <v/>
      </c>
      <c r="F2581">
        <f>IF($F$1=0,0,IFERROR(VALUE(SUBSTITUTE(SUBSTITUTE(SUBSTITUTE(INDEX(貼り付け!$A$1:$BZ$3001,2580,$F$1)&amp;"",",",""),"¥",""),"￥","")),0))</f>
        <v/>
      </c>
      <c r="G2581">
        <f>IF(ISNUMBER(B2581),YEAR(B2581),"")</f>
        <v/>
      </c>
      <c r="H2581">
        <f>IF(ISNUMBER(B2581),MONTH(B2581),"")</f>
        <v/>
      </c>
      <c r="I2581">
        <f>IFERROR(IF($B$1=0,"",IF(ISNUMBER(INDEX(貼り付け!$A$1:$BZ$3001,2580,$B$1)),"",SUBSTITUTE(SUBSTITUTE(SUBSTITUTE(SUBSTITUTE(TRIM(LEFT(INDEX(貼り付け!$A$1:$BZ$3001,2580,$B$1)&amp;"",FIND(" ",TRIM(INDEX(貼り付け!$A$1:$BZ$3001,2580,$B$1)&amp;"")&amp;" ")-1)),"/","-"),"年","-"),"月","-"),"日",""))),"")</f>
        <v/>
      </c>
      <c r="J2581">
        <f>IFERROR(MID(I2581,FIND("-",I2581)+1,99),"")</f>
        <v/>
      </c>
    </row>
    <row r="2582">
      <c r="B2582">
        <f>IFERROR(IF($B$1=0,"",IF(INDEX(貼り付け!$A$1:$BZ$3001,2581,$B$1)="","",IF(ISNUMBER(INDEX(貼り付け!$A$1:$BZ$3001,2581,$B$1)),INT(INDEX(貼り付け!$A$1:$BZ$3001,2581,$B$1)),DATE(VALUE(LEFT(I2582,FIND("-",I2582)-1)),VALUE(LEFT(J2582,FIND("-",J2582)-1)),VALUE(MID(J2582,FIND("-",J2582)+1,99)))))),"")</f>
        <v/>
      </c>
      <c r="C2582">
        <f>IF($C$1=0,0,IFERROR(VALUE(SUBSTITUTE(SUBSTITUTE(SUBSTITUTE(INDEX(貼り付け!$A$1:$BZ$3001,2581,$C$1)&amp;"",",",""),"¥",""),"￥","")),0))</f>
        <v/>
      </c>
      <c r="D2582">
        <f>IF($D$1=0,0,IFERROR(VALUE(SUBSTITUTE(SUBSTITUTE(SUBSTITUTE(INDEX(貼り付け!$A$1:$BZ$3001,2581,$D$1)&amp;"",",",""),"¥",""),"￥","")),0))</f>
        <v/>
      </c>
      <c r="E2582">
        <f>IF($E$1=0,0,IFERROR(VALUE(SUBSTITUTE(SUBSTITUTE(SUBSTITUTE(INDEX(貼り付け!$A$1:$BZ$3001,2581,$E$1)&amp;"",",",""),"¥",""),"￥","")),0))</f>
        <v/>
      </c>
      <c r="F2582">
        <f>IF($F$1=0,0,IFERROR(VALUE(SUBSTITUTE(SUBSTITUTE(SUBSTITUTE(INDEX(貼り付け!$A$1:$BZ$3001,2581,$F$1)&amp;"",",",""),"¥",""),"￥","")),0))</f>
        <v/>
      </c>
      <c r="G2582">
        <f>IF(ISNUMBER(B2582),YEAR(B2582),"")</f>
        <v/>
      </c>
      <c r="H2582">
        <f>IF(ISNUMBER(B2582),MONTH(B2582),"")</f>
        <v/>
      </c>
      <c r="I2582">
        <f>IFERROR(IF($B$1=0,"",IF(ISNUMBER(INDEX(貼り付け!$A$1:$BZ$3001,2581,$B$1)),"",SUBSTITUTE(SUBSTITUTE(SUBSTITUTE(SUBSTITUTE(TRIM(LEFT(INDEX(貼り付け!$A$1:$BZ$3001,2581,$B$1)&amp;"",FIND(" ",TRIM(INDEX(貼り付け!$A$1:$BZ$3001,2581,$B$1)&amp;"")&amp;" ")-1)),"/","-"),"年","-"),"月","-"),"日",""))),"")</f>
        <v/>
      </c>
      <c r="J2582">
        <f>IFERROR(MID(I2582,FIND("-",I2582)+1,99),"")</f>
        <v/>
      </c>
    </row>
    <row r="2583">
      <c r="B2583">
        <f>IFERROR(IF($B$1=0,"",IF(INDEX(貼り付け!$A$1:$BZ$3001,2582,$B$1)="","",IF(ISNUMBER(INDEX(貼り付け!$A$1:$BZ$3001,2582,$B$1)),INT(INDEX(貼り付け!$A$1:$BZ$3001,2582,$B$1)),DATE(VALUE(LEFT(I2583,FIND("-",I2583)-1)),VALUE(LEFT(J2583,FIND("-",J2583)-1)),VALUE(MID(J2583,FIND("-",J2583)+1,99)))))),"")</f>
        <v/>
      </c>
      <c r="C2583">
        <f>IF($C$1=0,0,IFERROR(VALUE(SUBSTITUTE(SUBSTITUTE(SUBSTITUTE(INDEX(貼り付け!$A$1:$BZ$3001,2582,$C$1)&amp;"",",",""),"¥",""),"￥","")),0))</f>
        <v/>
      </c>
      <c r="D2583">
        <f>IF($D$1=0,0,IFERROR(VALUE(SUBSTITUTE(SUBSTITUTE(SUBSTITUTE(INDEX(貼り付け!$A$1:$BZ$3001,2582,$D$1)&amp;"",",",""),"¥",""),"￥","")),0))</f>
        <v/>
      </c>
      <c r="E2583">
        <f>IF($E$1=0,0,IFERROR(VALUE(SUBSTITUTE(SUBSTITUTE(SUBSTITUTE(INDEX(貼り付け!$A$1:$BZ$3001,2582,$E$1)&amp;"",",",""),"¥",""),"￥","")),0))</f>
        <v/>
      </c>
      <c r="F2583">
        <f>IF($F$1=0,0,IFERROR(VALUE(SUBSTITUTE(SUBSTITUTE(SUBSTITUTE(INDEX(貼り付け!$A$1:$BZ$3001,2582,$F$1)&amp;"",",",""),"¥",""),"￥","")),0))</f>
        <v/>
      </c>
      <c r="G2583">
        <f>IF(ISNUMBER(B2583),YEAR(B2583),"")</f>
        <v/>
      </c>
      <c r="H2583">
        <f>IF(ISNUMBER(B2583),MONTH(B2583),"")</f>
        <v/>
      </c>
      <c r="I2583">
        <f>IFERROR(IF($B$1=0,"",IF(ISNUMBER(INDEX(貼り付け!$A$1:$BZ$3001,2582,$B$1)),"",SUBSTITUTE(SUBSTITUTE(SUBSTITUTE(SUBSTITUTE(TRIM(LEFT(INDEX(貼り付け!$A$1:$BZ$3001,2582,$B$1)&amp;"",FIND(" ",TRIM(INDEX(貼り付け!$A$1:$BZ$3001,2582,$B$1)&amp;"")&amp;" ")-1)),"/","-"),"年","-"),"月","-"),"日",""))),"")</f>
        <v/>
      </c>
      <c r="J2583">
        <f>IFERROR(MID(I2583,FIND("-",I2583)+1,99),"")</f>
        <v/>
      </c>
    </row>
    <row r="2584">
      <c r="B2584">
        <f>IFERROR(IF($B$1=0,"",IF(INDEX(貼り付け!$A$1:$BZ$3001,2583,$B$1)="","",IF(ISNUMBER(INDEX(貼り付け!$A$1:$BZ$3001,2583,$B$1)),INT(INDEX(貼り付け!$A$1:$BZ$3001,2583,$B$1)),DATE(VALUE(LEFT(I2584,FIND("-",I2584)-1)),VALUE(LEFT(J2584,FIND("-",J2584)-1)),VALUE(MID(J2584,FIND("-",J2584)+1,99)))))),"")</f>
        <v/>
      </c>
      <c r="C2584">
        <f>IF($C$1=0,0,IFERROR(VALUE(SUBSTITUTE(SUBSTITUTE(SUBSTITUTE(INDEX(貼り付け!$A$1:$BZ$3001,2583,$C$1)&amp;"",",",""),"¥",""),"￥","")),0))</f>
        <v/>
      </c>
      <c r="D2584">
        <f>IF($D$1=0,0,IFERROR(VALUE(SUBSTITUTE(SUBSTITUTE(SUBSTITUTE(INDEX(貼り付け!$A$1:$BZ$3001,2583,$D$1)&amp;"",",",""),"¥",""),"￥","")),0))</f>
        <v/>
      </c>
      <c r="E2584">
        <f>IF($E$1=0,0,IFERROR(VALUE(SUBSTITUTE(SUBSTITUTE(SUBSTITUTE(INDEX(貼り付け!$A$1:$BZ$3001,2583,$E$1)&amp;"",",",""),"¥",""),"￥","")),0))</f>
        <v/>
      </c>
      <c r="F2584">
        <f>IF($F$1=0,0,IFERROR(VALUE(SUBSTITUTE(SUBSTITUTE(SUBSTITUTE(INDEX(貼り付け!$A$1:$BZ$3001,2583,$F$1)&amp;"",",",""),"¥",""),"￥","")),0))</f>
        <v/>
      </c>
      <c r="G2584">
        <f>IF(ISNUMBER(B2584),YEAR(B2584),"")</f>
        <v/>
      </c>
      <c r="H2584">
        <f>IF(ISNUMBER(B2584),MONTH(B2584),"")</f>
        <v/>
      </c>
      <c r="I2584">
        <f>IFERROR(IF($B$1=0,"",IF(ISNUMBER(INDEX(貼り付け!$A$1:$BZ$3001,2583,$B$1)),"",SUBSTITUTE(SUBSTITUTE(SUBSTITUTE(SUBSTITUTE(TRIM(LEFT(INDEX(貼り付け!$A$1:$BZ$3001,2583,$B$1)&amp;"",FIND(" ",TRIM(INDEX(貼り付け!$A$1:$BZ$3001,2583,$B$1)&amp;"")&amp;" ")-1)),"/","-"),"年","-"),"月","-"),"日",""))),"")</f>
        <v/>
      </c>
      <c r="J2584">
        <f>IFERROR(MID(I2584,FIND("-",I2584)+1,99),"")</f>
        <v/>
      </c>
    </row>
    <row r="2585">
      <c r="B2585">
        <f>IFERROR(IF($B$1=0,"",IF(INDEX(貼り付け!$A$1:$BZ$3001,2584,$B$1)="","",IF(ISNUMBER(INDEX(貼り付け!$A$1:$BZ$3001,2584,$B$1)),INT(INDEX(貼り付け!$A$1:$BZ$3001,2584,$B$1)),DATE(VALUE(LEFT(I2585,FIND("-",I2585)-1)),VALUE(LEFT(J2585,FIND("-",J2585)-1)),VALUE(MID(J2585,FIND("-",J2585)+1,99)))))),"")</f>
        <v/>
      </c>
      <c r="C2585">
        <f>IF($C$1=0,0,IFERROR(VALUE(SUBSTITUTE(SUBSTITUTE(SUBSTITUTE(INDEX(貼り付け!$A$1:$BZ$3001,2584,$C$1)&amp;"",",",""),"¥",""),"￥","")),0))</f>
        <v/>
      </c>
      <c r="D2585">
        <f>IF($D$1=0,0,IFERROR(VALUE(SUBSTITUTE(SUBSTITUTE(SUBSTITUTE(INDEX(貼り付け!$A$1:$BZ$3001,2584,$D$1)&amp;"",",",""),"¥",""),"￥","")),0))</f>
        <v/>
      </c>
      <c r="E2585">
        <f>IF($E$1=0,0,IFERROR(VALUE(SUBSTITUTE(SUBSTITUTE(SUBSTITUTE(INDEX(貼り付け!$A$1:$BZ$3001,2584,$E$1)&amp;"",",",""),"¥",""),"￥","")),0))</f>
        <v/>
      </c>
      <c r="F2585">
        <f>IF($F$1=0,0,IFERROR(VALUE(SUBSTITUTE(SUBSTITUTE(SUBSTITUTE(INDEX(貼り付け!$A$1:$BZ$3001,2584,$F$1)&amp;"",",",""),"¥",""),"￥","")),0))</f>
        <v/>
      </c>
      <c r="G2585">
        <f>IF(ISNUMBER(B2585),YEAR(B2585),"")</f>
        <v/>
      </c>
      <c r="H2585">
        <f>IF(ISNUMBER(B2585),MONTH(B2585),"")</f>
        <v/>
      </c>
      <c r="I2585">
        <f>IFERROR(IF($B$1=0,"",IF(ISNUMBER(INDEX(貼り付け!$A$1:$BZ$3001,2584,$B$1)),"",SUBSTITUTE(SUBSTITUTE(SUBSTITUTE(SUBSTITUTE(TRIM(LEFT(INDEX(貼り付け!$A$1:$BZ$3001,2584,$B$1)&amp;"",FIND(" ",TRIM(INDEX(貼り付け!$A$1:$BZ$3001,2584,$B$1)&amp;"")&amp;" ")-1)),"/","-"),"年","-"),"月","-"),"日",""))),"")</f>
        <v/>
      </c>
      <c r="J2585">
        <f>IFERROR(MID(I2585,FIND("-",I2585)+1,99),"")</f>
        <v/>
      </c>
    </row>
    <row r="2586">
      <c r="B2586">
        <f>IFERROR(IF($B$1=0,"",IF(INDEX(貼り付け!$A$1:$BZ$3001,2585,$B$1)="","",IF(ISNUMBER(INDEX(貼り付け!$A$1:$BZ$3001,2585,$B$1)),INT(INDEX(貼り付け!$A$1:$BZ$3001,2585,$B$1)),DATE(VALUE(LEFT(I2586,FIND("-",I2586)-1)),VALUE(LEFT(J2586,FIND("-",J2586)-1)),VALUE(MID(J2586,FIND("-",J2586)+1,99)))))),"")</f>
        <v/>
      </c>
      <c r="C2586">
        <f>IF($C$1=0,0,IFERROR(VALUE(SUBSTITUTE(SUBSTITUTE(SUBSTITUTE(INDEX(貼り付け!$A$1:$BZ$3001,2585,$C$1)&amp;"",",",""),"¥",""),"￥","")),0))</f>
        <v/>
      </c>
      <c r="D2586">
        <f>IF($D$1=0,0,IFERROR(VALUE(SUBSTITUTE(SUBSTITUTE(SUBSTITUTE(INDEX(貼り付け!$A$1:$BZ$3001,2585,$D$1)&amp;"",",",""),"¥",""),"￥","")),0))</f>
        <v/>
      </c>
      <c r="E2586">
        <f>IF($E$1=0,0,IFERROR(VALUE(SUBSTITUTE(SUBSTITUTE(SUBSTITUTE(INDEX(貼り付け!$A$1:$BZ$3001,2585,$E$1)&amp;"",",",""),"¥",""),"￥","")),0))</f>
        <v/>
      </c>
      <c r="F2586">
        <f>IF($F$1=0,0,IFERROR(VALUE(SUBSTITUTE(SUBSTITUTE(SUBSTITUTE(INDEX(貼り付け!$A$1:$BZ$3001,2585,$F$1)&amp;"",",",""),"¥",""),"￥","")),0))</f>
        <v/>
      </c>
      <c r="G2586">
        <f>IF(ISNUMBER(B2586),YEAR(B2586),"")</f>
        <v/>
      </c>
      <c r="H2586">
        <f>IF(ISNUMBER(B2586),MONTH(B2586),"")</f>
        <v/>
      </c>
      <c r="I2586">
        <f>IFERROR(IF($B$1=0,"",IF(ISNUMBER(INDEX(貼り付け!$A$1:$BZ$3001,2585,$B$1)),"",SUBSTITUTE(SUBSTITUTE(SUBSTITUTE(SUBSTITUTE(TRIM(LEFT(INDEX(貼り付け!$A$1:$BZ$3001,2585,$B$1)&amp;"",FIND(" ",TRIM(INDEX(貼り付け!$A$1:$BZ$3001,2585,$B$1)&amp;"")&amp;" ")-1)),"/","-"),"年","-"),"月","-"),"日",""))),"")</f>
        <v/>
      </c>
      <c r="J2586">
        <f>IFERROR(MID(I2586,FIND("-",I2586)+1,99),"")</f>
        <v/>
      </c>
    </row>
    <row r="2587">
      <c r="B2587">
        <f>IFERROR(IF($B$1=0,"",IF(INDEX(貼り付け!$A$1:$BZ$3001,2586,$B$1)="","",IF(ISNUMBER(INDEX(貼り付け!$A$1:$BZ$3001,2586,$B$1)),INT(INDEX(貼り付け!$A$1:$BZ$3001,2586,$B$1)),DATE(VALUE(LEFT(I2587,FIND("-",I2587)-1)),VALUE(LEFT(J2587,FIND("-",J2587)-1)),VALUE(MID(J2587,FIND("-",J2587)+1,99)))))),"")</f>
        <v/>
      </c>
      <c r="C2587">
        <f>IF($C$1=0,0,IFERROR(VALUE(SUBSTITUTE(SUBSTITUTE(SUBSTITUTE(INDEX(貼り付け!$A$1:$BZ$3001,2586,$C$1)&amp;"",",",""),"¥",""),"￥","")),0))</f>
        <v/>
      </c>
      <c r="D2587">
        <f>IF($D$1=0,0,IFERROR(VALUE(SUBSTITUTE(SUBSTITUTE(SUBSTITUTE(INDEX(貼り付け!$A$1:$BZ$3001,2586,$D$1)&amp;"",",",""),"¥",""),"￥","")),0))</f>
        <v/>
      </c>
      <c r="E2587">
        <f>IF($E$1=0,0,IFERROR(VALUE(SUBSTITUTE(SUBSTITUTE(SUBSTITUTE(INDEX(貼り付け!$A$1:$BZ$3001,2586,$E$1)&amp;"",",",""),"¥",""),"￥","")),0))</f>
        <v/>
      </c>
      <c r="F2587">
        <f>IF($F$1=0,0,IFERROR(VALUE(SUBSTITUTE(SUBSTITUTE(SUBSTITUTE(INDEX(貼り付け!$A$1:$BZ$3001,2586,$F$1)&amp;"",",",""),"¥",""),"￥","")),0))</f>
        <v/>
      </c>
      <c r="G2587">
        <f>IF(ISNUMBER(B2587),YEAR(B2587),"")</f>
        <v/>
      </c>
      <c r="H2587">
        <f>IF(ISNUMBER(B2587),MONTH(B2587),"")</f>
        <v/>
      </c>
      <c r="I2587">
        <f>IFERROR(IF($B$1=0,"",IF(ISNUMBER(INDEX(貼り付け!$A$1:$BZ$3001,2586,$B$1)),"",SUBSTITUTE(SUBSTITUTE(SUBSTITUTE(SUBSTITUTE(TRIM(LEFT(INDEX(貼り付け!$A$1:$BZ$3001,2586,$B$1)&amp;"",FIND(" ",TRIM(INDEX(貼り付け!$A$1:$BZ$3001,2586,$B$1)&amp;"")&amp;" ")-1)),"/","-"),"年","-"),"月","-"),"日",""))),"")</f>
        <v/>
      </c>
      <c r="J2587">
        <f>IFERROR(MID(I2587,FIND("-",I2587)+1,99),"")</f>
        <v/>
      </c>
    </row>
    <row r="2588">
      <c r="B2588">
        <f>IFERROR(IF($B$1=0,"",IF(INDEX(貼り付け!$A$1:$BZ$3001,2587,$B$1)="","",IF(ISNUMBER(INDEX(貼り付け!$A$1:$BZ$3001,2587,$B$1)),INT(INDEX(貼り付け!$A$1:$BZ$3001,2587,$B$1)),DATE(VALUE(LEFT(I2588,FIND("-",I2588)-1)),VALUE(LEFT(J2588,FIND("-",J2588)-1)),VALUE(MID(J2588,FIND("-",J2588)+1,99)))))),"")</f>
        <v/>
      </c>
      <c r="C2588">
        <f>IF($C$1=0,0,IFERROR(VALUE(SUBSTITUTE(SUBSTITUTE(SUBSTITUTE(INDEX(貼り付け!$A$1:$BZ$3001,2587,$C$1)&amp;"",",",""),"¥",""),"￥","")),0))</f>
        <v/>
      </c>
      <c r="D2588">
        <f>IF($D$1=0,0,IFERROR(VALUE(SUBSTITUTE(SUBSTITUTE(SUBSTITUTE(INDEX(貼り付け!$A$1:$BZ$3001,2587,$D$1)&amp;"",",",""),"¥",""),"￥","")),0))</f>
        <v/>
      </c>
      <c r="E2588">
        <f>IF($E$1=0,0,IFERROR(VALUE(SUBSTITUTE(SUBSTITUTE(SUBSTITUTE(INDEX(貼り付け!$A$1:$BZ$3001,2587,$E$1)&amp;"",",",""),"¥",""),"￥","")),0))</f>
        <v/>
      </c>
      <c r="F2588">
        <f>IF($F$1=0,0,IFERROR(VALUE(SUBSTITUTE(SUBSTITUTE(SUBSTITUTE(INDEX(貼り付け!$A$1:$BZ$3001,2587,$F$1)&amp;"",",",""),"¥",""),"￥","")),0))</f>
        <v/>
      </c>
      <c r="G2588">
        <f>IF(ISNUMBER(B2588),YEAR(B2588),"")</f>
        <v/>
      </c>
      <c r="H2588">
        <f>IF(ISNUMBER(B2588),MONTH(B2588),"")</f>
        <v/>
      </c>
      <c r="I2588">
        <f>IFERROR(IF($B$1=0,"",IF(ISNUMBER(INDEX(貼り付け!$A$1:$BZ$3001,2587,$B$1)),"",SUBSTITUTE(SUBSTITUTE(SUBSTITUTE(SUBSTITUTE(TRIM(LEFT(INDEX(貼り付け!$A$1:$BZ$3001,2587,$B$1)&amp;"",FIND(" ",TRIM(INDEX(貼り付け!$A$1:$BZ$3001,2587,$B$1)&amp;"")&amp;" ")-1)),"/","-"),"年","-"),"月","-"),"日",""))),"")</f>
        <v/>
      </c>
      <c r="J2588">
        <f>IFERROR(MID(I2588,FIND("-",I2588)+1,99),"")</f>
        <v/>
      </c>
    </row>
    <row r="2589">
      <c r="B2589">
        <f>IFERROR(IF($B$1=0,"",IF(INDEX(貼り付け!$A$1:$BZ$3001,2588,$B$1)="","",IF(ISNUMBER(INDEX(貼り付け!$A$1:$BZ$3001,2588,$B$1)),INT(INDEX(貼り付け!$A$1:$BZ$3001,2588,$B$1)),DATE(VALUE(LEFT(I2589,FIND("-",I2589)-1)),VALUE(LEFT(J2589,FIND("-",J2589)-1)),VALUE(MID(J2589,FIND("-",J2589)+1,99)))))),"")</f>
        <v/>
      </c>
      <c r="C2589">
        <f>IF($C$1=0,0,IFERROR(VALUE(SUBSTITUTE(SUBSTITUTE(SUBSTITUTE(INDEX(貼り付け!$A$1:$BZ$3001,2588,$C$1)&amp;"",",",""),"¥",""),"￥","")),0))</f>
        <v/>
      </c>
      <c r="D2589">
        <f>IF($D$1=0,0,IFERROR(VALUE(SUBSTITUTE(SUBSTITUTE(SUBSTITUTE(INDEX(貼り付け!$A$1:$BZ$3001,2588,$D$1)&amp;"",",",""),"¥",""),"￥","")),0))</f>
        <v/>
      </c>
      <c r="E2589">
        <f>IF($E$1=0,0,IFERROR(VALUE(SUBSTITUTE(SUBSTITUTE(SUBSTITUTE(INDEX(貼り付け!$A$1:$BZ$3001,2588,$E$1)&amp;"",",",""),"¥",""),"￥","")),0))</f>
        <v/>
      </c>
      <c r="F2589">
        <f>IF($F$1=0,0,IFERROR(VALUE(SUBSTITUTE(SUBSTITUTE(SUBSTITUTE(INDEX(貼り付け!$A$1:$BZ$3001,2588,$F$1)&amp;"",",",""),"¥",""),"￥","")),0))</f>
        <v/>
      </c>
      <c r="G2589">
        <f>IF(ISNUMBER(B2589),YEAR(B2589),"")</f>
        <v/>
      </c>
      <c r="H2589">
        <f>IF(ISNUMBER(B2589),MONTH(B2589),"")</f>
        <v/>
      </c>
      <c r="I2589">
        <f>IFERROR(IF($B$1=0,"",IF(ISNUMBER(INDEX(貼り付け!$A$1:$BZ$3001,2588,$B$1)),"",SUBSTITUTE(SUBSTITUTE(SUBSTITUTE(SUBSTITUTE(TRIM(LEFT(INDEX(貼り付け!$A$1:$BZ$3001,2588,$B$1)&amp;"",FIND(" ",TRIM(INDEX(貼り付け!$A$1:$BZ$3001,2588,$B$1)&amp;"")&amp;" ")-1)),"/","-"),"年","-"),"月","-"),"日",""))),"")</f>
        <v/>
      </c>
      <c r="J2589">
        <f>IFERROR(MID(I2589,FIND("-",I2589)+1,99),"")</f>
        <v/>
      </c>
    </row>
    <row r="2590">
      <c r="B2590">
        <f>IFERROR(IF($B$1=0,"",IF(INDEX(貼り付け!$A$1:$BZ$3001,2589,$B$1)="","",IF(ISNUMBER(INDEX(貼り付け!$A$1:$BZ$3001,2589,$B$1)),INT(INDEX(貼り付け!$A$1:$BZ$3001,2589,$B$1)),DATE(VALUE(LEFT(I2590,FIND("-",I2590)-1)),VALUE(LEFT(J2590,FIND("-",J2590)-1)),VALUE(MID(J2590,FIND("-",J2590)+1,99)))))),"")</f>
        <v/>
      </c>
      <c r="C2590">
        <f>IF($C$1=0,0,IFERROR(VALUE(SUBSTITUTE(SUBSTITUTE(SUBSTITUTE(INDEX(貼り付け!$A$1:$BZ$3001,2589,$C$1)&amp;"",",",""),"¥",""),"￥","")),0))</f>
        <v/>
      </c>
      <c r="D2590">
        <f>IF($D$1=0,0,IFERROR(VALUE(SUBSTITUTE(SUBSTITUTE(SUBSTITUTE(INDEX(貼り付け!$A$1:$BZ$3001,2589,$D$1)&amp;"",",",""),"¥",""),"￥","")),0))</f>
        <v/>
      </c>
      <c r="E2590">
        <f>IF($E$1=0,0,IFERROR(VALUE(SUBSTITUTE(SUBSTITUTE(SUBSTITUTE(INDEX(貼り付け!$A$1:$BZ$3001,2589,$E$1)&amp;"",",",""),"¥",""),"￥","")),0))</f>
        <v/>
      </c>
      <c r="F2590">
        <f>IF($F$1=0,0,IFERROR(VALUE(SUBSTITUTE(SUBSTITUTE(SUBSTITUTE(INDEX(貼り付け!$A$1:$BZ$3001,2589,$F$1)&amp;"",",",""),"¥",""),"￥","")),0))</f>
        <v/>
      </c>
      <c r="G2590">
        <f>IF(ISNUMBER(B2590),YEAR(B2590),"")</f>
        <v/>
      </c>
      <c r="H2590">
        <f>IF(ISNUMBER(B2590),MONTH(B2590),"")</f>
        <v/>
      </c>
      <c r="I2590">
        <f>IFERROR(IF($B$1=0,"",IF(ISNUMBER(INDEX(貼り付け!$A$1:$BZ$3001,2589,$B$1)),"",SUBSTITUTE(SUBSTITUTE(SUBSTITUTE(SUBSTITUTE(TRIM(LEFT(INDEX(貼り付け!$A$1:$BZ$3001,2589,$B$1)&amp;"",FIND(" ",TRIM(INDEX(貼り付け!$A$1:$BZ$3001,2589,$B$1)&amp;"")&amp;" ")-1)),"/","-"),"年","-"),"月","-"),"日",""))),"")</f>
        <v/>
      </c>
      <c r="J2590">
        <f>IFERROR(MID(I2590,FIND("-",I2590)+1,99),"")</f>
        <v/>
      </c>
    </row>
    <row r="2591">
      <c r="B2591">
        <f>IFERROR(IF($B$1=0,"",IF(INDEX(貼り付け!$A$1:$BZ$3001,2590,$B$1)="","",IF(ISNUMBER(INDEX(貼り付け!$A$1:$BZ$3001,2590,$B$1)),INT(INDEX(貼り付け!$A$1:$BZ$3001,2590,$B$1)),DATE(VALUE(LEFT(I2591,FIND("-",I2591)-1)),VALUE(LEFT(J2591,FIND("-",J2591)-1)),VALUE(MID(J2591,FIND("-",J2591)+1,99)))))),"")</f>
        <v/>
      </c>
      <c r="C2591">
        <f>IF($C$1=0,0,IFERROR(VALUE(SUBSTITUTE(SUBSTITUTE(SUBSTITUTE(INDEX(貼り付け!$A$1:$BZ$3001,2590,$C$1)&amp;"",",",""),"¥",""),"￥","")),0))</f>
        <v/>
      </c>
      <c r="D2591">
        <f>IF($D$1=0,0,IFERROR(VALUE(SUBSTITUTE(SUBSTITUTE(SUBSTITUTE(INDEX(貼り付け!$A$1:$BZ$3001,2590,$D$1)&amp;"",",",""),"¥",""),"￥","")),0))</f>
        <v/>
      </c>
      <c r="E2591">
        <f>IF($E$1=0,0,IFERROR(VALUE(SUBSTITUTE(SUBSTITUTE(SUBSTITUTE(INDEX(貼り付け!$A$1:$BZ$3001,2590,$E$1)&amp;"",",",""),"¥",""),"￥","")),0))</f>
        <v/>
      </c>
      <c r="F2591">
        <f>IF($F$1=0,0,IFERROR(VALUE(SUBSTITUTE(SUBSTITUTE(SUBSTITUTE(INDEX(貼り付け!$A$1:$BZ$3001,2590,$F$1)&amp;"",",",""),"¥",""),"￥","")),0))</f>
        <v/>
      </c>
      <c r="G2591">
        <f>IF(ISNUMBER(B2591),YEAR(B2591),"")</f>
        <v/>
      </c>
      <c r="H2591">
        <f>IF(ISNUMBER(B2591),MONTH(B2591),"")</f>
        <v/>
      </c>
      <c r="I2591">
        <f>IFERROR(IF($B$1=0,"",IF(ISNUMBER(INDEX(貼り付け!$A$1:$BZ$3001,2590,$B$1)),"",SUBSTITUTE(SUBSTITUTE(SUBSTITUTE(SUBSTITUTE(TRIM(LEFT(INDEX(貼り付け!$A$1:$BZ$3001,2590,$B$1)&amp;"",FIND(" ",TRIM(INDEX(貼り付け!$A$1:$BZ$3001,2590,$B$1)&amp;"")&amp;" ")-1)),"/","-"),"年","-"),"月","-"),"日",""))),"")</f>
        <v/>
      </c>
      <c r="J2591">
        <f>IFERROR(MID(I2591,FIND("-",I2591)+1,99),"")</f>
        <v/>
      </c>
    </row>
    <row r="2592">
      <c r="B2592">
        <f>IFERROR(IF($B$1=0,"",IF(INDEX(貼り付け!$A$1:$BZ$3001,2591,$B$1)="","",IF(ISNUMBER(INDEX(貼り付け!$A$1:$BZ$3001,2591,$B$1)),INT(INDEX(貼り付け!$A$1:$BZ$3001,2591,$B$1)),DATE(VALUE(LEFT(I2592,FIND("-",I2592)-1)),VALUE(LEFT(J2592,FIND("-",J2592)-1)),VALUE(MID(J2592,FIND("-",J2592)+1,99)))))),"")</f>
        <v/>
      </c>
      <c r="C2592">
        <f>IF($C$1=0,0,IFERROR(VALUE(SUBSTITUTE(SUBSTITUTE(SUBSTITUTE(INDEX(貼り付け!$A$1:$BZ$3001,2591,$C$1)&amp;"",",",""),"¥",""),"￥","")),0))</f>
        <v/>
      </c>
      <c r="D2592">
        <f>IF($D$1=0,0,IFERROR(VALUE(SUBSTITUTE(SUBSTITUTE(SUBSTITUTE(INDEX(貼り付け!$A$1:$BZ$3001,2591,$D$1)&amp;"",",",""),"¥",""),"￥","")),0))</f>
        <v/>
      </c>
      <c r="E2592">
        <f>IF($E$1=0,0,IFERROR(VALUE(SUBSTITUTE(SUBSTITUTE(SUBSTITUTE(INDEX(貼り付け!$A$1:$BZ$3001,2591,$E$1)&amp;"",",",""),"¥",""),"￥","")),0))</f>
        <v/>
      </c>
      <c r="F2592">
        <f>IF($F$1=0,0,IFERROR(VALUE(SUBSTITUTE(SUBSTITUTE(SUBSTITUTE(INDEX(貼り付け!$A$1:$BZ$3001,2591,$F$1)&amp;"",",",""),"¥",""),"￥","")),0))</f>
        <v/>
      </c>
      <c r="G2592">
        <f>IF(ISNUMBER(B2592),YEAR(B2592),"")</f>
        <v/>
      </c>
      <c r="H2592">
        <f>IF(ISNUMBER(B2592),MONTH(B2592),"")</f>
        <v/>
      </c>
      <c r="I2592">
        <f>IFERROR(IF($B$1=0,"",IF(ISNUMBER(INDEX(貼り付け!$A$1:$BZ$3001,2591,$B$1)),"",SUBSTITUTE(SUBSTITUTE(SUBSTITUTE(SUBSTITUTE(TRIM(LEFT(INDEX(貼り付け!$A$1:$BZ$3001,2591,$B$1)&amp;"",FIND(" ",TRIM(INDEX(貼り付け!$A$1:$BZ$3001,2591,$B$1)&amp;"")&amp;" ")-1)),"/","-"),"年","-"),"月","-"),"日",""))),"")</f>
        <v/>
      </c>
      <c r="J2592">
        <f>IFERROR(MID(I2592,FIND("-",I2592)+1,99),"")</f>
        <v/>
      </c>
    </row>
    <row r="2593">
      <c r="B2593">
        <f>IFERROR(IF($B$1=0,"",IF(INDEX(貼り付け!$A$1:$BZ$3001,2592,$B$1)="","",IF(ISNUMBER(INDEX(貼り付け!$A$1:$BZ$3001,2592,$B$1)),INT(INDEX(貼り付け!$A$1:$BZ$3001,2592,$B$1)),DATE(VALUE(LEFT(I2593,FIND("-",I2593)-1)),VALUE(LEFT(J2593,FIND("-",J2593)-1)),VALUE(MID(J2593,FIND("-",J2593)+1,99)))))),"")</f>
        <v/>
      </c>
      <c r="C2593">
        <f>IF($C$1=0,0,IFERROR(VALUE(SUBSTITUTE(SUBSTITUTE(SUBSTITUTE(INDEX(貼り付け!$A$1:$BZ$3001,2592,$C$1)&amp;"",",",""),"¥",""),"￥","")),0))</f>
        <v/>
      </c>
      <c r="D2593">
        <f>IF($D$1=0,0,IFERROR(VALUE(SUBSTITUTE(SUBSTITUTE(SUBSTITUTE(INDEX(貼り付け!$A$1:$BZ$3001,2592,$D$1)&amp;"",",",""),"¥",""),"￥","")),0))</f>
        <v/>
      </c>
      <c r="E2593">
        <f>IF($E$1=0,0,IFERROR(VALUE(SUBSTITUTE(SUBSTITUTE(SUBSTITUTE(INDEX(貼り付け!$A$1:$BZ$3001,2592,$E$1)&amp;"",",",""),"¥",""),"￥","")),0))</f>
        <v/>
      </c>
      <c r="F2593">
        <f>IF($F$1=0,0,IFERROR(VALUE(SUBSTITUTE(SUBSTITUTE(SUBSTITUTE(INDEX(貼り付け!$A$1:$BZ$3001,2592,$F$1)&amp;"",",",""),"¥",""),"￥","")),0))</f>
        <v/>
      </c>
      <c r="G2593">
        <f>IF(ISNUMBER(B2593),YEAR(B2593),"")</f>
        <v/>
      </c>
      <c r="H2593">
        <f>IF(ISNUMBER(B2593),MONTH(B2593),"")</f>
        <v/>
      </c>
      <c r="I2593">
        <f>IFERROR(IF($B$1=0,"",IF(ISNUMBER(INDEX(貼り付け!$A$1:$BZ$3001,2592,$B$1)),"",SUBSTITUTE(SUBSTITUTE(SUBSTITUTE(SUBSTITUTE(TRIM(LEFT(INDEX(貼り付け!$A$1:$BZ$3001,2592,$B$1)&amp;"",FIND(" ",TRIM(INDEX(貼り付け!$A$1:$BZ$3001,2592,$B$1)&amp;"")&amp;" ")-1)),"/","-"),"年","-"),"月","-"),"日",""))),"")</f>
        <v/>
      </c>
      <c r="J2593">
        <f>IFERROR(MID(I2593,FIND("-",I2593)+1,99),"")</f>
        <v/>
      </c>
    </row>
    <row r="2594">
      <c r="B2594">
        <f>IFERROR(IF($B$1=0,"",IF(INDEX(貼り付け!$A$1:$BZ$3001,2593,$B$1)="","",IF(ISNUMBER(INDEX(貼り付け!$A$1:$BZ$3001,2593,$B$1)),INT(INDEX(貼り付け!$A$1:$BZ$3001,2593,$B$1)),DATE(VALUE(LEFT(I2594,FIND("-",I2594)-1)),VALUE(LEFT(J2594,FIND("-",J2594)-1)),VALUE(MID(J2594,FIND("-",J2594)+1,99)))))),"")</f>
        <v/>
      </c>
      <c r="C2594">
        <f>IF($C$1=0,0,IFERROR(VALUE(SUBSTITUTE(SUBSTITUTE(SUBSTITUTE(INDEX(貼り付け!$A$1:$BZ$3001,2593,$C$1)&amp;"",",",""),"¥",""),"￥","")),0))</f>
        <v/>
      </c>
      <c r="D2594">
        <f>IF($D$1=0,0,IFERROR(VALUE(SUBSTITUTE(SUBSTITUTE(SUBSTITUTE(INDEX(貼り付け!$A$1:$BZ$3001,2593,$D$1)&amp;"",",",""),"¥",""),"￥","")),0))</f>
        <v/>
      </c>
      <c r="E2594">
        <f>IF($E$1=0,0,IFERROR(VALUE(SUBSTITUTE(SUBSTITUTE(SUBSTITUTE(INDEX(貼り付け!$A$1:$BZ$3001,2593,$E$1)&amp;"",",",""),"¥",""),"￥","")),0))</f>
        <v/>
      </c>
      <c r="F2594">
        <f>IF($F$1=0,0,IFERROR(VALUE(SUBSTITUTE(SUBSTITUTE(SUBSTITUTE(INDEX(貼り付け!$A$1:$BZ$3001,2593,$F$1)&amp;"",",",""),"¥",""),"￥","")),0))</f>
        <v/>
      </c>
      <c r="G2594">
        <f>IF(ISNUMBER(B2594),YEAR(B2594),"")</f>
        <v/>
      </c>
      <c r="H2594">
        <f>IF(ISNUMBER(B2594),MONTH(B2594),"")</f>
        <v/>
      </c>
      <c r="I2594">
        <f>IFERROR(IF($B$1=0,"",IF(ISNUMBER(INDEX(貼り付け!$A$1:$BZ$3001,2593,$B$1)),"",SUBSTITUTE(SUBSTITUTE(SUBSTITUTE(SUBSTITUTE(TRIM(LEFT(INDEX(貼り付け!$A$1:$BZ$3001,2593,$B$1)&amp;"",FIND(" ",TRIM(INDEX(貼り付け!$A$1:$BZ$3001,2593,$B$1)&amp;"")&amp;" ")-1)),"/","-"),"年","-"),"月","-"),"日",""))),"")</f>
        <v/>
      </c>
      <c r="J2594">
        <f>IFERROR(MID(I2594,FIND("-",I2594)+1,99),"")</f>
        <v/>
      </c>
    </row>
    <row r="2595">
      <c r="B2595">
        <f>IFERROR(IF($B$1=0,"",IF(INDEX(貼り付け!$A$1:$BZ$3001,2594,$B$1)="","",IF(ISNUMBER(INDEX(貼り付け!$A$1:$BZ$3001,2594,$B$1)),INT(INDEX(貼り付け!$A$1:$BZ$3001,2594,$B$1)),DATE(VALUE(LEFT(I2595,FIND("-",I2595)-1)),VALUE(LEFT(J2595,FIND("-",J2595)-1)),VALUE(MID(J2595,FIND("-",J2595)+1,99)))))),"")</f>
        <v/>
      </c>
      <c r="C2595">
        <f>IF($C$1=0,0,IFERROR(VALUE(SUBSTITUTE(SUBSTITUTE(SUBSTITUTE(INDEX(貼り付け!$A$1:$BZ$3001,2594,$C$1)&amp;"",",",""),"¥",""),"￥","")),0))</f>
        <v/>
      </c>
      <c r="D2595">
        <f>IF($D$1=0,0,IFERROR(VALUE(SUBSTITUTE(SUBSTITUTE(SUBSTITUTE(INDEX(貼り付け!$A$1:$BZ$3001,2594,$D$1)&amp;"",",",""),"¥",""),"￥","")),0))</f>
        <v/>
      </c>
      <c r="E2595">
        <f>IF($E$1=0,0,IFERROR(VALUE(SUBSTITUTE(SUBSTITUTE(SUBSTITUTE(INDEX(貼り付け!$A$1:$BZ$3001,2594,$E$1)&amp;"",",",""),"¥",""),"￥","")),0))</f>
        <v/>
      </c>
      <c r="F2595">
        <f>IF($F$1=0,0,IFERROR(VALUE(SUBSTITUTE(SUBSTITUTE(SUBSTITUTE(INDEX(貼り付け!$A$1:$BZ$3001,2594,$F$1)&amp;"",",",""),"¥",""),"￥","")),0))</f>
        <v/>
      </c>
      <c r="G2595">
        <f>IF(ISNUMBER(B2595),YEAR(B2595),"")</f>
        <v/>
      </c>
      <c r="H2595">
        <f>IF(ISNUMBER(B2595),MONTH(B2595),"")</f>
        <v/>
      </c>
      <c r="I2595">
        <f>IFERROR(IF($B$1=0,"",IF(ISNUMBER(INDEX(貼り付け!$A$1:$BZ$3001,2594,$B$1)),"",SUBSTITUTE(SUBSTITUTE(SUBSTITUTE(SUBSTITUTE(TRIM(LEFT(INDEX(貼り付け!$A$1:$BZ$3001,2594,$B$1)&amp;"",FIND(" ",TRIM(INDEX(貼り付け!$A$1:$BZ$3001,2594,$B$1)&amp;"")&amp;" ")-1)),"/","-"),"年","-"),"月","-"),"日",""))),"")</f>
        <v/>
      </c>
      <c r="J2595">
        <f>IFERROR(MID(I2595,FIND("-",I2595)+1,99),"")</f>
        <v/>
      </c>
    </row>
    <row r="2596">
      <c r="B2596">
        <f>IFERROR(IF($B$1=0,"",IF(INDEX(貼り付け!$A$1:$BZ$3001,2595,$B$1)="","",IF(ISNUMBER(INDEX(貼り付け!$A$1:$BZ$3001,2595,$B$1)),INT(INDEX(貼り付け!$A$1:$BZ$3001,2595,$B$1)),DATE(VALUE(LEFT(I2596,FIND("-",I2596)-1)),VALUE(LEFT(J2596,FIND("-",J2596)-1)),VALUE(MID(J2596,FIND("-",J2596)+1,99)))))),"")</f>
        <v/>
      </c>
      <c r="C2596">
        <f>IF($C$1=0,0,IFERROR(VALUE(SUBSTITUTE(SUBSTITUTE(SUBSTITUTE(INDEX(貼り付け!$A$1:$BZ$3001,2595,$C$1)&amp;"",",",""),"¥",""),"￥","")),0))</f>
        <v/>
      </c>
      <c r="D2596">
        <f>IF($D$1=0,0,IFERROR(VALUE(SUBSTITUTE(SUBSTITUTE(SUBSTITUTE(INDEX(貼り付け!$A$1:$BZ$3001,2595,$D$1)&amp;"",",",""),"¥",""),"￥","")),0))</f>
        <v/>
      </c>
      <c r="E2596">
        <f>IF($E$1=0,0,IFERROR(VALUE(SUBSTITUTE(SUBSTITUTE(SUBSTITUTE(INDEX(貼り付け!$A$1:$BZ$3001,2595,$E$1)&amp;"",",",""),"¥",""),"￥","")),0))</f>
        <v/>
      </c>
      <c r="F2596">
        <f>IF($F$1=0,0,IFERROR(VALUE(SUBSTITUTE(SUBSTITUTE(SUBSTITUTE(INDEX(貼り付け!$A$1:$BZ$3001,2595,$F$1)&amp;"",",",""),"¥",""),"￥","")),0))</f>
        <v/>
      </c>
      <c r="G2596">
        <f>IF(ISNUMBER(B2596),YEAR(B2596),"")</f>
        <v/>
      </c>
      <c r="H2596">
        <f>IF(ISNUMBER(B2596),MONTH(B2596),"")</f>
        <v/>
      </c>
      <c r="I2596">
        <f>IFERROR(IF($B$1=0,"",IF(ISNUMBER(INDEX(貼り付け!$A$1:$BZ$3001,2595,$B$1)),"",SUBSTITUTE(SUBSTITUTE(SUBSTITUTE(SUBSTITUTE(TRIM(LEFT(INDEX(貼り付け!$A$1:$BZ$3001,2595,$B$1)&amp;"",FIND(" ",TRIM(INDEX(貼り付け!$A$1:$BZ$3001,2595,$B$1)&amp;"")&amp;" ")-1)),"/","-"),"年","-"),"月","-"),"日",""))),"")</f>
        <v/>
      </c>
      <c r="J2596">
        <f>IFERROR(MID(I2596,FIND("-",I2596)+1,99),"")</f>
        <v/>
      </c>
    </row>
    <row r="2597">
      <c r="B2597">
        <f>IFERROR(IF($B$1=0,"",IF(INDEX(貼り付け!$A$1:$BZ$3001,2596,$B$1)="","",IF(ISNUMBER(INDEX(貼り付け!$A$1:$BZ$3001,2596,$B$1)),INT(INDEX(貼り付け!$A$1:$BZ$3001,2596,$B$1)),DATE(VALUE(LEFT(I2597,FIND("-",I2597)-1)),VALUE(LEFT(J2597,FIND("-",J2597)-1)),VALUE(MID(J2597,FIND("-",J2597)+1,99)))))),"")</f>
        <v/>
      </c>
      <c r="C2597">
        <f>IF($C$1=0,0,IFERROR(VALUE(SUBSTITUTE(SUBSTITUTE(SUBSTITUTE(INDEX(貼り付け!$A$1:$BZ$3001,2596,$C$1)&amp;"",",",""),"¥",""),"￥","")),0))</f>
        <v/>
      </c>
      <c r="D2597">
        <f>IF($D$1=0,0,IFERROR(VALUE(SUBSTITUTE(SUBSTITUTE(SUBSTITUTE(INDEX(貼り付け!$A$1:$BZ$3001,2596,$D$1)&amp;"",",",""),"¥",""),"￥","")),0))</f>
        <v/>
      </c>
      <c r="E2597">
        <f>IF($E$1=0,0,IFERROR(VALUE(SUBSTITUTE(SUBSTITUTE(SUBSTITUTE(INDEX(貼り付け!$A$1:$BZ$3001,2596,$E$1)&amp;"",",",""),"¥",""),"￥","")),0))</f>
        <v/>
      </c>
      <c r="F2597">
        <f>IF($F$1=0,0,IFERROR(VALUE(SUBSTITUTE(SUBSTITUTE(SUBSTITUTE(INDEX(貼り付け!$A$1:$BZ$3001,2596,$F$1)&amp;"",",",""),"¥",""),"￥","")),0))</f>
        <v/>
      </c>
      <c r="G2597">
        <f>IF(ISNUMBER(B2597),YEAR(B2597),"")</f>
        <v/>
      </c>
      <c r="H2597">
        <f>IF(ISNUMBER(B2597),MONTH(B2597),"")</f>
        <v/>
      </c>
      <c r="I2597">
        <f>IFERROR(IF($B$1=0,"",IF(ISNUMBER(INDEX(貼り付け!$A$1:$BZ$3001,2596,$B$1)),"",SUBSTITUTE(SUBSTITUTE(SUBSTITUTE(SUBSTITUTE(TRIM(LEFT(INDEX(貼り付け!$A$1:$BZ$3001,2596,$B$1)&amp;"",FIND(" ",TRIM(INDEX(貼り付け!$A$1:$BZ$3001,2596,$B$1)&amp;"")&amp;" ")-1)),"/","-"),"年","-"),"月","-"),"日",""))),"")</f>
        <v/>
      </c>
      <c r="J2597">
        <f>IFERROR(MID(I2597,FIND("-",I2597)+1,99),"")</f>
        <v/>
      </c>
    </row>
    <row r="2598">
      <c r="B2598">
        <f>IFERROR(IF($B$1=0,"",IF(INDEX(貼り付け!$A$1:$BZ$3001,2597,$B$1)="","",IF(ISNUMBER(INDEX(貼り付け!$A$1:$BZ$3001,2597,$B$1)),INT(INDEX(貼り付け!$A$1:$BZ$3001,2597,$B$1)),DATE(VALUE(LEFT(I2598,FIND("-",I2598)-1)),VALUE(LEFT(J2598,FIND("-",J2598)-1)),VALUE(MID(J2598,FIND("-",J2598)+1,99)))))),"")</f>
        <v/>
      </c>
      <c r="C2598">
        <f>IF($C$1=0,0,IFERROR(VALUE(SUBSTITUTE(SUBSTITUTE(SUBSTITUTE(INDEX(貼り付け!$A$1:$BZ$3001,2597,$C$1)&amp;"",",",""),"¥",""),"￥","")),0))</f>
        <v/>
      </c>
      <c r="D2598">
        <f>IF($D$1=0,0,IFERROR(VALUE(SUBSTITUTE(SUBSTITUTE(SUBSTITUTE(INDEX(貼り付け!$A$1:$BZ$3001,2597,$D$1)&amp;"",",",""),"¥",""),"￥","")),0))</f>
        <v/>
      </c>
      <c r="E2598">
        <f>IF($E$1=0,0,IFERROR(VALUE(SUBSTITUTE(SUBSTITUTE(SUBSTITUTE(INDEX(貼り付け!$A$1:$BZ$3001,2597,$E$1)&amp;"",",",""),"¥",""),"￥","")),0))</f>
        <v/>
      </c>
      <c r="F2598">
        <f>IF($F$1=0,0,IFERROR(VALUE(SUBSTITUTE(SUBSTITUTE(SUBSTITUTE(INDEX(貼り付け!$A$1:$BZ$3001,2597,$F$1)&amp;"",",",""),"¥",""),"￥","")),0))</f>
        <v/>
      </c>
      <c r="G2598">
        <f>IF(ISNUMBER(B2598),YEAR(B2598),"")</f>
        <v/>
      </c>
      <c r="H2598">
        <f>IF(ISNUMBER(B2598),MONTH(B2598),"")</f>
        <v/>
      </c>
      <c r="I2598">
        <f>IFERROR(IF($B$1=0,"",IF(ISNUMBER(INDEX(貼り付け!$A$1:$BZ$3001,2597,$B$1)),"",SUBSTITUTE(SUBSTITUTE(SUBSTITUTE(SUBSTITUTE(TRIM(LEFT(INDEX(貼り付け!$A$1:$BZ$3001,2597,$B$1)&amp;"",FIND(" ",TRIM(INDEX(貼り付け!$A$1:$BZ$3001,2597,$B$1)&amp;"")&amp;" ")-1)),"/","-"),"年","-"),"月","-"),"日",""))),"")</f>
        <v/>
      </c>
      <c r="J2598">
        <f>IFERROR(MID(I2598,FIND("-",I2598)+1,99),"")</f>
        <v/>
      </c>
    </row>
    <row r="2599">
      <c r="B2599">
        <f>IFERROR(IF($B$1=0,"",IF(INDEX(貼り付け!$A$1:$BZ$3001,2598,$B$1)="","",IF(ISNUMBER(INDEX(貼り付け!$A$1:$BZ$3001,2598,$B$1)),INT(INDEX(貼り付け!$A$1:$BZ$3001,2598,$B$1)),DATE(VALUE(LEFT(I2599,FIND("-",I2599)-1)),VALUE(LEFT(J2599,FIND("-",J2599)-1)),VALUE(MID(J2599,FIND("-",J2599)+1,99)))))),"")</f>
        <v/>
      </c>
      <c r="C2599">
        <f>IF($C$1=0,0,IFERROR(VALUE(SUBSTITUTE(SUBSTITUTE(SUBSTITUTE(INDEX(貼り付け!$A$1:$BZ$3001,2598,$C$1)&amp;"",",",""),"¥",""),"￥","")),0))</f>
        <v/>
      </c>
      <c r="D2599">
        <f>IF($D$1=0,0,IFERROR(VALUE(SUBSTITUTE(SUBSTITUTE(SUBSTITUTE(INDEX(貼り付け!$A$1:$BZ$3001,2598,$D$1)&amp;"",",",""),"¥",""),"￥","")),0))</f>
        <v/>
      </c>
      <c r="E2599">
        <f>IF($E$1=0,0,IFERROR(VALUE(SUBSTITUTE(SUBSTITUTE(SUBSTITUTE(INDEX(貼り付け!$A$1:$BZ$3001,2598,$E$1)&amp;"",",",""),"¥",""),"￥","")),0))</f>
        <v/>
      </c>
      <c r="F2599">
        <f>IF($F$1=0,0,IFERROR(VALUE(SUBSTITUTE(SUBSTITUTE(SUBSTITUTE(INDEX(貼り付け!$A$1:$BZ$3001,2598,$F$1)&amp;"",",",""),"¥",""),"￥","")),0))</f>
        <v/>
      </c>
      <c r="G2599">
        <f>IF(ISNUMBER(B2599),YEAR(B2599),"")</f>
        <v/>
      </c>
      <c r="H2599">
        <f>IF(ISNUMBER(B2599),MONTH(B2599),"")</f>
        <v/>
      </c>
      <c r="I2599">
        <f>IFERROR(IF($B$1=0,"",IF(ISNUMBER(INDEX(貼り付け!$A$1:$BZ$3001,2598,$B$1)),"",SUBSTITUTE(SUBSTITUTE(SUBSTITUTE(SUBSTITUTE(TRIM(LEFT(INDEX(貼り付け!$A$1:$BZ$3001,2598,$B$1)&amp;"",FIND(" ",TRIM(INDEX(貼り付け!$A$1:$BZ$3001,2598,$B$1)&amp;"")&amp;" ")-1)),"/","-"),"年","-"),"月","-"),"日",""))),"")</f>
        <v/>
      </c>
      <c r="J2599">
        <f>IFERROR(MID(I2599,FIND("-",I2599)+1,99),"")</f>
        <v/>
      </c>
    </row>
    <row r="2600">
      <c r="B2600">
        <f>IFERROR(IF($B$1=0,"",IF(INDEX(貼り付け!$A$1:$BZ$3001,2599,$B$1)="","",IF(ISNUMBER(INDEX(貼り付け!$A$1:$BZ$3001,2599,$B$1)),INT(INDEX(貼り付け!$A$1:$BZ$3001,2599,$B$1)),DATE(VALUE(LEFT(I2600,FIND("-",I2600)-1)),VALUE(LEFT(J2600,FIND("-",J2600)-1)),VALUE(MID(J2600,FIND("-",J2600)+1,99)))))),"")</f>
        <v/>
      </c>
      <c r="C2600">
        <f>IF($C$1=0,0,IFERROR(VALUE(SUBSTITUTE(SUBSTITUTE(SUBSTITUTE(INDEX(貼り付け!$A$1:$BZ$3001,2599,$C$1)&amp;"",",",""),"¥",""),"￥","")),0))</f>
        <v/>
      </c>
      <c r="D2600">
        <f>IF($D$1=0,0,IFERROR(VALUE(SUBSTITUTE(SUBSTITUTE(SUBSTITUTE(INDEX(貼り付け!$A$1:$BZ$3001,2599,$D$1)&amp;"",",",""),"¥",""),"￥","")),0))</f>
        <v/>
      </c>
      <c r="E2600">
        <f>IF($E$1=0,0,IFERROR(VALUE(SUBSTITUTE(SUBSTITUTE(SUBSTITUTE(INDEX(貼り付け!$A$1:$BZ$3001,2599,$E$1)&amp;"",",",""),"¥",""),"￥","")),0))</f>
        <v/>
      </c>
      <c r="F2600">
        <f>IF($F$1=0,0,IFERROR(VALUE(SUBSTITUTE(SUBSTITUTE(SUBSTITUTE(INDEX(貼り付け!$A$1:$BZ$3001,2599,$F$1)&amp;"",",",""),"¥",""),"￥","")),0))</f>
        <v/>
      </c>
      <c r="G2600">
        <f>IF(ISNUMBER(B2600),YEAR(B2600),"")</f>
        <v/>
      </c>
      <c r="H2600">
        <f>IF(ISNUMBER(B2600),MONTH(B2600),"")</f>
        <v/>
      </c>
      <c r="I2600">
        <f>IFERROR(IF($B$1=0,"",IF(ISNUMBER(INDEX(貼り付け!$A$1:$BZ$3001,2599,$B$1)),"",SUBSTITUTE(SUBSTITUTE(SUBSTITUTE(SUBSTITUTE(TRIM(LEFT(INDEX(貼り付け!$A$1:$BZ$3001,2599,$B$1)&amp;"",FIND(" ",TRIM(INDEX(貼り付け!$A$1:$BZ$3001,2599,$B$1)&amp;"")&amp;" ")-1)),"/","-"),"年","-"),"月","-"),"日",""))),"")</f>
        <v/>
      </c>
      <c r="J2600">
        <f>IFERROR(MID(I2600,FIND("-",I2600)+1,99),"")</f>
        <v/>
      </c>
    </row>
    <row r="2601">
      <c r="B2601">
        <f>IFERROR(IF($B$1=0,"",IF(INDEX(貼り付け!$A$1:$BZ$3001,2600,$B$1)="","",IF(ISNUMBER(INDEX(貼り付け!$A$1:$BZ$3001,2600,$B$1)),INT(INDEX(貼り付け!$A$1:$BZ$3001,2600,$B$1)),DATE(VALUE(LEFT(I2601,FIND("-",I2601)-1)),VALUE(LEFT(J2601,FIND("-",J2601)-1)),VALUE(MID(J2601,FIND("-",J2601)+1,99)))))),"")</f>
        <v/>
      </c>
      <c r="C2601">
        <f>IF($C$1=0,0,IFERROR(VALUE(SUBSTITUTE(SUBSTITUTE(SUBSTITUTE(INDEX(貼り付け!$A$1:$BZ$3001,2600,$C$1)&amp;"",",",""),"¥",""),"￥","")),0))</f>
        <v/>
      </c>
      <c r="D2601">
        <f>IF($D$1=0,0,IFERROR(VALUE(SUBSTITUTE(SUBSTITUTE(SUBSTITUTE(INDEX(貼り付け!$A$1:$BZ$3001,2600,$D$1)&amp;"",",",""),"¥",""),"￥","")),0))</f>
        <v/>
      </c>
      <c r="E2601">
        <f>IF($E$1=0,0,IFERROR(VALUE(SUBSTITUTE(SUBSTITUTE(SUBSTITUTE(INDEX(貼り付け!$A$1:$BZ$3001,2600,$E$1)&amp;"",",",""),"¥",""),"￥","")),0))</f>
        <v/>
      </c>
      <c r="F2601">
        <f>IF($F$1=0,0,IFERROR(VALUE(SUBSTITUTE(SUBSTITUTE(SUBSTITUTE(INDEX(貼り付け!$A$1:$BZ$3001,2600,$F$1)&amp;"",",",""),"¥",""),"￥","")),0))</f>
        <v/>
      </c>
      <c r="G2601">
        <f>IF(ISNUMBER(B2601),YEAR(B2601),"")</f>
        <v/>
      </c>
      <c r="H2601">
        <f>IF(ISNUMBER(B2601),MONTH(B2601),"")</f>
        <v/>
      </c>
      <c r="I2601">
        <f>IFERROR(IF($B$1=0,"",IF(ISNUMBER(INDEX(貼り付け!$A$1:$BZ$3001,2600,$B$1)),"",SUBSTITUTE(SUBSTITUTE(SUBSTITUTE(SUBSTITUTE(TRIM(LEFT(INDEX(貼り付け!$A$1:$BZ$3001,2600,$B$1)&amp;"",FIND(" ",TRIM(INDEX(貼り付け!$A$1:$BZ$3001,2600,$B$1)&amp;"")&amp;" ")-1)),"/","-"),"年","-"),"月","-"),"日",""))),"")</f>
        <v/>
      </c>
      <c r="J2601">
        <f>IFERROR(MID(I2601,FIND("-",I2601)+1,99),"")</f>
        <v/>
      </c>
    </row>
    <row r="2602">
      <c r="B2602">
        <f>IFERROR(IF($B$1=0,"",IF(INDEX(貼り付け!$A$1:$BZ$3001,2601,$B$1)="","",IF(ISNUMBER(INDEX(貼り付け!$A$1:$BZ$3001,2601,$B$1)),INT(INDEX(貼り付け!$A$1:$BZ$3001,2601,$B$1)),DATE(VALUE(LEFT(I2602,FIND("-",I2602)-1)),VALUE(LEFT(J2602,FIND("-",J2602)-1)),VALUE(MID(J2602,FIND("-",J2602)+1,99)))))),"")</f>
        <v/>
      </c>
      <c r="C2602">
        <f>IF($C$1=0,0,IFERROR(VALUE(SUBSTITUTE(SUBSTITUTE(SUBSTITUTE(INDEX(貼り付け!$A$1:$BZ$3001,2601,$C$1)&amp;"",",",""),"¥",""),"￥","")),0))</f>
        <v/>
      </c>
      <c r="D2602">
        <f>IF($D$1=0,0,IFERROR(VALUE(SUBSTITUTE(SUBSTITUTE(SUBSTITUTE(INDEX(貼り付け!$A$1:$BZ$3001,2601,$D$1)&amp;"",",",""),"¥",""),"￥","")),0))</f>
        <v/>
      </c>
      <c r="E2602">
        <f>IF($E$1=0,0,IFERROR(VALUE(SUBSTITUTE(SUBSTITUTE(SUBSTITUTE(INDEX(貼り付け!$A$1:$BZ$3001,2601,$E$1)&amp;"",",",""),"¥",""),"￥","")),0))</f>
        <v/>
      </c>
      <c r="F2602">
        <f>IF($F$1=0,0,IFERROR(VALUE(SUBSTITUTE(SUBSTITUTE(SUBSTITUTE(INDEX(貼り付け!$A$1:$BZ$3001,2601,$F$1)&amp;"",",",""),"¥",""),"￥","")),0))</f>
        <v/>
      </c>
      <c r="G2602">
        <f>IF(ISNUMBER(B2602),YEAR(B2602),"")</f>
        <v/>
      </c>
      <c r="H2602">
        <f>IF(ISNUMBER(B2602),MONTH(B2602),"")</f>
        <v/>
      </c>
      <c r="I2602">
        <f>IFERROR(IF($B$1=0,"",IF(ISNUMBER(INDEX(貼り付け!$A$1:$BZ$3001,2601,$B$1)),"",SUBSTITUTE(SUBSTITUTE(SUBSTITUTE(SUBSTITUTE(TRIM(LEFT(INDEX(貼り付け!$A$1:$BZ$3001,2601,$B$1)&amp;"",FIND(" ",TRIM(INDEX(貼り付け!$A$1:$BZ$3001,2601,$B$1)&amp;"")&amp;" ")-1)),"/","-"),"年","-"),"月","-"),"日",""))),"")</f>
        <v/>
      </c>
      <c r="J2602">
        <f>IFERROR(MID(I2602,FIND("-",I2602)+1,99),"")</f>
        <v/>
      </c>
    </row>
    <row r="2603">
      <c r="B2603">
        <f>IFERROR(IF($B$1=0,"",IF(INDEX(貼り付け!$A$1:$BZ$3001,2602,$B$1)="","",IF(ISNUMBER(INDEX(貼り付け!$A$1:$BZ$3001,2602,$B$1)),INT(INDEX(貼り付け!$A$1:$BZ$3001,2602,$B$1)),DATE(VALUE(LEFT(I2603,FIND("-",I2603)-1)),VALUE(LEFT(J2603,FIND("-",J2603)-1)),VALUE(MID(J2603,FIND("-",J2603)+1,99)))))),"")</f>
        <v/>
      </c>
      <c r="C2603">
        <f>IF($C$1=0,0,IFERROR(VALUE(SUBSTITUTE(SUBSTITUTE(SUBSTITUTE(INDEX(貼り付け!$A$1:$BZ$3001,2602,$C$1)&amp;"",",",""),"¥",""),"￥","")),0))</f>
        <v/>
      </c>
      <c r="D2603">
        <f>IF($D$1=0,0,IFERROR(VALUE(SUBSTITUTE(SUBSTITUTE(SUBSTITUTE(INDEX(貼り付け!$A$1:$BZ$3001,2602,$D$1)&amp;"",",",""),"¥",""),"￥","")),0))</f>
        <v/>
      </c>
      <c r="E2603">
        <f>IF($E$1=0,0,IFERROR(VALUE(SUBSTITUTE(SUBSTITUTE(SUBSTITUTE(INDEX(貼り付け!$A$1:$BZ$3001,2602,$E$1)&amp;"",",",""),"¥",""),"￥","")),0))</f>
        <v/>
      </c>
      <c r="F2603">
        <f>IF($F$1=0,0,IFERROR(VALUE(SUBSTITUTE(SUBSTITUTE(SUBSTITUTE(INDEX(貼り付け!$A$1:$BZ$3001,2602,$F$1)&amp;"",",",""),"¥",""),"￥","")),0))</f>
        <v/>
      </c>
      <c r="G2603">
        <f>IF(ISNUMBER(B2603),YEAR(B2603),"")</f>
        <v/>
      </c>
      <c r="H2603">
        <f>IF(ISNUMBER(B2603),MONTH(B2603),"")</f>
        <v/>
      </c>
      <c r="I2603">
        <f>IFERROR(IF($B$1=0,"",IF(ISNUMBER(INDEX(貼り付け!$A$1:$BZ$3001,2602,$B$1)),"",SUBSTITUTE(SUBSTITUTE(SUBSTITUTE(SUBSTITUTE(TRIM(LEFT(INDEX(貼り付け!$A$1:$BZ$3001,2602,$B$1)&amp;"",FIND(" ",TRIM(INDEX(貼り付け!$A$1:$BZ$3001,2602,$B$1)&amp;"")&amp;" ")-1)),"/","-"),"年","-"),"月","-"),"日",""))),"")</f>
        <v/>
      </c>
      <c r="J2603">
        <f>IFERROR(MID(I2603,FIND("-",I2603)+1,99),"")</f>
        <v/>
      </c>
    </row>
    <row r="2604">
      <c r="B2604">
        <f>IFERROR(IF($B$1=0,"",IF(INDEX(貼り付け!$A$1:$BZ$3001,2603,$B$1)="","",IF(ISNUMBER(INDEX(貼り付け!$A$1:$BZ$3001,2603,$B$1)),INT(INDEX(貼り付け!$A$1:$BZ$3001,2603,$B$1)),DATE(VALUE(LEFT(I2604,FIND("-",I2604)-1)),VALUE(LEFT(J2604,FIND("-",J2604)-1)),VALUE(MID(J2604,FIND("-",J2604)+1,99)))))),"")</f>
        <v/>
      </c>
      <c r="C2604">
        <f>IF($C$1=0,0,IFERROR(VALUE(SUBSTITUTE(SUBSTITUTE(SUBSTITUTE(INDEX(貼り付け!$A$1:$BZ$3001,2603,$C$1)&amp;"",",",""),"¥",""),"￥","")),0))</f>
        <v/>
      </c>
      <c r="D2604">
        <f>IF($D$1=0,0,IFERROR(VALUE(SUBSTITUTE(SUBSTITUTE(SUBSTITUTE(INDEX(貼り付け!$A$1:$BZ$3001,2603,$D$1)&amp;"",",",""),"¥",""),"￥","")),0))</f>
        <v/>
      </c>
      <c r="E2604">
        <f>IF($E$1=0,0,IFERROR(VALUE(SUBSTITUTE(SUBSTITUTE(SUBSTITUTE(INDEX(貼り付け!$A$1:$BZ$3001,2603,$E$1)&amp;"",",",""),"¥",""),"￥","")),0))</f>
        <v/>
      </c>
      <c r="F2604">
        <f>IF($F$1=0,0,IFERROR(VALUE(SUBSTITUTE(SUBSTITUTE(SUBSTITUTE(INDEX(貼り付け!$A$1:$BZ$3001,2603,$F$1)&amp;"",",",""),"¥",""),"￥","")),0))</f>
        <v/>
      </c>
      <c r="G2604">
        <f>IF(ISNUMBER(B2604),YEAR(B2604),"")</f>
        <v/>
      </c>
      <c r="H2604">
        <f>IF(ISNUMBER(B2604),MONTH(B2604),"")</f>
        <v/>
      </c>
      <c r="I2604">
        <f>IFERROR(IF($B$1=0,"",IF(ISNUMBER(INDEX(貼り付け!$A$1:$BZ$3001,2603,$B$1)),"",SUBSTITUTE(SUBSTITUTE(SUBSTITUTE(SUBSTITUTE(TRIM(LEFT(INDEX(貼り付け!$A$1:$BZ$3001,2603,$B$1)&amp;"",FIND(" ",TRIM(INDEX(貼り付け!$A$1:$BZ$3001,2603,$B$1)&amp;"")&amp;" ")-1)),"/","-"),"年","-"),"月","-"),"日",""))),"")</f>
        <v/>
      </c>
      <c r="J2604">
        <f>IFERROR(MID(I2604,FIND("-",I2604)+1,99),"")</f>
        <v/>
      </c>
    </row>
    <row r="2605">
      <c r="B2605">
        <f>IFERROR(IF($B$1=0,"",IF(INDEX(貼り付け!$A$1:$BZ$3001,2604,$B$1)="","",IF(ISNUMBER(INDEX(貼り付け!$A$1:$BZ$3001,2604,$B$1)),INT(INDEX(貼り付け!$A$1:$BZ$3001,2604,$B$1)),DATE(VALUE(LEFT(I2605,FIND("-",I2605)-1)),VALUE(LEFT(J2605,FIND("-",J2605)-1)),VALUE(MID(J2605,FIND("-",J2605)+1,99)))))),"")</f>
        <v/>
      </c>
      <c r="C2605">
        <f>IF($C$1=0,0,IFERROR(VALUE(SUBSTITUTE(SUBSTITUTE(SUBSTITUTE(INDEX(貼り付け!$A$1:$BZ$3001,2604,$C$1)&amp;"",",",""),"¥",""),"￥","")),0))</f>
        <v/>
      </c>
      <c r="D2605">
        <f>IF($D$1=0,0,IFERROR(VALUE(SUBSTITUTE(SUBSTITUTE(SUBSTITUTE(INDEX(貼り付け!$A$1:$BZ$3001,2604,$D$1)&amp;"",",",""),"¥",""),"￥","")),0))</f>
        <v/>
      </c>
      <c r="E2605">
        <f>IF($E$1=0,0,IFERROR(VALUE(SUBSTITUTE(SUBSTITUTE(SUBSTITUTE(INDEX(貼り付け!$A$1:$BZ$3001,2604,$E$1)&amp;"",",",""),"¥",""),"￥","")),0))</f>
        <v/>
      </c>
      <c r="F2605">
        <f>IF($F$1=0,0,IFERROR(VALUE(SUBSTITUTE(SUBSTITUTE(SUBSTITUTE(INDEX(貼り付け!$A$1:$BZ$3001,2604,$F$1)&amp;"",",",""),"¥",""),"￥","")),0))</f>
        <v/>
      </c>
      <c r="G2605">
        <f>IF(ISNUMBER(B2605),YEAR(B2605),"")</f>
        <v/>
      </c>
      <c r="H2605">
        <f>IF(ISNUMBER(B2605),MONTH(B2605),"")</f>
        <v/>
      </c>
      <c r="I2605">
        <f>IFERROR(IF($B$1=0,"",IF(ISNUMBER(INDEX(貼り付け!$A$1:$BZ$3001,2604,$B$1)),"",SUBSTITUTE(SUBSTITUTE(SUBSTITUTE(SUBSTITUTE(TRIM(LEFT(INDEX(貼り付け!$A$1:$BZ$3001,2604,$B$1)&amp;"",FIND(" ",TRIM(INDEX(貼り付け!$A$1:$BZ$3001,2604,$B$1)&amp;"")&amp;" ")-1)),"/","-"),"年","-"),"月","-"),"日",""))),"")</f>
        <v/>
      </c>
      <c r="J2605">
        <f>IFERROR(MID(I2605,FIND("-",I2605)+1,99),"")</f>
        <v/>
      </c>
    </row>
    <row r="2606">
      <c r="B2606">
        <f>IFERROR(IF($B$1=0,"",IF(INDEX(貼り付け!$A$1:$BZ$3001,2605,$B$1)="","",IF(ISNUMBER(INDEX(貼り付け!$A$1:$BZ$3001,2605,$B$1)),INT(INDEX(貼り付け!$A$1:$BZ$3001,2605,$B$1)),DATE(VALUE(LEFT(I2606,FIND("-",I2606)-1)),VALUE(LEFT(J2606,FIND("-",J2606)-1)),VALUE(MID(J2606,FIND("-",J2606)+1,99)))))),"")</f>
        <v/>
      </c>
      <c r="C2606">
        <f>IF($C$1=0,0,IFERROR(VALUE(SUBSTITUTE(SUBSTITUTE(SUBSTITUTE(INDEX(貼り付け!$A$1:$BZ$3001,2605,$C$1)&amp;"",",",""),"¥",""),"￥","")),0))</f>
        <v/>
      </c>
      <c r="D2606">
        <f>IF($D$1=0,0,IFERROR(VALUE(SUBSTITUTE(SUBSTITUTE(SUBSTITUTE(INDEX(貼り付け!$A$1:$BZ$3001,2605,$D$1)&amp;"",",",""),"¥",""),"￥","")),0))</f>
        <v/>
      </c>
      <c r="E2606">
        <f>IF($E$1=0,0,IFERROR(VALUE(SUBSTITUTE(SUBSTITUTE(SUBSTITUTE(INDEX(貼り付け!$A$1:$BZ$3001,2605,$E$1)&amp;"",",",""),"¥",""),"￥","")),0))</f>
        <v/>
      </c>
      <c r="F2606">
        <f>IF($F$1=0,0,IFERROR(VALUE(SUBSTITUTE(SUBSTITUTE(SUBSTITUTE(INDEX(貼り付け!$A$1:$BZ$3001,2605,$F$1)&amp;"",",",""),"¥",""),"￥","")),0))</f>
        <v/>
      </c>
      <c r="G2606">
        <f>IF(ISNUMBER(B2606),YEAR(B2606),"")</f>
        <v/>
      </c>
      <c r="H2606">
        <f>IF(ISNUMBER(B2606),MONTH(B2606),"")</f>
        <v/>
      </c>
      <c r="I2606">
        <f>IFERROR(IF($B$1=0,"",IF(ISNUMBER(INDEX(貼り付け!$A$1:$BZ$3001,2605,$B$1)),"",SUBSTITUTE(SUBSTITUTE(SUBSTITUTE(SUBSTITUTE(TRIM(LEFT(INDEX(貼り付け!$A$1:$BZ$3001,2605,$B$1)&amp;"",FIND(" ",TRIM(INDEX(貼り付け!$A$1:$BZ$3001,2605,$B$1)&amp;"")&amp;" ")-1)),"/","-"),"年","-"),"月","-"),"日",""))),"")</f>
        <v/>
      </c>
      <c r="J2606">
        <f>IFERROR(MID(I2606,FIND("-",I2606)+1,99),"")</f>
        <v/>
      </c>
    </row>
    <row r="2607">
      <c r="B2607">
        <f>IFERROR(IF($B$1=0,"",IF(INDEX(貼り付け!$A$1:$BZ$3001,2606,$B$1)="","",IF(ISNUMBER(INDEX(貼り付け!$A$1:$BZ$3001,2606,$B$1)),INT(INDEX(貼り付け!$A$1:$BZ$3001,2606,$B$1)),DATE(VALUE(LEFT(I2607,FIND("-",I2607)-1)),VALUE(LEFT(J2607,FIND("-",J2607)-1)),VALUE(MID(J2607,FIND("-",J2607)+1,99)))))),"")</f>
        <v/>
      </c>
      <c r="C2607">
        <f>IF($C$1=0,0,IFERROR(VALUE(SUBSTITUTE(SUBSTITUTE(SUBSTITUTE(INDEX(貼り付け!$A$1:$BZ$3001,2606,$C$1)&amp;"",",",""),"¥",""),"￥","")),0))</f>
        <v/>
      </c>
      <c r="D2607">
        <f>IF($D$1=0,0,IFERROR(VALUE(SUBSTITUTE(SUBSTITUTE(SUBSTITUTE(INDEX(貼り付け!$A$1:$BZ$3001,2606,$D$1)&amp;"",",",""),"¥",""),"￥","")),0))</f>
        <v/>
      </c>
      <c r="E2607">
        <f>IF($E$1=0,0,IFERROR(VALUE(SUBSTITUTE(SUBSTITUTE(SUBSTITUTE(INDEX(貼り付け!$A$1:$BZ$3001,2606,$E$1)&amp;"",",",""),"¥",""),"￥","")),0))</f>
        <v/>
      </c>
      <c r="F2607">
        <f>IF($F$1=0,0,IFERROR(VALUE(SUBSTITUTE(SUBSTITUTE(SUBSTITUTE(INDEX(貼り付け!$A$1:$BZ$3001,2606,$F$1)&amp;"",",",""),"¥",""),"￥","")),0))</f>
        <v/>
      </c>
      <c r="G2607">
        <f>IF(ISNUMBER(B2607),YEAR(B2607),"")</f>
        <v/>
      </c>
      <c r="H2607">
        <f>IF(ISNUMBER(B2607),MONTH(B2607),"")</f>
        <v/>
      </c>
      <c r="I2607">
        <f>IFERROR(IF($B$1=0,"",IF(ISNUMBER(INDEX(貼り付け!$A$1:$BZ$3001,2606,$B$1)),"",SUBSTITUTE(SUBSTITUTE(SUBSTITUTE(SUBSTITUTE(TRIM(LEFT(INDEX(貼り付け!$A$1:$BZ$3001,2606,$B$1)&amp;"",FIND(" ",TRIM(INDEX(貼り付け!$A$1:$BZ$3001,2606,$B$1)&amp;"")&amp;" ")-1)),"/","-"),"年","-"),"月","-"),"日",""))),"")</f>
        <v/>
      </c>
      <c r="J2607">
        <f>IFERROR(MID(I2607,FIND("-",I2607)+1,99),"")</f>
        <v/>
      </c>
    </row>
    <row r="2608">
      <c r="B2608">
        <f>IFERROR(IF($B$1=0,"",IF(INDEX(貼り付け!$A$1:$BZ$3001,2607,$B$1)="","",IF(ISNUMBER(INDEX(貼り付け!$A$1:$BZ$3001,2607,$B$1)),INT(INDEX(貼り付け!$A$1:$BZ$3001,2607,$B$1)),DATE(VALUE(LEFT(I2608,FIND("-",I2608)-1)),VALUE(LEFT(J2608,FIND("-",J2608)-1)),VALUE(MID(J2608,FIND("-",J2608)+1,99)))))),"")</f>
        <v/>
      </c>
      <c r="C2608">
        <f>IF($C$1=0,0,IFERROR(VALUE(SUBSTITUTE(SUBSTITUTE(SUBSTITUTE(INDEX(貼り付け!$A$1:$BZ$3001,2607,$C$1)&amp;"",",",""),"¥",""),"￥","")),0))</f>
        <v/>
      </c>
      <c r="D2608">
        <f>IF($D$1=0,0,IFERROR(VALUE(SUBSTITUTE(SUBSTITUTE(SUBSTITUTE(INDEX(貼り付け!$A$1:$BZ$3001,2607,$D$1)&amp;"",",",""),"¥",""),"￥","")),0))</f>
        <v/>
      </c>
      <c r="E2608">
        <f>IF($E$1=0,0,IFERROR(VALUE(SUBSTITUTE(SUBSTITUTE(SUBSTITUTE(INDEX(貼り付け!$A$1:$BZ$3001,2607,$E$1)&amp;"",",",""),"¥",""),"￥","")),0))</f>
        <v/>
      </c>
      <c r="F2608">
        <f>IF($F$1=0,0,IFERROR(VALUE(SUBSTITUTE(SUBSTITUTE(SUBSTITUTE(INDEX(貼り付け!$A$1:$BZ$3001,2607,$F$1)&amp;"",",",""),"¥",""),"￥","")),0))</f>
        <v/>
      </c>
      <c r="G2608">
        <f>IF(ISNUMBER(B2608),YEAR(B2608),"")</f>
        <v/>
      </c>
      <c r="H2608">
        <f>IF(ISNUMBER(B2608),MONTH(B2608),"")</f>
        <v/>
      </c>
      <c r="I2608">
        <f>IFERROR(IF($B$1=0,"",IF(ISNUMBER(INDEX(貼り付け!$A$1:$BZ$3001,2607,$B$1)),"",SUBSTITUTE(SUBSTITUTE(SUBSTITUTE(SUBSTITUTE(TRIM(LEFT(INDEX(貼り付け!$A$1:$BZ$3001,2607,$B$1)&amp;"",FIND(" ",TRIM(INDEX(貼り付け!$A$1:$BZ$3001,2607,$B$1)&amp;"")&amp;" ")-1)),"/","-"),"年","-"),"月","-"),"日",""))),"")</f>
        <v/>
      </c>
      <c r="J2608">
        <f>IFERROR(MID(I2608,FIND("-",I2608)+1,99),"")</f>
        <v/>
      </c>
    </row>
    <row r="2609">
      <c r="B2609">
        <f>IFERROR(IF($B$1=0,"",IF(INDEX(貼り付け!$A$1:$BZ$3001,2608,$B$1)="","",IF(ISNUMBER(INDEX(貼り付け!$A$1:$BZ$3001,2608,$B$1)),INT(INDEX(貼り付け!$A$1:$BZ$3001,2608,$B$1)),DATE(VALUE(LEFT(I2609,FIND("-",I2609)-1)),VALUE(LEFT(J2609,FIND("-",J2609)-1)),VALUE(MID(J2609,FIND("-",J2609)+1,99)))))),"")</f>
        <v/>
      </c>
      <c r="C2609">
        <f>IF($C$1=0,0,IFERROR(VALUE(SUBSTITUTE(SUBSTITUTE(SUBSTITUTE(INDEX(貼り付け!$A$1:$BZ$3001,2608,$C$1)&amp;"",",",""),"¥",""),"￥","")),0))</f>
        <v/>
      </c>
      <c r="D2609">
        <f>IF($D$1=0,0,IFERROR(VALUE(SUBSTITUTE(SUBSTITUTE(SUBSTITUTE(INDEX(貼り付け!$A$1:$BZ$3001,2608,$D$1)&amp;"",",",""),"¥",""),"￥","")),0))</f>
        <v/>
      </c>
      <c r="E2609">
        <f>IF($E$1=0,0,IFERROR(VALUE(SUBSTITUTE(SUBSTITUTE(SUBSTITUTE(INDEX(貼り付け!$A$1:$BZ$3001,2608,$E$1)&amp;"",",",""),"¥",""),"￥","")),0))</f>
        <v/>
      </c>
      <c r="F2609">
        <f>IF($F$1=0,0,IFERROR(VALUE(SUBSTITUTE(SUBSTITUTE(SUBSTITUTE(INDEX(貼り付け!$A$1:$BZ$3001,2608,$F$1)&amp;"",",",""),"¥",""),"￥","")),0))</f>
        <v/>
      </c>
      <c r="G2609">
        <f>IF(ISNUMBER(B2609),YEAR(B2609),"")</f>
        <v/>
      </c>
      <c r="H2609">
        <f>IF(ISNUMBER(B2609),MONTH(B2609),"")</f>
        <v/>
      </c>
      <c r="I2609">
        <f>IFERROR(IF($B$1=0,"",IF(ISNUMBER(INDEX(貼り付け!$A$1:$BZ$3001,2608,$B$1)),"",SUBSTITUTE(SUBSTITUTE(SUBSTITUTE(SUBSTITUTE(TRIM(LEFT(INDEX(貼り付け!$A$1:$BZ$3001,2608,$B$1)&amp;"",FIND(" ",TRIM(INDEX(貼り付け!$A$1:$BZ$3001,2608,$B$1)&amp;"")&amp;" ")-1)),"/","-"),"年","-"),"月","-"),"日",""))),"")</f>
        <v/>
      </c>
      <c r="J2609">
        <f>IFERROR(MID(I2609,FIND("-",I2609)+1,99),"")</f>
        <v/>
      </c>
    </row>
    <row r="2610">
      <c r="B2610">
        <f>IFERROR(IF($B$1=0,"",IF(INDEX(貼り付け!$A$1:$BZ$3001,2609,$B$1)="","",IF(ISNUMBER(INDEX(貼り付け!$A$1:$BZ$3001,2609,$B$1)),INT(INDEX(貼り付け!$A$1:$BZ$3001,2609,$B$1)),DATE(VALUE(LEFT(I2610,FIND("-",I2610)-1)),VALUE(LEFT(J2610,FIND("-",J2610)-1)),VALUE(MID(J2610,FIND("-",J2610)+1,99)))))),"")</f>
        <v/>
      </c>
      <c r="C2610">
        <f>IF($C$1=0,0,IFERROR(VALUE(SUBSTITUTE(SUBSTITUTE(SUBSTITUTE(INDEX(貼り付け!$A$1:$BZ$3001,2609,$C$1)&amp;"",",",""),"¥",""),"￥","")),0))</f>
        <v/>
      </c>
      <c r="D2610">
        <f>IF($D$1=0,0,IFERROR(VALUE(SUBSTITUTE(SUBSTITUTE(SUBSTITUTE(INDEX(貼り付け!$A$1:$BZ$3001,2609,$D$1)&amp;"",",",""),"¥",""),"￥","")),0))</f>
        <v/>
      </c>
      <c r="E2610">
        <f>IF($E$1=0,0,IFERROR(VALUE(SUBSTITUTE(SUBSTITUTE(SUBSTITUTE(INDEX(貼り付け!$A$1:$BZ$3001,2609,$E$1)&amp;"",",",""),"¥",""),"￥","")),0))</f>
        <v/>
      </c>
      <c r="F2610">
        <f>IF($F$1=0,0,IFERROR(VALUE(SUBSTITUTE(SUBSTITUTE(SUBSTITUTE(INDEX(貼り付け!$A$1:$BZ$3001,2609,$F$1)&amp;"",",",""),"¥",""),"￥","")),0))</f>
        <v/>
      </c>
      <c r="G2610">
        <f>IF(ISNUMBER(B2610),YEAR(B2610),"")</f>
        <v/>
      </c>
      <c r="H2610">
        <f>IF(ISNUMBER(B2610),MONTH(B2610),"")</f>
        <v/>
      </c>
      <c r="I2610">
        <f>IFERROR(IF($B$1=0,"",IF(ISNUMBER(INDEX(貼り付け!$A$1:$BZ$3001,2609,$B$1)),"",SUBSTITUTE(SUBSTITUTE(SUBSTITUTE(SUBSTITUTE(TRIM(LEFT(INDEX(貼り付け!$A$1:$BZ$3001,2609,$B$1)&amp;"",FIND(" ",TRIM(INDEX(貼り付け!$A$1:$BZ$3001,2609,$B$1)&amp;"")&amp;" ")-1)),"/","-"),"年","-"),"月","-"),"日",""))),"")</f>
        <v/>
      </c>
      <c r="J2610">
        <f>IFERROR(MID(I2610,FIND("-",I2610)+1,99),"")</f>
        <v/>
      </c>
    </row>
    <row r="2611">
      <c r="B2611">
        <f>IFERROR(IF($B$1=0,"",IF(INDEX(貼り付け!$A$1:$BZ$3001,2610,$B$1)="","",IF(ISNUMBER(INDEX(貼り付け!$A$1:$BZ$3001,2610,$B$1)),INT(INDEX(貼り付け!$A$1:$BZ$3001,2610,$B$1)),DATE(VALUE(LEFT(I2611,FIND("-",I2611)-1)),VALUE(LEFT(J2611,FIND("-",J2611)-1)),VALUE(MID(J2611,FIND("-",J2611)+1,99)))))),"")</f>
        <v/>
      </c>
      <c r="C2611">
        <f>IF($C$1=0,0,IFERROR(VALUE(SUBSTITUTE(SUBSTITUTE(SUBSTITUTE(INDEX(貼り付け!$A$1:$BZ$3001,2610,$C$1)&amp;"",",",""),"¥",""),"￥","")),0))</f>
        <v/>
      </c>
      <c r="D2611">
        <f>IF($D$1=0,0,IFERROR(VALUE(SUBSTITUTE(SUBSTITUTE(SUBSTITUTE(INDEX(貼り付け!$A$1:$BZ$3001,2610,$D$1)&amp;"",",",""),"¥",""),"￥","")),0))</f>
        <v/>
      </c>
      <c r="E2611">
        <f>IF($E$1=0,0,IFERROR(VALUE(SUBSTITUTE(SUBSTITUTE(SUBSTITUTE(INDEX(貼り付け!$A$1:$BZ$3001,2610,$E$1)&amp;"",",",""),"¥",""),"￥","")),0))</f>
        <v/>
      </c>
      <c r="F2611">
        <f>IF($F$1=0,0,IFERROR(VALUE(SUBSTITUTE(SUBSTITUTE(SUBSTITUTE(INDEX(貼り付け!$A$1:$BZ$3001,2610,$F$1)&amp;"",",",""),"¥",""),"￥","")),0))</f>
        <v/>
      </c>
      <c r="G2611">
        <f>IF(ISNUMBER(B2611),YEAR(B2611),"")</f>
        <v/>
      </c>
      <c r="H2611">
        <f>IF(ISNUMBER(B2611),MONTH(B2611),"")</f>
        <v/>
      </c>
      <c r="I2611">
        <f>IFERROR(IF($B$1=0,"",IF(ISNUMBER(INDEX(貼り付け!$A$1:$BZ$3001,2610,$B$1)),"",SUBSTITUTE(SUBSTITUTE(SUBSTITUTE(SUBSTITUTE(TRIM(LEFT(INDEX(貼り付け!$A$1:$BZ$3001,2610,$B$1)&amp;"",FIND(" ",TRIM(INDEX(貼り付け!$A$1:$BZ$3001,2610,$B$1)&amp;"")&amp;" ")-1)),"/","-"),"年","-"),"月","-"),"日",""))),"")</f>
        <v/>
      </c>
      <c r="J2611">
        <f>IFERROR(MID(I2611,FIND("-",I2611)+1,99),"")</f>
        <v/>
      </c>
    </row>
    <row r="2612">
      <c r="B2612">
        <f>IFERROR(IF($B$1=0,"",IF(INDEX(貼り付け!$A$1:$BZ$3001,2611,$B$1)="","",IF(ISNUMBER(INDEX(貼り付け!$A$1:$BZ$3001,2611,$B$1)),INT(INDEX(貼り付け!$A$1:$BZ$3001,2611,$B$1)),DATE(VALUE(LEFT(I2612,FIND("-",I2612)-1)),VALUE(LEFT(J2612,FIND("-",J2612)-1)),VALUE(MID(J2612,FIND("-",J2612)+1,99)))))),"")</f>
        <v/>
      </c>
      <c r="C2612">
        <f>IF($C$1=0,0,IFERROR(VALUE(SUBSTITUTE(SUBSTITUTE(SUBSTITUTE(INDEX(貼り付け!$A$1:$BZ$3001,2611,$C$1)&amp;"",",",""),"¥",""),"￥","")),0))</f>
        <v/>
      </c>
      <c r="D2612">
        <f>IF($D$1=0,0,IFERROR(VALUE(SUBSTITUTE(SUBSTITUTE(SUBSTITUTE(INDEX(貼り付け!$A$1:$BZ$3001,2611,$D$1)&amp;"",",",""),"¥",""),"￥","")),0))</f>
        <v/>
      </c>
      <c r="E2612">
        <f>IF($E$1=0,0,IFERROR(VALUE(SUBSTITUTE(SUBSTITUTE(SUBSTITUTE(INDEX(貼り付け!$A$1:$BZ$3001,2611,$E$1)&amp;"",",",""),"¥",""),"￥","")),0))</f>
        <v/>
      </c>
      <c r="F2612">
        <f>IF($F$1=0,0,IFERROR(VALUE(SUBSTITUTE(SUBSTITUTE(SUBSTITUTE(INDEX(貼り付け!$A$1:$BZ$3001,2611,$F$1)&amp;"",",",""),"¥",""),"￥","")),0))</f>
        <v/>
      </c>
      <c r="G2612">
        <f>IF(ISNUMBER(B2612),YEAR(B2612),"")</f>
        <v/>
      </c>
      <c r="H2612">
        <f>IF(ISNUMBER(B2612),MONTH(B2612),"")</f>
        <v/>
      </c>
      <c r="I2612">
        <f>IFERROR(IF($B$1=0,"",IF(ISNUMBER(INDEX(貼り付け!$A$1:$BZ$3001,2611,$B$1)),"",SUBSTITUTE(SUBSTITUTE(SUBSTITUTE(SUBSTITUTE(TRIM(LEFT(INDEX(貼り付け!$A$1:$BZ$3001,2611,$B$1)&amp;"",FIND(" ",TRIM(INDEX(貼り付け!$A$1:$BZ$3001,2611,$B$1)&amp;"")&amp;" ")-1)),"/","-"),"年","-"),"月","-"),"日",""))),"")</f>
        <v/>
      </c>
      <c r="J2612">
        <f>IFERROR(MID(I2612,FIND("-",I2612)+1,99),"")</f>
        <v/>
      </c>
    </row>
    <row r="2613">
      <c r="B2613">
        <f>IFERROR(IF($B$1=0,"",IF(INDEX(貼り付け!$A$1:$BZ$3001,2612,$B$1)="","",IF(ISNUMBER(INDEX(貼り付け!$A$1:$BZ$3001,2612,$B$1)),INT(INDEX(貼り付け!$A$1:$BZ$3001,2612,$B$1)),DATE(VALUE(LEFT(I2613,FIND("-",I2613)-1)),VALUE(LEFT(J2613,FIND("-",J2613)-1)),VALUE(MID(J2613,FIND("-",J2613)+1,99)))))),"")</f>
        <v/>
      </c>
      <c r="C2613">
        <f>IF($C$1=0,0,IFERROR(VALUE(SUBSTITUTE(SUBSTITUTE(SUBSTITUTE(INDEX(貼り付け!$A$1:$BZ$3001,2612,$C$1)&amp;"",",",""),"¥",""),"￥","")),0))</f>
        <v/>
      </c>
      <c r="D2613">
        <f>IF($D$1=0,0,IFERROR(VALUE(SUBSTITUTE(SUBSTITUTE(SUBSTITUTE(INDEX(貼り付け!$A$1:$BZ$3001,2612,$D$1)&amp;"",",",""),"¥",""),"￥","")),0))</f>
        <v/>
      </c>
      <c r="E2613">
        <f>IF($E$1=0,0,IFERROR(VALUE(SUBSTITUTE(SUBSTITUTE(SUBSTITUTE(INDEX(貼り付け!$A$1:$BZ$3001,2612,$E$1)&amp;"",",",""),"¥",""),"￥","")),0))</f>
        <v/>
      </c>
      <c r="F2613">
        <f>IF($F$1=0,0,IFERROR(VALUE(SUBSTITUTE(SUBSTITUTE(SUBSTITUTE(INDEX(貼り付け!$A$1:$BZ$3001,2612,$F$1)&amp;"",",",""),"¥",""),"￥","")),0))</f>
        <v/>
      </c>
      <c r="G2613">
        <f>IF(ISNUMBER(B2613),YEAR(B2613),"")</f>
        <v/>
      </c>
      <c r="H2613">
        <f>IF(ISNUMBER(B2613),MONTH(B2613),"")</f>
        <v/>
      </c>
      <c r="I2613">
        <f>IFERROR(IF($B$1=0,"",IF(ISNUMBER(INDEX(貼り付け!$A$1:$BZ$3001,2612,$B$1)),"",SUBSTITUTE(SUBSTITUTE(SUBSTITUTE(SUBSTITUTE(TRIM(LEFT(INDEX(貼り付け!$A$1:$BZ$3001,2612,$B$1)&amp;"",FIND(" ",TRIM(INDEX(貼り付け!$A$1:$BZ$3001,2612,$B$1)&amp;"")&amp;" ")-1)),"/","-"),"年","-"),"月","-"),"日",""))),"")</f>
        <v/>
      </c>
      <c r="J2613">
        <f>IFERROR(MID(I2613,FIND("-",I2613)+1,99),"")</f>
        <v/>
      </c>
    </row>
    <row r="2614">
      <c r="B2614">
        <f>IFERROR(IF($B$1=0,"",IF(INDEX(貼り付け!$A$1:$BZ$3001,2613,$B$1)="","",IF(ISNUMBER(INDEX(貼り付け!$A$1:$BZ$3001,2613,$B$1)),INT(INDEX(貼り付け!$A$1:$BZ$3001,2613,$B$1)),DATE(VALUE(LEFT(I2614,FIND("-",I2614)-1)),VALUE(LEFT(J2614,FIND("-",J2614)-1)),VALUE(MID(J2614,FIND("-",J2614)+1,99)))))),"")</f>
        <v/>
      </c>
      <c r="C2614">
        <f>IF($C$1=0,0,IFERROR(VALUE(SUBSTITUTE(SUBSTITUTE(SUBSTITUTE(INDEX(貼り付け!$A$1:$BZ$3001,2613,$C$1)&amp;"",",",""),"¥",""),"￥","")),0))</f>
        <v/>
      </c>
      <c r="D2614">
        <f>IF($D$1=0,0,IFERROR(VALUE(SUBSTITUTE(SUBSTITUTE(SUBSTITUTE(INDEX(貼り付け!$A$1:$BZ$3001,2613,$D$1)&amp;"",",",""),"¥",""),"￥","")),0))</f>
        <v/>
      </c>
      <c r="E2614">
        <f>IF($E$1=0,0,IFERROR(VALUE(SUBSTITUTE(SUBSTITUTE(SUBSTITUTE(INDEX(貼り付け!$A$1:$BZ$3001,2613,$E$1)&amp;"",",",""),"¥",""),"￥","")),0))</f>
        <v/>
      </c>
      <c r="F2614">
        <f>IF($F$1=0,0,IFERROR(VALUE(SUBSTITUTE(SUBSTITUTE(SUBSTITUTE(INDEX(貼り付け!$A$1:$BZ$3001,2613,$F$1)&amp;"",",",""),"¥",""),"￥","")),0))</f>
        <v/>
      </c>
      <c r="G2614">
        <f>IF(ISNUMBER(B2614),YEAR(B2614),"")</f>
        <v/>
      </c>
      <c r="H2614">
        <f>IF(ISNUMBER(B2614),MONTH(B2614),"")</f>
        <v/>
      </c>
      <c r="I2614">
        <f>IFERROR(IF($B$1=0,"",IF(ISNUMBER(INDEX(貼り付け!$A$1:$BZ$3001,2613,$B$1)),"",SUBSTITUTE(SUBSTITUTE(SUBSTITUTE(SUBSTITUTE(TRIM(LEFT(INDEX(貼り付け!$A$1:$BZ$3001,2613,$B$1)&amp;"",FIND(" ",TRIM(INDEX(貼り付け!$A$1:$BZ$3001,2613,$B$1)&amp;"")&amp;" ")-1)),"/","-"),"年","-"),"月","-"),"日",""))),"")</f>
        <v/>
      </c>
      <c r="J2614">
        <f>IFERROR(MID(I2614,FIND("-",I2614)+1,99),"")</f>
        <v/>
      </c>
    </row>
    <row r="2615">
      <c r="B2615">
        <f>IFERROR(IF($B$1=0,"",IF(INDEX(貼り付け!$A$1:$BZ$3001,2614,$B$1)="","",IF(ISNUMBER(INDEX(貼り付け!$A$1:$BZ$3001,2614,$B$1)),INT(INDEX(貼り付け!$A$1:$BZ$3001,2614,$B$1)),DATE(VALUE(LEFT(I2615,FIND("-",I2615)-1)),VALUE(LEFT(J2615,FIND("-",J2615)-1)),VALUE(MID(J2615,FIND("-",J2615)+1,99)))))),"")</f>
        <v/>
      </c>
      <c r="C2615">
        <f>IF($C$1=0,0,IFERROR(VALUE(SUBSTITUTE(SUBSTITUTE(SUBSTITUTE(INDEX(貼り付け!$A$1:$BZ$3001,2614,$C$1)&amp;"",",",""),"¥",""),"￥","")),0))</f>
        <v/>
      </c>
      <c r="D2615">
        <f>IF($D$1=0,0,IFERROR(VALUE(SUBSTITUTE(SUBSTITUTE(SUBSTITUTE(INDEX(貼り付け!$A$1:$BZ$3001,2614,$D$1)&amp;"",",",""),"¥",""),"￥","")),0))</f>
        <v/>
      </c>
      <c r="E2615">
        <f>IF($E$1=0,0,IFERROR(VALUE(SUBSTITUTE(SUBSTITUTE(SUBSTITUTE(INDEX(貼り付け!$A$1:$BZ$3001,2614,$E$1)&amp;"",",",""),"¥",""),"￥","")),0))</f>
        <v/>
      </c>
      <c r="F2615">
        <f>IF($F$1=0,0,IFERROR(VALUE(SUBSTITUTE(SUBSTITUTE(SUBSTITUTE(INDEX(貼り付け!$A$1:$BZ$3001,2614,$F$1)&amp;"",",",""),"¥",""),"￥","")),0))</f>
        <v/>
      </c>
      <c r="G2615">
        <f>IF(ISNUMBER(B2615),YEAR(B2615),"")</f>
        <v/>
      </c>
      <c r="H2615">
        <f>IF(ISNUMBER(B2615),MONTH(B2615),"")</f>
        <v/>
      </c>
      <c r="I2615">
        <f>IFERROR(IF($B$1=0,"",IF(ISNUMBER(INDEX(貼り付け!$A$1:$BZ$3001,2614,$B$1)),"",SUBSTITUTE(SUBSTITUTE(SUBSTITUTE(SUBSTITUTE(TRIM(LEFT(INDEX(貼り付け!$A$1:$BZ$3001,2614,$B$1)&amp;"",FIND(" ",TRIM(INDEX(貼り付け!$A$1:$BZ$3001,2614,$B$1)&amp;"")&amp;" ")-1)),"/","-"),"年","-"),"月","-"),"日",""))),"")</f>
        <v/>
      </c>
      <c r="J2615">
        <f>IFERROR(MID(I2615,FIND("-",I2615)+1,99),"")</f>
        <v/>
      </c>
    </row>
    <row r="2616">
      <c r="B2616">
        <f>IFERROR(IF($B$1=0,"",IF(INDEX(貼り付け!$A$1:$BZ$3001,2615,$B$1)="","",IF(ISNUMBER(INDEX(貼り付け!$A$1:$BZ$3001,2615,$B$1)),INT(INDEX(貼り付け!$A$1:$BZ$3001,2615,$B$1)),DATE(VALUE(LEFT(I2616,FIND("-",I2616)-1)),VALUE(LEFT(J2616,FIND("-",J2616)-1)),VALUE(MID(J2616,FIND("-",J2616)+1,99)))))),"")</f>
        <v/>
      </c>
      <c r="C2616">
        <f>IF($C$1=0,0,IFERROR(VALUE(SUBSTITUTE(SUBSTITUTE(SUBSTITUTE(INDEX(貼り付け!$A$1:$BZ$3001,2615,$C$1)&amp;"",",",""),"¥",""),"￥","")),0))</f>
        <v/>
      </c>
      <c r="D2616">
        <f>IF($D$1=0,0,IFERROR(VALUE(SUBSTITUTE(SUBSTITUTE(SUBSTITUTE(INDEX(貼り付け!$A$1:$BZ$3001,2615,$D$1)&amp;"",",",""),"¥",""),"￥","")),0))</f>
        <v/>
      </c>
      <c r="E2616">
        <f>IF($E$1=0,0,IFERROR(VALUE(SUBSTITUTE(SUBSTITUTE(SUBSTITUTE(INDEX(貼り付け!$A$1:$BZ$3001,2615,$E$1)&amp;"",",",""),"¥",""),"￥","")),0))</f>
        <v/>
      </c>
      <c r="F2616">
        <f>IF($F$1=0,0,IFERROR(VALUE(SUBSTITUTE(SUBSTITUTE(SUBSTITUTE(INDEX(貼り付け!$A$1:$BZ$3001,2615,$F$1)&amp;"",",",""),"¥",""),"￥","")),0))</f>
        <v/>
      </c>
      <c r="G2616">
        <f>IF(ISNUMBER(B2616),YEAR(B2616),"")</f>
        <v/>
      </c>
      <c r="H2616">
        <f>IF(ISNUMBER(B2616),MONTH(B2616),"")</f>
        <v/>
      </c>
      <c r="I2616">
        <f>IFERROR(IF($B$1=0,"",IF(ISNUMBER(INDEX(貼り付け!$A$1:$BZ$3001,2615,$B$1)),"",SUBSTITUTE(SUBSTITUTE(SUBSTITUTE(SUBSTITUTE(TRIM(LEFT(INDEX(貼り付け!$A$1:$BZ$3001,2615,$B$1)&amp;"",FIND(" ",TRIM(INDEX(貼り付け!$A$1:$BZ$3001,2615,$B$1)&amp;"")&amp;" ")-1)),"/","-"),"年","-"),"月","-"),"日",""))),"")</f>
        <v/>
      </c>
      <c r="J2616">
        <f>IFERROR(MID(I2616,FIND("-",I2616)+1,99),"")</f>
        <v/>
      </c>
    </row>
    <row r="2617">
      <c r="B2617">
        <f>IFERROR(IF($B$1=0,"",IF(INDEX(貼り付け!$A$1:$BZ$3001,2616,$B$1)="","",IF(ISNUMBER(INDEX(貼り付け!$A$1:$BZ$3001,2616,$B$1)),INT(INDEX(貼り付け!$A$1:$BZ$3001,2616,$B$1)),DATE(VALUE(LEFT(I2617,FIND("-",I2617)-1)),VALUE(LEFT(J2617,FIND("-",J2617)-1)),VALUE(MID(J2617,FIND("-",J2617)+1,99)))))),"")</f>
        <v/>
      </c>
      <c r="C2617">
        <f>IF($C$1=0,0,IFERROR(VALUE(SUBSTITUTE(SUBSTITUTE(SUBSTITUTE(INDEX(貼り付け!$A$1:$BZ$3001,2616,$C$1)&amp;"",",",""),"¥",""),"￥","")),0))</f>
        <v/>
      </c>
      <c r="D2617">
        <f>IF($D$1=0,0,IFERROR(VALUE(SUBSTITUTE(SUBSTITUTE(SUBSTITUTE(INDEX(貼り付け!$A$1:$BZ$3001,2616,$D$1)&amp;"",",",""),"¥",""),"￥","")),0))</f>
        <v/>
      </c>
      <c r="E2617">
        <f>IF($E$1=0,0,IFERROR(VALUE(SUBSTITUTE(SUBSTITUTE(SUBSTITUTE(INDEX(貼り付け!$A$1:$BZ$3001,2616,$E$1)&amp;"",",",""),"¥",""),"￥","")),0))</f>
        <v/>
      </c>
      <c r="F2617">
        <f>IF($F$1=0,0,IFERROR(VALUE(SUBSTITUTE(SUBSTITUTE(SUBSTITUTE(INDEX(貼り付け!$A$1:$BZ$3001,2616,$F$1)&amp;"",",",""),"¥",""),"￥","")),0))</f>
        <v/>
      </c>
      <c r="G2617">
        <f>IF(ISNUMBER(B2617),YEAR(B2617),"")</f>
        <v/>
      </c>
      <c r="H2617">
        <f>IF(ISNUMBER(B2617),MONTH(B2617),"")</f>
        <v/>
      </c>
      <c r="I2617">
        <f>IFERROR(IF($B$1=0,"",IF(ISNUMBER(INDEX(貼り付け!$A$1:$BZ$3001,2616,$B$1)),"",SUBSTITUTE(SUBSTITUTE(SUBSTITUTE(SUBSTITUTE(TRIM(LEFT(INDEX(貼り付け!$A$1:$BZ$3001,2616,$B$1)&amp;"",FIND(" ",TRIM(INDEX(貼り付け!$A$1:$BZ$3001,2616,$B$1)&amp;"")&amp;" ")-1)),"/","-"),"年","-"),"月","-"),"日",""))),"")</f>
        <v/>
      </c>
      <c r="J2617">
        <f>IFERROR(MID(I2617,FIND("-",I2617)+1,99),"")</f>
        <v/>
      </c>
    </row>
    <row r="2618">
      <c r="B2618">
        <f>IFERROR(IF($B$1=0,"",IF(INDEX(貼り付け!$A$1:$BZ$3001,2617,$B$1)="","",IF(ISNUMBER(INDEX(貼り付け!$A$1:$BZ$3001,2617,$B$1)),INT(INDEX(貼り付け!$A$1:$BZ$3001,2617,$B$1)),DATE(VALUE(LEFT(I2618,FIND("-",I2618)-1)),VALUE(LEFT(J2618,FIND("-",J2618)-1)),VALUE(MID(J2618,FIND("-",J2618)+1,99)))))),"")</f>
        <v/>
      </c>
      <c r="C2618">
        <f>IF($C$1=0,0,IFERROR(VALUE(SUBSTITUTE(SUBSTITUTE(SUBSTITUTE(INDEX(貼り付け!$A$1:$BZ$3001,2617,$C$1)&amp;"",",",""),"¥",""),"￥","")),0))</f>
        <v/>
      </c>
      <c r="D2618">
        <f>IF($D$1=0,0,IFERROR(VALUE(SUBSTITUTE(SUBSTITUTE(SUBSTITUTE(INDEX(貼り付け!$A$1:$BZ$3001,2617,$D$1)&amp;"",",",""),"¥",""),"￥","")),0))</f>
        <v/>
      </c>
      <c r="E2618">
        <f>IF($E$1=0,0,IFERROR(VALUE(SUBSTITUTE(SUBSTITUTE(SUBSTITUTE(INDEX(貼り付け!$A$1:$BZ$3001,2617,$E$1)&amp;"",",",""),"¥",""),"￥","")),0))</f>
        <v/>
      </c>
      <c r="F2618">
        <f>IF($F$1=0,0,IFERROR(VALUE(SUBSTITUTE(SUBSTITUTE(SUBSTITUTE(INDEX(貼り付け!$A$1:$BZ$3001,2617,$F$1)&amp;"",",",""),"¥",""),"￥","")),0))</f>
        <v/>
      </c>
      <c r="G2618">
        <f>IF(ISNUMBER(B2618),YEAR(B2618),"")</f>
        <v/>
      </c>
      <c r="H2618">
        <f>IF(ISNUMBER(B2618),MONTH(B2618),"")</f>
        <v/>
      </c>
      <c r="I2618">
        <f>IFERROR(IF($B$1=0,"",IF(ISNUMBER(INDEX(貼り付け!$A$1:$BZ$3001,2617,$B$1)),"",SUBSTITUTE(SUBSTITUTE(SUBSTITUTE(SUBSTITUTE(TRIM(LEFT(INDEX(貼り付け!$A$1:$BZ$3001,2617,$B$1)&amp;"",FIND(" ",TRIM(INDEX(貼り付け!$A$1:$BZ$3001,2617,$B$1)&amp;"")&amp;" ")-1)),"/","-"),"年","-"),"月","-"),"日",""))),"")</f>
        <v/>
      </c>
      <c r="J2618">
        <f>IFERROR(MID(I2618,FIND("-",I2618)+1,99),"")</f>
        <v/>
      </c>
    </row>
    <row r="2619">
      <c r="B2619">
        <f>IFERROR(IF($B$1=0,"",IF(INDEX(貼り付け!$A$1:$BZ$3001,2618,$B$1)="","",IF(ISNUMBER(INDEX(貼り付け!$A$1:$BZ$3001,2618,$B$1)),INT(INDEX(貼り付け!$A$1:$BZ$3001,2618,$B$1)),DATE(VALUE(LEFT(I2619,FIND("-",I2619)-1)),VALUE(LEFT(J2619,FIND("-",J2619)-1)),VALUE(MID(J2619,FIND("-",J2619)+1,99)))))),"")</f>
        <v/>
      </c>
      <c r="C2619">
        <f>IF($C$1=0,0,IFERROR(VALUE(SUBSTITUTE(SUBSTITUTE(SUBSTITUTE(INDEX(貼り付け!$A$1:$BZ$3001,2618,$C$1)&amp;"",",",""),"¥",""),"￥","")),0))</f>
        <v/>
      </c>
      <c r="D2619">
        <f>IF($D$1=0,0,IFERROR(VALUE(SUBSTITUTE(SUBSTITUTE(SUBSTITUTE(INDEX(貼り付け!$A$1:$BZ$3001,2618,$D$1)&amp;"",",",""),"¥",""),"￥","")),0))</f>
        <v/>
      </c>
      <c r="E2619">
        <f>IF($E$1=0,0,IFERROR(VALUE(SUBSTITUTE(SUBSTITUTE(SUBSTITUTE(INDEX(貼り付け!$A$1:$BZ$3001,2618,$E$1)&amp;"",",",""),"¥",""),"￥","")),0))</f>
        <v/>
      </c>
      <c r="F2619">
        <f>IF($F$1=0,0,IFERROR(VALUE(SUBSTITUTE(SUBSTITUTE(SUBSTITUTE(INDEX(貼り付け!$A$1:$BZ$3001,2618,$F$1)&amp;"",",",""),"¥",""),"￥","")),0))</f>
        <v/>
      </c>
      <c r="G2619">
        <f>IF(ISNUMBER(B2619),YEAR(B2619),"")</f>
        <v/>
      </c>
      <c r="H2619">
        <f>IF(ISNUMBER(B2619),MONTH(B2619),"")</f>
        <v/>
      </c>
      <c r="I2619">
        <f>IFERROR(IF($B$1=0,"",IF(ISNUMBER(INDEX(貼り付け!$A$1:$BZ$3001,2618,$B$1)),"",SUBSTITUTE(SUBSTITUTE(SUBSTITUTE(SUBSTITUTE(TRIM(LEFT(INDEX(貼り付け!$A$1:$BZ$3001,2618,$B$1)&amp;"",FIND(" ",TRIM(INDEX(貼り付け!$A$1:$BZ$3001,2618,$B$1)&amp;"")&amp;" ")-1)),"/","-"),"年","-"),"月","-"),"日",""))),"")</f>
        <v/>
      </c>
      <c r="J2619">
        <f>IFERROR(MID(I2619,FIND("-",I2619)+1,99),"")</f>
        <v/>
      </c>
    </row>
    <row r="2620">
      <c r="B2620">
        <f>IFERROR(IF($B$1=0,"",IF(INDEX(貼り付け!$A$1:$BZ$3001,2619,$B$1)="","",IF(ISNUMBER(INDEX(貼り付け!$A$1:$BZ$3001,2619,$B$1)),INT(INDEX(貼り付け!$A$1:$BZ$3001,2619,$B$1)),DATE(VALUE(LEFT(I2620,FIND("-",I2620)-1)),VALUE(LEFT(J2620,FIND("-",J2620)-1)),VALUE(MID(J2620,FIND("-",J2620)+1,99)))))),"")</f>
        <v/>
      </c>
      <c r="C2620">
        <f>IF($C$1=0,0,IFERROR(VALUE(SUBSTITUTE(SUBSTITUTE(SUBSTITUTE(INDEX(貼り付け!$A$1:$BZ$3001,2619,$C$1)&amp;"",",",""),"¥",""),"￥","")),0))</f>
        <v/>
      </c>
      <c r="D2620">
        <f>IF($D$1=0,0,IFERROR(VALUE(SUBSTITUTE(SUBSTITUTE(SUBSTITUTE(INDEX(貼り付け!$A$1:$BZ$3001,2619,$D$1)&amp;"",",",""),"¥",""),"￥","")),0))</f>
        <v/>
      </c>
      <c r="E2620">
        <f>IF($E$1=0,0,IFERROR(VALUE(SUBSTITUTE(SUBSTITUTE(SUBSTITUTE(INDEX(貼り付け!$A$1:$BZ$3001,2619,$E$1)&amp;"",",",""),"¥",""),"￥","")),0))</f>
        <v/>
      </c>
      <c r="F2620">
        <f>IF($F$1=0,0,IFERROR(VALUE(SUBSTITUTE(SUBSTITUTE(SUBSTITUTE(INDEX(貼り付け!$A$1:$BZ$3001,2619,$F$1)&amp;"",",",""),"¥",""),"￥","")),0))</f>
        <v/>
      </c>
      <c r="G2620">
        <f>IF(ISNUMBER(B2620),YEAR(B2620),"")</f>
        <v/>
      </c>
      <c r="H2620">
        <f>IF(ISNUMBER(B2620),MONTH(B2620),"")</f>
        <v/>
      </c>
      <c r="I2620">
        <f>IFERROR(IF($B$1=0,"",IF(ISNUMBER(INDEX(貼り付け!$A$1:$BZ$3001,2619,$B$1)),"",SUBSTITUTE(SUBSTITUTE(SUBSTITUTE(SUBSTITUTE(TRIM(LEFT(INDEX(貼り付け!$A$1:$BZ$3001,2619,$B$1)&amp;"",FIND(" ",TRIM(INDEX(貼り付け!$A$1:$BZ$3001,2619,$B$1)&amp;"")&amp;" ")-1)),"/","-"),"年","-"),"月","-"),"日",""))),"")</f>
        <v/>
      </c>
      <c r="J2620">
        <f>IFERROR(MID(I2620,FIND("-",I2620)+1,99),"")</f>
        <v/>
      </c>
    </row>
    <row r="2621">
      <c r="B2621">
        <f>IFERROR(IF($B$1=0,"",IF(INDEX(貼り付け!$A$1:$BZ$3001,2620,$B$1)="","",IF(ISNUMBER(INDEX(貼り付け!$A$1:$BZ$3001,2620,$B$1)),INT(INDEX(貼り付け!$A$1:$BZ$3001,2620,$B$1)),DATE(VALUE(LEFT(I2621,FIND("-",I2621)-1)),VALUE(LEFT(J2621,FIND("-",J2621)-1)),VALUE(MID(J2621,FIND("-",J2621)+1,99)))))),"")</f>
        <v/>
      </c>
      <c r="C2621">
        <f>IF($C$1=0,0,IFERROR(VALUE(SUBSTITUTE(SUBSTITUTE(SUBSTITUTE(INDEX(貼り付け!$A$1:$BZ$3001,2620,$C$1)&amp;"",",",""),"¥",""),"￥","")),0))</f>
        <v/>
      </c>
      <c r="D2621">
        <f>IF($D$1=0,0,IFERROR(VALUE(SUBSTITUTE(SUBSTITUTE(SUBSTITUTE(INDEX(貼り付け!$A$1:$BZ$3001,2620,$D$1)&amp;"",",",""),"¥",""),"￥","")),0))</f>
        <v/>
      </c>
      <c r="E2621">
        <f>IF($E$1=0,0,IFERROR(VALUE(SUBSTITUTE(SUBSTITUTE(SUBSTITUTE(INDEX(貼り付け!$A$1:$BZ$3001,2620,$E$1)&amp;"",",",""),"¥",""),"￥","")),0))</f>
        <v/>
      </c>
      <c r="F2621">
        <f>IF($F$1=0,0,IFERROR(VALUE(SUBSTITUTE(SUBSTITUTE(SUBSTITUTE(INDEX(貼り付け!$A$1:$BZ$3001,2620,$F$1)&amp;"",",",""),"¥",""),"￥","")),0))</f>
        <v/>
      </c>
      <c r="G2621">
        <f>IF(ISNUMBER(B2621),YEAR(B2621),"")</f>
        <v/>
      </c>
      <c r="H2621">
        <f>IF(ISNUMBER(B2621),MONTH(B2621),"")</f>
        <v/>
      </c>
      <c r="I2621">
        <f>IFERROR(IF($B$1=0,"",IF(ISNUMBER(INDEX(貼り付け!$A$1:$BZ$3001,2620,$B$1)),"",SUBSTITUTE(SUBSTITUTE(SUBSTITUTE(SUBSTITUTE(TRIM(LEFT(INDEX(貼り付け!$A$1:$BZ$3001,2620,$B$1)&amp;"",FIND(" ",TRIM(INDEX(貼り付け!$A$1:$BZ$3001,2620,$B$1)&amp;"")&amp;" ")-1)),"/","-"),"年","-"),"月","-"),"日",""))),"")</f>
        <v/>
      </c>
      <c r="J2621">
        <f>IFERROR(MID(I2621,FIND("-",I2621)+1,99),"")</f>
        <v/>
      </c>
    </row>
    <row r="2622">
      <c r="B2622">
        <f>IFERROR(IF($B$1=0,"",IF(INDEX(貼り付け!$A$1:$BZ$3001,2621,$B$1)="","",IF(ISNUMBER(INDEX(貼り付け!$A$1:$BZ$3001,2621,$B$1)),INT(INDEX(貼り付け!$A$1:$BZ$3001,2621,$B$1)),DATE(VALUE(LEFT(I2622,FIND("-",I2622)-1)),VALUE(LEFT(J2622,FIND("-",J2622)-1)),VALUE(MID(J2622,FIND("-",J2622)+1,99)))))),"")</f>
        <v/>
      </c>
      <c r="C2622">
        <f>IF($C$1=0,0,IFERROR(VALUE(SUBSTITUTE(SUBSTITUTE(SUBSTITUTE(INDEX(貼り付け!$A$1:$BZ$3001,2621,$C$1)&amp;"",",",""),"¥",""),"￥","")),0))</f>
        <v/>
      </c>
      <c r="D2622">
        <f>IF($D$1=0,0,IFERROR(VALUE(SUBSTITUTE(SUBSTITUTE(SUBSTITUTE(INDEX(貼り付け!$A$1:$BZ$3001,2621,$D$1)&amp;"",",",""),"¥",""),"￥","")),0))</f>
        <v/>
      </c>
      <c r="E2622">
        <f>IF($E$1=0,0,IFERROR(VALUE(SUBSTITUTE(SUBSTITUTE(SUBSTITUTE(INDEX(貼り付け!$A$1:$BZ$3001,2621,$E$1)&amp;"",",",""),"¥",""),"￥","")),0))</f>
        <v/>
      </c>
      <c r="F2622">
        <f>IF($F$1=0,0,IFERROR(VALUE(SUBSTITUTE(SUBSTITUTE(SUBSTITUTE(INDEX(貼り付け!$A$1:$BZ$3001,2621,$F$1)&amp;"",",",""),"¥",""),"￥","")),0))</f>
        <v/>
      </c>
      <c r="G2622">
        <f>IF(ISNUMBER(B2622),YEAR(B2622),"")</f>
        <v/>
      </c>
      <c r="H2622">
        <f>IF(ISNUMBER(B2622),MONTH(B2622),"")</f>
        <v/>
      </c>
      <c r="I2622">
        <f>IFERROR(IF($B$1=0,"",IF(ISNUMBER(INDEX(貼り付け!$A$1:$BZ$3001,2621,$B$1)),"",SUBSTITUTE(SUBSTITUTE(SUBSTITUTE(SUBSTITUTE(TRIM(LEFT(INDEX(貼り付け!$A$1:$BZ$3001,2621,$B$1)&amp;"",FIND(" ",TRIM(INDEX(貼り付け!$A$1:$BZ$3001,2621,$B$1)&amp;"")&amp;" ")-1)),"/","-"),"年","-"),"月","-"),"日",""))),"")</f>
        <v/>
      </c>
      <c r="J2622">
        <f>IFERROR(MID(I2622,FIND("-",I2622)+1,99),"")</f>
        <v/>
      </c>
    </row>
    <row r="2623">
      <c r="B2623">
        <f>IFERROR(IF($B$1=0,"",IF(INDEX(貼り付け!$A$1:$BZ$3001,2622,$B$1)="","",IF(ISNUMBER(INDEX(貼り付け!$A$1:$BZ$3001,2622,$B$1)),INT(INDEX(貼り付け!$A$1:$BZ$3001,2622,$B$1)),DATE(VALUE(LEFT(I2623,FIND("-",I2623)-1)),VALUE(LEFT(J2623,FIND("-",J2623)-1)),VALUE(MID(J2623,FIND("-",J2623)+1,99)))))),"")</f>
        <v/>
      </c>
      <c r="C2623">
        <f>IF($C$1=0,0,IFERROR(VALUE(SUBSTITUTE(SUBSTITUTE(SUBSTITUTE(INDEX(貼り付け!$A$1:$BZ$3001,2622,$C$1)&amp;"",",",""),"¥",""),"￥","")),0))</f>
        <v/>
      </c>
      <c r="D2623">
        <f>IF($D$1=0,0,IFERROR(VALUE(SUBSTITUTE(SUBSTITUTE(SUBSTITUTE(INDEX(貼り付け!$A$1:$BZ$3001,2622,$D$1)&amp;"",",",""),"¥",""),"￥","")),0))</f>
        <v/>
      </c>
      <c r="E2623">
        <f>IF($E$1=0,0,IFERROR(VALUE(SUBSTITUTE(SUBSTITUTE(SUBSTITUTE(INDEX(貼り付け!$A$1:$BZ$3001,2622,$E$1)&amp;"",",",""),"¥",""),"￥","")),0))</f>
        <v/>
      </c>
      <c r="F2623">
        <f>IF($F$1=0,0,IFERROR(VALUE(SUBSTITUTE(SUBSTITUTE(SUBSTITUTE(INDEX(貼り付け!$A$1:$BZ$3001,2622,$F$1)&amp;"",",",""),"¥",""),"￥","")),0))</f>
        <v/>
      </c>
      <c r="G2623">
        <f>IF(ISNUMBER(B2623),YEAR(B2623),"")</f>
        <v/>
      </c>
      <c r="H2623">
        <f>IF(ISNUMBER(B2623),MONTH(B2623),"")</f>
        <v/>
      </c>
      <c r="I2623">
        <f>IFERROR(IF($B$1=0,"",IF(ISNUMBER(INDEX(貼り付け!$A$1:$BZ$3001,2622,$B$1)),"",SUBSTITUTE(SUBSTITUTE(SUBSTITUTE(SUBSTITUTE(TRIM(LEFT(INDEX(貼り付け!$A$1:$BZ$3001,2622,$B$1)&amp;"",FIND(" ",TRIM(INDEX(貼り付け!$A$1:$BZ$3001,2622,$B$1)&amp;"")&amp;" ")-1)),"/","-"),"年","-"),"月","-"),"日",""))),"")</f>
        <v/>
      </c>
      <c r="J2623">
        <f>IFERROR(MID(I2623,FIND("-",I2623)+1,99),"")</f>
        <v/>
      </c>
    </row>
    <row r="2624">
      <c r="B2624">
        <f>IFERROR(IF($B$1=0,"",IF(INDEX(貼り付け!$A$1:$BZ$3001,2623,$B$1)="","",IF(ISNUMBER(INDEX(貼り付け!$A$1:$BZ$3001,2623,$B$1)),INT(INDEX(貼り付け!$A$1:$BZ$3001,2623,$B$1)),DATE(VALUE(LEFT(I2624,FIND("-",I2624)-1)),VALUE(LEFT(J2624,FIND("-",J2624)-1)),VALUE(MID(J2624,FIND("-",J2624)+1,99)))))),"")</f>
        <v/>
      </c>
      <c r="C2624">
        <f>IF($C$1=0,0,IFERROR(VALUE(SUBSTITUTE(SUBSTITUTE(SUBSTITUTE(INDEX(貼り付け!$A$1:$BZ$3001,2623,$C$1)&amp;"",",",""),"¥",""),"￥","")),0))</f>
        <v/>
      </c>
      <c r="D2624">
        <f>IF($D$1=0,0,IFERROR(VALUE(SUBSTITUTE(SUBSTITUTE(SUBSTITUTE(INDEX(貼り付け!$A$1:$BZ$3001,2623,$D$1)&amp;"",",",""),"¥",""),"￥","")),0))</f>
        <v/>
      </c>
      <c r="E2624">
        <f>IF($E$1=0,0,IFERROR(VALUE(SUBSTITUTE(SUBSTITUTE(SUBSTITUTE(INDEX(貼り付け!$A$1:$BZ$3001,2623,$E$1)&amp;"",",",""),"¥",""),"￥","")),0))</f>
        <v/>
      </c>
      <c r="F2624">
        <f>IF($F$1=0,0,IFERROR(VALUE(SUBSTITUTE(SUBSTITUTE(SUBSTITUTE(INDEX(貼り付け!$A$1:$BZ$3001,2623,$F$1)&amp;"",",",""),"¥",""),"￥","")),0))</f>
        <v/>
      </c>
      <c r="G2624">
        <f>IF(ISNUMBER(B2624),YEAR(B2624),"")</f>
        <v/>
      </c>
      <c r="H2624">
        <f>IF(ISNUMBER(B2624),MONTH(B2624),"")</f>
        <v/>
      </c>
      <c r="I2624">
        <f>IFERROR(IF($B$1=0,"",IF(ISNUMBER(INDEX(貼り付け!$A$1:$BZ$3001,2623,$B$1)),"",SUBSTITUTE(SUBSTITUTE(SUBSTITUTE(SUBSTITUTE(TRIM(LEFT(INDEX(貼り付け!$A$1:$BZ$3001,2623,$B$1)&amp;"",FIND(" ",TRIM(INDEX(貼り付け!$A$1:$BZ$3001,2623,$B$1)&amp;"")&amp;" ")-1)),"/","-"),"年","-"),"月","-"),"日",""))),"")</f>
        <v/>
      </c>
      <c r="J2624">
        <f>IFERROR(MID(I2624,FIND("-",I2624)+1,99),"")</f>
        <v/>
      </c>
    </row>
    <row r="2625">
      <c r="B2625">
        <f>IFERROR(IF($B$1=0,"",IF(INDEX(貼り付け!$A$1:$BZ$3001,2624,$B$1)="","",IF(ISNUMBER(INDEX(貼り付け!$A$1:$BZ$3001,2624,$B$1)),INT(INDEX(貼り付け!$A$1:$BZ$3001,2624,$B$1)),DATE(VALUE(LEFT(I2625,FIND("-",I2625)-1)),VALUE(LEFT(J2625,FIND("-",J2625)-1)),VALUE(MID(J2625,FIND("-",J2625)+1,99)))))),"")</f>
        <v/>
      </c>
      <c r="C2625">
        <f>IF($C$1=0,0,IFERROR(VALUE(SUBSTITUTE(SUBSTITUTE(SUBSTITUTE(INDEX(貼り付け!$A$1:$BZ$3001,2624,$C$1)&amp;"",",",""),"¥",""),"￥","")),0))</f>
        <v/>
      </c>
      <c r="D2625">
        <f>IF($D$1=0,0,IFERROR(VALUE(SUBSTITUTE(SUBSTITUTE(SUBSTITUTE(INDEX(貼り付け!$A$1:$BZ$3001,2624,$D$1)&amp;"",",",""),"¥",""),"￥","")),0))</f>
        <v/>
      </c>
      <c r="E2625">
        <f>IF($E$1=0,0,IFERROR(VALUE(SUBSTITUTE(SUBSTITUTE(SUBSTITUTE(INDEX(貼り付け!$A$1:$BZ$3001,2624,$E$1)&amp;"",",",""),"¥",""),"￥","")),0))</f>
        <v/>
      </c>
      <c r="F2625">
        <f>IF($F$1=0,0,IFERROR(VALUE(SUBSTITUTE(SUBSTITUTE(SUBSTITUTE(INDEX(貼り付け!$A$1:$BZ$3001,2624,$F$1)&amp;"",",",""),"¥",""),"￥","")),0))</f>
        <v/>
      </c>
      <c r="G2625">
        <f>IF(ISNUMBER(B2625),YEAR(B2625),"")</f>
        <v/>
      </c>
      <c r="H2625">
        <f>IF(ISNUMBER(B2625),MONTH(B2625),"")</f>
        <v/>
      </c>
      <c r="I2625">
        <f>IFERROR(IF($B$1=0,"",IF(ISNUMBER(INDEX(貼り付け!$A$1:$BZ$3001,2624,$B$1)),"",SUBSTITUTE(SUBSTITUTE(SUBSTITUTE(SUBSTITUTE(TRIM(LEFT(INDEX(貼り付け!$A$1:$BZ$3001,2624,$B$1)&amp;"",FIND(" ",TRIM(INDEX(貼り付け!$A$1:$BZ$3001,2624,$B$1)&amp;"")&amp;" ")-1)),"/","-"),"年","-"),"月","-"),"日",""))),"")</f>
        <v/>
      </c>
      <c r="J2625">
        <f>IFERROR(MID(I2625,FIND("-",I2625)+1,99),"")</f>
        <v/>
      </c>
    </row>
    <row r="2626">
      <c r="B2626">
        <f>IFERROR(IF($B$1=0,"",IF(INDEX(貼り付け!$A$1:$BZ$3001,2625,$B$1)="","",IF(ISNUMBER(INDEX(貼り付け!$A$1:$BZ$3001,2625,$B$1)),INT(INDEX(貼り付け!$A$1:$BZ$3001,2625,$B$1)),DATE(VALUE(LEFT(I2626,FIND("-",I2626)-1)),VALUE(LEFT(J2626,FIND("-",J2626)-1)),VALUE(MID(J2626,FIND("-",J2626)+1,99)))))),"")</f>
        <v/>
      </c>
      <c r="C2626">
        <f>IF($C$1=0,0,IFERROR(VALUE(SUBSTITUTE(SUBSTITUTE(SUBSTITUTE(INDEX(貼り付け!$A$1:$BZ$3001,2625,$C$1)&amp;"",",",""),"¥",""),"￥","")),0))</f>
        <v/>
      </c>
      <c r="D2626">
        <f>IF($D$1=0,0,IFERROR(VALUE(SUBSTITUTE(SUBSTITUTE(SUBSTITUTE(INDEX(貼り付け!$A$1:$BZ$3001,2625,$D$1)&amp;"",",",""),"¥",""),"￥","")),0))</f>
        <v/>
      </c>
      <c r="E2626">
        <f>IF($E$1=0,0,IFERROR(VALUE(SUBSTITUTE(SUBSTITUTE(SUBSTITUTE(INDEX(貼り付け!$A$1:$BZ$3001,2625,$E$1)&amp;"",",",""),"¥",""),"￥","")),0))</f>
        <v/>
      </c>
      <c r="F2626">
        <f>IF($F$1=0,0,IFERROR(VALUE(SUBSTITUTE(SUBSTITUTE(SUBSTITUTE(INDEX(貼り付け!$A$1:$BZ$3001,2625,$F$1)&amp;"",",",""),"¥",""),"￥","")),0))</f>
        <v/>
      </c>
      <c r="G2626">
        <f>IF(ISNUMBER(B2626),YEAR(B2626),"")</f>
        <v/>
      </c>
      <c r="H2626">
        <f>IF(ISNUMBER(B2626),MONTH(B2626),"")</f>
        <v/>
      </c>
      <c r="I2626">
        <f>IFERROR(IF($B$1=0,"",IF(ISNUMBER(INDEX(貼り付け!$A$1:$BZ$3001,2625,$B$1)),"",SUBSTITUTE(SUBSTITUTE(SUBSTITUTE(SUBSTITUTE(TRIM(LEFT(INDEX(貼り付け!$A$1:$BZ$3001,2625,$B$1)&amp;"",FIND(" ",TRIM(INDEX(貼り付け!$A$1:$BZ$3001,2625,$B$1)&amp;"")&amp;" ")-1)),"/","-"),"年","-"),"月","-"),"日",""))),"")</f>
        <v/>
      </c>
      <c r="J2626">
        <f>IFERROR(MID(I2626,FIND("-",I2626)+1,99),"")</f>
        <v/>
      </c>
    </row>
    <row r="2627">
      <c r="B2627">
        <f>IFERROR(IF($B$1=0,"",IF(INDEX(貼り付け!$A$1:$BZ$3001,2626,$B$1)="","",IF(ISNUMBER(INDEX(貼り付け!$A$1:$BZ$3001,2626,$B$1)),INT(INDEX(貼り付け!$A$1:$BZ$3001,2626,$B$1)),DATE(VALUE(LEFT(I2627,FIND("-",I2627)-1)),VALUE(LEFT(J2627,FIND("-",J2627)-1)),VALUE(MID(J2627,FIND("-",J2627)+1,99)))))),"")</f>
        <v/>
      </c>
      <c r="C2627">
        <f>IF($C$1=0,0,IFERROR(VALUE(SUBSTITUTE(SUBSTITUTE(SUBSTITUTE(INDEX(貼り付け!$A$1:$BZ$3001,2626,$C$1)&amp;"",",",""),"¥",""),"￥","")),0))</f>
        <v/>
      </c>
      <c r="D2627">
        <f>IF($D$1=0,0,IFERROR(VALUE(SUBSTITUTE(SUBSTITUTE(SUBSTITUTE(INDEX(貼り付け!$A$1:$BZ$3001,2626,$D$1)&amp;"",",",""),"¥",""),"￥","")),0))</f>
        <v/>
      </c>
      <c r="E2627">
        <f>IF($E$1=0,0,IFERROR(VALUE(SUBSTITUTE(SUBSTITUTE(SUBSTITUTE(INDEX(貼り付け!$A$1:$BZ$3001,2626,$E$1)&amp;"",",",""),"¥",""),"￥","")),0))</f>
        <v/>
      </c>
      <c r="F2627">
        <f>IF($F$1=0,0,IFERROR(VALUE(SUBSTITUTE(SUBSTITUTE(SUBSTITUTE(INDEX(貼り付け!$A$1:$BZ$3001,2626,$F$1)&amp;"",",",""),"¥",""),"￥","")),0))</f>
        <v/>
      </c>
      <c r="G2627">
        <f>IF(ISNUMBER(B2627),YEAR(B2627),"")</f>
        <v/>
      </c>
      <c r="H2627">
        <f>IF(ISNUMBER(B2627),MONTH(B2627),"")</f>
        <v/>
      </c>
      <c r="I2627">
        <f>IFERROR(IF($B$1=0,"",IF(ISNUMBER(INDEX(貼り付け!$A$1:$BZ$3001,2626,$B$1)),"",SUBSTITUTE(SUBSTITUTE(SUBSTITUTE(SUBSTITUTE(TRIM(LEFT(INDEX(貼り付け!$A$1:$BZ$3001,2626,$B$1)&amp;"",FIND(" ",TRIM(INDEX(貼り付け!$A$1:$BZ$3001,2626,$B$1)&amp;"")&amp;" ")-1)),"/","-"),"年","-"),"月","-"),"日",""))),"")</f>
        <v/>
      </c>
      <c r="J2627">
        <f>IFERROR(MID(I2627,FIND("-",I2627)+1,99),"")</f>
        <v/>
      </c>
    </row>
    <row r="2628">
      <c r="B2628">
        <f>IFERROR(IF($B$1=0,"",IF(INDEX(貼り付け!$A$1:$BZ$3001,2627,$B$1)="","",IF(ISNUMBER(INDEX(貼り付け!$A$1:$BZ$3001,2627,$B$1)),INT(INDEX(貼り付け!$A$1:$BZ$3001,2627,$B$1)),DATE(VALUE(LEFT(I2628,FIND("-",I2628)-1)),VALUE(LEFT(J2628,FIND("-",J2628)-1)),VALUE(MID(J2628,FIND("-",J2628)+1,99)))))),"")</f>
        <v/>
      </c>
      <c r="C2628">
        <f>IF($C$1=0,0,IFERROR(VALUE(SUBSTITUTE(SUBSTITUTE(SUBSTITUTE(INDEX(貼り付け!$A$1:$BZ$3001,2627,$C$1)&amp;"",",",""),"¥",""),"￥","")),0))</f>
        <v/>
      </c>
      <c r="D2628">
        <f>IF($D$1=0,0,IFERROR(VALUE(SUBSTITUTE(SUBSTITUTE(SUBSTITUTE(INDEX(貼り付け!$A$1:$BZ$3001,2627,$D$1)&amp;"",",",""),"¥",""),"￥","")),0))</f>
        <v/>
      </c>
      <c r="E2628">
        <f>IF($E$1=0,0,IFERROR(VALUE(SUBSTITUTE(SUBSTITUTE(SUBSTITUTE(INDEX(貼り付け!$A$1:$BZ$3001,2627,$E$1)&amp;"",",",""),"¥",""),"￥","")),0))</f>
        <v/>
      </c>
      <c r="F2628">
        <f>IF($F$1=0,0,IFERROR(VALUE(SUBSTITUTE(SUBSTITUTE(SUBSTITUTE(INDEX(貼り付け!$A$1:$BZ$3001,2627,$F$1)&amp;"",",",""),"¥",""),"￥","")),0))</f>
        <v/>
      </c>
      <c r="G2628">
        <f>IF(ISNUMBER(B2628),YEAR(B2628),"")</f>
        <v/>
      </c>
      <c r="H2628">
        <f>IF(ISNUMBER(B2628),MONTH(B2628),"")</f>
        <v/>
      </c>
      <c r="I2628">
        <f>IFERROR(IF($B$1=0,"",IF(ISNUMBER(INDEX(貼り付け!$A$1:$BZ$3001,2627,$B$1)),"",SUBSTITUTE(SUBSTITUTE(SUBSTITUTE(SUBSTITUTE(TRIM(LEFT(INDEX(貼り付け!$A$1:$BZ$3001,2627,$B$1)&amp;"",FIND(" ",TRIM(INDEX(貼り付け!$A$1:$BZ$3001,2627,$B$1)&amp;"")&amp;" ")-1)),"/","-"),"年","-"),"月","-"),"日",""))),"")</f>
        <v/>
      </c>
      <c r="J2628">
        <f>IFERROR(MID(I2628,FIND("-",I2628)+1,99),"")</f>
        <v/>
      </c>
    </row>
    <row r="2629">
      <c r="B2629">
        <f>IFERROR(IF($B$1=0,"",IF(INDEX(貼り付け!$A$1:$BZ$3001,2628,$B$1)="","",IF(ISNUMBER(INDEX(貼り付け!$A$1:$BZ$3001,2628,$B$1)),INT(INDEX(貼り付け!$A$1:$BZ$3001,2628,$B$1)),DATE(VALUE(LEFT(I2629,FIND("-",I2629)-1)),VALUE(LEFT(J2629,FIND("-",J2629)-1)),VALUE(MID(J2629,FIND("-",J2629)+1,99)))))),"")</f>
        <v/>
      </c>
      <c r="C2629">
        <f>IF($C$1=0,0,IFERROR(VALUE(SUBSTITUTE(SUBSTITUTE(SUBSTITUTE(INDEX(貼り付け!$A$1:$BZ$3001,2628,$C$1)&amp;"",",",""),"¥",""),"￥","")),0))</f>
        <v/>
      </c>
      <c r="D2629">
        <f>IF($D$1=0,0,IFERROR(VALUE(SUBSTITUTE(SUBSTITUTE(SUBSTITUTE(INDEX(貼り付け!$A$1:$BZ$3001,2628,$D$1)&amp;"",",",""),"¥",""),"￥","")),0))</f>
        <v/>
      </c>
      <c r="E2629">
        <f>IF($E$1=0,0,IFERROR(VALUE(SUBSTITUTE(SUBSTITUTE(SUBSTITUTE(INDEX(貼り付け!$A$1:$BZ$3001,2628,$E$1)&amp;"",",",""),"¥",""),"￥","")),0))</f>
        <v/>
      </c>
      <c r="F2629">
        <f>IF($F$1=0,0,IFERROR(VALUE(SUBSTITUTE(SUBSTITUTE(SUBSTITUTE(INDEX(貼り付け!$A$1:$BZ$3001,2628,$F$1)&amp;"",",",""),"¥",""),"￥","")),0))</f>
        <v/>
      </c>
      <c r="G2629">
        <f>IF(ISNUMBER(B2629),YEAR(B2629),"")</f>
        <v/>
      </c>
      <c r="H2629">
        <f>IF(ISNUMBER(B2629),MONTH(B2629),"")</f>
        <v/>
      </c>
      <c r="I2629">
        <f>IFERROR(IF($B$1=0,"",IF(ISNUMBER(INDEX(貼り付け!$A$1:$BZ$3001,2628,$B$1)),"",SUBSTITUTE(SUBSTITUTE(SUBSTITUTE(SUBSTITUTE(TRIM(LEFT(INDEX(貼り付け!$A$1:$BZ$3001,2628,$B$1)&amp;"",FIND(" ",TRIM(INDEX(貼り付け!$A$1:$BZ$3001,2628,$B$1)&amp;"")&amp;" ")-1)),"/","-"),"年","-"),"月","-"),"日",""))),"")</f>
        <v/>
      </c>
      <c r="J2629">
        <f>IFERROR(MID(I2629,FIND("-",I2629)+1,99),"")</f>
        <v/>
      </c>
    </row>
    <row r="2630">
      <c r="B2630">
        <f>IFERROR(IF($B$1=0,"",IF(INDEX(貼り付け!$A$1:$BZ$3001,2629,$B$1)="","",IF(ISNUMBER(INDEX(貼り付け!$A$1:$BZ$3001,2629,$B$1)),INT(INDEX(貼り付け!$A$1:$BZ$3001,2629,$B$1)),DATE(VALUE(LEFT(I2630,FIND("-",I2630)-1)),VALUE(LEFT(J2630,FIND("-",J2630)-1)),VALUE(MID(J2630,FIND("-",J2630)+1,99)))))),"")</f>
        <v/>
      </c>
      <c r="C2630">
        <f>IF($C$1=0,0,IFERROR(VALUE(SUBSTITUTE(SUBSTITUTE(SUBSTITUTE(INDEX(貼り付け!$A$1:$BZ$3001,2629,$C$1)&amp;"",",",""),"¥",""),"￥","")),0))</f>
        <v/>
      </c>
      <c r="D2630">
        <f>IF($D$1=0,0,IFERROR(VALUE(SUBSTITUTE(SUBSTITUTE(SUBSTITUTE(INDEX(貼り付け!$A$1:$BZ$3001,2629,$D$1)&amp;"",",",""),"¥",""),"￥","")),0))</f>
        <v/>
      </c>
      <c r="E2630">
        <f>IF($E$1=0,0,IFERROR(VALUE(SUBSTITUTE(SUBSTITUTE(SUBSTITUTE(INDEX(貼り付け!$A$1:$BZ$3001,2629,$E$1)&amp;"",",",""),"¥",""),"￥","")),0))</f>
        <v/>
      </c>
      <c r="F2630">
        <f>IF($F$1=0,0,IFERROR(VALUE(SUBSTITUTE(SUBSTITUTE(SUBSTITUTE(INDEX(貼り付け!$A$1:$BZ$3001,2629,$F$1)&amp;"",",",""),"¥",""),"￥","")),0))</f>
        <v/>
      </c>
      <c r="G2630">
        <f>IF(ISNUMBER(B2630),YEAR(B2630),"")</f>
        <v/>
      </c>
      <c r="H2630">
        <f>IF(ISNUMBER(B2630),MONTH(B2630),"")</f>
        <v/>
      </c>
      <c r="I2630">
        <f>IFERROR(IF($B$1=0,"",IF(ISNUMBER(INDEX(貼り付け!$A$1:$BZ$3001,2629,$B$1)),"",SUBSTITUTE(SUBSTITUTE(SUBSTITUTE(SUBSTITUTE(TRIM(LEFT(INDEX(貼り付け!$A$1:$BZ$3001,2629,$B$1)&amp;"",FIND(" ",TRIM(INDEX(貼り付け!$A$1:$BZ$3001,2629,$B$1)&amp;"")&amp;" ")-1)),"/","-"),"年","-"),"月","-"),"日",""))),"")</f>
        <v/>
      </c>
      <c r="J2630">
        <f>IFERROR(MID(I2630,FIND("-",I2630)+1,99),"")</f>
        <v/>
      </c>
    </row>
    <row r="2631">
      <c r="B2631">
        <f>IFERROR(IF($B$1=0,"",IF(INDEX(貼り付け!$A$1:$BZ$3001,2630,$B$1)="","",IF(ISNUMBER(INDEX(貼り付け!$A$1:$BZ$3001,2630,$B$1)),INT(INDEX(貼り付け!$A$1:$BZ$3001,2630,$B$1)),DATE(VALUE(LEFT(I2631,FIND("-",I2631)-1)),VALUE(LEFT(J2631,FIND("-",J2631)-1)),VALUE(MID(J2631,FIND("-",J2631)+1,99)))))),"")</f>
        <v/>
      </c>
      <c r="C2631">
        <f>IF($C$1=0,0,IFERROR(VALUE(SUBSTITUTE(SUBSTITUTE(SUBSTITUTE(INDEX(貼り付け!$A$1:$BZ$3001,2630,$C$1)&amp;"",",",""),"¥",""),"￥","")),0))</f>
        <v/>
      </c>
      <c r="D2631">
        <f>IF($D$1=0,0,IFERROR(VALUE(SUBSTITUTE(SUBSTITUTE(SUBSTITUTE(INDEX(貼り付け!$A$1:$BZ$3001,2630,$D$1)&amp;"",",",""),"¥",""),"￥","")),0))</f>
        <v/>
      </c>
      <c r="E2631">
        <f>IF($E$1=0,0,IFERROR(VALUE(SUBSTITUTE(SUBSTITUTE(SUBSTITUTE(INDEX(貼り付け!$A$1:$BZ$3001,2630,$E$1)&amp;"",",",""),"¥",""),"￥","")),0))</f>
        <v/>
      </c>
      <c r="F2631">
        <f>IF($F$1=0,0,IFERROR(VALUE(SUBSTITUTE(SUBSTITUTE(SUBSTITUTE(INDEX(貼り付け!$A$1:$BZ$3001,2630,$F$1)&amp;"",",",""),"¥",""),"￥","")),0))</f>
        <v/>
      </c>
      <c r="G2631">
        <f>IF(ISNUMBER(B2631),YEAR(B2631),"")</f>
        <v/>
      </c>
      <c r="H2631">
        <f>IF(ISNUMBER(B2631),MONTH(B2631),"")</f>
        <v/>
      </c>
      <c r="I2631">
        <f>IFERROR(IF($B$1=0,"",IF(ISNUMBER(INDEX(貼り付け!$A$1:$BZ$3001,2630,$B$1)),"",SUBSTITUTE(SUBSTITUTE(SUBSTITUTE(SUBSTITUTE(TRIM(LEFT(INDEX(貼り付け!$A$1:$BZ$3001,2630,$B$1)&amp;"",FIND(" ",TRIM(INDEX(貼り付け!$A$1:$BZ$3001,2630,$B$1)&amp;"")&amp;" ")-1)),"/","-"),"年","-"),"月","-"),"日",""))),"")</f>
        <v/>
      </c>
      <c r="J2631">
        <f>IFERROR(MID(I2631,FIND("-",I2631)+1,99),"")</f>
        <v/>
      </c>
    </row>
    <row r="2632">
      <c r="B2632">
        <f>IFERROR(IF($B$1=0,"",IF(INDEX(貼り付け!$A$1:$BZ$3001,2631,$B$1)="","",IF(ISNUMBER(INDEX(貼り付け!$A$1:$BZ$3001,2631,$B$1)),INT(INDEX(貼り付け!$A$1:$BZ$3001,2631,$B$1)),DATE(VALUE(LEFT(I2632,FIND("-",I2632)-1)),VALUE(LEFT(J2632,FIND("-",J2632)-1)),VALUE(MID(J2632,FIND("-",J2632)+1,99)))))),"")</f>
        <v/>
      </c>
      <c r="C2632">
        <f>IF($C$1=0,0,IFERROR(VALUE(SUBSTITUTE(SUBSTITUTE(SUBSTITUTE(INDEX(貼り付け!$A$1:$BZ$3001,2631,$C$1)&amp;"",",",""),"¥",""),"￥","")),0))</f>
        <v/>
      </c>
      <c r="D2632">
        <f>IF($D$1=0,0,IFERROR(VALUE(SUBSTITUTE(SUBSTITUTE(SUBSTITUTE(INDEX(貼り付け!$A$1:$BZ$3001,2631,$D$1)&amp;"",",",""),"¥",""),"￥","")),0))</f>
        <v/>
      </c>
      <c r="E2632">
        <f>IF($E$1=0,0,IFERROR(VALUE(SUBSTITUTE(SUBSTITUTE(SUBSTITUTE(INDEX(貼り付け!$A$1:$BZ$3001,2631,$E$1)&amp;"",",",""),"¥",""),"￥","")),0))</f>
        <v/>
      </c>
      <c r="F2632">
        <f>IF($F$1=0,0,IFERROR(VALUE(SUBSTITUTE(SUBSTITUTE(SUBSTITUTE(INDEX(貼り付け!$A$1:$BZ$3001,2631,$F$1)&amp;"",",",""),"¥",""),"￥","")),0))</f>
        <v/>
      </c>
      <c r="G2632">
        <f>IF(ISNUMBER(B2632),YEAR(B2632),"")</f>
        <v/>
      </c>
      <c r="H2632">
        <f>IF(ISNUMBER(B2632),MONTH(B2632),"")</f>
        <v/>
      </c>
      <c r="I2632">
        <f>IFERROR(IF($B$1=0,"",IF(ISNUMBER(INDEX(貼り付け!$A$1:$BZ$3001,2631,$B$1)),"",SUBSTITUTE(SUBSTITUTE(SUBSTITUTE(SUBSTITUTE(TRIM(LEFT(INDEX(貼り付け!$A$1:$BZ$3001,2631,$B$1)&amp;"",FIND(" ",TRIM(INDEX(貼り付け!$A$1:$BZ$3001,2631,$B$1)&amp;"")&amp;" ")-1)),"/","-"),"年","-"),"月","-"),"日",""))),"")</f>
        <v/>
      </c>
      <c r="J2632">
        <f>IFERROR(MID(I2632,FIND("-",I2632)+1,99),"")</f>
        <v/>
      </c>
    </row>
    <row r="2633">
      <c r="B2633">
        <f>IFERROR(IF($B$1=0,"",IF(INDEX(貼り付け!$A$1:$BZ$3001,2632,$B$1)="","",IF(ISNUMBER(INDEX(貼り付け!$A$1:$BZ$3001,2632,$B$1)),INT(INDEX(貼り付け!$A$1:$BZ$3001,2632,$B$1)),DATE(VALUE(LEFT(I2633,FIND("-",I2633)-1)),VALUE(LEFT(J2633,FIND("-",J2633)-1)),VALUE(MID(J2633,FIND("-",J2633)+1,99)))))),"")</f>
        <v/>
      </c>
      <c r="C2633">
        <f>IF($C$1=0,0,IFERROR(VALUE(SUBSTITUTE(SUBSTITUTE(SUBSTITUTE(INDEX(貼り付け!$A$1:$BZ$3001,2632,$C$1)&amp;"",",",""),"¥",""),"￥","")),0))</f>
        <v/>
      </c>
      <c r="D2633">
        <f>IF($D$1=0,0,IFERROR(VALUE(SUBSTITUTE(SUBSTITUTE(SUBSTITUTE(INDEX(貼り付け!$A$1:$BZ$3001,2632,$D$1)&amp;"",",",""),"¥",""),"￥","")),0))</f>
        <v/>
      </c>
      <c r="E2633">
        <f>IF($E$1=0,0,IFERROR(VALUE(SUBSTITUTE(SUBSTITUTE(SUBSTITUTE(INDEX(貼り付け!$A$1:$BZ$3001,2632,$E$1)&amp;"",",",""),"¥",""),"￥","")),0))</f>
        <v/>
      </c>
      <c r="F2633">
        <f>IF($F$1=0,0,IFERROR(VALUE(SUBSTITUTE(SUBSTITUTE(SUBSTITUTE(INDEX(貼り付け!$A$1:$BZ$3001,2632,$F$1)&amp;"",",",""),"¥",""),"￥","")),0))</f>
        <v/>
      </c>
      <c r="G2633">
        <f>IF(ISNUMBER(B2633),YEAR(B2633),"")</f>
        <v/>
      </c>
      <c r="H2633">
        <f>IF(ISNUMBER(B2633),MONTH(B2633),"")</f>
        <v/>
      </c>
      <c r="I2633">
        <f>IFERROR(IF($B$1=0,"",IF(ISNUMBER(INDEX(貼り付け!$A$1:$BZ$3001,2632,$B$1)),"",SUBSTITUTE(SUBSTITUTE(SUBSTITUTE(SUBSTITUTE(TRIM(LEFT(INDEX(貼り付け!$A$1:$BZ$3001,2632,$B$1)&amp;"",FIND(" ",TRIM(INDEX(貼り付け!$A$1:$BZ$3001,2632,$B$1)&amp;"")&amp;" ")-1)),"/","-"),"年","-"),"月","-"),"日",""))),"")</f>
        <v/>
      </c>
      <c r="J2633">
        <f>IFERROR(MID(I2633,FIND("-",I2633)+1,99),"")</f>
        <v/>
      </c>
    </row>
    <row r="2634">
      <c r="B2634">
        <f>IFERROR(IF($B$1=0,"",IF(INDEX(貼り付け!$A$1:$BZ$3001,2633,$B$1)="","",IF(ISNUMBER(INDEX(貼り付け!$A$1:$BZ$3001,2633,$B$1)),INT(INDEX(貼り付け!$A$1:$BZ$3001,2633,$B$1)),DATE(VALUE(LEFT(I2634,FIND("-",I2634)-1)),VALUE(LEFT(J2634,FIND("-",J2634)-1)),VALUE(MID(J2634,FIND("-",J2634)+1,99)))))),"")</f>
        <v/>
      </c>
      <c r="C2634">
        <f>IF($C$1=0,0,IFERROR(VALUE(SUBSTITUTE(SUBSTITUTE(SUBSTITUTE(INDEX(貼り付け!$A$1:$BZ$3001,2633,$C$1)&amp;"",",",""),"¥",""),"￥","")),0))</f>
        <v/>
      </c>
      <c r="D2634">
        <f>IF($D$1=0,0,IFERROR(VALUE(SUBSTITUTE(SUBSTITUTE(SUBSTITUTE(INDEX(貼り付け!$A$1:$BZ$3001,2633,$D$1)&amp;"",",",""),"¥",""),"￥","")),0))</f>
        <v/>
      </c>
      <c r="E2634">
        <f>IF($E$1=0,0,IFERROR(VALUE(SUBSTITUTE(SUBSTITUTE(SUBSTITUTE(INDEX(貼り付け!$A$1:$BZ$3001,2633,$E$1)&amp;"",",",""),"¥",""),"￥","")),0))</f>
        <v/>
      </c>
      <c r="F2634">
        <f>IF($F$1=0,0,IFERROR(VALUE(SUBSTITUTE(SUBSTITUTE(SUBSTITUTE(INDEX(貼り付け!$A$1:$BZ$3001,2633,$F$1)&amp;"",",",""),"¥",""),"￥","")),0))</f>
        <v/>
      </c>
      <c r="G2634">
        <f>IF(ISNUMBER(B2634),YEAR(B2634),"")</f>
        <v/>
      </c>
      <c r="H2634">
        <f>IF(ISNUMBER(B2634),MONTH(B2634),"")</f>
        <v/>
      </c>
      <c r="I2634">
        <f>IFERROR(IF($B$1=0,"",IF(ISNUMBER(INDEX(貼り付け!$A$1:$BZ$3001,2633,$B$1)),"",SUBSTITUTE(SUBSTITUTE(SUBSTITUTE(SUBSTITUTE(TRIM(LEFT(INDEX(貼り付け!$A$1:$BZ$3001,2633,$B$1)&amp;"",FIND(" ",TRIM(INDEX(貼り付け!$A$1:$BZ$3001,2633,$B$1)&amp;"")&amp;" ")-1)),"/","-"),"年","-"),"月","-"),"日",""))),"")</f>
        <v/>
      </c>
      <c r="J2634">
        <f>IFERROR(MID(I2634,FIND("-",I2634)+1,99),"")</f>
        <v/>
      </c>
    </row>
    <row r="2635">
      <c r="B2635">
        <f>IFERROR(IF($B$1=0,"",IF(INDEX(貼り付け!$A$1:$BZ$3001,2634,$B$1)="","",IF(ISNUMBER(INDEX(貼り付け!$A$1:$BZ$3001,2634,$B$1)),INT(INDEX(貼り付け!$A$1:$BZ$3001,2634,$B$1)),DATE(VALUE(LEFT(I2635,FIND("-",I2635)-1)),VALUE(LEFT(J2635,FIND("-",J2635)-1)),VALUE(MID(J2635,FIND("-",J2635)+1,99)))))),"")</f>
        <v/>
      </c>
      <c r="C2635">
        <f>IF($C$1=0,0,IFERROR(VALUE(SUBSTITUTE(SUBSTITUTE(SUBSTITUTE(INDEX(貼り付け!$A$1:$BZ$3001,2634,$C$1)&amp;"",",",""),"¥",""),"￥","")),0))</f>
        <v/>
      </c>
      <c r="D2635">
        <f>IF($D$1=0,0,IFERROR(VALUE(SUBSTITUTE(SUBSTITUTE(SUBSTITUTE(INDEX(貼り付け!$A$1:$BZ$3001,2634,$D$1)&amp;"",",",""),"¥",""),"￥","")),0))</f>
        <v/>
      </c>
      <c r="E2635">
        <f>IF($E$1=0,0,IFERROR(VALUE(SUBSTITUTE(SUBSTITUTE(SUBSTITUTE(INDEX(貼り付け!$A$1:$BZ$3001,2634,$E$1)&amp;"",",",""),"¥",""),"￥","")),0))</f>
        <v/>
      </c>
      <c r="F2635">
        <f>IF($F$1=0,0,IFERROR(VALUE(SUBSTITUTE(SUBSTITUTE(SUBSTITUTE(INDEX(貼り付け!$A$1:$BZ$3001,2634,$F$1)&amp;"",",",""),"¥",""),"￥","")),0))</f>
        <v/>
      </c>
      <c r="G2635">
        <f>IF(ISNUMBER(B2635),YEAR(B2635),"")</f>
        <v/>
      </c>
      <c r="H2635">
        <f>IF(ISNUMBER(B2635),MONTH(B2635),"")</f>
        <v/>
      </c>
      <c r="I2635">
        <f>IFERROR(IF($B$1=0,"",IF(ISNUMBER(INDEX(貼り付け!$A$1:$BZ$3001,2634,$B$1)),"",SUBSTITUTE(SUBSTITUTE(SUBSTITUTE(SUBSTITUTE(TRIM(LEFT(INDEX(貼り付け!$A$1:$BZ$3001,2634,$B$1)&amp;"",FIND(" ",TRIM(INDEX(貼り付け!$A$1:$BZ$3001,2634,$B$1)&amp;"")&amp;" ")-1)),"/","-"),"年","-"),"月","-"),"日",""))),"")</f>
        <v/>
      </c>
      <c r="J2635">
        <f>IFERROR(MID(I2635,FIND("-",I2635)+1,99),"")</f>
        <v/>
      </c>
    </row>
    <row r="2636">
      <c r="B2636">
        <f>IFERROR(IF($B$1=0,"",IF(INDEX(貼り付け!$A$1:$BZ$3001,2635,$B$1)="","",IF(ISNUMBER(INDEX(貼り付け!$A$1:$BZ$3001,2635,$B$1)),INT(INDEX(貼り付け!$A$1:$BZ$3001,2635,$B$1)),DATE(VALUE(LEFT(I2636,FIND("-",I2636)-1)),VALUE(LEFT(J2636,FIND("-",J2636)-1)),VALUE(MID(J2636,FIND("-",J2636)+1,99)))))),"")</f>
        <v/>
      </c>
      <c r="C2636">
        <f>IF($C$1=0,0,IFERROR(VALUE(SUBSTITUTE(SUBSTITUTE(SUBSTITUTE(INDEX(貼り付け!$A$1:$BZ$3001,2635,$C$1)&amp;"",",",""),"¥",""),"￥","")),0))</f>
        <v/>
      </c>
      <c r="D2636">
        <f>IF($D$1=0,0,IFERROR(VALUE(SUBSTITUTE(SUBSTITUTE(SUBSTITUTE(INDEX(貼り付け!$A$1:$BZ$3001,2635,$D$1)&amp;"",",",""),"¥",""),"￥","")),0))</f>
        <v/>
      </c>
      <c r="E2636">
        <f>IF($E$1=0,0,IFERROR(VALUE(SUBSTITUTE(SUBSTITUTE(SUBSTITUTE(INDEX(貼り付け!$A$1:$BZ$3001,2635,$E$1)&amp;"",",",""),"¥",""),"￥","")),0))</f>
        <v/>
      </c>
      <c r="F2636">
        <f>IF($F$1=0,0,IFERROR(VALUE(SUBSTITUTE(SUBSTITUTE(SUBSTITUTE(INDEX(貼り付け!$A$1:$BZ$3001,2635,$F$1)&amp;"",",",""),"¥",""),"￥","")),0))</f>
        <v/>
      </c>
      <c r="G2636">
        <f>IF(ISNUMBER(B2636),YEAR(B2636),"")</f>
        <v/>
      </c>
      <c r="H2636">
        <f>IF(ISNUMBER(B2636),MONTH(B2636),"")</f>
        <v/>
      </c>
      <c r="I2636">
        <f>IFERROR(IF($B$1=0,"",IF(ISNUMBER(INDEX(貼り付け!$A$1:$BZ$3001,2635,$B$1)),"",SUBSTITUTE(SUBSTITUTE(SUBSTITUTE(SUBSTITUTE(TRIM(LEFT(INDEX(貼り付け!$A$1:$BZ$3001,2635,$B$1)&amp;"",FIND(" ",TRIM(INDEX(貼り付け!$A$1:$BZ$3001,2635,$B$1)&amp;"")&amp;" ")-1)),"/","-"),"年","-"),"月","-"),"日",""))),"")</f>
        <v/>
      </c>
      <c r="J2636">
        <f>IFERROR(MID(I2636,FIND("-",I2636)+1,99),"")</f>
        <v/>
      </c>
    </row>
    <row r="2637">
      <c r="B2637">
        <f>IFERROR(IF($B$1=0,"",IF(INDEX(貼り付け!$A$1:$BZ$3001,2636,$B$1)="","",IF(ISNUMBER(INDEX(貼り付け!$A$1:$BZ$3001,2636,$B$1)),INT(INDEX(貼り付け!$A$1:$BZ$3001,2636,$B$1)),DATE(VALUE(LEFT(I2637,FIND("-",I2637)-1)),VALUE(LEFT(J2637,FIND("-",J2637)-1)),VALUE(MID(J2637,FIND("-",J2637)+1,99)))))),"")</f>
        <v/>
      </c>
      <c r="C2637">
        <f>IF($C$1=0,0,IFERROR(VALUE(SUBSTITUTE(SUBSTITUTE(SUBSTITUTE(INDEX(貼り付け!$A$1:$BZ$3001,2636,$C$1)&amp;"",",",""),"¥",""),"￥","")),0))</f>
        <v/>
      </c>
      <c r="D2637">
        <f>IF($D$1=0,0,IFERROR(VALUE(SUBSTITUTE(SUBSTITUTE(SUBSTITUTE(INDEX(貼り付け!$A$1:$BZ$3001,2636,$D$1)&amp;"",",",""),"¥",""),"￥","")),0))</f>
        <v/>
      </c>
      <c r="E2637">
        <f>IF($E$1=0,0,IFERROR(VALUE(SUBSTITUTE(SUBSTITUTE(SUBSTITUTE(INDEX(貼り付け!$A$1:$BZ$3001,2636,$E$1)&amp;"",",",""),"¥",""),"￥","")),0))</f>
        <v/>
      </c>
      <c r="F2637">
        <f>IF($F$1=0,0,IFERROR(VALUE(SUBSTITUTE(SUBSTITUTE(SUBSTITUTE(INDEX(貼り付け!$A$1:$BZ$3001,2636,$F$1)&amp;"",",",""),"¥",""),"￥","")),0))</f>
        <v/>
      </c>
      <c r="G2637">
        <f>IF(ISNUMBER(B2637),YEAR(B2637),"")</f>
        <v/>
      </c>
      <c r="H2637">
        <f>IF(ISNUMBER(B2637),MONTH(B2637),"")</f>
        <v/>
      </c>
      <c r="I2637">
        <f>IFERROR(IF($B$1=0,"",IF(ISNUMBER(INDEX(貼り付け!$A$1:$BZ$3001,2636,$B$1)),"",SUBSTITUTE(SUBSTITUTE(SUBSTITUTE(SUBSTITUTE(TRIM(LEFT(INDEX(貼り付け!$A$1:$BZ$3001,2636,$B$1)&amp;"",FIND(" ",TRIM(INDEX(貼り付け!$A$1:$BZ$3001,2636,$B$1)&amp;"")&amp;" ")-1)),"/","-"),"年","-"),"月","-"),"日",""))),"")</f>
        <v/>
      </c>
      <c r="J2637">
        <f>IFERROR(MID(I2637,FIND("-",I2637)+1,99),"")</f>
        <v/>
      </c>
    </row>
    <row r="2638">
      <c r="B2638">
        <f>IFERROR(IF($B$1=0,"",IF(INDEX(貼り付け!$A$1:$BZ$3001,2637,$B$1)="","",IF(ISNUMBER(INDEX(貼り付け!$A$1:$BZ$3001,2637,$B$1)),INT(INDEX(貼り付け!$A$1:$BZ$3001,2637,$B$1)),DATE(VALUE(LEFT(I2638,FIND("-",I2638)-1)),VALUE(LEFT(J2638,FIND("-",J2638)-1)),VALUE(MID(J2638,FIND("-",J2638)+1,99)))))),"")</f>
        <v/>
      </c>
      <c r="C2638">
        <f>IF($C$1=0,0,IFERROR(VALUE(SUBSTITUTE(SUBSTITUTE(SUBSTITUTE(INDEX(貼り付け!$A$1:$BZ$3001,2637,$C$1)&amp;"",",",""),"¥",""),"￥","")),0))</f>
        <v/>
      </c>
      <c r="D2638">
        <f>IF($D$1=0,0,IFERROR(VALUE(SUBSTITUTE(SUBSTITUTE(SUBSTITUTE(INDEX(貼り付け!$A$1:$BZ$3001,2637,$D$1)&amp;"",",",""),"¥",""),"￥","")),0))</f>
        <v/>
      </c>
      <c r="E2638">
        <f>IF($E$1=0,0,IFERROR(VALUE(SUBSTITUTE(SUBSTITUTE(SUBSTITUTE(INDEX(貼り付け!$A$1:$BZ$3001,2637,$E$1)&amp;"",",",""),"¥",""),"￥","")),0))</f>
        <v/>
      </c>
      <c r="F2638">
        <f>IF($F$1=0,0,IFERROR(VALUE(SUBSTITUTE(SUBSTITUTE(SUBSTITUTE(INDEX(貼り付け!$A$1:$BZ$3001,2637,$F$1)&amp;"",",",""),"¥",""),"￥","")),0))</f>
        <v/>
      </c>
      <c r="G2638">
        <f>IF(ISNUMBER(B2638),YEAR(B2638),"")</f>
        <v/>
      </c>
      <c r="H2638">
        <f>IF(ISNUMBER(B2638),MONTH(B2638),"")</f>
        <v/>
      </c>
      <c r="I2638">
        <f>IFERROR(IF($B$1=0,"",IF(ISNUMBER(INDEX(貼り付け!$A$1:$BZ$3001,2637,$B$1)),"",SUBSTITUTE(SUBSTITUTE(SUBSTITUTE(SUBSTITUTE(TRIM(LEFT(INDEX(貼り付け!$A$1:$BZ$3001,2637,$B$1)&amp;"",FIND(" ",TRIM(INDEX(貼り付け!$A$1:$BZ$3001,2637,$B$1)&amp;"")&amp;" ")-1)),"/","-"),"年","-"),"月","-"),"日",""))),"")</f>
        <v/>
      </c>
      <c r="J2638">
        <f>IFERROR(MID(I2638,FIND("-",I2638)+1,99),"")</f>
        <v/>
      </c>
    </row>
    <row r="2639">
      <c r="B2639">
        <f>IFERROR(IF($B$1=0,"",IF(INDEX(貼り付け!$A$1:$BZ$3001,2638,$B$1)="","",IF(ISNUMBER(INDEX(貼り付け!$A$1:$BZ$3001,2638,$B$1)),INT(INDEX(貼り付け!$A$1:$BZ$3001,2638,$B$1)),DATE(VALUE(LEFT(I2639,FIND("-",I2639)-1)),VALUE(LEFT(J2639,FIND("-",J2639)-1)),VALUE(MID(J2639,FIND("-",J2639)+1,99)))))),"")</f>
        <v/>
      </c>
      <c r="C2639">
        <f>IF($C$1=0,0,IFERROR(VALUE(SUBSTITUTE(SUBSTITUTE(SUBSTITUTE(INDEX(貼り付け!$A$1:$BZ$3001,2638,$C$1)&amp;"",",",""),"¥",""),"￥","")),0))</f>
        <v/>
      </c>
      <c r="D2639">
        <f>IF($D$1=0,0,IFERROR(VALUE(SUBSTITUTE(SUBSTITUTE(SUBSTITUTE(INDEX(貼り付け!$A$1:$BZ$3001,2638,$D$1)&amp;"",",",""),"¥",""),"￥","")),0))</f>
        <v/>
      </c>
      <c r="E2639">
        <f>IF($E$1=0,0,IFERROR(VALUE(SUBSTITUTE(SUBSTITUTE(SUBSTITUTE(INDEX(貼り付け!$A$1:$BZ$3001,2638,$E$1)&amp;"",",",""),"¥",""),"￥","")),0))</f>
        <v/>
      </c>
      <c r="F2639">
        <f>IF($F$1=0,0,IFERROR(VALUE(SUBSTITUTE(SUBSTITUTE(SUBSTITUTE(INDEX(貼り付け!$A$1:$BZ$3001,2638,$F$1)&amp;"",",",""),"¥",""),"￥","")),0))</f>
        <v/>
      </c>
      <c r="G2639">
        <f>IF(ISNUMBER(B2639),YEAR(B2639),"")</f>
        <v/>
      </c>
      <c r="H2639">
        <f>IF(ISNUMBER(B2639),MONTH(B2639),"")</f>
        <v/>
      </c>
      <c r="I2639">
        <f>IFERROR(IF($B$1=0,"",IF(ISNUMBER(INDEX(貼り付け!$A$1:$BZ$3001,2638,$B$1)),"",SUBSTITUTE(SUBSTITUTE(SUBSTITUTE(SUBSTITUTE(TRIM(LEFT(INDEX(貼り付け!$A$1:$BZ$3001,2638,$B$1)&amp;"",FIND(" ",TRIM(INDEX(貼り付け!$A$1:$BZ$3001,2638,$B$1)&amp;"")&amp;" ")-1)),"/","-"),"年","-"),"月","-"),"日",""))),"")</f>
        <v/>
      </c>
      <c r="J2639">
        <f>IFERROR(MID(I2639,FIND("-",I2639)+1,99),"")</f>
        <v/>
      </c>
    </row>
    <row r="2640">
      <c r="B2640">
        <f>IFERROR(IF($B$1=0,"",IF(INDEX(貼り付け!$A$1:$BZ$3001,2639,$B$1)="","",IF(ISNUMBER(INDEX(貼り付け!$A$1:$BZ$3001,2639,$B$1)),INT(INDEX(貼り付け!$A$1:$BZ$3001,2639,$B$1)),DATE(VALUE(LEFT(I2640,FIND("-",I2640)-1)),VALUE(LEFT(J2640,FIND("-",J2640)-1)),VALUE(MID(J2640,FIND("-",J2640)+1,99)))))),"")</f>
        <v/>
      </c>
      <c r="C2640">
        <f>IF($C$1=0,0,IFERROR(VALUE(SUBSTITUTE(SUBSTITUTE(SUBSTITUTE(INDEX(貼り付け!$A$1:$BZ$3001,2639,$C$1)&amp;"",",",""),"¥",""),"￥","")),0))</f>
        <v/>
      </c>
      <c r="D2640">
        <f>IF($D$1=0,0,IFERROR(VALUE(SUBSTITUTE(SUBSTITUTE(SUBSTITUTE(INDEX(貼り付け!$A$1:$BZ$3001,2639,$D$1)&amp;"",",",""),"¥",""),"￥","")),0))</f>
        <v/>
      </c>
      <c r="E2640">
        <f>IF($E$1=0,0,IFERROR(VALUE(SUBSTITUTE(SUBSTITUTE(SUBSTITUTE(INDEX(貼り付け!$A$1:$BZ$3001,2639,$E$1)&amp;"",",",""),"¥",""),"￥","")),0))</f>
        <v/>
      </c>
      <c r="F2640">
        <f>IF($F$1=0,0,IFERROR(VALUE(SUBSTITUTE(SUBSTITUTE(SUBSTITUTE(INDEX(貼り付け!$A$1:$BZ$3001,2639,$F$1)&amp;"",",",""),"¥",""),"￥","")),0))</f>
        <v/>
      </c>
      <c r="G2640">
        <f>IF(ISNUMBER(B2640),YEAR(B2640),"")</f>
        <v/>
      </c>
      <c r="H2640">
        <f>IF(ISNUMBER(B2640),MONTH(B2640),"")</f>
        <v/>
      </c>
      <c r="I2640">
        <f>IFERROR(IF($B$1=0,"",IF(ISNUMBER(INDEX(貼り付け!$A$1:$BZ$3001,2639,$B$1)),"",SUBSTITUTE(SUBSTITUTE(SUBSTITUTE(SUBSTITUTE(TRIM(LEFT(INDEX(貼り付け!$A$1:$BZ$3001,2639,$B$1)&amp;"",FIND(" ",TRIM(INDEX(貼り付け!$A$1:$BZ$3001,2639,$B$1)&amp;"")&amp;" ")-1)),"/","-"),"年","-"),"月","-"),"日",""))),"")</f>
        <v/>
      </c>
      <c r="J2640">
        <f>IFERROR(MID(I2640,FIND("-",I2640)+1,99),"")</f>
        <v/>
      </c>
    </row>
    <row r="2641">
      <c r="B2641">
        <f>IFERROR(IF($B$1=0,"",IF(INDEX(貼り付け!$A$1:$BZ$3001,2640,$B$1)="","",IF(ISNUMBER(INDEX(貼り付け!$A$1:$BZ$3001,2640,$B$1)),INT(INDEX(貼り付け!$A$1:$BZ$3001,2640,$B$1)),DATE(VALUE(LEFT(I2641,FIND("-",I2641)-1)),VALUE(LEFT(J2641,FIND("-",J2641)-1)),VALUE(MID(J2641,FIND("-",J2641)+1,99)))))),"")</f>
        <v/>
      </c>
      <c r="C2641">
        <f>IF($C$1=0,0,IFERROR(VALUE(SUBSTITUTE(SUBSTITUTE(SUBSTITUTE(INDEX(貼り付け!$A$1:$BZ$3001,2640,$C$1)&amp;"",",",""),"¥",""),"￥","")),0))</f>
        <v/>
      </c>
      <c r="D2641">
        <f>IF($D$1=0,0,IFERROR(VALUE(SUBSTITUTE(SUBSTITUTE(SUBSTITUTE(INDEX(貼り付け!$A$1:$BZ$3001,2640,$D$1)&amp;"",",",""),"¥",""),"￥","")),0))</f>
        <v/>
      </c>
      <c r="E2641">
        <f>IF($E$1=0,0,IFERROR(VALUE(SUBSTITUTE(SUBSTITUTE(SUBSTITUTE(INDEX(貼り付け!$A$1:$BZ$3001,2640,$E$1)&amp;"",",",""),"¥",""),"￥","")),0))</f>
        <v/>
      </c>
      <c r="F2641">
        <f>IF($F$1=0,0,IFERROR(VALUE(SUBSTITUTE(SUBSTITUTE(SUBSTITUTE(INDEX(貼り付け!$A$1:$BZ$3001,2640,$F$1)&amp;"",",",""),"¥",""),"￥","")),0))</f>
        <v/>
      </c>
      <c r="G2641">
        <f>IF(ISNUMBER(B2641),YEAR(B2641),"")</f>
        <v/>
      </c>
      <c r="H2641">
        <f>IF(ISNUMBER(B2641),MONTH(B2641),"")</f>
        <v/>
      </c>
      <c r="I2641">
        <f>IFERROR(IF($B$1=0,"",IF(ISNUMBER(INDEX(貼り付け!$A$1:$BZ$3001,2640,$B$1)),"",SUBSTITUTE(SUBSTITUTE(SUBSTITUTE(SUBSTITUTE(TRIM(LEFT(INDEX(貼り付け!$A$1:$BZ$3001,2640,$B$1)&amp;"",FIND(" ",TRIM(INDEX(貼り付け!$A$1:$BZ$3001,2640,$B$1)&amp;"")&amp;" ")-1)),"/","-"),"年","-"),"月","-"),"日",""))),"")</f>
        <v/>
      </c>
      <c r="J2641">
        <f>IFERROR(MID(I2641,FIND("-",I2641)+1,99),"")</f>
        <v/>
      </c>
    </row>
    <row r="2642">
      <c r="B2642">
        <f>IFERROR(IF($B$1=0,"",IF(INDEX(貼り付け!$A$1:$BZ$3001,2641,$B$1)="","",IF(ISNUMBER(INDEX(貼り付け!$A$1:$BZ$3001,2641,$B$1)),INT(INDEX(貼り付け!$A$1:$BZ$3001,2641,$B$1)),DATE(VALUE(LEFT(I2642,FIND("-",I2642)-1)),VALUE(LEFT(J2642,FIND("-",J2642)-1)),VALUE(MID(J2642,FIND("-",J2642)+1,99)))))),"")</f>
        <v/>
      </c>
      <c r="C2642">
        <f>IF($C$1=0,0,IFERROR(VALUE(SUBSTITUTE(SUBSTITUTE(SUBSTITUTE(INDEX(貼り付け!$A$1:$BZ$3001,2641,$C$1)&amp;"",",",""),"¥",""),"￥","")),0))</f>
        <v/>
      </c>
      <c r="D2642">
        <f>IF($D$1=0,0,IFERROR(VALUE(SUBSTITUTE(SUBSTITUTE(SUBSTITUTE(INDEX(貼り付け!$A$1:$BZ$3001,2641,$D$1)&amp;"",",",""),"¥",""),"￥","")),0))</f>
        <v/>
      </c>
      <c r="E2642">
        <f>IF($E$1=0,0,IFERROR(VALUE(SUBSTITUTE(SUBSTITUTE(SUBSTITUTE(INDEX(貼り付け!$A$1:$BZ$3001,2641,$E$1)&amp;"",",",""),"¥",""),"￥","")),0))</f>
        <v/>
      </c>
      <c r="F2642">
        <f>IF($F$1=0,0,IFERROR(VALUE(SUBSTITUTE(SUBSTITUTE(SUBSTITUTE(INDEX(貼り付け!$A$1:$BZ$3001,2641,$F$1)&amp;"",",",""),"¥",""),"￥","")),0))</f>
        <v/>
      </c>
      <c r="G2642">
        <f>IF(ISNUMBER(B2642),YEAR(B2642),"")</f>
        <v/>
      </c>
      <c r="H2642">
        <f>IF(ISNUMBER(B2642),MONTH(B2642),"")</f>
        <v/>
      </c>
      <c r="I2642">
        <f>IFERROR(IF($B$1=0,"",IF(ISNUMBER(INDEX(貼り付け!$A$1:$BZ$3001,2641,$B$1)),"",SUBSTITUTE(SUBSTITUTE(SUBSTITUTE(SUBSTITUTE(TRIM(LEFT(INDEX(貼り付け!$A$1:$BZ$3001,2641,$B$1)&amp;"",FIND(" ",TRIM(INDEX(貼り付け!$A$1:$BZ$3001,2641,$B$1)&amp;"")&amp;" ")-1)),"/","-"),"年","-"),"月","-"),"日",""))),"")</f>
        <v/>
      </c>
      <c r="J2642">
        <f>IFERROR(MID(I2642,FIND("-",I2642)+1,99),"")</f>
        <v/>
      </c>
    </row>
    <row r="2643">
      <c r="B2643">
        <f>IFERROR(IF($B$1=0,"",IF(INDEX(貼り付け!$A$1:$BZ$3001,2642,$B$1)="","",IF(ISNUMBER(INDEX(貼り付け!$A$1:$BZ$3001,2642,$B$1)),INT(INDEX(貼り付け!$A$1:$BZ$3001,2642,$B$1)),DATE(VALUE(LEFT(I2643,FIND("-",I2643)-1)),VALUE(LEFT(J2643,FIND("-",J2643)-1)),VALUE(MID(J2643,FIND("-",J2643)+1,99)))))),"")</f>
        <v/>
      </c>
      <c r="C2643">
        <f>IF($C$1=0,0,IFERROR(VALUE(SUBSTITUTE(SUBSTITUTE(SUBSTITUTE(INDEX(貼り付け!$A$1:$BZ$3001,2642,$C$1)&amp;"",",",""),"¥",""),"￥","")),0))</f>
        <v/>
      </c>
      <c r="D2643">
        <f>IF($D$1=0,0,IFERROR(VALUE(SUBSTITUTE(SUBSTITUTE(SUBSTITUTE(INDEX(貼り付け!$A$1:$BZ$3001,2642,$D$1)&amp;"",",",""),"¥",""),"￥","")),0))</f>
        <v/>
      </c>
      <c r="E2643">
        <f>IF($E$1=0,0,IFERROR(VALUE(SUBSTITUTE(SUBSTITUTE(SUBSTITUTE(INDEX(貼り付け!$A$1:$BZ$3001,2642,$E$1)&amp;"",",",""),"¥",""),"￥","")),0))</f>
        <v/>
      </c>
      <c r="F2643">
        <f>IF($F$1=0,0,IFERROR(VALUE(SUBSTITUTE(SUBSTITUTE(SUBSTITUTE(INDEX(貼り付け!$A$1:$BZ$3001,2642,$F$1)&amp;"",",",""),"¥",""),"￥","")),0))</f>
        <v/>
      </c>
      <c r="G2643">
        <f>IF(ISNUMBER(B2643),YEAR(B2643),"")</f>
        <v/>
      </c>
      <c r="H2643">
        <f>IF(ISNUMBER(B2643),MONTH(B2643),"")</f>
        <v/>
      </c>
      <c r="I2643">
        <f>IFERROR(IF($B$1=0,"",IF(ISNUMBER(INDEX(貼り付け!$A$1:$BZ$3001,2642,$B$1)),"",SUBSTITUTE(SUBSTITUTE(SUBSTITUTE(SUBSTITUTE(TRIM(LEFT(INDEX(貼り付け!$A$1:$BZ$3001,2642,$B$1)&amp;"",FIND(" ",TRIM(INDEX(貼り付け!$A$1:$BZ$3001,2642,$B$1)&amp;"")&amp;" ")-1)),"/","-"),"年","-"),"月","-"),"日",""))),"")</f>
        <v/>
      </c>
      <c r="J2643">
        <f>IFERROR(MID(I2643,FIND("-",I2643)+1,99),"")</f>
        <v/>
      </c>
    </row>
    <row r="2644">
      <c r="B2644">
        <f>IFERROR(IF($B$1=0,"",IF(INDEX(貼り付け!$A$1:$BZ$3001,2643,$B$1)="","",IF(ISNUMBER(INDEX(貼り付け!$A$1:$BZ$3001,2643,$B$1)),INT(INDEX(貼り付け!$A$1:$BZ$3001,2643,$B$1)),DATE(VALUE(LEFT(I2644,FIND("-",I2644)-1)),VALUE(LEFT(J2644,FIND("-",J2644)-1)),VALUE(MID(J2644,FIND("-",J2644)+1,99)))))),"")</f>
        <v/>
      </c>
      <c r="C2644">
        <f>IF($C$1=0,0,IFERROR(VALUE(SUBSTITUTE(SUBSTITUTE(SUBSTITUTE(INDEX(貼り付け!$A$1:$BZ$3001,2643,$C$1)&amp;"",",",""),"¥",""),"￥","")),0))</f>
        <v/>
      </c>
      <c r="D2644">
        <f>IF($D$1=0,0,IFERROR(VALUE(SUBSTITUTE(SUBSTITUTE(SUBSTITUTE(INDEX(貼り付け!$A$1:$BZ$3001,2643,$D$1)&amp;"",",",""),"¥",""),"￥","")),0))</f>
        <v/>
      </c>
      <c r="E2644">
        <f>IF($E$1=0,0,IFERROR(VALUE(SUBSTITUTE(SUBSTITUTE(SUBSTITUTE(INDEX(貼り付け!$A$1:$BZ$3001,2643,$E$1)&amp;"",",",""),"¥",""),"￥","")),0))</f>
        <v/>
      </c>
      <c r="F2644">
        <f>IF($F$1=0,0,IFERROR(VALUE(SUBSTITUTE(SUBSTITUTE(SUBSTITUTE(INDEX(貼り付け!$A$1:$BZ$3001,2643,$F$1)&amp;"",",",""),"¥",""),"￥","")),0))</f>
        <v/>
      </c>
      <c r="G2644">
        <f>IF(ISNUMBER(B2644),YEAR(B2644),"")</f>
        <v/>
      </c>
      <c r="H2644">
        <f>IF(ISNUMBER(B2644),MONTH(B2644),"")</f>
        <v/>
      </c>
      <c r="I2644">
        <f>IFERROR(IF($B$1=0,"",IF(ISNUMBER(INDEX(貼り付け!$A$1:$BZ$3001,2643,$B$1)),"",SUBSTITUTE(SUBSTITUTE(SUBSTITUTE(SUBSTITUTE(TRIM(LEFT(INDEX(貼り付け!$A$1:$BZ$3001,2643,$B$1)&amp;"",FIND(" ",TRIM(INDEX(貼り付け!$A$1:$BZ$3001,2643,$B$1)&amp;"")&amp;" ")-1)),"/","-"),"年","-"),"月","-"),"日",""))),"")</f>
        <v/>
      </c>
      <c r="J2644">
        <f>IFERROR(MID(I2644,FIND("-",I2644)+1,99),"")</f>
        <v/>
      </c>
    </row>
    <row r="2645">
      <c r="B2645">
        <f>IFERROR(IF($B$1=0,"",IF(INDEX(貼り付け!$A$1:$BZ$3001,2644,$B$1)="","",IF(ISNUMBER(INDEX(貼り付け!$A$1:$BZ$3001,2644,$B$1)),INT(INDEX(貼り付け!$A$1:$BZ$3001,2644,$B$1)),DATE(VALUE(LEFT(I2645,FIND("-",I2645)-1)),VALUE(LEFT(J2645,FIND("-",J2645)-1)),VALUE(MID(J2645,FIND("-",J2645)+1,99)))))),"")</f>
        <v/>
      </c>
      <c r="C2645">
        <f>IF($C$1=0,0,IFERROR(VALUE(SUBSTITUTE(SUBSTITUTE(SUBSTITUTE(INDEX(貼り付け!$A$1:$BZ$3001,2644,$C$1)&amp;"",",",""),"¥",""),"￥","")),0))</f>
        <v/>
      </c>
      <c r="D2645">
        <f>IF($D$1=0,0,IFERROR(VALUE(SUBSTITUTE(SUBSTITUTE(SUBSTITUTE(INDEX(貼り付け!$A$1:$BZ$3001,2644,$D$1)&amp;"",",",""),"¥",""),"￥","")),0))</f>
        <v/>
      </c>
      <c r="E2645">
        <f>IF($E$1=0,0,IFERROR(VALUE(SUBSTITUTE(SUBSTITUTE(SUBSTITUTE(INDEX(貼り付け!$A$1:$BZ$3001,2644,$E$1)&amp;"",",",""),"¥",""),"￥","")),0))</f>
        <v/>
      </c>
      <c r="F2645">
        <f>IF($F$1=0,0,IFERROR(VALUE(SUBSTITUTE(SUBSTITUTE(SUBSTITUTE(INDEX(貼り付け!$A$1:$BZ$3001,2644,$F$1)&amp;"",",",""),"¥",""),"￥","")),0))</f>
        <v/>
      </c>
      <c r="G2645">
        <f>IF(ISNUMBER(B2645),YEAR(B2645),"")</f>
        <v/>
      </c>
      <c r="H2645">
        <f>IF(ISNUMBER(B2645),MONTH(B2645),"")</f>
        <v/>
      </c>
      <c r="I2645">
        <f>IFERROR(IF($B$1=0,"",IF(ISNUMBER(INDEX(貼り付け!$A$1:$BZ$3001,2644,$B$1)),"",SUBSTITUTE(SUBSTITUTE(SUBSTITUTE(SUBSTITUTE(TRIM(LEFT(INDEX(貼り付け!$A$1:$BZ$3001,2644,$B$1)&amp;"",FIND(" ",TRIM(INDEX(貼り付け!$A$1:$BZ$3001,2644,$B$1)&amp;"")&amp;" ")-1)),"/","-"),"年","-"),"月","-"),"日",""))),"")</f>
        <v/>
      </c>
      <c r="J2645">
        <f>IFERROR(MID(I2645,FIND("-",I2645)+1,99),"")</f>
        <v/>
      </c>
    </row>
    <row r="2646">
      <c r="B2646">
        <f>IFERROR(IF($B$1=0,"",IF(INDEX(貼り付け!$A$1:$BZ$3001,2645,$B$1)="","",IF(ISNUMBER(INDEX(貼り付け!$A$1:$BZ$3001,2645,$B$1)),INT(INDEX(貼り付け!$A$1:$BZ$3001,2645,$B$1)),DATE(VALUE(LEFT(I2646,FIND("-",I2646)-1)),VALUE(LEFT(J2646,FIND("-",J2646)-1)),VALUE(MID(J2646,FIND("-",J2646)+1,99)))))),"")</f>
        <v/>
      </c>
      <c r="C2646">
        <f>IF($C$1=0,0,IFERROR(VALUE(SUBSTITUTE(SUBSTITUTE(SUBSTITUTE(INDEX(貼り付け!$A$1:$BZ$3001,2645,$C$1)&amp;"",",",""),"¥",""),"￥","")),0))</f>
        <v/>
      </c>
      <c r="D2646">
        <f>IF($D$1=0,0,IFERROR(VALUE(SUBSTITUTE(SUBSTITUTE(SUBSTITUTE(INDEX(貼り付け!$A$1:$BZ$3001,2645,$D$1)&amp;"",",",""),"¥",""),"￥","")),0))</f>
        <v/>
      </c>
      <c r="E2646">
        <f>IF($E$1=0,0,IFERROR(VALUE(SUBSTITUTE(SUBSTITUTE(SUBSTITUTE(INDEX(貼り付け!$A$1:$BZ$3001,2645,$E$1)&amp;"",",",""),"¥",""),"￥","")),0))</f>
        <v/>
      </c>
      <c r="F2646">
        <f>IF($F$1=0,0,IFERROR(VALUE(SUBSTITUTE(SUBSTITUTE(SUBSTITUTE(INDEX(貼り付け!$A$1:$BZ$3001,2645,$F$1)&amp;"",",",""),"¥",""),"￥","")),0))</f>
        <v/>
      </c>
      <c r="G2646">
        <f>IF(ISNUMBER(B2646),YEAR(B2646),"")</f>
        <v/>
      </c>
      <c r="H2646">
        <f>IF(ISNUMBER(B2646),MONTH(B2646),"")</f>
        <v/>
      </c>
      <c r="I2646">
        <f>IFERROR(IF($B$1=0,"",IF(ISNUMBER(INDEX(貼り付け!$A$1:$BZ$3001,2645,$B$1)),"",SUBSTITUTE(SUBSTITUTE(SUBSTITUTE(SUBSTITUTE(TRIM(LEFT(INDEX(貼り付け!$A$1:$BZ$3001,2645,$B$1)&amp;"",FIND(" ",TRIM(INDEX(貼り付け!$A$1:$BZ$3001,2645,$B$1)&amp;"")&amp;" ")-1)),"/","-"),"年","-"),"月","-"),"日",""))),"")</f>
        <v/>
      </c>
      <c r="J2646">
        <f>IFERROR(MID(I2646,FIND("-",I2646)+1,99),"")</f>
        <v/>
      </c>
    </row>
    <row r="2647">
      <c r="B2647">
        <f>IFERROR(IF($B$1=0,"",IF(INDEX(貼り付け!$A$1:$BZ$3001,2646,$B$1)="","",IF(ISNUMBER(INDEX(貼り付け!$A$1:$BZ$3001,2646,$B$1)),INT(INDEX(貼り付け!$A$1:$BZ$3001,2646,$B$1)),DATE(VALUE(LEFT(I2647,FIND("-",I2647)-1)),VALUE(LEFT(J2647,FIND("-",J2647)-1)),VALUE(MID(J2647,FIND("-",J2647)+1,99)))))),"")</f>
        <v/>
      </c>
      <c r="C2647">
        <f>IF($C$1=0,0,IFERROR(VALUE(SUBSTITUTE(SUBSTITUTE(SUBSTITUTE(INDEX(貼り付け!$A$1:$BZ$3001,2646,$C$1)&amp;"",",",""),"¥",""),"￥","")),0))</f>
        <v/>
      </c>
      <c r="D2647">
        <f>IF($D$1=0,0,IFERROR(VALUE(SUBSTITUTE(SUBSTITUTE(SUBSTITUTE(INDEX(貼り付け!$A$1:$BZ$3001,2646,$D$1)&amp;"",",",""),"¥",""),"￥","")),0))</f>
        <v/>
      </c>
      <c r="E2647">
        <f>IF($E$1=0,0,IFERROR(VALUE(SUBSTITUTE(SUBSTITUTE(SUBSTITUTE(INDEX(貼り付け!$A$1:$BZ$3001,2646,$E$1)&amp;"",",",""),"¥",""),"￥","")),0))</f>
        <v/>
      </c>
      <c r="F2647">
        <f>IF($F$1=0,0,IFERROR(VALUE(SUBSTITUTE(SUBSTITUTE(SUBSTITUTE(INDEX(貼り付け!$A$1:$BZ$3001,2646,$F$1)&amp;"",",",""),"¥",""),"￥","")),0))</f>
        <v/>
      </c>
      <c r="G2647">
        <f>IF(ISNUMBER(B2647),YEAR(B2647),"")</f>
        <v/>
      </c>
      <c r="H2647">
        <f>IF(ISNUMBER(B2647),MONTH(B2647),"")</f>
        <v/>
      </c>
      <c r="I2647">
        <f>IFERROR(IF($B$1=0,"",IF(ISNUMBER(INDEX(貼り付け!$A$1:$BZ$3001,2646,$B$1)),"",SUBSTITUTE(SUBSTITUTE(SUBSTITUTE(SUBSTITUTE(TRIM(LEFT(INDEX(貼り付け!$A$1:$BZ$3001,2646,$B$1)&amp;"",FIND(" ",TRIM(INDEX(貼り付け!$A$1:$BZ$3001,2646,$B$1)&amp;"")&amp;" ")-1)),"/","-"),"年","-"),"月","-"),"日",""))),"")</f>
        <v/>
      </c>
      <c r="J2647">
        <f>IFERROR(MID(I2647,FIND("-",I2647)+1,99),"")</f>
        <v/>
      </c>
    </row>
    <row r="2648">
      <c r="B2648">
        <f>IFERROR(IF($B$1=0,"",IF(INDEX(貼り付け!$A$1:$BZ$3001,2647,$B$1)="","",IF(ISNUMBER(INDEX(貼り付け!$A$1:$BZ$3001,2647,$B$1)),INT(INDEX(貼り付け!$A$1:$BZ$3001,2647,$B$1)),DATE(VALUE(LEFT(I2648,FIND("-",I2648)-1)),VALUE(LEFT(J2648,FIND("-",J2648)-1)),VALUE(MID(J2648,FIND("-",J2648)+1,99)))))),"")</f>
        <v/>
      </c>
      <c r="C2648">
        <f>IF($C$1=0,0,IFERROR(VALUE(SUBSTITUTE(SUBSTITUTE(SUBSTITUTE(INDEX(貼り付け!$A$1:$BZ$3001,2647,$C$1)&amp;"",",",""),"¥",""),"￥","")),0))</f>
        <v/>
      </c>
      <c r="D2648">
        <f>IF($D$1=0,0,IFERROR(VALUE(SUBSTITUTE(SUBSTITUTE(SUBSTITUTE(INDEX(貼り付け!$A$1:$BZ$3001,2647,$D$1)&amp;"",",",""),"¥",""),"￥","")),0))</f>
        <v/>
      </c>
      <c r="E2648">
        <f>IF($E$1=0,0,IFERROR(VALUE(SUBSTITUTE(SUBSTITUTE(SUBSTITUTE(INDEX(貼り付け!$A$1:$BZ$3001,2647,$E$1)&amp;"",",",""),"¥",""),"￥","")),0))</f>
        <v/>
      </c>
      <c r="F2648">
        <f>IF($F$1=0,0,IFERROR(VALUE(SUBSTITUTE(SUBSTITUTE(SUBSTITUTE(INDEX(貼り付け!$A$1:$BZ$3001,2647,$F$1)&amp;"",",",""),"¥",""),"￥","")),0))</f>
        <v/>
      </c>
      <c r="G2648">
        <f>IF(ISNUMBER(B2648),YEAR(B2648),"")</f>
        <v/>
      </c>
      <c r="H2648">
        <f>IF(ISNUMBER(B2648),MONTH(B2648),"")</f>
        <v/>
      </c>
      <c r="I2648">
        <f>IFERROR(IF($B$1=0,"",IF(ISNUMBER(INDEX(貼り付け!$A$1:$BZ$3001,2647,$B$1)),"",SUBSTITUTE(SUBSTITUTE(SUBSTITUTE(SUBSTITUTE(TRIM(LEFT(INDEX(貼り付け!$A$1:$BZ$3001,2647,$B$1)&amp;"",FIND(" ",TRIM(INDEX(貼り付け!$A$1:$BZ$3001,2647,$B$1)&amp;"")&amp;" ")-1)),"/","-"),"年","-"),"月","-"),"日",""))),"")</f>
        <v/>
      </c>
      <c r="J2648">
        <f>IFERROR(MID(I2648,FIND("-",I2648)+1,99),"")</f>
        <v/>
      </c>
    </row>
    <row r="2649">
      <c r="B2649">
        <f>IFERROR(IF($B$1=0,"",IF(INDEX(貼り付け!$A$1:$BZ$3001,2648,$B$1)="","",IF(ISNUMBER(INDEX(貼り付け!$A$1:$BZ$3001,2648,$B$1)),INT(INDEX(貼り付け!$A$1:$BZ$3001,2648,$B$1)),DATE(VALUE(LEFT(I2649,FIND("-",I2649)-1)),VALUE(LEFT(J2649,FIND("-",J2649)-1)),VALUE(MID(J2649,FIND("-",J2649)+1,99)))))),"")</f>
        <v/>
      </c>
      <c r="C2649">
        <f>IF($C$1=0,0,IFERROR(VALUE(SUBSTITUTE(SUBSTITUTE(SUBSTITUTE(INDEX(貼り付け!$A$1:$BZ$3001,2648,$C$1)&amp;"",",",""),"¥",""),"￥","")),0))</f>
        <v/>
      </c>
      <c r="D2649">
        <f>IF($D$1=0,0,IFERROR(VALUE(SUBSTITUTE(SUBSTITUTE(SUBSTITUTE(INDEX(貼り付け!$A$1:$BZ$3001,2648,$D$1)&amp;"",",",""),"¥",""),"￥","")),0))</f>
        <v/>
      </c>
      <c r="E2649">
        <f>IF($E$1=0,0,IFERROR(VALUE(SUBSTITUTE(SUBSTITUTE(SUBSTITUTE(INDEX(貼り付け!$A$1:$BZ$3001,2648,$E$1)&amp;"",",",""),"¥",""),"￥","")),0))</f>
        <v/>
      </c>
      <c r="F2649">
        <f>IF($F$1=0,0,IFERROR(VALUE(SUBSTITUTE(SUBSTITUTE(SUBSTITUTE(INDEX(貼り付け!$A$1:$BZ$3001,2648,$F$1)&amp;"",",",""),"¥",""),"￥","")),0))</f>
        <v/>
      </c>
      <c r="G2649">
        <f>IF(ISNUMBER(B2649),YEAR(B2649),"")</f>
        <v/>
      </c>
      <c r="H2649">
        <f>IF(ISNUMBER(B2649),MONTH(B2649),"")</f>
        <v/>
      </c>
      <c r="I2649">
        <f>IFERROR(IF($B$1=0,"",IF(ISNUMBER(INDEX(貼り付け!$A$1:$BZ$3001,2648,$B$1)),"",SUBSTITUTE(SUBSTITUTE(SUBSTITUTE(SUBSTITUTE(TRIM(LEFT(INDEX(貼り付け!$A$1:$BZ$3001,2648,$B$1)&amp;"",FIND(" ",TRIM(INDEX(貼り付け!$A$1:$BZ$3001,2648,$B$1)&amp;"")&amp;" ")-1)),"/","-"),"年","-"),"月","-"),"日",""))),"")</f>
        <v/>
      </c>
      <c r="J2649">
        <f>IFERROR(MID(I2649,FIND("-",I2649)+1,99),"")</f>
        <v/>
      </c>
    </row>
    <row r="2650">
      <c r="B2650">
        <f>IFERROR(IF($B$1=0,"",IF(INDEX(貼り付け!$A$1:$BZ$3001,2649,$B$1)="","",IF(ISNUMBER(INDEX(貼り付け!$A$1:$BZ$3001,2649,$B$1)),INT(INDEX(貼り付け!$A$1:$BZ$3001,2649,$B$1)),DATE(VALUE(LEFT(I2650,FIND("-",I2650)-1)),VALUE(LEFT(J2650,FIND("-",J2650)-1)),VALUE(MID(J2650,FIND("-",J2650)+1,99)))))),"")</f>
        <v/>
      </c>
      <c r="C2650">
        <f>IF($C$1=0,0,IFERROR(VALUE(SUBSTITUTE(SUBSTITUTE(SUBSTITUTE(INDEX(貼り付け!$A$1:$BZ$3001,2649,$C$1)&amp;"",",",""),"¥",""),"￥","")),0))</f>
        <v/>
      </c>
      <c r="D2650">
        <f>IF($D$1=0,0,IFERROR(VALUE(SUBSTITUTE(SUBSTITUTE(SUBSTITUTE(INDEX(貼り付け!$A$1:$BZ$3001,2649,$D$1)&amp;"",",",""),"¥",""),"￥","")),0))</f>
        <v/>
      </c>
      <c r="E2650">
        <f>IF($E$1=0,0,IFERROR(VALUE(SUBSTITUTE(SUBSTITUTE(SUBSTITUTE(INDEX(貼り付け!$A$1:$BZ$3001,2649,$E$1)&amp;"",",",""),"¥",""),"￥","")),0))</f>
        <v/>
      </c>
      <c r="F2650">
        <f>IF($F$1=0,0,IFERROR(VALUE(SUBSTITUTE(SUBSTITUTE(SUBSTITUTE(INDEX(貼り付け!$A$1:$BZ$3001,2649,$F$1)&amp;"",",",""),"¥",""),"￥","")),0))</f>
        <v/>
      </c>
      <c r="G2650">
        <f>IF(ISNUMBER(B2650),YEAR(B2650),"")</f>
        <v/>
      </c>
      <c r="H2650">
        <f>IF(ISNUMBER(B2650),MONTH(B2650),"")</f>
        <v/>
      </c>
      <c r="I2650">
        <f>IFERROR(IF($B$1=0,"",IF(ISNUMBER(INDEX(貼り付け!$A$1:$BZ$3001,2649,$B$1)),"",SUBSTITUTE(SUBSTITUTE(SUBSTITUTE(SUBSTITUTE(TRIM(LEFT(INDEX(貼り付け!$A$1:$BZ$3001,2649,$B$1)&amp;"",FIND(" ",TRIM(INDEX(貼り付け!$A$1:$BZ$3001,2649,$B$1)&amp;"")&amp;" ")-1)),"/","-"),"年","-"),"月","-"),"日",""))),"")</f>
        <v/>
      </c>
      <c r="J2650">
        <f>IFERROR(MID(I2650,FIND("-",I2650)+1,99),"")</f>
        <v/>
      </c>
    </row>
    <row r="2651">
      <c r="B2651">
        <f>IFERROR(IF($B$1=0,"",IF(INDEX(貼り付け!$A$1:$BZ$3001,2650,$B$1)="","",IF(ISNUMBER(INDEX(貼り付け!$A$1:$BZ$3001,2650,$B$1)),INT(INDEX(貼り付け!$A$1:$BZ$3001,2650,$B$1)),DATE(VALUE(LEFT(I2651,FIND("-",I2651)-1)),VALUE(LEFT(J2651,FIND("-",J2651)-1)),VALUE(MID(J2651,FIND("-",J2651)+1,99)))))),"")</f>
        <v/>
      </c>
      <c r="C2651">
        <f>IF($C$1=0,0,IFERROR(VALUE(SUBSTITUTE(SUBSTITUTE(SUBSTITUTE(INDEX(貼り付け!$A$1:$BZ$3001,2650,$C$1)&amp;"",",",""),"¥",""),"￥","")),0))</f>
        <v/>
      </c>
      <c r="D2651">
        <f>IF($D$1=0,0,IFERROR(VALUE(SUBSTITUTE(SUBSTITUTE(SUBSTITUTE(INDEX(貼り付け!$A$1:$BZ$3001,2650,$D$1)&amp;"",",",""),"¥",""),"￥","")),0))</f>
        <v/>
      </c>
      <c r="E2651">
        <f>IF($E$1=0,0,IFERROR(VALUE(SUBSTITUTE(SUBSTITUTE(SUBSTITUTE(INDEX(貼り付け!$A$1:$BZ$3001,2650,$E$1)&amp;"",",",""),"¥",""),"￥","")),0))</f>
        <v/>
      </c>
      <c r="F2651">
        <f>IF($F$1=0,0,IFERROR(VALUE(SUBSTITUTE(SUBSTITUTE(SUBSTITUTE(INDEX(貼り付け!$A$1:$BZ$3001,2650,$F$1)&amp;"",",",""),"¥",""),"￥","")),0))</f>
        <v/>
      </c>
      <c r="G2651">
        <f>IF(ISNUMBER(B2651),YEAR(B2651),"")</f>
        <v/>
      </c>
      <c r="H2651">
        <f>IF(ISNUMBER(B2651),MONTH(B2651),"")</f>
        <v/>
      </c>
      <c r="I2651">
        <f>IFERROR(IF($B$1=0,"",IF(ISNUMBER(INDEX(貼り付け!$A$1:$BZ$3001,2650,$B$1)),"",SUBSTITUTE(SUBSTITUTE(SUBSTITUTE(SUBSTITUTE(TRIM(LEFT(INDEX(貼り付け!$A$1:$BZ$3001,2650,$B$1)&amp;"",FIND(" ",TRIM(INDEX(貼り付け!$A$1:$BZ$3001,2650,$B$1)&amp;"")&amp;" ")-1)),"/","-"),"年","-"),"月","-"),"日",""))),"")</f>
        <v/>
      </c>
      <c r="J2651">
        <f>IFERROR(MID(I2651,FIND("-",I2651)+1,99),"")</f>
        <v/>
      </c>
    </row>
    <row r="2652">
      <c r="B2652">
        <f>IFERROR(IF($B$1=0,"",IF(INDEX(貼り付け!$A$1:$BZ$3001,2651,$B$1)="","",IF(ISNUMBER(INDEX(貼り付け!$A$1:$BZ$3001,2651,$B$1)),INT(INDEX(貼り付け!$A$1:$BZ$3001,2651,$B$1)),DATE(VALUE(LEFT(I2652,FIND("-",I2652)-1)),VALUE(LEFT(J2652,FIND("-",J2652)-1)),VALUE(MID(J2652,FIND("-",J2652)+1,99)))))),"")</f>
        <v/>
      </c>
      <c r="C2652">
        <f>IF($C$1=0,0,IFERROR(VALUE(SUBSTITUTE(SUBSTITUTE(SUBSTITUTE(INDEX(貼り付け!$A$1:$BZ$3001,2651,$C$1)&amp;"",",",""),"¥",""),"￥","")),0))</f>
        <v/>
      </c>
      <c r="D2652">
        <f>IF($D$1=0,0,IFERROR(VALUE(SUBSTITUTE(SUBSTITUTE(SUBSTITUTE(INDEX(貼り付け!$A$1:$BZ$3001,2651,$D$1)&amp;"",",",""),"¥",""),"￥","")),0))</f>
        <v/>
      </c>
      <c r="E2652">
        <f>IF($E$1=0,0,IFERROR(VALUE(SUBSTITUTE(SUBSTITUTE(SUBSTITUTE(INDEX(貼り付け!$A$1:$BZ$3001,2651,$E$1)&amp;"",",",""),"¥",""),"￥","")),0))</f>
        <v/>
      </c>
      <c r="F2652">
        <f>IF($F$1=0,0,IFERROR(VALUE(SUBSTITUTE(SUBSTITUTE(SUBSTITUTE(INDEX(貼り付け!$A$1:$BZ$3001,2651,$F$1)&amp;"",",",""),"¥",""),"￥","")),0))</f>
        <v/>
      </c>
      <c r="G2652">
        <f>IF(ISNUMBER(B2652),YEAR(B2652),"")</f>
        <v/>
      </c>
      <c r="H2652">
        <f>IF(ISNUMBER(B2652),MONTH(B2652),"")</f>
        <v/>
      </c>
      <c r="I2652">
        <f>IFERROR(IF($B$1=0,"",IF(ISNUMBER(INDEX(貼り付け!$A$1:$BZ$3001,2651,$B$1)),"",SUBSTITUTE(SUBSTITUTE(SUBSTITUTE(SUBSTITUTE(TRIM(LEFT(INDEX(貼り付け!$A$1:$BZ$3001,2651,$B$1)&amp;"",FIND(" ",TRIM(INDEX(貼り付け!$A$1:$BZ$3001,2651,$B$1)&amp;"")&amp;" ")-1)),"/","-"),"年","-"),"月","-"),"日",""))),"")</f>
        <v/>
      </c>
      <c r="J2652">
        <f>IFERROR(MID(I2652,FIND("-",I2652)+1,99),"")</f>
        <v/>
      </c>
    </row>
    <row r="2653">
      <c r="B2653">
        <f>IFERROR(IF($B$1=0,"",IF(INDEX(貼り付け!$A$1:$BZ$3001,2652,$B$1)="","",IF(ISNUMBER(INDEX(貼り付け!$A$1:$BZ$3001,2652,$B$1)),INT(INDEX(貼り付け!$A$1:$BZ$3001,2652,$B$1)),DATE(VALUE(LEFT(I2653,FIND("-",I2653)-1)),VALUE(LEFT(J2653,FIND("-",J2653)-1)),VALUE(MID(J2653,FIND("-",J2653)+1,99)))))),"")</f>
        <v/>
      </c>
      <c r="C2653">
        <f>IF($C$1=0,0,IFERROR(VALUE(SUBSTITUTE(SUBSTITUTE(SUBSTITUTE(INDEX(貼り付け!$A$1:$BZ$3001,2652,$C$1)&amp;"",",",""),"¥",""),"￥","")),0))</f>
        <v/>
      </c>
      <c r="D2653">
        <f>IF($D$1=0,0,IFERROR(VALUE(SUBSTITUTE(SUBSTITUTE(SUBSTITUTE(INDEX(貼り付け!$A$1:$BZ$3001,2652,$D$1)&amp;"",",",""),"¥",""),"￥","")),0))</f>
        <v/>
      </c>
      <c r="E2653">
        <f>IF($E$1=0,0,IFERROR(VALUE(SUBSTITUTE(SUBSTITUTE(SUBSTITUTE(INDEX(貼り付け!$A$1:$BZ$3001,2652,$E$1)&amp;"",",",""),"¥",""),"￥","")),0))</f>
        <v/>
      </c>
      <c r="F2653">
        <f>IF($F$1=0,0,IFERROR(VALUE(SUBSTITUTE(SUBSTITUTE(SUBSTITUTE(INDEX(貼り付け!$A$1:$BZ$3001,2652,$F$1)&amp;"",",",""),"¥",""),"￥","")),0))</f>
        <v/>
      </c>
      <c r="G2653">
        <f>IF(ISNUMBER(B2653),YEAR(B2653),"")</f>
        <v/>
      </c>
      <c r="H2653">
        <f>IF(ISNUMBER(B2653),MONTH(B2653),"")</f>
        <v/>
      </c>
      <c r="I2653">
        <f>IFERROR(IF($B$1=0,"",IF(ISNUMBER(INDEX(貼り付け!$A$1:$BZ$3001,2652,$B$1)),"",SUBSTITUTE(SUBSTITUTE(SUBSTITUTE(SUBSTITUTE(TRIM(LEFT(INDEX(貼り付け!$A$1:$BZ$3001,2652,$B$1)&amp;"",FIND(" ",TRIM(INDEX(貼り付け!$A$1:$BZ$3001,2652,$B$1)&amp;"")&amp;" ")-1)),"/","-"),"年","-"),"月","-"),"日",""))),"")</f>
        <v/>
      </c>
      <c r="J2653">
        <f>IFERROR(MID(I2653,FIND("-",I2653)+1,99),"")</f>
        <v/>
      </c>
    </row>
    <row r="2654">
      <c r="B2654">
        <f>IFERROR(IF($B$1=0,"",IF(INDEX(貼り付け!$A$1:$BZ$3001,2653,$B$1)="","",IF(ISNUMBER(INDEX(貼り付け!$A$1:$BZ$3001,2653,$B$1)),INT(INDEX(貼り付け!$A$1:$BZ$3001,2653,$B$1)),DATE(VALUE(LEFT(I2654,FIND("-",I2654)-1)),VALUE(LEFT(J2654,FIND("-",J2654)-1)),VALUE(MID(J2654,FIND("-",J2654)+1,99)))))),"")</f>
        <v/>
      </c>
      <c r="C2654">
        <f>IF($C$1=0,0,IFERROR(VALUE(SUBSTITUTE(SUBSTITUTE(SUBSTITUTE(INDEX(貼り付け!$A$1:$BZ$3001,2653,$C$1)&amp;"",",",""),"¥",""),"￥","")),0))</f>
        <v/>
      </c>
      <c r="D2654">
        <f>IF($D$1=0,0,IFERROR(VALUE(SUBSTITUTE(SUBSTITUTE(SUBSTITUTE(INDEX(貼り付け!$A$1:$BZ$3001,2653,$D$1)&amp;"",",",""),"¥",""),"￥","")),0))</f>
        <v/>
      </c>
      <c r="E2654">
        <f>IF($E$1=0,0,IFERROR(VALUE(SUBSTITUTE(SUBSTITUTE(SUBSTITUTE(INDEX(貼り付け!$A$1:$BZ$3001,2653,$E$1)&amp;"",",",""),"¥",""),"￥","")),0))</f>
        <v/>
      </c>
      <c r="F2654">
        <f>IF($F$1=0,0,IFERROR(VALUE(SUBSTITUTE(SUBSTITUTE(SUBSTITUTE(INDEX(貼り付け!$A$1:$BZ$3001,2653,$F$1)&amp;"",",",""),"¥",""),"￥","")),0))</f>
        <v/>
      </c>
      <c r="G2654">
        <f>IF(ISNUMBER(B2654),YEAR(B2654),"")</f>
        <v/>
      </c>
      <c r="H2654">
        <f>IF(ISNUMBER(B2654),MONTH(B2654),"")</f>
        <v/>
      </c>
      <c r="I2654">
        <f>IFERROR(IF($B$1=0,"",IF(ISNUMBER(INDEX(貼り付け!$A$1:$BZ$3001,2653,$B$1)),"",SUBSTITUTE(SUBSTITUTE(SUBSTITUTE(SUBSTITUTE(TRIM(LEFT(INDEX(貼り付け!$A$1:$BZ$3001,2653,$B$1)&amp;"",FIND(" ",TRIM(INDEX(貼り付け!$A$1:$BZ$3001,2653,$B$1)&amp;"")&amp;" ")-1)),"/","-"),"年","-"),"月","-"),"日",""))),"")</f>
        <v/>
      </c>
      <c r="J2654">
        <f>IFERROR(MID(I2654,FIND("-",I2654)+1,99),"")</f>
        <v/>
      </c>
    </row>
    <row r="2655">
      <c r="B2655">
        <f>IFERROR(IF($B$1=0,"",IF(INDEX(貼り付け!$A$1:$BZ$3001,2654,$B$1)="","",IF(ISNUMBER(INDEX(貼り付け!$A$1:$BZ$3001,2654,$B$1)),INT(INDEX(貼り付け!$A$1:$BZ$3001,2654,$B$1)),DATE(VALUE(LEFT(I2655,FIND("-",I2655)-1)),VALUE(LEFT(J2655,FIND("-",J2655)-1)),VALUE(MID(J2655,FIND("-",J2655)+1,99)))))),"")</f>
        <v/>
      </c>
      <c r="C2655">
        <f>IF($C$1=0,0,IFERROR(VALUE(SUBSTITUTE(SUBSTITUTE(SUBSTITUTE(INDEX(貼り付け!$A$1:$BZ$3001,2654,$C$1)&amp;"",",",""),"¥",""),"￥","")),0))</f>
        <v/>
      </c>
      <c r="D2655">
        <f>IF($D$1=0,0,IFERROR(VALUE(SUBSTITUTE(SUBSTITUTE(SUBSTITUTE(INDEX(貼り付け!$A$1:$BZ$3001,2654,$D$1)&amp;"",",",""),"¥",""),"￥","")),0))</f>
        <v/>
      </c>
      <c r="E2655">
        <f>IF($E$1=0,0,IFERROR(VALUE(SUBSTITUTE(SUBSTITUTE(SUBSTITUTE(INDEX(貼り付け!$A$1:$BZ$3001,2654,$E$1)&amp;"",",",""),"¥",""),"￥","")),0))</f>
        <v/>
      </c>
      <c r="F2655">
        <f>IF($F$1=0,0,IFERROR(VALUE(SUBSTITUTE(SUBSTITUTE(SUBSTITUTE(INDEX(貼り付け!$A$1:$BZ$3001,2654,$F$1)&amp;"",",",""),"¥",""),"￥","")),0))</f>
        <v/>
      </c>
      <c r="G2655">
        <f>IF(ISNUMBER(B2655),YEAR(B2655),"")</f>
        <v/>
      </c>
      <c r="H2655">
        <f>IF(ISNUMBER(B2655),MONTH(B2655),"")</f>
        <v/>
      </c>
      <c r="I2655">
        <f>IFERROR(IF($B$1=0,"",IF(ISNUMBER(INDEX(貼り付け!$A$1:$BZ$3001,2654,$B$1)),"",SUBSTITUTE(SUBSTITUTE(SUBSTITUTE(SUBSTITUTE(TRIM(LEFT(INDEX(貼り付け!$A$1:$BZ$3001,2654,$B$1)&amp;"",FIND(" ",TRIM(INDEX(貼り付け!$A$1:$BZ$3001,2654,$B$1)&amp;"")&amp;" ")-1)),"/","-"),"年","-"),"月","-"),"日",""))),"")</f>
        <v/>
      </c>
      <c r="J2655">
        <f>IFERROR(MID(I2655,FIND("-",I2655)+1,99),"")</f>
        <v/>
      </c>
    </row>
    <row r="2656">
      <c r="B2656">
        <f>IFERROR(IF($B$1=0,"",IF(INDEX(貼り付け!$A$1:$BZ$3001,2655,$B$1)="","",IF(ISNUMBER(INDEX(貼り付け!$A$1:$BZ$3001,2655,$B$1)),INT(INDEX(貼り付け!$A$1:$BZ$3001,2655,$B$1)),DATE(VALUE(LEFT(I2656,FIND("-",I2656)-1)),VALUE(LEFT(J2656,FIND("-",J2656)-1)),VALUE(MID(J2656,FIND("-",J2656)+1,99)))))),"")</f>
        <v/>
      </c>
      <c r="C2656">
        <f>IF($C$1=0,0,IFERROR(VALUE(SUBSTITUTE(SUBSTITUTE(SUBSTITUTE(INDEX(貼り付け!$A$1:$BZ$3001,2655,$C$1)&amp;"",",",""),"¥",""),"￥","")),0))</f>
        <v/>
      </c>
      <c r="D2656">
        <f>IF($D$1=0,0,IFERROR(VALUE(SUBSTITUTE(SUBSTITUTE(SUBSTITUTE(INDEX(貼り付け!$A$1:$BZ$3001,2655,$D$1)&amp;"",",",""),"¥",""),"￥","")),0))</f>
        <v/>
      </c>
      <c r="E2656">
        <f>IF($E$1=0,0,IFERROR(VALUE(SUBSTITUTE(SUBSTITUTE(SUBSTITUTE(INDEX(貼り付け!$A$1:$BZ$3001,2655,$E$1)&amp;"",",",""),"¥",""),"￥","")),0))</f>
        <v/>
      </c>
      <c r="F2656">
        <f>IF($F$1=0,0,IFERROR(VALUE(SUBSTITUTE(SUBSTITUTE(SUBSTITUTE(INDEX(貼り付け!$A$1:$BZ$3001,2655,$F$1)&amp;"",",",""),"¥",""),"￥","")),0))</f>
        <v/>
      </c>
      <c r="G2656">
        <f>IF(ISNUMBER(B2656),YEAR(B2656),"")</f>
        <v/>
      </c>
      <c r="H2656">
        <f>IF(ISNUMBER(B2656),MONTH(B2656),"")</f>
        <v/>
      </c>
      <c r="I2656">
        <f>IFERROR(IF($B$1=0,"",IF(ISNUMBER(INDEX(貼り付け!$A$1:$BZ$3001,2655,$B$1)),"",SUBSTITUTE(SUBSTITUTE(SUBSTITUTE(SUBSTITUTE(TRIM(LEFT(INDEX(貼り付け!$A$1:$BZ$3001,2655,$B$1)&amp;"",FIND(" ",TRIM(INDEX(貼り付け!$A$1:$BZ$3001,2655,$B$1)&amp;"")&amp;" ")-1)),"/","-"),"年","-"),"月","-"),"日",""))),"")</f>
        <v/>
      </c>
      <c r="J2656">
        <f>IFERROR(MID(I2656,FIND("-",I2656)+1,99),"")</f>
        <v/>
      </c>
    </row>
    <row r="2657">
      <c r="B2657">
        <f>IFERROR(IF($B$1=0,"",IF(INDEX(貼り付け!$A$1:$BZ$3001,2656,$B$1)="","",IF(ISNUMBER(INDEX(貼り付け!$A$1:$BZ$3001,2656,$B$1)),INT(INDEX(貼り付け!$A$1:$BZ$3001,2656,$B$1)),DATE(VALUE(LEFT(I2657,FIND("-",I2657)-1)),VALUE(LEFT(J2657,FIND("-",J2657)-1)),VALUE(MID(J2657,FIND("-",J2657)+1,99)))))),"")</f>
        <v/>
      </c>
      <c r="C2657">
        <f>IF($C$1=0,0,IFERROR(VALUE(SUBSTITUTE(SUBSTITUTE(SUBSTITUTE(INDEX(貼り付け!$A$1:$BZ$3001,2656,$C$1)&amp;"",",",""),"¥",""),"￥","")),0))</f>
        <v/>
      </c>
      <c r="D2657">
        <f>IF($D$1=0,0,IFERROR(VALUE(SUBSTITUTE(SUBSTITUTE(SUBSTITUTE(INDEX(貼り付け!$A$1:$BZ$3001,2656,$D$1)&amp;"",",",""),"¥",""),"￥","")),0))</f>
        <v/>
      </c>
      <c r="E2657">
        <f>IF($E$1=0,0,IFERROR(VALUE(SUBSTITUTE(SUBSTITUTE(SUBSTITUTE(INDEX(貼り付け!$A$1:$BZ$3001,2656,$E$1)&amp;"",",",""),"¥",""),"￥","")),0))</f>
        <v/>
      </c>
      <c r="F2657">
        <f>IF($F$1=0,0,IFERROR(VALUE(SUBSTITUTE(SUBSTITUTE(SUBSTITUTE(INDEX(貼り付け!$A$1:$BZ$3001,2656,$F$1)&amp;"",",",""),"¥",""),"￥","")),0))</f>
        <v/>
      </c>
      <c r="G2657">
        <f>IF(ISNUMBER(B2657),YEAR(B2657),"")</f>
        <v/>
      </c>
      <c r="H2657">
        <f>IF(ISNUMBER(B2657),MONTH(B2657),"")</f>
        <v/>
      </c>
      <c r="I2657">
        <f>IFERROR(IF($B$1=0,"",IF(ISNUMBER(INDEX(貼り付け!$A$1:$BZ$3001,2656,$B$1)),"",SUBSTITUTE(SUBSTITUTE(SUBSTITUTE(SUBSTITUTE(TRIM(LEFT(INDEX(貼り付け!$A$1:$BZ$3001,2656,$B$1)&amp;"",FIND(" ",TRIM(INDEX(貼り付け!$A$1:$BZ$3001,2656,$B$1)&amp;"")&amp;" ")-1)),"/","-"),"年","-"),"月","-"),"日",""))),"")</f>
        <v/>
      </c>
      <c r="J2657">
        <f>IFERROR(MID(I2657,FIND("-",I2657)+1,99),"")</f>
        <v/>
      </c>
    </row>
    <row r="2658">
      <c r="B2658">
        <f>IFERROR(IF($B$1=0,"",IF(INDEX(貼り付け!$A$1:$BZ$3001,2657,$B$1)="","",IF(ISNUMBER(INDEX(貼り付け!$A$1:$BZ$3001,2657,$B$1)),INT(INDEX(貼り付け!$A$1:$BZ$3001,2657,$B$1)),DATE(VALUE(LEFT(I2658,FIND("-",I2658)-1)),VALUE(LEFT(J2658,FIND("-",J2658)-1)),VALUE(MID(J2658,FIND("-",J2658)+1,99)))))),"")</f>
        <v/>
      </c>
      <c r="C2658">
        <f>IF($C$1=0,0,IFERROR(VALUE(SUBSTITUTE(SUBSTITUTE(SUBSTITUTE(INDEX(貼り付け!$A$1:$BZ$3001,2657,$C$1)&amp;"",",",""),"¥",""),"￥","")),0))</f>
        <v/>
      </c>
      <c r="D2658">
        <f>IF($D$1=0,0,IFERROR(VALUE(SUBSTITUTE(SUBSTITUTE(SUBSTITUTE(INDEX(貼り付け!$A$1:$BZ$3001,2657,$D$1)&amp;"",",",""),"¥",""),"￥","")),0))</f>
        <v/>
      </c>
      <c r="E2658">
        <f>IF($E$1=0,0,IFERROR(VALUE(SUBSTITUTE(SUBSTITUTE(SUBSTITUTE(INDEX(貼り付け!$A$1:$BZ$3001,2657,$E$1)&amp;"",",",""),"¥",""),"￥","")),0))</f>
        <v/>
      </c>
      <c r="F2658">
        <f>IF($F$1=0,0,IFERROR(VALUE(SUBSTITUTE(SUBSTITUTE(SUBSTITUTE(INDEX(貼り付け!$A$1:$BZ$3001,2657,$F$1)&amp;"",",",""),"¥",""),"￥","")),0))</f>
        <v/>
      </c>
      <c r="G2658">
        <f>IF(ISNUMBER(B2658),YEAR(B2658),"")</f>
        <v/>
      </c>
      <c r="H2658">
        <f>IF(ISNUMBER(B2658),MONTH(B2658),"")</f>
        <v/>
      </c>
      <c r="I2658">
        <f>IFERROR(IF($B$1=0,"",IF(ISNUMBER(INDEX(貼り付け!$A$1:$BZ$3001,2657,$B$1)),"",SUBSTITUTE(SUBSTITUTE(SUBSTITUTE(SUBSTITUTE(TRIM(LEFT(INDEX(貼り付け!$A$1:$BZ$3001,2657,$B$1)&amp;"",FIND(" ",TRIM(INDEX(貼り付け!$A$1:$BZ$3001,2657,$B$1)&amp;"")&amp;" ")-1)),"/","-"),"年","-"),"月","-"),"日",""))),"")</f>
        <v/>
      </c>
      <c r="J2658">
        <f>IFERROR(MID(I2658,FIND("-",I2658)+1,99),"")</f>
        <v/>
      </c>
    </row>
    <row r="2659">
      <c r="B2659">
        <f>IFERROR(IF($B$1=0,"",IF(INDEX(貼り付け!$A$1:$BZ$3001,2658,$B$1)="","",IF(ISNUMBER(INDEX(貼り付け!$A$1:$BZ$3001,2658,$B$1)),INT(INDEX(貼り付け!$A$1:$BZ$3001,2658,$B$1)),DATE(VALUE(LEFT(I2659,FIND("-",I2659)-1)),VALUE(LEFT(J2659,FIND("-",J2659)-1)),VALUE(MID(J2659,FIND("-",J2659)+1,99)))))),"")</f>
        <v/>
      </c>
      <c r="C2659">
        <f>IF($C$1=0,0,IFERROR(VALUE(SUBSTITUTE(SUBSTITUTE(SUBSTITUTE(INDEX(貼り付け!$A$1:$BZ$3001,2658,$C$1)&amp;"",",",""),"¥",""),"￥","")),0))</f>
        <v/>
      </c>
      <c r="D2659">
        <f>IF($D$1=0,0,IFERROR(VALUE(SUBSTITUTE(SUBSTITUTE(SUBSTITUTE(INDEX(貼り付け!$A$1:$BZ$3001,2658,$D$1)&amp;"",",",""),"¥",""),"￥","")),0))</f>
        <v/>
      </c>
      <c r="E2659">
        <f>IF($E$1=0,0,IFERROR(VALUE(SUBSTITUTE(SUBSTITUTE(SUBSTITUTE(INDEX(貼り付け!$A$1:$BZ$3001,2658,$E$1)&amp;"",",",""),"¥",""),"￥","")),0))</f>
        <v/>
      </c>
      <c r="F2659">
        <f>IF($F$1=0,0,IFERROR(VALUE(SUBSTITUTE(SUBSTITUTE(SUBSTITUTE(INDEX(貼り付け!$A$1:$BZ$3001,2658,$F$1)&amp;"",",",""),"¥",""),"￥","")),0))</f>
        <v/>
      </c>
      <c r="G2659">
        <f>IF(ISNUMBER(B2659),YEAR(B2659),"")</f>
        <v/>
      </c>
      <c r="H2659">
        <f>IF(ISNUMBER(B2659),MONTH(B2659),"")</f>
        <v/>
      </c>
      <c r="I2659">
        <f>IFERROR(IF($B$1=0,"",IF(ISNUMBER(INDEX(貼り付け!$A$1:$BZ$3001,2658,$B$1)),"",SUBSTITUTE(SUBSTITUTE(SUBSTITUTE(SUBSTITUTE(TRIM(LEFT(INDEX(貼り付け!$A$1:$BZ$3001,2658,$B$1)&amp;"",FIND(" ",TRIM(INDEX(貼り付け!$A$1:$BZ$3001,2658,$B$1)&amp;"")&amp;" ")-1)),"/","-"),"年","-"),"月","-"),"日",""))),"")</f>
        <v/>
      </c>
      <c r="J2659">
        <f>IFERROR(MID(I2659,FIND("-",I2659)+1,99),"")</f>
        <v/>
      </c>
    </row>
    <row r="2660">
      <c r="B2660">
        <f>IFERROR(IF($B$1=0,"",IF(INDEX(貼り付け!$A$1:$BZ$3001,2659,$B$1)="","",IF(ISNUMBER(INDEX(貼り付け!$A$1:$BZ$3001,2659,$B$1)),INT(INDEX(貼り付け!$A$1:$BZ$3001,2659,$B$1)),DATE(VALUE(LEFT(I2660,FIND("-",I2660)-1)),VALUE(LEFT(J2660,FIND("-",J2660)-1)),VALUE(MID(J2660,FIND("-",J2660)+1,99)))))),"")</f>
        <v/>
      </c>
      <c r="C2660">
        <f>IF($C$1=0,0,IFERROR(VALUE(SUBSTITUTE(SUBSTITUTE(SUBSTITUTE(INDEX(貼り付け!$A$1:$BZ$3001,2659,$C$1)&amp;"",",",""),"¥",""),"￥","")),0))</f>
        <v/>
      </c>
      <c r="D2660">
        <f>IF($D$1=0,0,IFERROR(VALUE(SUBSTITUTE(SUBSTITUTE(SUBSTITUTE(INDEX(貼り付け!$A$1:$BZ$3001,2659,$D$1)&amp;"",",",""),"¥",""),"￥","")),0))</f>
        <v/>
      </c>
      <c r="E2660">
        <f>IF($E$1=0,0,IFERROR(VALUE(SUBSTITUTE(SUBSTITUTE(SUBSTITUTE(INDEX(貼り付け!$A$1:$BZ$3001,2659,$E$1)&amp;"",",",""),"¥",""),"￥","")),0))</f>
        <v/>
      </c>
      <c r="F2660">
        <f>IF($F$1=0,0,IFERROR(VALUE(SUBSTITUTE(SUBSTITUTE(SUBSTITUTE(INDEX(貼り付け!$A$1:$BZ$3001,2659,$F$1)&amp;"",",",""),"¥",""),"￥","")),0))</f>
        <v/>
      </c>
      <c r="G2660">
        <f>IF(ISNUMBER(B2660),YEAR(B2660),"")</f>
        <v/>
      </c>
      <c r="H2660">
        <f>IF(ISNUMBER(B2660),MONTH(B2660),"")</f>
        <v/>
      </c>
      <c r="I2660">
        <f>IFERROR(IF($B$1=0,"",IF(ISNUMBER(INDEX(貼り付け!$A$1:$BZ$3001,2659,$B$1)),"",SUBSTITUTE(SUBSTITUTE(SUBSTITUTE(SUBSTITUTE(TRIM(LEFT(INDEX(貼り付け!$A$1:$BZ$3001,2659,$B$1)&amp;"",FIND(" ",TRIM(INDEX(貼り付け!$A$1:$BZ$3001,2659,$B$1)&amp;"")&amp;" ")-1)),"/","-"),"年","-"),"月","-"),"日",""))),"")</f>
        <v/>
      </c>
      <c r="J2660">
        <f>IFERROR(MID(I2660,FIND("-",I2660)+1,99),"")</f>
        <v/>
      </c>
    </row>
    <row r="2661">
      <c r="B2661">
        <f>IFERROR(IF($B$1=0,"",IF(INDEX(貼り付け!$A$1:$BZ$3001,2660,$B$1)="","",IF(ISNUMBER(INDEX(貼り付け!$A$1:$BZ$3001,2660,$B$1)),INT(INDEX(貼り付け!$A$1:$BZ$3001,2660,$B$1)),DATE(VALUE(LEFT(I2661,FIND("-",I2661)-1)),VALUE(LEFT(J2661,FIND("-",J2661)-1)),VALUE(MID(J2661,FIND("-",J2661)+1,99)))))),"")</f>
        <v/>
      </c>
      <c r="C2661">
        <f>IF($C$1=0,0,IFERROR(VALUE(SUBSTITUTE(SUBSTITUTE(SUBSTITUTE(INDEX(貼り付け!$A$1:$BZ$3001,2660,$C$1)&amp;"",",",""),"¥",""),"￥","")),0))</f>
        <v/>
      </c>
      <c r="D2661">
        <f>IF($D$1=0,0,IFERROR(VALUE(SUBSTITUTE(SUBSTITUTE(SUBSTITUTE(INDEX(貼り付け!$A$1:$BZ$3001,2660,$D$1)&amp;"",",",""),"¥",""),"￥","")),0))</f>
        <v/>
      </c>
      <c r="E2661">
        <f>IF($E$1=0,0,IFERROR(VALUE(SUBSTITUTE(SUBSTITUTE(SUBSTITUTE(INDEX(貼り付け!$A$1:$BZ$3001,2660,$E$1)&amp;"",",",""),"¥",""),"￥","")),0))</f>
        <v/>
      </c>
      <c r="F2661">
        <f>IF($F$1=0,0,IFERROR(VALUE(SUBSTITUTE(SUBSTITUTE(SUBSTITUTE(INDEX(貼り付け!$A$1:$BZ$3001,2660,$F$1)&amp;"",",",""),"¥",""),"￥","")),0))</f>
        <v/>
      </c>
      <c r="G2661">
        <f>IF(ISNUMBER(B2661),YEAR(B2661),"")</f>
        <v/>
      </c>
      <c r="H2661">
        <f>IF(ISNUMBER(B2661),MONTH(B2661),"")</f>
        <v/>
      </c>
      <c r="I2661">
        <f>IFERROR(IF($B$1=0,"",IF(ISNUMBER(INDEX(貼り付け!$A$1:$BZ$3001,2660,$B$1)),"",SUBSTITUTE(SUBSTITUTE(SUBSTITUTE(SUBSTITUTE(TRIM(LEFT(INDEX(貼り付け!$A$1:$BZ$3001,2660,$B$1)&amp;"",FIND(" ",TRIM(INDEX(貼り付け!$A$1:$BZ$3001,2660,$B$1)&amp;"")&amp;" ")-1)),"/","-"),"年","-"),"月","-"),"日",""))),"")</f>
        <v/>
      </c>
      <c r="J2661">
        <f>IFERROR(MID(I2661,FIND("-",I2661)+1,99),"")</f>
        <v/>
      </c>
    </row>
    <row r="2662">
      <c r="B2662">
        <f>IFERROR(IF($B$1=0,"",IF(INDEX(貼り付け!$A$1:$BZ$3001,2661,$B$1)="","",IF(ISNUMBER(INDEX(貼り付け!$A$1:$BZ$3001,2661,$B$1)),INT(INDEX(貼り付け!$A$1:$BZ$3001,2661,$B$1)),DATE(VALUE(LEFT(I2662,FIND("-",I2662)-1)),VALUE(LEFT(J2662,FIND("-",J2662)-1)),VALUE(MID(J2662,FIND("-",J2662)+1,99)))))),"")</f>
        <v/>
      </c>
      <c r="C2662">
        <f>IF($C$1=0,0,IFERROR(VALUE(SUBSTITUTE(SUBSTITUTE(SUBSTITUTE(INDEX(貼り付け!$A$1:$BZ$3001,2661,$C$1)&amp;"",",",""),"¥",""),"￥","")),0))</f>
        <v/>
      </c>
      <c r="D2662">
        <f>IF($D$1=0,0,IFERROR(VALUE(SUBSTITUTE(SUBSTITUTE(SUBSTITUTE(INDEX(貼り付け!$A$1:$BZ$3001,2661,$D$1)&amp;"",",",""),"¥",""),"￥","")),0))</f>
        <v/>
      </c>
      <c r="E2662">
        <f>IF($E$1=0,0,IFERROR(VALUE(SUBSTITUTE(SUBSTITUTE(SUBSTITUTE(INDEX(貼り付け!$A$1:$BZ$3001,2661,$E$1)&amp;"",",",""),"¥",""),"￥","")),0))</f>
        <v/>
      </c>
      <c r="F2662">
        <f>IF($F$1=0,0,IFERROR(VALUE(SUBSTITUTE(SUBSTITUTE(SUBSTITUTE(INDEX(貼り付け!$A$1:$BZ$3001,2661,$F$1)&amp;"",",",""),"¥",""),"￥","")),0))</f>
        <v/>
      </c>
      <c r="G2662">
        <f>IF(ISNUMBER(B2662),YEAR(B2662),"")</f>
        <v/>
      </c>
      <c r="H2662">
        <f>IF(ISNUMBER(B2662),MONTH(B2662),"")</f>
        <v/>
      </c>
      <c r="I2662">
        <f>IFERROR(IF($B$1=0,"",IF(ISNUMBER(INDEX(貼り付け!$A$1:$BZ$3001,2661,$B$1)),"",SUBSTITUTE(SUBSTITUTE(SUBSTITUTE(SUBSTITUTE(TRIM(LEFT(INDEX(貼り付け!$A$1:$BZ$3001,2661,$B$1)&amp;"",FIND(" ",TRIM(INDEX(貼り付け!$A$1:$BZ$3001,2661,$B$1)&amp;"")&amp;" ")-1)),"/","-"),"年","-"),"月","-"),"日",""))),"")</f>
        <v/>
      </c>
      <c r="J2662">
        <f>IFERROR(MID(I2662,FIND("-",I2662)+1,99),"")</f>
        <v/>
      </c>
    </row>
    <row r="2663">
      <c r="B2663">
        <f>IFERROR(IF($B$1=0,"",IF(INDEX(貼り付け!$A$1:$BZ$3001,2662,$B$1)="","",IF(ISNUMBER(INDEX(貼り付け!$A$1:$BZ$3001,2662,$B$1)),INT(INDEX(貼り付け!$A$1:$BZ$3001,2662,$B$1)),DATE(VALUE(LEFT(I2663,FIND("-",I2663)-1)),VALUE(LEFT(J2663,FIND("-",J2663)-1)),VALUE(MID(J2663,FIND("-",J2663)+1,99)))))),"")</f>
        <v/>
      </c>
      <c r="C2663">
        <f>IF($C$1=0,0,IFERROR(VALUE(SUBSTITUTE(SUBSTITUTE(SUBSTITUTE(INDEX(貼り付け!$A$1:$BZ$3001,2662,$C$1)&amp;"",",",""),"¥",""),"￥","")),0))</f>
        <v/>
      </c>
      <c r="D2663">
        <f>IF($D$1=0,0,IFERROR(VALUE(SUBSTITUTE(SUBSTITUTE(SUBSTITUTE(INDEX(貼り付け!$A$1:$BZ$3001,2662,$D$1)&amp;"",",",""),"¥",""),"￥","")),0))</f>
        <v/>
      </c>
      <c r="E2663">
        <f>IF($E$1=0,0,IFERROR(VALUE(SUBSTITUTE(SUBSTITUTE(SUBSTITUTE(INDEX(貼り付け!$A$1:$BZ$3001,2662,$E$1)&amp;"",",",""),"¥",""),"￥","")),0))</f>
        <v/>
      </c>
      <c r="F2663">
        <f>IF($F$1=0,0,IFERROR(VALUE(SUBSTITUTE(SUBSTITUTE(SUBSTITUTE(INDEX(貼り付け!$A$1:$BZ$3001,2662,$F$1)&amp;"",",",""),"¥",""),"￥","")),0))</f>
        <v/>
      </c>
      <c r="G2663">
        <f>IF(ISNUMBER(B2663),YEAR(B2663),"")</f>
        <v/>
      </c>
      <c r="H2663">
        <f>IF(ISNUMBER(B2663),MONTH(B2663),"")</f>
        <v/>
      </c>
      <c r="I2663">
        <f>IFERROR(IF($B$1=0,"",IF(ISNUMBER(INDEX(貼り付け!$A$1:$BZ$3001,2662,$B$1)),"",SUBSTITUTE(SUBSTITUTE(SUBSTITUTE(SUBSTITUTE(TRIM(LEFT(INDEX(貼り付け!$A$1:$BZ$3001,2662,$B$1)&amp;"",FIND(" ",TRIM(INDEX(貼り付け!$A$1:$BZ$3001,2662,$B$1)&amp;"")&amp;" ")-1)),"/","-"),"年","-"),"月","-"),"日",""))),"")</f>
        <v/>
      </c>
      <c r="J2663">
        <f>IFERROR(MID(I2663,FIND("-",I2663)+1,99),"")</f>
        <v/>
      </c>
    </row>
    <row r="2664">
      <c r="B2664">
        <f>IFERROR(IF($B$1=0,"",IF(INDEX(貼り付け!$A$1:$BZ$3001,2663,$B$1)="","",IF(ISNUMBER(INDEX(貼り付け!$A$1:$BZ$3001,2663,$B$1)),INT(INDEX(貼り付け!$A$1:$BZ$3001,2663,$B$1)),DATE(VALUE(LEFT(I2664,FIND("-",I2664)-1)),VALUE(LEFT(J2664,FIND("-",J2664)-1)),VALUE(MID(J2664,FIND("-",J2664)+1,99)))))),"")</f>
        <v/>
      </c>
      <c r="C2664">
        <f>IF($C$1=0,0,IFERROR(VALUE(SUBSTITUTE(SUBSTITUTE(SUBSTITUTE(INDEX(貼り付け!$A$1:$BZ$3001,2663,$C$1)&amp;"",",",""),"¥",""),"￥","")),0))</f>
        <v/>
      </c>
      <c r="D2664">
        <f>IF($D$1=0,0,IFERROR(VALUE(SUBSTITUTE(SUBSTITUTE(SUBSTITUTE(INDEX(貼り付け!$A$1:$BZ$3001,2663,$D$1)&amp;"",",",""),"¥",""),"￥","")),0))</f>
        <v/>
      </c>
      <c r="E2664">
        <f>IF($E$1=0,0,IFERROR(VALUE(SUBSTITUTE(SUBSTITUTE(SUBSTITUTE(INDEX(貼り付け!$A$1:$BZ$3001,2663,$E$1)&amp;"",",",""),"¥",""),"￥","")),0))</f>
        <v/>
      </c>
      <c r="F2664">
        <f>IF($F$1=0,0,IFERROR(VALUE(SUBSTITUTE(SUBSTITUTE(SUBSTITUTE(INDEX(貼り付け!$A$1:$BZ$3001,2663,$F$1)&amp;"",",",""),"¥",""),"￥","")),0))</f>
        <v/>
      </c>
      <c r="G2664">
        <f>IF(ISNUMBER(B2664),YEAR(B2664),"")</f>
        <v/>
      </c>
      <c r="H2664">
        <f>IF(ISNUMBER(B2664),MONTH(B2664),"")</f>
        <v/>
      </c>
      <c r="I2664">
        <f>IFERROR(IF($B$1=0,"",IF(ISNUMBER(INDEX(貼り付け!$A$1:$BZ$3001,2663,$B$1)),"",SUBSTITUTE(SUBSTITUTE(SUBSTITUTE(SUBSTITUTE(TRIM(LEFT(INDEX(貼り付け!$A$1:$BZ$3001,2663,$B$1)&amp;"",FIND(" ",TRIM(INDEX(貼り付け!$A$1:$BZ$3001,2663,$B$1)&amp;"")&amp;" ")-1)),"/","-"),"年","-"),"月","-"),"日",""))),"")</f>
        <v/>
      </c>
      <c r="J2664">
        <f>IFERROR(MID(I2664,FIND("-",I2664)+1,99),"")</f>
        <v/>
      </c>
    </row>
    <row r="2665">
      <c r="B2665">
        <f>IFERROR(IF($B$1=0,"",IF(INDEX(貼り付け!$A$1:$BZ$3001,2664,$B$1)="","",IF(ISNUMBER(INDEX(貼り付け!$A$1:$BZ$3001,2664,$B$1)),INT(INDEX(貼り付け!$A$1:$BZ$3001,2664,$B$1)),DATE(VALUE(LEFT(I2665,FIND("-",I2665)-1)),VALUE(LEFT(J2665,FIND("-",J2665)-1)),VALUE(MID(J2665,FIND("-",J2665)+1,99)))))),"")</f>
        <v/>
      </c>
      <c r="C2665">
        <f>IF($C$1=0,0,IFERROR(VALUE(SUBSTITUTE(SUBSTITUTE(SUBSTITUTE(INDEX(貼り付け!$A$1:$BZ$3001,2664,$C$1)&amp;"",",",""),"¥",""),"￥","")),0))</f>
        <v/>
      </c>
      <c r="D2665">
        <f>IF($D$1=0,0,IFERROR(VALUE(SUBSTITUTE(SUBSTITUTE(SUBSTITUTE(INDEX(貼り付け!$A$1:$BZ$3001,2664,$D$1)&amp;"",",",""),"¥",""),"￥","")),0))</f>
        <v/>
      </c>
      <c r="E2665">
        <f>IF($E$1=0,0,IFERROR(VALUE(SUBSTITUTE(SUBSTITUTE(SUBSTITUTE(INDEX(貼り付け!$A$1:$BZ$3001,2664,$E$1)&amp;"",",",""),"¥",""),"￥","")),0))</f>
        <v/>
      </c>
      <c r="F2665">
        <f>IF($F$1=0,0,IFERROR(VALUE(SUBSTITUTE(SUBSTITUTE(SUBSTITUTE(INDEX(貼り付け!$A$1:$BZ$3001,2664,$F$1)&amp;"",",",""),"¥",""),"￥","")),0))</f>
        <v/>
      </c>
      <c r="G2665">
        <f>IF(ISNUMBER(B2665),YEAR(B2665),"")</f>
        <v/>
      </c>
      <c r="H2665">
        <f>IF(ISNUMBER(B2665),MONTH(B2665),"")</f>
        <v/>
      </c>
      <c r="I2665">
        <f>IFERROR(IF($B$1=0,"",IF(ISNUMBER(INDEX(貼り付け!$A$1:$BZ$3001,2664,$B$1)),"",SUBSTITUTE(SUBSTITUTE(SUBSTITUTE(SUBSTITUTE(TRIM(LEFT(INDEX(貼り付け!$A$1:$BZ$3001,2664,$B$1)&amp;"",FIND(" ",TRIM(INDEX(貼り付け!$A$1:$BZ$3001,2664,$B$1)&amp;"")&amp;" ")-1)),"/","-"),"年","-"),"月","-"),"日",""))),"")</f>
        <v/>
      </c>
      <c r="J2665">
        <f>IFERROR(MID(I2665,FIND("-",I2665)+1,99),"")</f>
        <v/>
      </c>
    </row>
    <row r="2666">
      <c r="B2666">
        <f>IFERROR(IF($B$1=0,"",IF(INDEX(貼り付け!$A$1:$BZ$3001,2665,$B$1)="","",IF(ISNUMBER(INDEX(貼り付け!$A$1:$BZ$3001,2665,$B$1)),INT(INDEX(貼り付け!$A$1:$BZ$3001,2665,$B$1)),DATE(VALUE(LEFT(I2666,FIND("-",I2666)-1)),VALUE(LEFT(J2666,FIND("-",J2666)-1)),VALUE(MID(J2666,FIND("-",J2666)+1,99)))))),"")</f>
        <v/>
      </c>
      <c r="C2666">
        <f>IF($C$1=0,0,IFERROR(VALUE(SUBSTITUTE(SUBSTITUTE(SUBSTITUTE(INDEX(貼り付け!$A$1:$BZ$3001,2665,$C$1)&amp;"",",",""),"¥",""),"￥","")),0))</f>
        <v/>
      </c>
      <c r="D2666">
        <f>IF($D$1=0,0,IFERROR(VALUE(SUBSTITUTE(SUBSTITUTE(SUBSTITUTE(INDEX(貼り付け!$A$1:$BZ$3001,2665,$D$1)&amp;"",",",""),"¥",""),"￥","")),0))</f>
        <v/>
      </c>
      <c r="E2666">
        <f>IF($E$1=0,0,IFERROR(VALUE(SUBSTITUTE(SUBSTITUTE(SUBSTITUTE(INDEX(貼り付け!$A$1:$BZ$3001,2665,$E$1)&amp;"",",",""),"¥",""),"￥","")),0))</f>
        <v/>
      </c>
      <c r="F2666">
        <f>IF($F$1=0,0,IFERROR(VALUE(SUBSTITUTE(SUBSTITUTE(SUBSTITUTE(INDEX(貼り付け!$A$1:$BZ$3001,2665,$F$1)&amp;"",",",""),"¥",""),"￥","")),0))</f>
        <v/>
      </c>
      <c r="G2666">
        <f>IF(ISNUMBER(B2666),YEAR(B2666),"")</f>
        <v/>
      </c>
      <c r="H2666">
        <f>IF(ISNUMBER(B2666),MONTH(B2666),"")</f>
        <v/>
      </c>
      <c r="I2666">
        <f>IFERROR(IF($B$1=0,"",IF(ISNUMBER(INDEX(貼り付け!$A$1:$BZ$3001,2665,$B$1)),"",SUBSTITUTE(SUBSTITUTE(SUBSTITUTE(SUBSTITUTE(TRIM(LEFT(INDEX(貼り付け!$A$1:$BZ$3001,2665,$B$1)&amp;"",FIND(" ",TRIM(INDEX(貼り付け!$A$1:$BZ$3001,2665,$B$1)&amp;"")&amp;" ")-1)),"/","-"),"年","-"),"月","-"),"日",""))),"")</f>
        <v/>
      </c>
      <c r="J2666">
        <f>IFERROR(MID(I2666,FIND("-",I2666)+1,99),"")</f>
        <v/>
      </c>
    </row>
    <row r="2667">
      <c r="B2667">
        <f>IFERROR(IF($B$1=0,"",IF(INDEX(貼り付け!$A$1:$BZ$3001,2666,$B$1)="","",IF(ISNUMBER(INDEX(貼り付け!$A$1:$BZ$3001,2666,$B$1)),INT(INDEX(貼り付け!$A$1:$BZ$3001,2666,$B$1)),DATE(VALUE(LEFT(I2667,FIND("-",I2667)-1)),VALUE(LEFT(J2667,FIND("-",J2667)-1)),VALUE(MID(J2667,FIND("-",J2667)+1,99)))))),"")</f>
        <v/>
      </c>
      <c r="C2667">
        <f>IF($C$1=0,0,IFERROR(VALUE(SUBSTITUTE(SUBSTITUTE(SUBSTITUTE(INDEX(貼り付け!$A$1:$BZ$3001,2666,$C$1)&amp;"",",",""),"¥",""),"￥","")),0))</f>
        <v/>
      </c>
      <c r="D2667">
        <f>IF($D$1=0,0,IFERROR(VALUE(SUBSTITUTE(SUBSTITUTE(SUBSTITUTE(INDEX(貼り付け!$A$1:$BZ$3001,2666,$D$1)&amp;"",",",""),"¥",""),"￥","")),0))</f>
        <v/>
      </c>
      <c r="E2667">
        <f>IF($E$1=0,0,IFERROR(VALUE(SUBSTITUTE(SUBSTITUTE(SUBSTITUTE(INDEX(貼り付け!$A$1:$BZ$3001,2666,$E$1)&amp;"",",",""),"¥",""),"￥","")),0))</f>
        <v/>
      </c>
      <c r="F2667">
        <f>IF($F$1=0,0,IFERROR(VALUE(SUBSTITUTE(SUBSTITUTE(SUBSTITUTE(INDEX(貼り付け!$A$1:$BZ$3001,2666,$F$1)&amp;"",",",""),"¥",""),"￥","")),0))</f>
        <v/>
      </c>
      <c r="G2667">
        <f>IF(ISNUMBER(B2667),YEAR(B2667),"")</f>
        <v/>
      </c>
      <c r="H2667">
        <f>IF(ISNUMBER(B2667),MONTH(B2667),"")</f>
        <v/>
      </c>
      <c r="I2667">
        <f>IFERROR(IF($B$1=0,"",IF(ISNUMBER(INDEX(貼り付け!$A$1:$BZ$3001,2666,$B$1)),"",SUBSTITUTE(SUBSTITUTE(SUBSTITUTE(SUBSTITUTE(TRIM(LEFT(INDEX(貼り付け!$A$1:$BZ$3001,2666,$B$1)&amp;"",FIND(" ",TRIM(INDEX(貼り付け!$A$1:$BZ$3001,2666,$B$1)&amp;"")&amp;" ")-1)),"/","-"),"年","-"),"月","-"),"日",""))),"")</f>
        <v/>
      </c>
      <c r="J2667">
        <f>IFERROR(MID(I2667,FIND("-",I2667)+1,99),"")</f>
        <v/>
      </c>
    </row>
    <row r="2668">
      <c r="B2668">
        <f>IFERROR(IF($B$1=0,"",IF(INDEX(貼り付け!$A$1:$BZ$3001,2667,$B$1)="","",IF(ISNUMBER(INDEX(貼り付け!$A$1:$BZ$3001,2667,$B$1)),INT(INDEX(貼り付け!$A$1:$BZ$3001,2667,$B$1)),DATE(VALUE(LEFT(I2668,FIND("-",I2668)-1)),VALUE(LEFT(J2668,FIND("-",J2668)-1)),VALUE(MID(J2668,FIND("-",J2668)+1,99)))))),"")</f>
        <v/>
      </c>
      <c r="C2668">
        <f>IF($C$1=0,0,IFERROR(VALUE(SUBSTITUTE(SUBSTITUTE(SUBSTITUTE(INDEX(貼り付け!$A$1:$BZ$3001,2667,$C$1)&amp;"",",",""),"¥",""),"￥","")),0))</f>
        <v/>
      </c>
      <c r="D2668">
        <f>IF($D$1=0,0,IFERROR(VALUE(SUBSTITUTE(SUBSTITUTE(SUBSTITUTE(INDEX(貼り付け!$A$1:$BZ$3001,2667,$D$1)&amp;"",",",""),"¥",""),"￥","")),0))</f>
        <v/>
      </c>
      <c r="E2668">
        <f>IF($E$1=0,0,IFERROR(VALUE(SUBSTITUTE(SUBSTITUTE(SUBSTITUTE(INDEX(貼り付け!$A$1:$BZ$3001,2667,$E$1)&amp;"",",",""),"¥",""),"￥","")),0))</f>
        <v/>
      </c>
      <c r="F2668">
        <f>IF($F$1=0,0,IFERROR(VALUE(SUBSTITUTE(SUBSTITUTE(SUBSTITUTE(INDEX(貼り付け!$A$1:$BZ$3001,2667,$F$1)&amp;"",",",""),"¥",""),"￥","")),0))</f>
        <v/>
      </c>
      <c r="G2668">
        <f>IF(ISNUMBER(B2668),YEAR(B2668),"")</f>
        <v/>
      </c>
      <c r="H2668">
        <f>IF(ISNUMBER(B2668),MONTH(B2668),"")</f>
        <v/>
      </c>
      <c r="I2668">
        <f>IFERROR(IF($B$1=0,"",IF(ISNUMBER(INDEX(貼り付け!$A$1:$BZ$3001,2667,$B$1)),"",SUBSTITUTE(SUBSTITUTE(SUBSTITUTE(SUBSTITUTE(TRIM(LEFT(INDEX(貼り付け!$A$1:$BZ$3001,2667,$B$1)&amp;"",FIND(" ",TRIM(INDEX(貼り付け!$A$1:$BZ$3001,2667,$B$1)&amp;"")&amp;" ")-1)),"/","-"),"年","-"),"月","-"),"日",""))),"")</f>
        <v/>
      </c>
      <c r="J2668">
        <f>IFERROR(MID(I2668,FIND("-",I2668)+1,99),"")</f>
        <v/>
      </c>
    </row>
    <row r="2669">
      <c r="B2669">
        <f>IFERROR(IF($B$1=0,"",IF(INDEX(貼り付け!$A$1:$BZ$3001,2668,$B$1)="","",IF(ISNUMBER(INDEX(貼り付け!$A$1:$BZ$3001,2668,$B$1)),INT(INDEX(貼り付け!$A$1:$BZ$3001,2668,$B$1)),DATE(VALUE(LEFT(I2669,FIND("-",I2669)-1)),VALUE(LEFT(J2669,FIND("-",J2669)-1)),VALUE(MID(J2669,FIND("-",J2669)+1,99)))))),"")</f>
        <v/>
      </c>
      <c r="C2669">
        <f>IF($C$1=0,0,IFERROR(VALUE(SUBSTITUTE(SUBSTITUTE(SUBSTITUTE(INDEX(貼り付け!$A$1:$BZ$3001,2668,$C$1)&amp;"",",",""),"¥",""),"￥","")),0))</f>
        <v/>
      </c>
      <c r="D2669">
        <f>IF($D$1=0,0,IFERROR(VALUE(SUBSTITUTE(SUBSTITUTE(SUBSTITUTE(INDEX(貼り付け!$A$1:$BZ$3001,2668,$D$1)&amp;"",",",""),"¥",""),"￥","")),0))</f>
        <v/>
      </c>
      <c r="E2669">
        <f>IF($E$1=0,0,IFERROR(VALUE(SUBSTITUTE(SUBSTITUTE(SUBSTITUTE(INDEX(貼り付け!$A$1:$BZ$3001,2668,$E$1)&amp;"",",",""),"¥",""),"￥","")),0))</f>
        <v/>
      </c>
      <c r="F2669">
        <f>IF($F$1=0,0,IFERROR(VALUE(SUBSTITUTE(SUBSTITUTE(SUBSTITUTE(INDEX(貼り付け!$A$1:$BZ$3001,2668,$F$1)&amp;"",",",""),"¥",""),"￥","")),0))</f>
        <v/>
      </c>
      <c r="G2669">
        <f>IF(ISNUMBER(B2669),YEAR(B2669),"")</f>
        <v/>
      </c>
      <c r="H2669">
        <f>IF(ISNUMBER(B2669),MONTH(B2669),"")</f>
        <v/>
      </c>
      <c r="I2669">
        <f>IFERROR(IF($B$1=0,"",IF(ISNUMBER(INDEX(貼り付け!$A$1:$BZ$3001,2668,$B$1)),"",SUBSTITUTE(SUBSTITUTE(SUBSTITUTE(SUBSTITUTE(TRIM(LEFT(INDEX(貼り付け!$A$1:$BZ$3001,2668,$B$1)&amp;"",FIND(" ",TRIM(INDEX(貼り付け!$A$1:$BZ$3001,2668,$B$1)&amp;"")&amp;" ")-1)),"/","-"),"年","-"),"月","-"),"日",""))),"")</f>
        <v/>
      </c>
      <c r="J2669">
        <f>IFERROR(MID(I2669,FIND("-",I2669)+1,99),"")</f>
        <v/>
      </c>
    </row>
    <row r="2670">
      <c r="B2670">
        <f>IFERROR(IF($B$1=0,"",IF(INDEX(貼り付け!$A$1:$BZ$3001,2669,$B$1)="","",IF(ISNUMBER(INDEX(貼り付け!$A$1:$BZ$3001,2669,$B$1)),INT(INDEX(貼り付け!$A$1:$BZ$3001,2669,$B$1)),DATE(VALUE(LEFT(I2670,FIND("-",I2670)-1)),VALUE(LEFT(J2670,FIND("-",J2670)-1)),VALUE(MID(J2670,FIND("-",J2670)+1,99)))))),"")</f>
        <v/>
      </c>
      <c r="C2670">
        <f>IF($C$1=0,0,IFERROR(VALUE(SUBSTITUTE(SUBSTITUTE(SUBSTITUTE(INDEX(貼り付け!$A$1:$BZ$3001,2669,$C$1)&amp;"",",",""),"¥",""),"￥","")),0))</f>
        <v/>
      </c>
      <c r="D2670">
        <f>IF($D$1=0,0,IFERROR(VALUE(SUBSTITUTE(SUBSTITUTE(SUBSTITUTE(INDEX(貼り付け!$A$1:$BZ$3001,2669,$D$1)&amp;"",",",""),"¥",""),"￥","")),0))</f>
        <v/>
      </c>
      <c r="E2670">
        <f>IF($E$1=0,0,IFERROR(VALUE(SUBSTITUTE(SUBSTITUTE(SUBSTITUTE(INDEX(貼り付け!$A$1:$BZ$3001,2669,$E$1)&amp;"",",",""),"¥",""),"￥","")),0))</f>
        <v/>
      </c>
      <c r="F2670">
        <f>IF($F$1=0,0,IFERROR(VALUE(SUBSTITUTE(SUBSTITUTE(SUBSTITUTE(INDEX(貼り付け!$A$1:$BZ$3001,2669,$F$1)&amp;"",",",""),"¥",""),"￥","")),0))</f>
        <v/>
      </c>
      <c r="G2670">
        <f>IF(ISNUMBER(B2670),YEAR(B2670),"")</f>
        <v/>
      </c>
      <c r="H2670">
        <f>IF(ISNUMBER(B2670),MONTH(B2670),"")</f>
        <v/>
      </c>
      <c r="I2670">
        <f>IFERROR(IF($B$1=0,"",IF(ISNUMBER(INDEX(貼り付け!$A$1:$BZ$3001,2669,$B$1)),"",SUBSTITUTE(SUBSTITUTE(SUBSTITUTE(SUBSTITUTE(TRIM(LEFT(INDEX(貼り付け!$A$1:$BZ$3001,2669,$B$1)&amp;"",FIND(" ",TRIM(INDEX(貼り付け!$A$1:$BZ$3001,2669,$B$1)&amp;"")&amp;" ")-1)),"/","-"),"年","-"),"月","-"),"日",""))),"")</f>
        <v/>
      </c>
      <c r="J2670">
        <f>IFERROR(MID(I2670,FIND("-",I2670)+1,99),"")</f>
        <v/>
      </c>
    </row>
    <row r="2671">
      <c r="B2671">
        <f>IFERROR(IF($B$1=0,"",IF(INDEX(貼り付け!$A$1:$BZ$3001,2670,$B$1)="","",IF(ISNUMBER(INDEX(貼り付け!$A$1:$BZ$3001,2670,$B$1)),INT(INDEX(貼り付け!$A$1:$BZ$3001,2670,$B$1)),DATE(VALUE(LEFT(I2671,FIND("-",I2671)-1)),VALUE(LEFT(J2671,FIND("-",J2671)-1)),VALUE(MID(J2671,FIND("-",J2671)+1,99)))))),"")</f>
        <v/>
      </c>
      <c r="C2671">
        <f>IF($C$1=0,0,IFERROR(VALUE(SUBSTITUTE(SUBSTITUTE(SUBSTITUTE(INDEX(貼り付け!$A$1:$BZ$3001,2670,$C$1)&amp;"",",",""),"¥",""),"￥","")),0))</f>
        <v/>
      </c>
      <c r="D2671">
        <f>IF($D$1=0,0,IFERROR(VALUE(SUBSTITUTE(SUBSTITUTE(SUBSTITUTE(INDEX(貼り付け!$A$1:$BZ$3001,2670,$D$1)&amp;"",",",""),"¥",""),"￥","")),0))</f>
        <v/>
      </c>
      <c r="E2671">
        <f>IF($E$1=0,0,IFERROR(VALUE(SUBSTITUTE(SUBSTITUTE(SUBSTITUTE(INDEX(貼り付け!$A$1:$BZ$3001,2670,$E$1)&amp;"",",",""),"¥",""),"￥","")),0))</f>
        <v/>
      </c>
      <c r="F2671">
        <f>IF($F$1=0,0,IFERROR(VALUE(SUBSTITUTE(SUBSTITUTE(SUBSTITUTE(INDEX(貼り付け!$A$1:$BZ$3001,2670,$F$1)&amp;"",",",""),"¥",""),"￥","")),0))</f>
        <v/>
      </c>
      <c r="G2671">
        <f>IF(ISNUMBER(B2671),YEAR(B2671),"")</f>
        <v/>
      </c>
      <c r="H2671">
        <f>IF(ISNUMBER(B2671),MONTH(B2671),"")</f>
        <v/>
      </c>
      <c r="I2671">
        <f>IFERROR(IF($B$1=0,"",IF(ISNUMBER(INDEX(貼り付け!$A$1:$BZ$3001,2670,$B$1)),"",SUBSTITUTE(SUBSTITUTE(SUBSTITUTE(SUBSTITUTE(TRIM(LEFT(INDEX(貼り付け!$A$1:$BZ$3001,2670,$B$1)&amp;"",FIND(" ",TRIM(INDEX(貼り付け!$A$1:$BZ$3001,2670,$B$1)&amp;"")&amp;" ")-1)),"/","-"),"年","-"),"月","-"),"日",""))),"")</f>
        <v/>
      </c>
      <c r="J2671">
        <f>IFERROR(MID(I2671,FIND("-",I2671)+1,99),"")</f>
        <v/>
      </c>
    </row>
    <row r="2672">
      <c r="B2672">
        <f>IFERROR(IF($B$1=0,"",IF(INDEX(貼り付け!$A$1:$BZ$3001,2671,$B$1)="","",IF(ISNUMBER(INDEX(貼り付け!$A$1:$BZ$3001,2671,$B$1)),INT(INDEX(貼り付け!$A$1:$BZ$3001,2671,$B$1)),DATE(VALUE(LEFT(I2672,FIND("-",I2672)-1)),VALUE(LEFT(J2672,FIND("-",J2672)-1)),VALUE(MID(J2672,FIND("-",J2672)+1,99)))))),"")</f>
        <v/>
      </c>
      <c r="C2672">
        <f>IF($C$1=0,0,IFERROR(VALUE(SUBSTITUTE(SUBSTITUTE(SUBSTITUTE(INDEX(貼り付け!$A$1:$BZ$3001,2671,$C$1)&amp;"",",",""),"¥",""),"￥","")),0))</f>
        <v/>
      </c>
      <c r="D2672">
        <f>IF($D$1=0,0,IFERROR(VALUE(SUBSTITUTE(SUBSTITUTE(SUBSTITUTE(INDEX(貼り付け!$A$1:$BZ$3001,2671,$D$1)&amp;"",",",""),"¥",""),"￥","")),0))</f>
        <v/>
      </c>
      <c r="E2672">
        <f>IF($E$1=0,0,IFERROR(VALUE(SUBSTITUTE(SUBSTITUTE(SUBSTITUTE(INDEX(貼り付け!$A$1:$BZ$3001,2671,$E$1)&amp;"",",",""),"¥",""),"￥","")),0))</f>
        <v/>
      </c>
      <c r="F2672">
        <f>IF($F$1=0,0,IFERROR(VALUE(SUBSTITUTE(SUBSTITUTE(SUBSTITUTE(INDEX(貼り付け!$A$1:$BZ$3001,2671,$F$1)&amp;"",",",""),"¥",""),"￥","")),0))</f>
        <v/>
      </c>
      <c r="G2672">
        <f>IF(ISNUMBER(B2672),YEAR(B2672),"")</f>
        <v/>
      </c>
      <c r="H2672">
        <f>IF(ISNUMBER(B2672),MONTH(B2672),"")</f>
        <v/>
      </c>
      <c r="I2672">
        <f>IFERROR(IF($B$1=0,"",IF(ISNUMBER(INDEX(貼り付け!$A$1:$BZ$3001,2671,$B$1)),"",SUBSTITUTE(SUBSTITUTE(SUBSTITUTE(SUBSTITUTE(TRIM(LEFT(INDEX(貼り付け!$A$1:$BZ$3001,2671,$B$1)&amp;"",FIND(" ",TRIM(INDEX(貼り付け!$A$1:$BZ$3001,2671,$B$1)&amp;"")&amp;" ")-1)),"/","-"),"年","-"),"月","-"),"日",""))),"")</f>
        <v/>
      </c>
      <c r="J2672">
        <f>IFERROR(MID(I2672,FIND("-",I2672)+1,99),"")</f>
        <v/>
      </c>
    </row>
    <row r="2673">
      <c r="B2673">
        <f>IFERROR(IF($B$1=0,"",IF(INDEX(貼り付け!$A$1:$BZ$3001,2672,$B$1)="","",IF(ISNUMBER(INDEX(貼り付け!$A$1:$BZ$3001,2672,$B$1)),INT(INDEX(貼り付け!$A$1:$BZ$3001,2672,$B$1)),DATE(VALUE(LEFT(I2673,FIND("-",I2673)-1)),VALUE(LEFT(J2673,FIND("-",J2673)-1)),VALUE(MID(J2673,FIND("-",J2673)+1,99)))))),"")</f>
        <v/>
      </c>
      <c r="C2673">
        <f>IF($C$1=0,0,IFERROR(VALUE(SUBSTITUTE(SUBSTITUTE(SUBSTITUTE(INDEX(貼り付け!$A$1:$BZ$3001,2672,$C$1)&amp;"",",",""),"¥",""),"￥","")),0))</f>
        <v/>
      </c>
      <c r="D2673">
        <f>IF($D$1=0,0,IFERROR(VALUE(SUBSTITUTE(SUBSTITUTE(SUBSTITUTE(INDEX(貼り付け!$A$1:$BZ$3001,2672,$D$1)&amp;"",",",""),"¥",""),"￥","")),0))</f>
        <v/>
      </c>
      <c r="E2673">
        <f>IF($E$1=0,0,IFERROR(VALUE(SUBSTITUTE(SUBSTITUTE(SUBSTITUTE(INDEX(貼り付け!$A$1:$BZ$3001,2672,$E$1)&amp;"",",",""),"¥",""),"￥","")),0))</f>
        <v/>
      </c>
      <c r="F2673">
        <f>IF($F$1=0,0,IFERROR(VALUE(SUBSTITUTE(SUBSTITUTE(SUBSTITUTE(INDEX(貼り付け!$A$1:$BZ$3001,2672,$F$1)&amp;"",",",""),"¥",""),"￥","")),0))</f>
        <v/>
      </c>
      <c r="G2673">
        <f>IF(ISNUMBER(B2673),YEAR(B2673),"")</f>
        <v/>
      </c>
      <c r="H2673">
        <f>IF(ISNUMBER(B2673),MONTH(B2673),"")</f>
        <v/>
      </c>
      <c r="I2673">
        <f>IFERROR(IF($B$1=0,"",IF(ISNUMBER(INDEX(貼り付け!$A$1:$BZ$3001,2672,$B$1)),"",SUBSTITUTE(SUBSTITUTE(SUBSTITUTE(SUBSTITUTE(TRIM(LEFT(INDEX(貼り付け!$A$1:$BZ$3001,2672,$B$1)&amp;"",FIND(" ",TRIM(INDEX(貼り付け!$A$1:$BZ$3001,2672,$B$1)&amp;"")&amp;" ")-1)),"/","-"),"年","-"),"月","-"),"日",""))),"")</f>
        <v/>
      </c>
      <c r="J2673">
        <f>IFERROR(MID(I2673,FIND("-",I2673)+1,99),"")</f>
        <v/>
      </c>
    </row>
    <row r="2674">
      <c r="B2674">
        <f>IFERROR(IF($B$1=0,"",IF(INDEX(貼り付け!$A$1:$BZ$3001,2673,$B$1)="","",IF(ISNUMBER(INDEX(貼り付け!$A$1:$BZ$3001,2673,$B$1)),INT(INDEX(貼り付け!$A$1:$BZ$3001,2673,$B$1)),DATE(VALUE(LEFT(I2674,FIND("-",I2674)-1)),VALUE(LEFT(J2674,FIND("-",J2674)-1)),VALUE(MID(J2674,FIND("-",J2674)+1,99)))))),"")</f>
        <v/>
      </c>
      <c r="C2674">
        <f>IF($C$1=0,0,IFERROR(VALUE(SUBSTITUTE(SUBSTITUTE(SUBSTITUTE(INDEX(貼り付け!$A$1:$BZ$3001,2673,$C$1)&amp;"",",",""),"¥",""),"￥","")),0))</f>
        <v/>
      </c>
      <c r="D2674">
        <f>IF($D$1=0,0,IFERROR(VALUE(SUBSTITUTE(SUBSTITUTE(SUBSTITUTE(INDEX(貼り付け!$A$1:$BZ$3001,2673,$D$1)&amp;"",",",""),"¥",""),"￥","")),0))</f>
        <v/>
      </c>
      <c r="E2674">
        <f>IF($E$1=0,0,IFERROR(VALUE(SUBSTITUTE(SUBSTITUTE(SUBSTITUTE(INDEX(貼り付け!$A$1:$BZ$3001,2673,$E$1)&amp;"",",",""),"¥",""),"￥","")),0))</f>
        <v/>
      </c>
      <c r="F2674">
        <f>IF($F$1=0,0,IFERROR(VALUE(SUBSTITUTE(SUBSTITUTE(SUBSTITUTE(INDEX(貼り付け!$A$1:$BZ$3001,2673,$F$1)&amp;"",",",""),"¥",""),"￥","")),0))</f>
        <v/>
      </c>
      <c r="G2674">
        <f>IF(ISNUMBER(B2674),YEAR(B2674),"")</f>
        <v/>
      </c>
      <c r="H2674">
        <f>IF(ISNUMBER(B2674),MONTH(B2674),"")</f>
        <v/>
      </c>
      <c r="I2674">
        <f>IFERROR(IF($B$1=0,"",IF(ISNUMBER(INDEX(貼り付け!$A$1:$BZ$3001,2673,$B$1)),"",SUBSTITUTE(SUBSTITUTE(SUBSTITUTE(SUBSTITUTE(TRIM(LEFT(INDEX(貼り付け!$A$1:$BZ$3001,2673,$B$1)&amp;"",FIND(" ",TRIM(INDEX(貼り付け!$A$1:$BZ$3001,2673,$B$1)&amp;"")&amp;" ")-1)),"/","-"),"年","-"),"月","-"),"日",""))),"")</f>
        <v/>
      </c>
      <c r="J2674">
        <f>IFERROR(MID(I2674,FIND("-",I2674)+1,99),"")</f>
        <v/>
      </c>
    </row>
    <row r="2675">
      <c r="B2675">
        <f>IFERROR(IF($B$1=0,"",IF(INDEX(貼り付け!$A$1:$BZ$3001,2674,$B$1)="","",IF(ISNUMBER(INDEX(貼り付け!$A$1:$BZ$3001,2674,$B$1)),INT(INDEX(貼り付け!$A$1:$BZ$3001,2674,$B$1)),DATE(VALUE(LEFT(I2675,FIND("-",I2675)-1)),VALUE(LEFT(J2675,FIND("-",J2675)-1)),VALUE(MID(J2675,FIND("-",J2675)+1,99)))))),"")</f>
        <v/>
      </c>
      <c r="C2675">
        <f>IF($C$1=0,0,IFERROR(VALUE(SUBSTITUTE(SUBSTITUTE(SUBSTITUTE(INDEX(貼り付け!$A$1:$BZ$3001,2674,$C$1)&amp;"",",",""),"¥",""),"￥","")),0))</f>
        <v/>
      </c>
      <c r="D2675">
        <f>IF($D$1=0,0,IFERROR(VALUE(SUBSTITUTE(SUBSTITUTE(SUBSTITUTE(INDEX(貼り付け!$A$1:$BZ$3001,2674,$D$1)&amp;"",",",""),"¥",""),"￥","")),0))</f>
        <v/>
      </c>
      <c r="E2675">
        <f>IF($E$1=0,0,IFERROR(VALUE(SUBSTITUTE(SUBSTITUTE(SUBSTITUTE(INDEX(貼り付け!$A$1:$BZ$3001,2674,$E$1)&amp;"",",",""),"¥",""),"￥","")),0))</f>
        <v/>
      </c>
      <c r="F2675">
        <f>IF($F$1=0,0,IFERROR(VALUE(SUBSTITUTE(SUBSTITUTE(SUBSTITUTE(INDEX(貼り付け!$A$1:$BZ$3001,2674,$F$1)&amp;"",",",""),"¥",""),"￥","")),0))</f>
        <v/>
      </c>
      <c r="G2675">
        <f>IF(ISNUMBER(B2675),YEAR(B2675),"")</f>
        <v/>
      </c>
      <c r="H2675">
        <f>IF(ISNUMBER(B2675),MONTH(B2675),"")</f>
        <v/>
      </c>
      <c r="I2675">
        <f>IFERROR(IF($B$1=0,"",IF(ISNUMBER(INDEX(貼り付け!$A$1:$BZ$3001,2674,$B$1)),"",SUBSTITUTE(SUBSTITUTE(SUBSTITUTE(SUBSTITUTE(TRIM(LEFT(INDEX(貼り付け!$A$1:$BZ$3001,2674,$B$1)&amp;"",FIND(" ",TRIM(INDEX(貼り付け!$A$1:$BZ$3001,2674,$B$1)&amp;"")&amp;" ")-1)),"/","-"),"年","-"),"月","-"),"日",""))),"")</f>
        <v/>
      </c>
      <c r="J2675">
        <f>IFERROR(MID(I2675,FIND("-",I2675)+1,99),"")</f>
        <v/>
      </c>
    </row>
    <row r="2676">
      <c r="B2676">
        <f>IFERROR(IF($B$1=0,"",IF(INDEX(貼り付け!$A$1:$BZ$3001,2675,$B$1)="","",IF(ISNUMBER(INDEX(貼り付け!$A$1:$BZ$3001,2675,$B$1)),INT(INDEX(貼り付け!$A$1:$BZ$3001,2675,$B$1)),DATE(VALUE(LEFT(I2676,FIND("-",I2676)-1)),VALUE(LEFT(J2676,FIND("-",J2676)-1)),VALUE(MID(J2676,FIND("-",J2676)+1,99)))))),"")</f>
        <v/>
      </c>
      <c r="C2676">
        <f>IF($C$1=0,0,IFERROR(VALUE(SUBSTITUTE(SUBSTITUTE(SUBSTITUTE(INDEX(貼り付け!$A$1:$BZ$3001,2675,$C$1)&amp;"",",",""),"¥",""),"￥","")),0))</f>
        <v/>
      </c>
      <c r="D2676">
        <f>IF($D$1=0,0,IFERROR(VALUE(SUBSTITUTE(SUBSTITUTE(SUBSTITUTE(INDEX(貼り付け!$A$1:$BZ$3001,2675,$D$1)&amp;"",",",""),"¥",""),"￥","")),0))</f>
        <v/>
      </c>
      <c r="E2676">
        <f>IF($E$1=0,0,IFERROR(VALUE(SUBSTITUTE(SUBSTITUTE(SUBSTITUTE(INDEX(貼り付け!$A$1:$BZ$3001,2675,$E$1)&amp;"",",",""),"¥",""),"￥","")),0))</f>
        <v/>
      </c>
      <c r="F2676">
        <f>IF($F$1=0,0,IFERROR(VALUE(SUBSTITUTE(SUBSTITUTE(SUBSTITUTE(INDEX(貼り付け!$A$1:$BZ$3001,2675,$F$1)&amp;"",",",""),"¥",""),"￥","")),0))</f>
        <v/>
      </c>
      <c r="G2676">
        <f>IF(ISNUMBER(B2676),YEAR(B2676),"")</f>
        <v/>
      </c>
      <c r="H2676">
        <f>IF(ISNUMBER(B2676),MONTH(B2676),"")</f>
        <v/>
      </c>
      <c r="I2676">
        <f>IFERROR(IF($B$1=0,"",IF(ISNUMBER(INDEX(貼り付け!$A$1:$BZ$3001,2675,$B$1)),"",SUBSTITUTE(SUBSTITUTE(SUBSTITUTE(SUBSTITUTE(TRIM(LEFT(INDEX(貼り付け!$A$1:$BZ$3001,2675,$B$1)&amp;"",FIND(" ",TRIM(INDEX(貼り付け!$A$1:$BZ$3001,2675,$B$1)&amp;"")&amp;" ")-1)),"/","-"),"年","-"),"月","-"),"日",""))),"")</f>
        <v/>
      </c>
      <c r="J2676">
        <f>IFERROR(MID(I2676,FIND("-",I2676)+1,99),"")</f>
        <v/>
      </c>
    </row>
    <row r="2677">
      <c r="B2677">
        <f>IFERROR(IF($B$1=0,"",IF(INDEX(貼り付け!$A$1:$BZ$3001,2676,$B$1)="","",IF(ISNUMBER(INDEX(貼り付け!$A$1:$BZ$3001,2676,$B$1)),INT(INDEX(貼り付け!$A$1:$BZ$3001,2676,$B$1)),DATE(VALUE(LEFT(I2677,FIND("-",I2677)-1)),VALUE(LEFT(J2677,FIND("-",J2677)-1)),VALUE(MID(J2677,FIND("-",J2677)+1,99)))))),"")</f>
        <v/>
      </c>
      <c r="C2677">
        <f>IF($C$1=0,0,IFERROR(VALUE(SUBSTITUTE(SUBSTITUTE(SUBSTITUTE(INDEX(貼り付け!$A$1:$BZ$3001,2676,$C$1)&amp;"",",",""),"¥",""),"￥","")),0))</f>
        <v/>
      </c>
      <c r="D2677">
        <f>IF($D$1=0,0,IFERROR(VALUE(SUBSTITUTE(SUBSTITUTE(SUBSTITUTE(INDEX(貼り付け!$A$1:$BZ$3001,2676,$D$1)&amp;"",",",""),"¥",""),"￥","")),0))</f>
        <v/>
      </c>
      <c r="E2677">
        <f>IF($E$1=0,0,IFERROR(VALUE(SUBSTITUTE(SUBSTITUTE(SUBSTITUTE(INDEX(貼り付け!$A$1:$BZ$3001,2676,$E$1)&amp;"",",",""),"¥",""),"￥","")),0))</f>
        <v/>
      </c>
      <c r="F2677">
        <f>IF($F$1=0,0,IFERROR(VALUE(SUBSTITUTE(SUBSTITUTE(SUBSTITUTE(INDEX(貼り付け!$A$1:$BZ$3001,2676,$F$1)&amp;"",",",""),"¥",""),"￥","")),0))</f>
        <v/>
      </c>
      <c r="G2677">
        <f>IF(ISNUMBER(B2677),YEAR(B2677),"")</f>
        <v/>
      </c>
      <c r="H2677">
        <f>IF(ISNUMBER(B2677),MONTH(B2677),"")</f>
        <v/>
      </c>
      <c r="I2677">
        <f>IFERROR(IF($B$1=0,"",IF(ISNUMBER(INDEX(貼り付け!$A$1:$BZ$3001,2676,$B$1)),"",SUBSTITUTE(SUBSTITUTE(SUBSTITUTE(SUBSTITUTE(TRIM(LEFT(INDEX(貼り付け!$A$1:$BZ$3001,2676,$B$1)&amp;"",FIND(" ",TRIM(INDEX(貼り付け!$A$1:$BZ$3001,2676,$B$1)&amp;"")&amp;" ")-1)),"/","-"),"年","-"),"月","-"),"日",""))),"")</f>
        <v/>
      </c>
      <c r="J2677">
        <f>IFERROR(MID(I2677,FIND("-",I2677)+1,99),"")</f>
        <v/>
      </c>
    </row>
    <row r="2678">
      <c r="B2678">
        <f>IFERROR(IF($B$1=0,"",IF(INDEX(貼り付け!$A$1:$BZ$3001,2677,$B$1)="","",IF(ISNUMBER(INDEX(貼り付け!$A$1:$BZ$3001,2677,$B$1)),INT(INDEX(貼り付け!$A$1:$BZ$3001,2677,$B$1)),DATE(VALUE(LEFT(I2678,FIND("-",I2678)-1)),VALUE(LEFT(J2678,FIND("-",J2678)-1)),VALUE(MID(J2678,FIND("-",J2678)+1,99)))))),"")</f>
        <v/>
      </c>
      <c r="C2678">
        <f>IF($C$1=0,0,IFERROR(VALUE(SUBSTITUTE(SUBSTITUTE(SUBSTITUTE(INDEX(貼り付け!$A$1:$BZ$3001,2677,$C$1)&amp;"",",",""),"¥",""),"￥","")),0))</f>
        <v/>
      </c>
      <c r="D2678">
        <f>IF($D$1=0,0,IFERROR(VALUE(SUBSTITUTE(SUBSTITUTE(SUBSTITUTE(INDEX(貼り付け!$A$1:$BZ$3001,2677,$D$1)&amp;"",",",""),"¥",""),"￥","")),0))</f>
        <v/>
      </c>
      <c r="E2678">
        <f>IF($E$1=0,0,IFERROR(VALUE(SUBSTITUTE(SUBSTITUTE(SUBSTITUTE(INDEX(貼り付け!$A$1:$BZ$3001,2677,$E$1)&amp;"",",",""),"¥",""),"￥","")),0))</f>
        <v/>
      </c>
      <c r="F2678">
        <f>IF($F$1=0,0,IFERROR(VALUE(SUBSTITUTE(SUBSTITUTE(SUBSTITUTE(INDEX(貼り付け!$A$1:$BZ$3001,2677,$F$1)&amp;"",",",""),"¥",""),"￥","")),0))</f>
        <v/>
      </c>
      <c r="G2678">
        <f>IF(ISNUMBER(B2678),YEAR(B2678),"")</f>
        <v/>
      </c>
      <c r="H2678">
        <f>IF(ISNUMBER(B2678),MONTH(B2678),"")</f>
        <v/>
      </c>
      <c r="I2678">
        <f>IFERROR(IF($B$1=0,"",IF(ISNUMBER(INDEX(貼り付け!$A$1:$BZ$3001,2677,$B$1)),"",SUBSTITUTE(SUBSTITUTE(SUBSTITUTE(SUBSTITUTE(TRIM(LEFT(INDEX(貼り付け!$A$1:$BZ$3001,2677,$B$1)&amp;"",FIND(" ",TRIM(INDEX(貼り付け!$A$1:$BZ$3001,2677,$B$1)&amp;"")&amp;" ")-1)),"/","-"),"年","-"),"月","-"),"日",""))),"")</f>
        <v/>
      </c>
      <c r="J2678">
        <f>IFERROR(MID(I2678,FIND("-",I2678)+1,99),"")</f>
        <v/>
      </c>
    </row>
    <row r="2679">
      <c r="B2679">
        <f>IFERROR(IF($B$1=0,"",IF(INDEX(貼り付け!$A$1:$BZ$3001,2678,$B$1)="","",IF(ISNUMBER(INDEX(貼り付け!$A$1:$BZ$3001,2678,$B$1)),INT(INDEX(貼り付け!$A$1:$BZ$3001,2678,$B$1)),DATE(VALUE(LEFT(I2679,FIND("-",I2679)-1)),VALUE(LEFT(J2679,FIND("-",J2679)-1)),VALUE(MID(J2679,FIND("-",J2679)+1,99)))))),"")</f>
        <v/>
      </c>
      <c r="C2679">
        <f>IF($C$1=0,0,IFERROR(VALUE(SUBSTITUTE(SUBSTITUTE(SUBSTITUTE(INDEX(貼り付け!$A$1:$BZ$3001,2678,$C$1)&amp;"",",",""),"¥",""),"￥","")),0))</f>
        <v/>
      </c>
      <c r="D2679">
        <f>IF($D$1=0,0,IFERROR(VALUE(SUBSTITUTE(SUBSTITUTE(SUBSTITUTE(INDEX(貼り付け!$A$1:$BZ$3001,2678,$D$1)&amp;"",",",""),"¥",""),"￥","")),0))</f>
        <v/>
      </c>
      <c r="E2679">
        <f>IF($E$1=0,0,IFERROR(VALUE(SUBSTITUTE(SUBSTITUTE(SUBSTITUTE(INDEX(貼り付け!$A$1:$BZ$3001,2678,$E$1)&amp;"",",",""),"¥",""),"￥","")),0))</f>
        <v/>
      </c>
      <c r="F2679">
        <f>IF($F$1=0,0,IFERROR(VALUE(SUBSTITUTE(SUBSTITUTE(SUBSTITUTE(INDEX(貼り付け!$A$1:$BZ$3001,2678,$F$1)&amp;"",",",""),"¥",""),"￥","")),0))</f>
        <v/>
      </c>
      <c r="G2679">
        <f>IF(ISNUMBER(B2679),YEAR(B2679),"")</f>
        <v/>
      </c>
      <c r="H2679">
        <f>IF(ISNUMBER(B2679),MONTH(B2679),"")</f>
        <v/>
      </c>
      <c r="I2679">
        <f>IFERROR(IF($B$1=0,"",IF(ISNUMBER(INDEX(貼り付け!$A$1:$BZ$3001,2678,$B$1)),"",SUBSTITUTE(SUBSTITUTE(SUBSTITUTE(SUBSTITUTE(TRIM(LEFT(INDEX(貼り付け!$A$1:$BZ$3001,2678,$B$1)&amp;"",FIND(" ",TRIM(INDEX(貼り付け!$A$1:$BZ$3001,2678,$B$1)&amp;"")&amp;" ")-1)),"/","-"),"年","-"),"月","-"),"日",""))),"")</f>
        <v/>
      </c>
      <c r="J2679">
        <f>IFERROR(MID(I2679,FIND("-",I2679)+1,99),"")</f>
        <v/>
      </c>
    </row>
    <row r="2680">
      <c r="B2680">
        <f>IFERROR(IF($B$1=0,"",IF(INDEX(貼り付け!$A$1:$BZ$3001,2679,$B$1)="","",IF(ISNUMBER(INDEX(貼り付け!$A$1:$BZ$3001,2679,$B$1)),INT(INDEX(貼り付け!$A$1:$BZ$3001,2679,$B$1)),DATE(VALUE(LEFT(I2680,FIND("-",I2680)-1)),VALUE(LEFT(J2680,FIND("-",J2680)-1)),VALUE(MID(J2680,FIND("-",J2680)+1,99)))))),"")</f>
        <v/>
      </c>
      <c r="C2680">
        <f>IF($C$1=0,0,IFERROR(VALUE(SUBSTITUTE(SUBSTITUTE(SUBSTITUTE(INDEX(貼り付け!$A$1:$BZ$3001,2679,$C$1)&amp;"",",",""),"¥",""),"￥","")),0))</f>
        <v/>
      </c>
      <c r="D2680">
        <f>IF($D$1=0,0,IFERROR(VALUE(SUBSTITUTE(SUBSTITUTE(SUBSTITUTE(INDEX(貼り付け!$A$1:$BZ$3001,2679,$D$1)&amp;"",",",""),"¥",""),"￥","")),0))</f>
        <v/>
      </c>
      <c r="E2680">
        <f>IF($E$1=0,0,IFERROR(VALUE(SUBSTITUTE(SUBSTITUTE(SUBSTITUTE(INDEX(貼り付け!$A$1:$BZ$3001,2679,$E$1)&amp;"",",",""),"¥",""),"￥","")),0))</f>
        <v/>
      </c>
      <c r="F2680">
        <f>IF($F$1=0,0,IFERROR(VALUE(SUBSTITUTE(SUBSTITUTE(SUBSTITUTE(INDEX(貼り付け!$A$1:$BZ$3001,2679,$F$1)&amp;"",",",""),"¥",""),"￥","")),0))</f>
        <v/>
      </c>
      <c r="G2680">
        <f>IF(ISNUMBER(B2680),YEAR(B2680),"")</f>
        <v/>
      </c>
      <c r="H2680">
        <f>IF(ISNUMBER(B2680),MONTH(B2680),"")</f>
        <v/>
      </c>
      <c r="I2680">
        <f>IFERROR(IF($B$1=0,"",IF(ISNUMBER(INDEX(貼り付け!$A$1:$BZ$3001,2679,$B$1)),"",SUBSTITUTE(SUBSTITUTE(SUBSTITUTE(SUBSTITUTE(TRIM(LEFT(INDEX(貼り付け!$A$1:$BZ$3001,2679,$B$1)&amp;"",FIND(" ",TRIM(INDEX(貼り付け!$A$1:$BZ$3001,2679,$B$1)&amp;"")&amp;" ")-1)),"/","-"),"年","-"),"月","-"),"日",""))),"")</f>
        <v/>
      </c>
      <c r="J2680">
        <f>IFERROR(MID(I2680,FIND("-",I2680)+1,99),"")</f>
        <v/>
      </c>
    </row>
    <row r="2681">
      <c r="B2681">
        <f>IFERROR(IF($B$1=0,"",IF(INDEX(貼り付け!$A$1:$BZ$3001,2680,$B$1)="","",IF(ISNUMBER(INDEX(貼り付け!$A$1:$BZ$3001,2680,$B$1)),INT(INDEX(貼り付け!$A$1:$BZ$3001,2680,$B$1)),DATE(VALUE(LEFT(I2681,FIND("-",I2681)-1)),VALUE(LEFT(J2681,FIND("-",J2681)-1)),VALUE(MID(J2681,FIND("-",J2681)+1,99)))))),"")</f>
        <v/>
      </c>
      <c r="C2681">
        <f>IF($C$1=0,0,IFERROR(VALUE(SUBSTITUTE(SUBSTITUTE(SUBSTITUTE(INDEX(貼り付け!$A$1:$BZ$3001,2680,$C$1)&amp;"",",",""),"¥",""),"￥","")),0))</f>
        <v/>
      </c>
      <c r="D2681">
        <f>IF($D$1=0,0,IFERROR(VALUE(SUBSTITUTE(SUBSTITUTE(SUBSTITUTE(INDEX(貼り付け!$A$1:$BZ$3001,2680,$D$1)&amp;"",",",""),"¥",""),"￥","")),0))</f>
        <v/>
      </c>
      <c r="E2681">
        <f>IF($E$1=0,0,IFERROR(VALUE(SUBSTITUTE(SUBSTITUTE(SUBSTITUTE(INDEX(貼り付け!$A$1:$BZ$3001,2680,$E$1)&amp;"",",",""),"¥",""),"￥","")),0))</f>
        <v/>
      </c>
      <c r="F2681">
        <f>IF($F$1=0,0,IFERROR(VALUE(SUBSTITUTE(SUBSTITUTE(SUBSTITUTE(INDEX(貼り付け!$A$1:$BZ$3001,2680,$F$1)&amp;"",",",""),"¥",""),"￥","")),0))</f>
        <v/>
      </c>
      <c r="G2681">
        <f>IF(ISNUMBER(B2681),YEAR(B2681),"")</f>
        <v/>
      </c>
      <c r="H2681">
        <f>IF(ISNUMBER(B2681),MONTH(B2681),"")</f>
        <v/>
      </c>
      <c r="I2681">
        <f>IFERROR(IF($B$1=0,"",IF(ISNUMBER(INDEX(貼り付け!$A$1:$BZ$3001,2680,$B$1)),"",SUBSTITUTE(SUBSTITUTE(SUBSTITUTE(SUBSTITUTE(TRIM(LEFT(INDEX(貼り付け!$A$1:$BZ$3001,2680,$B$1)&amp;"",FIND(" ",TRIM(INDEX(貼り付け!$A$1:$BZ$3001,2680,$B$1)&amp;"")&amp;" ")-1)),"/","-"),"年","-"),"月","-"),"日",""))),"")</f>
        <v/>
      </c>
      <c r="J2681">
        <f>IFERROR(MID(I2681,FIND("-",I2681)+1,99),"")</f>
        <v/>
      </c>
    </row>
    <row r="2682">
      <c r="B2682">
        <f>IFERROR(IF($B$1=0,"",IF(INDEX(貼り付け!$A$1:$BZ$3001,2681,$B$1)="","",IF(ISNUMBER(INDEX(貼り付け!$A$1:$BZ$3001,2681,$B$1)),INT(INDEX(貼り付け!$A$1:$BZ$3001,2681,$B$1)),DATE(VALUE(LEFT(I2682,FIND("-",I2682)-1)),VALUE(LEFT(J2682,FIND("-",J2682)-1)),VALUE(MID(J2682,FIND("-",J2682)+1,99)))))),"")</f>
        <v/>
      </c>
      <c r="C2682">
        <f>IF($C$1=0,0,IFERROR(VALUE(SUBSTITUTE(SUBSTITUTE(SUBSTITUTE(INDEX(貼り付け!$A$1:$BZ$3001,2681,$C$1)&amp;"",",",""),"¥",""),"￥","")),0))</f>
        <v/>
      </c>
      <c r="D2682">
        <f>IF($D$1=0,0,IFERROR(VALUE(SUBSTITUTE(SUBSTITUTE(SUBSTITUTE(INDEX(貼り付け!$A$1:$BZ$3001,2681,$D$1)&amp;"",",",""),"¥",""),"￥","")),0))</f>
        <v/>
      </c>
      <c r="E2682">
        <f>IF($E$1=0,0,IFERROR(VALUE(SUBSTITUTE(SUBSTITUTE(SUBSTITUTE(INDEX(貼り付け!$A$1:$BZ$3001,2681,$E$1)&amp;"",",",""),"¥",""),"￥","")),0))</f>
        <v/>
      </c>
      <c r="F2682">
        <f>IF($F$1=0,0,IFERROR(VALUE(SUBSTITUTE(SUBSTITUTE(SUBSTITUTE(INDEX(貼り付け!$A$1:$BZ$3001,2681,$F$1)&amp;"",",",""),"¥",""),"￥","")),0))</f>
        <v/>
      </c>
      <c r="G2682">
        <f>IF(ISNUMBER(B2682),YEAR(B2682),"")</f>
        <v/>
      </c>
      <c r="H2682">
        <f>IF(ISNUMBER(B2682),MONTH(B2682),"")</f>
        <v/>
      </c>
      <c r="I2682">
        <f>IFERROR(IF($B$1=0,"",IF(ISNUMBER(INDEX(貼り付け!$A$1:$BZ$3001,2681,$B$1)),"",SUBSTITUTE(SUBSTITUTE(SUBSTITUTE(SUBSTITUTE(TRIM(LEFT(INDEX(貼り付け!$A$1:$BZ$3001,2681,$B$1)&amp;"",FIND(" ",TRIM(INDEX(貼り付け!$A$1:$BZ$3001,2681,$B$1)&amp;"")&amp;" ")-1)),"/","-"),"年","-"),"月","-"),"日",""))),"")</f>
        <v/>
      </c>
      <c r="J2682">
        <f>IFERROR(MID(I2682,FIND("-",I2682)+1,99),"")</f>
        <v/>
      </c>
    </row>
    <row r="2683">
      <c r="B2683">
        <f>IFERROR(IF($B$1=0,"",IF(INDEX(貼り付け!$A$1:$BZ$3001,2682,$B$1)="","",IF(ISNUMBER(INDEX(貼り付け!$A$1:$BZ$3001,2682,$B$1)),INT(INDEX(貼り付け!$A$1:$BZ$3001,2682,$B$1)),DATE(VALUE(LEFT(I2683,FIND("-",I2683)-1)),VALUE(LEFT(J2683,FIND("-",J2683)-1)),VALUE(MID(J2683,FIND("-",J2683)+1,99)))))),"")</f>
        <v/>
      </c>
      <c r="C2683">
        <f>IF($C$1=0,0,IFERROR(VALUE(SUBSTITUTE(SUBSTITUTE(SUBSTITUTE(INDEX(貼り付け!$A$1:$BZ$3001,2682,$C$1)&amp;"",",",""),"¥",""),"￥","")),0))</f>
        <v/>
      </c>
      <c r="D2683">
        <f>IF($D$1=0,0,IFERROR(VALUE(SUBSTITUTE(SUBSTITUTE(SUBSTITUTE(INDEX(貼り付け!$A$1:$BZ$3001,2682,$D$1)&amp;"",",",""),"¥",""),"￥","")),0))</f>
        <v/>
      </c>
      <c r="E2683">
        <f>IF($E$1=0,0,IFERROR(VALUE(SUBSTITUTE(SUBSTITUTE(SUBSTITUTE(INDEX(貼り付け!$A$1:$BZ$3001,2682,$E$1)&amp;"",",",""),"¥",""),"￥","")),0))</f>
        <v/>
      </c>
      <c r="F2683">
        <f>IF($F$1=0,0,IFERROR(VALUE(SUBSTITUTE(SUBSTITUTE(SUBSTITUTE(INDEX(貼り付け!$A$1:$BZ$3001,2682,$F$1)&amp;"",",",""),"¥",""),"￥","")),0))</f>
        <v/>
      </c>
      <c r="G2683">
        <f>IF(ISNUMBER(B2683),YEAR(B2683),"")</f>
        <v/>
      </c>
      <c r="H2683">
        <f>IF(ISNUMBER(B2683),MONTH(B2683),"")</f>
        <v/>
      </c>
      <c r="I2683">
        <f>IFERROR(IF($B$1=0,"",IF(ISNUMBER(INDEX(貼り付け!$A$1:$BZ$3001,2682,$B$1)),"",SUBSTITUTE(SUBSTITUTE(SUBSTITUTE(SUBSTITUTE(TRIM(LEFT(INDEX(貼り付け!$A$1:$BZ$3001,2682,$B$1)&amp;"",FIND(" ",TRIM(INDEX(貼り付け!$A$1:$BZ$3001,2682,$B$1)&amp;"")&amp;" ")-1)),"/","-"),"年","-"),"月","-"),"日",""))),"")</f>
        <v/>
      </c>
      <c r="J2683">
        <f>IFERROR(MID(I2683,FIND("-",I2683)+1,99),"")</f>
        <v/>
      </c>
    </row>
    <row r="2684">
      <c r="B2684">
        <f>IFERROR(IF($B$1=0,"",IF(INDEX(貼り付け!$A$1:$BZ$3001,2683,$B$1)="","",IF(ISNUMBER(INDEX(貼り付け!$A$1:$BZ$3001,2683,$B$1)),INT(INDEX(貼り付け!$A$1:$BZ$3001,2683,$B$1)),DATE(VALUE(LEFT(I2684,FIND("-",I2684)-1)),VALUE(LEFT(J2684,FIND("-",J2684)-1)),VALUE(MID(J2684,FIND("-",J2684)+1,99)))))),"")</f>
        <v/>
      </c>
      <c r="C2684">
        <f>IF($C$1=0,0,IFERROR(VALUE(SUBSTITUTE(SUBSTITUTE(SUBSTITUTE(INDEX(貼り付け!$A$1:$BZ$3001,2683,$C$1)&amp;"",",",""),"¥",""),"￥","")),0))</f>
        <v/>
      </c>
      <c r="D2684">
        <f>IF($D$1=0,0,IFERROR(VALUE(SUBSTITUTE(SUBSTITUTE(SUBSTITUTE(INDEX(貼り付け!$A$1:$BZ$3001,2683,$D$1)&amp;"",",",""),"¥",""),"￥","")),0))</f>
        <v/>
      </c>
      <c r="E2684">
        <f>IF($E$1=0,0,IFERROR(VALUE(SUBSTITUTE(SUBSTITUTE(SUBSTITUTE(INDEX(貼り付け!$A$1:$BZ$3001,2683,$E$1)&amp;"",",",""),"¥",""),"￥","")),0))</f>
        <v/>
      </c>
      <c r="F2684">
        <f>IF($F$1=0,0,IFERROR(VALUE(SUBSTITUTE(SUBSTITUTE(SUBSTITUTE(INDEX(貼り付け!$A$1:$BZ$3001,2683,$F$1)&amp;"",",",""),"¥",""),"￥","")),0))</f>
        <v/>
      </c>
      <c r="G2684">
        <f>IF(ISNUMBER(B2684),YEAR(B2684),"")</f>
        <v/>
      </c>
      <c r="H2684">
        <f>IF(ISNUMBER(B2684),MONTH(B2684),"")</f>
        <v/>
      </c>
      <c r="I2684">
        <f>IFERROR(IF($B$1=0,"",IF(ISNUMBER(INDEX(貼り付け!$A$1:$BZ$3001,2683,$B$1)),"",SUBSTITUTE(SUBSTITUTE(SUBSTITUTE(SUBSTITUTE(TRIM(LEFT(INDEX(貼り付け!$A$1:$BZ$3001,2683,$B$1)&amp;"",FIND(" ",TRIM(INDEX(貼り付け!$A$1:$BZ$3001,2683,$B$1)&amp;"")&amp;" ")-1)),"/","-"),"年","-"),"月","-"),"日",""))),"")</f>
        <v/>
      </c>
      <c r="J2684">
        <f>IFERROR(MID(I2684,FIND("-",I2684)+1,99),"")</f>
        <v/>
      </c>
    </row>
    <row r="2685">
      <c r="B2685">
        <f>IFERROR(IF($B$1=0,"",IF(INDEX(貼り付け!$A$1:$BZ$3001,2684,$B$1)="","",IF(ISNUMBER(INDEX(貼り付け!$A$1:$BZ$3001,2684,$B$1)),INT(INDEX(貼り付け!$A$1:$BZ$3001,2684,$B$1)),DATE(VALUE(LEFT(I2685,FIND("-",I2685)-1)),VALUE(LEFT(J2685,FIND("-",J2685)-1)),VALUE(MID(J2685,FIND("-",J2685)+1,99)))))),"")</f>
        <v/>
      </c>
      <c r="C2685">
        <f>IF($C$1=0,0,IFERROR(VALUE(SUBSTITUTE(SUBSTITUTE(SUBSTITUTE(INDEX(貼り付け!$A$1:$BZ$3001,2684,$C$1)&amp;"",",",""),"¥",""),"￥","")),0))</f>
        <v/>
      </c>
      <c r="D2685">
        <f>IF($D$1=0,0,IFERROR(VALUE(SUBSTITUTE(SUBSTITUTE(SUBSTITUTE(INDEX(貼り付け!$A$1:$BZ$3001,2684,$D$1)&amp;"",",",""),"¥",""),"￥","")),0))</f>
        <v/>
      </c>
      <c r="E2685">
        <f>IF($E$1=0,0,IFERROR(VALUE(SUBSTITUTE(SUBSTITUTE(SUBSTITUTE(INDEX(貼り付け!$A$1:$BZ$3001,2684,$E$1)&amp;"",",",""),"¥",""),"￥","")),0))</f>
        <v/>
      </c>
      <c r="F2685">
        <f>IF($F$1=0,0,IFERROR(VALUE(SUBSTITUTE(SUBSTITUTE(SUBSTITUTE(INDEX(貼り付け!$A$1:$BZ$3001,2684,$F$1)&amp;"",",",""),"¥",""),"￥","")),0))</f>
        <v/>
      </c>
      <c r="G2685">
        <f>IF(ISNUMBER(B2685),YEAR(B2685),"")</f>
        <v/>
      </c>
      <c r="H2685">
        <f>IF(ISNUMBER(B2685),MONTH(B2685),"")</f>
        <v/>
      </c>
      <c r="I2685">
        <f>IFERROR(IF($B$1=0,"",IF(ISNUMBER(INDEX(貼り付け!$A$1:$BZ$3001,2684,$B$1)),"",SUBSTITUTE(SUBSTITUTE(SUBSTITUTE(SUBSTITUTE(TRIM(LEFT(INDEX(貼り付け!$A$1:$BZ$3001,2684,$B$1)&amp;"",FIND(" ",TRIM(INDEX(貼り付け!$A$1:$BZ$3001,2684,$B$1)&amp;"")&amp;" ")-1)),"/","-"),"年","-"),"月","-"),"日",""))),"")</f>
        <v/>
      </c>
      <c r="J2685">
        <f>IFERROR(MID(I2685,FIND("-",I2685)+1,99),"")</f>
        <v/>
      </c>
    </row>
    <row r="2686">
      <c r="B2686">
        <f>IFERROR(IF($B$1=0,"",IF(INDEX(貼り付け!$A$1:$BZ$3001,2685,$B$1)="","",IF(ISNUMBER(INDEX(貼り付け!$A$1:$BZ$3001,2685,$B$1)),INT(INDEX(貼り付け!$A$1:$BZ$3001,2685,$B$1)),DATE(VALUE(LEFT(I2686,FIND("-",I2686)-1)),VALUE(LEFT(J2686,FIND("-",J2686)-1)),VALUE(MID(J2686,FIND("-",J2686)+1,99)))))),"")</f>
        <v/>
      </c>
      <c r="C2686">
        <f>IF($C$1=0,0,IFERROR(VALUE(SUBSTITUTE(SUBSTITUTE(SUBSTITUTE(INDEX(貼り付け!$A$1:$BZ$3001,2685,$C$1)&amp;"",",",""),"¥",""),"￥","")),0))</f>
        <v/>
      </c>
      <c r="D2686">
        <f>IF($D$1=0,0,IFERROR(VALUE(SUBSTITUTE(SUBSTITUTE(SUBSTITUTE(INDEX(貼り付け!$A$1:$BZ$3001,2685,$D$1)&amp;"",",",""),"¥",""),"￥","")),0))</f>
        <v/>
      </c>
      <c r="E2686">
        <f>IF($E$1=0,0,IFERROR(VALUE(SUBSTITUTE(SUBSTITUTE(SUBSTITUTE(INDEX(貼り付け!$A$1:$BZ$3001,2685,$E$1)&amp;"",",",""),"¥",""),"￥","")),0))</f>
        <v/>
      </c>
      <c r="F2686">
        <f>IF($F$1=0,0,IFERROR(VALUE(SUBSTITUTE(SUBSTITUTE(SUBSTITUTE(INDEX(貼り付け!$A$1:$BZ$3001,2685,$F$1)&amp;"",",",""),"¥",""),"￥","")),0))</f>
        <v/>
      </c>
      <c r="G2686">
        <f>IF(ISNUMBER(B2686),YEAR(B2686),"")</f>
        <v/>
      </c>
      <c r="H2686">
        <f>IF(ISNUMBER(B2686),MONTH(B2686),"")</f>
        <v/>
      </c>
      <c r="I2686">
        <f>IFERROR(IF($B$1=0,"",IF(ISNUMBER(INDEX(貼り付け!$A$1:$BZ$3001,2685,$B$1)),"",SUBSTITUTE(SUBSTITUTE(SUBSTITUTE(SUBSTITUTE(TRIM(LEFT(INDEX(貼り付け!$A$1:$BZ$3001,2685,$B$1)&amp;"",FIND(" ",TRIM(INDEX(貼り付け!$A$1:$BZ$3001,2685,$B$1)&amp;"")&amp;" ")-1)),"/","-"),"年","-"),"月","-"),"日",""))),"")</f>
        <v/>
      </c>
      <c r="J2686">
        <f>IFERROR(MID(I2686,FIND("-",I2686)+1,99),"")</f>
        <v/>
      </c>
    </row>
    <row r="2687">
      <c r="B2687">
        <f>IFERROR(IF($B$1=0,"",IF(INDEX(貼り付け!$A$1:$BZ$3001,2686,$B$1)="","",IF(ISNUMBER(INDEX(貼り付け!$A$1:$BZ$3001,2686,$B$1)),INT(INDEX(貼り付け!$A$1:$BZ$3001,2686,$B$1)),DATE(VALUE(LEFT(I2687,FIND("-",I2687)-1)),VALUE(LEFT(J2687,FIND("-",J2687)-1)),VALUE(MID(J2687,FIND("-",J2687)+1,99)))))),"")</f>
        <v/>
      </c>
      <c r="C2687">
        <f>IF($C$1=0,0,IFERROR(VALUE(SUBSTITUTE(SUBSTITUTE(SUBSTITUTE(INDEX(貼り付け!$A$1:$BZ$3001,2686,$C$1)&amp;"",",",""),"¥",""),"￥","")),0))</f>
        <v/>
      </c>
      <c r="D2687">
        <f>IF($D$1=0,0,IFERROR(VALUE(SUBSTITUTE(SUBSTITUTE(SUBSTITUTE(INDEX(貼り付け!$A$1:$BZ$3001,2686,$D$1)&amp;"",",",""),"¥",""),"￥","")),0))</f>
        <v/>
      </c>
      <c r="E2687">
        <f>IF($E$1=0,0,IFERROR(VALUE(SUBSTITUTE(SUBSTITUTE(SUBSTITUTE(INDEX(貼り付け!$A$1:$BZ$3001,2686,$E$1)&amp;"",",",""),"¥",""),"￥","")),0))</f>
        <v/>
      </c>
      <c r="F2687">
        <f>IF($F$1=0,0,IFERROR(VALUE(SUBSTITUTE(SUBSTITUTE(SUBSTITUTE(INDEX(貼り付け!$A$1:$BZ$3001,2686,$F$1)&amp;"",",",""),"¥",""),"￥","")),0))</f>
        <v/>
      </c>
      <c r="G2687">
        <f>IF(ISNUMBER(B2687),YEAR(B2687),"")</f>
        <v/>
      </c>
      <c r="H2687">
        <f>IF(ISNUMBER(B2687),MONTH(B2687),"")</f>
        <v/>
      </c>
      <c r="I2687">
        <f>IFERROR(IF($B$1=0,"",IF(ISNUMBER(INDEX(貼り付け!$A$1:$BZ$3001,2686,$B$1)),"",SUBSTITUTE(SUBSTITUTE(SUBSTITUTE(SUBSTITUTE(TRIM(LEFT(INDEX(貼り付け!$A$1:$BZ$3001,2686,$B$1)&amp;"",FIND(" ",TRIM(INDEX(貼り付け!$A$1:$BZ$3001,2686,$B$1)&amp;"")&amp;" ")-1)),"/","-"),"年","-"),"月","-"),"日",""))),"")</f>
        <v/>
      </c>
      <c r="J2687">
        <f>IFERROR(MID(I2687,FIND("-",I2687)+1,99),"")</f>
        <v/>
      </c>
    </row>
    <row r="2688">
      <c r="B2688">
        <f>IFERROR(IF($B$1=0,"",IF(INDEX(貼り付け!$A$1:$BZ$3001,2687,$B$1)="","",IF(ISNUMBER(INDEX(貼り付け!$A$1:$BZ$3001,2687,$B$1)),INT(INDEX(貼り付け!$A$1:$BZ$3001,2687,$B$1)),DATE(VALUE(LEFT(I2688,FIND("-",I2688)-1)),VALUE(LEFT(J2688,FIND("-",J2688)-1)),VALUE(MID(J2688,FIND("-",J2688)+1,99)))))),"")</f>
        <v/>
      </c>
      <c r="C2688">
        <f>IF($C$1=0,0,IFERROR(VALUE(SUBSTITUTE(SUBSTITUTE(SUBSTITUTE(INDEX(貼り付け!$A$1:$BZ$3001,2687,$C$1)&amp;"",",",""),"¥",""),"￥","")),0))</f>
        <v/>
      </c>
      <c r="D2688">
        <f>IF($D$1=0,0,IFERROR(VALUE(SUBSTITUTE(SUBSTITUTE(SUBSTITUTE(INDEX(貼り付け!$A$1:$BZ$3001,2687,$D$1)&amp;"",",",""),"¥",""),"￥","")),0))</f>
        <v/>
      </c>
      <c r="E2688">
        <f>IF($E$1=0,0,IFERROR(VALUE(SUBSTITUTE(SUBSTITUTE(SUBSTITUTE(INDEX(貼り付け!$A$1:$BZ$3001,2687,$E$1)&amp;"",",",""),"¥",""),"￥","")),0))</f>
        <v/>
      </c>
      <c r="F2688">
        <f>IF($F$1=0,0,IFERROR(VALUE(SUBSTITUTE(SUBSTITUTE(SUBSTITUTE(INDEX(貼り付け!$A$1:$BZ$3001,2687,$F$1)&amp;"",",",""),"¥",""),"￥","")),0))</f>
        <v/>
      </c>
      <c r="G2688">
        <f>IF(ISNUMBER(B2688),YEAR(B2688),"")</f>
        <v/>
      </c>
      <c r="H2688">
        <f>IF(ISNUMBER(B2688),MONTH(B2688),"")</f>
        <v/>
      </c>
      <c r="I2688">
        <f>IFERROR(IF($B$1=0,"",IF(ISNUMBER(INDEX(貼り付け!$A$1:$BZ$3001,2687,$B$1)),"",SUBSTITUTE(SUBSTITUTE(SUBSTITUTE(SUBSTITUTE(TRIM(LEFT(INDEX(貼り付け!$A$1:$BZ$3001,2687,$B$1)&amp;"",FIND(" ",TRIM(INDEX(貼り付け!$A$1:$BZ$3001,2687,$B$1)&amp;"")&amp;" ")-1)),"/","-"),"年","-"),"月","-"),"日",""))),"")</f>
        <v/>
      </c>
      <c r="J2688">
        <f>IFERROR(MID(I2688,FIND("-",I2688)+1,99),"")</f>
        <v/>
      </c>
    </row>
    <row r="2689">
      <c r="B2689">
        <f>IFERROR(IF($B$1=0,"",IF(INDEX(貼り付け!$A$1:$BZ$3001,2688,$B$1)="","",IF(ISNUMBER(INDEX(貼り付け!$A$1:$BZ$3001,2688,$B$1)),INT(INDEX(貼り付け!$A$1:$BZ$3001,2688,$B$1)),DATE(VALUE(LEFT(I2689,FIND("-",I2689)-1)),VALUE(LEFT(J2689,FIND("-",J2689)-1)),VALUE(MID(J2689,FIND("-",J2689)+1,99)))))),"")</f>
        <v/>
      </c>
      <c r="C2689">
        <f>IF($C$1=0,0,IFERROR(VALUE(SUBSTITUTE(SUBSTITUTE(SUBSTITUTE(INDEX(貼り付け!$A$1:$BZ$3001,2688,$C$1)&amp;"",",",""),"¥",""),"￥","")),0))</f>
        <v/>
      </c>
      <c r="D2689">
        <f>IF($D$1=0,0,IFERROR(VALUE(SUBSTITUTE(SUBSTITUTE(SUBSTITUTE(INDEX(貼り付け!$A$1:$BZ$3001,2688,$D$1)&amp;"",",",""),"¥",""),"￥","")),0))</f>
        <v/>
      </c>
      <c r="E2689">
        <f>IF($E$1=0,0,IFERROR(VALUE(SUBSTITUTE(SUBSTITUTE(SUBSTITUTE(INDEX(貼り付け!$A$1:$BZ$3001,2688,$E$1)&amp;"",",",""),"¥",""),"￥","")),0))</f>
        <v/>
      </c>
      <c r="F2689">
        <f>IF($F$1=0,0,IFERROR(VALUE(SUBSTITUTE(SUBSTITUTE(SUBSTITUTE(INDEX(貼り付け!$A$1:$BZ$3001,2688,$F$1)&amp;"",",",""),"¥",""),"￥","")),0))</f>
        <v/>
      </c>
      <c r="G2689">
        <f>IF(ISNUMBER(B2689),YEAR(B2689),"")</f>
        <v/>
      </c>
      <c r="H2689">
        <f>IF(ISNUMBER(B2689),MONTH(B2689),"")</f>
        <v/>
      </c>
      <c r="I2689">
        <f>IFERROR(IF($B$1=0,"",IF(ISNUMBER(INDEX(貼り付け!$A$1:$BZ$3001,2688,$B$1)),"",SUBSTITUTE(SUBSTITUTE(SUBSTITUTE(SUBSTITUTE(TRIM(LEFT(INDEX(貼り付け!$A$1:$BZ$3001,2688,$B$1)&amp;"",FIND(" ",TRIM(INDEX(貼り付け!$A$1:$BZ$3001,2688,$B$1)&amp;"")&amp;" ")-1)),"/","-"),"年","-"),"月","-"),"日",""))),"")</f>
        <v/>
      </c>
      <c r="J2689">
        <f>IFERROR(MID(I2689,FIND("-",I2689)+1,99),"")</f>
        <v/>
      </c>
    </row>
    <row r="2690">
      <c r="B2690">
        <f>IFERROR(IF($B$1=0,"",IF(INDEX(貼り付け!$A$1:$BZ$3001,2689,$B$1)="","",IF(ISNUMBER(INDEX(貼り付け!$A$1:$BZ$3001,2689,$B$1)),INT(INDEX(貼り付け!$A$1:$BZ$3001,2689,$B$1)),DATE(VALUE(LEFT(I2690,FIND("-",I2690)-1)),VALUE(LEFT(J2690,FIND("-",J2690)-1)),VALUE(MID(J2690,FIND("-",J2690)+1,99)))))),"")</f>
        <v/>
      </c>
      <c r="C2690">
        <f>IF($C$1=0,0,IFERROR(VALUE(SUBSTITUTE(SUBSTITUTE(SUBSTITUTE(INDEX(貼り付け!$A$1:$BZ$3001,2689,$C$1)&amp;"",",",""),"¥",""),"￥","")),0))</f>
        <v/>
      </c>
      <c r="D2690">
        <f>IF($D$1=0,0,IFERROR(VALUE(SUBSTITUTE(SUBSTITUTE(SUBSTITUTE(INDEX(貼り付け!$A$1:$BZ$3001,2689,$D$1)&amp;"",",",""),"¥",""),"￥","")),0))</f>
        <v/>
      </c>
      <c r="E2690">
        <f>IF($E$1=0,0,IFERROR(VALUE(SUBSTITUTE(SUBSTITUTE(SUBSTITUTE(INDEX(貼り付け!$A$1:$BZ$3001,2689,$E$1)&amp;"",",",""),"¥",""),"￥","")),0))</f>
        <v/>
      </c>
      <c r="F2690">
        <f>IF($F$1=0,0,IFERROR(VALUE(SUBSTITUTE(SUBSTITUTE(SUBSTITUTE(INDEX(貼り付け!$A$1:$BZ$3001,2689,$F$1)&amp;"",",",""),"¥",""),"￥","")),0))</f>
        <v/>
      </c>
      <c r="G2690">
        <f>IF(ISNUMBER(B2690),YEAR(B2690),"")</f>
        <v/>
      </c>
      <c r="H2690">
        <f>IF(ISNUMBER(B2690),MONTH(B2690),"")</f>
        <v/>
      </c>
      <c r="I2690">
        <f>IFERROR(IF($B$1=0,"",IF(ISNUMBER(INDEX(貼り付け!$A$1:$BZ$3001,2689,$B$1)),"",SUBSTITUTE(SUBSTITUTE(SUBSTITUTE(SUBSTITUTE(TRIM(LEFT(INDEX(貼り付け!$A$1:$BZ$3001,2689,$B$1)&amp;"",FIND(" ",TRIM(INDEX(貼り付け!$A$1:$BZ$3001,2689,$B$1)&amp;"")&amp;" ")-1)),"/","-"),"年","-"),"月","-"),"日",""))),"")</f>
        <v/>
      </c>
      <c r="J2690">
        <f>IFERROR(MID(I2690,FIND("-",I2690)+1,99),"")</f>
        <v/>
      </c>
    </row>
    <row r="2691">
      <c r="B2691">
        <f>IFERROR(IF($B$1=0,"",IF(INDEX(貼り付け!$A$1:$BZ$3001,2690,$B$1)="","",IF(ISNUMBER(INDEX(貼り付け!$A$1:$BZ$3001,2690,$B$1)),INT(INDEX(貼り付け!$A$1:$BZ$3001,2690,$B$1)),DATE(VALUE(LEFT(I2691,FIND("-",I2691)-1)),VALUE(LEFT(J2691,FIND("-",J2691)-1)),VALUE(MID(J2691,FIND("-",J2691)+1,99)))))),"")</f>
        <v/>
      </c>
      <c r="C2691">
        <f>IF($C$1=0,0,IFERROR(VALUE(SUBSTITUTE(SUBSTITUTE(SUBSTITUTE(INDEX(貼り付け!$A$1:$BZ$3001,2690,$C$1)&amp;"",",",""),"¥",""),"￥","")),0))</f>
        <v/>
      </c>
      <c r="D2691">
        <f>IF($D$1=0,0,IFERROR(VALUE(SUBSTITUTE(SUBSTITUTE(SUBSTITUTE(INDEX(貼り付け!$A$1:$BZ$3001,2690,$D$1)&amp;"",",",""),"¥",""),"￥","")),0))</f>
        <v/>
      </c>
      <c r="E2691">
        <f>IF($E$1=0,0,IFERROR(VALUE(SUBSTITUTE(SUBSTITUTE(SUBSTITUTE(INDEX(貼り付け!$A$1:$BZ$3001,2690,$E$1)&amp;"",",",""),"¥",""),"￥","")),0))</f>
        <v/>
      </c>
      <c r="F2691">
        <f>IF($F$1=0,0,IFERROR(VALUE(SUBSTITUTE(SUBSTITUTE(SUBSTITUTE(INDEX(貼り付け!$A$1:$BZ$3001,2690,$F$1)&amp;"",",",""),"¥",""),"￥","")),0))</f>
        <v/>
      </c>
      <c r="G2691">
        <f>IF(ISNUMBER(B2691),YEAR(B2691),"")</f>
        <v/>
      </c>
      <c r="H2691">
        <f>IF(ISNUMBER(B2691),MONTH(B2691),"")</f>
        <v/>
      </c>
      <c r="I2691">
        <f>IFERROR(IF($B$1=0,"",IF(ISNUMBER(INDEX(貼り付け!$A$1:$BZ$3001,2690,$B$1)),"",SUBSTITUTE(SUBSTITUTE(SUBSTITUTE(SUBSTITUTE(TRIM(LEFT(INDEX(貼り付け!$A$1:$BZ$3001,2690,$B$1)&amp;"",FIND(" ",TRIM(INDEX(貼り付け!$A$1:$BZ$3001,2690,$B$1)&amp;"")&amp;" ")-1)),"/","-"),"年","-"),"月","-"),"日",""))),"")</f>
        <v/>
      </c>
      <c r="J2691">
        <f>IFERROR(MID(I2691,FIND("-",I2691)+1,99),"")</f>
        <v/>
      </c>
    </row>
    <row r="2692">
      <c r="B2692">
        <f>IFERROR(IF($B$1=0,"",IF(INDEX(貼り付け!$A$1:$BZ$3001,2691,$B$1)="","",IF(ISNUMBER(INDEX(貼り付け!$A$1:$BZ$3001,2691,$B$1)),INT(INDEX(貼り付け!$A$1:$BZ$3001,2691,$B$1)),DATE(VALUE(LEFT(I2692,FIND("-",I2692)-1)),VALUE(LEFT(J2692,FIND("-",J2692)-1)),VALUE(MID(J2692,FIND("-",J2692)+1,99)))))),"")</f>
        <v/>
      </c>
      <c r="C2692">
        <f>IF($C$1=0,0,IFERROR(VALUE(SUBSTITUTE(SUBSTITUTE(SUBSTITUTE(INDEX(貼り付け!$A$1:$BZ$3001,2691,$C$1)&amp;"",",",""),"¥",""),"￥","")),0))</f>
        <v/>
      </c>
      <c r="D2692">
        <f>IF($D$1=0,0,IFERROR(VALUE(SUBSTITUTE(SUBSTITUTE(SUBSTITUTE(INDEX(貼り付け!$A$1:$BZ$3001,2691,$D$1)&amp;"",",",""),"¥",""),"￥","")),0))</f>
        <v/>
      </c>
      <c r="E2692">
        <f>IF($E$1=0,0,IFERROR(VALUE(SUBSTITUTE(SUBSTITUTE(SUBSTITUTE(INDEX(貼り付け!$A$1:$BZ$3001,2691,$E$1)&amp;"",",",""),"¥",""),"￥","")),0))</f>
        <v/>
      </c>
      <c r="F2692">
        <f>IF($F$1=0,0,IFERROR(VALUE(SUBSTITUTE(SUBSTITUTE(SUBSTITUTE(INDEX(貼り付け!$A$1:$BZ$3001,2691,$F$1)&amp;"",",",""),"¥",""),"￥","")),0))</f>
        <v/>
      </c>
      <c r="G2692">
        <f>IF(ISNUMBER(B2692),YEAR(B2692),"")</f>
        <v/>
      </c>
      <c r="H2692">
        <f>IF(ISNUMBER(B2692),MONTH(B2692),"")</f>
        <v/>
      </c>
      <c r="I2692">
        <f>IFERROR(IF($B$1=0,"",IF(ISNUMBER(INDEX(貼り付け!$A$1:$BZ$3001,2691,$B$1)),"",SUBSTITUTE(SUBSTITUTE(SUBSTITUTE(SUBSTITUTE(TRIM(LEFT(INDEX(貼り付け!$A$1:$BZ$3001,2691,$B$1)&amp;"",FIND(" ",TRIM(INDEX(貼り付け!$A$1:$BZ$3001,2691,$B$1)&amp;"")&amp;" ")-1)),"/","-"),"年","-"),"月","-"),"日",""))),"")</f>
        <v/>
      </c>
      <c r="J2692">
        <f>IFERROR(MID(I2692,FIND("-",I2692)+1,99),"")</f>
        <v/>
      </c>
    </row>
    <row r="2693">
      <c r="B2693">
        <f>IFERROR(IF($B$1=0,"",IF(INDEX(貼り付け!$A$1:$BZ$3001,2692,$B$1)="","",IF(ISNUMBER(INDEX(貼り付け!$A$1:$BZ$3001,2692,$B$1)),INT(INDEX(貼り付け!$A$1:$BZ$3001,2692,$B$1)),DATE(VALUE(LEFT(I2693,FIND("-",I2693)-1)),VALUE(LEFT(J2693,FIND("-",J2693)-1)),VALUE(MID(J2693,FIND("-",J2693)+1,99)))))),"")</f>
        <v/>
      </c>
      <c r="C2693">
        <f>IF($C$1=0,0,IFERROR(VALUE(SUBSTITUTE(SUBSTITUTE(SUBSTITUTE(INDEX(貼り付け!$A$1:$BZ$3001,2692,$C$1)&amp;"",",",""),"¥",""),"￥","")),0))</f>
        <v/>
      </c>
      <c r="D2693">
        <f>IF($D$1=0,0,IFERROR(VALUE(SUBSTITUTE(SUBSTITUTE(SUBSTITUTE(INDEX(貼り付け!$A$1:$BZ$3001,2692,$D$1)&amp;"",",",""),"¥",""),"￥","")),0))</f>
        <v/>
      </c>
      <c r="E2693">
        <f>IF($E$1=0,0,IFERROR(VALUE(SUBSTITUTE(SUBSTITUTE(SUBSTITUTE(INDEX(貼り付け!$A$1:$BZ$3001,2692,$E$1)&amp;"",",",""),"¥",""),"￥","")),0))</f>
        <v/>
      </c>
      <c r="F2693">
        <f>IF($F$1=0,0,IFERROR(VALUE(SUBSTITUTE(SUBSTITUTE(SUBSTITUTE(INDEX(貼り付け!$A$1:$BZ$3001,2692,$F$1)&amp;"",",",""),"¥",""),"￥","")),0))</f>
        <v/>
      </c>
      <c r="G2693">
        <f>IF(ISNUMBER(B2693),YEAR(B2693),"")</f>
        <v/>
      </c>
      <c r="H2693">
        <f>IF(ISNUMBER(B2693),MONTH(B2693),"")</f>
        <v/>
      </c>
      <c r="I2693">
        <f>IFERROR(IF($B$1=0,"",IF(ISNUMBER(INDEX(貼り付け!$A$1:$BZ$3001,2692,$B$1)),"",SUBSTITUTE(SUBSTITUTE(SUBSTITUTE(SUBSTITUTE(TRIM(LEFT(INDEX(貼り付け!$A$1:$BZ$3001,2692,$B$1)&amp;"",FIND(" ",TRIM(INDEX(貼り付け!$A$1:$BZ$3001,2692,$B$1)&amp;"")&amp;" ")-1)),"/","-"),"年","-"),"月","-"),"日",""))),"")</f>
        <v/>
      </c>
      <c r="J2693">
        <f>IFERROR(MID(I2693,FIND("-",I2693)+1,99),"")</f>
        <v/>
      </c>
    </row>
    <row r="2694">
      <c r="B2694">
        <f>IFERROR(IF($B$1=0,"",IF(INDEX(貼り付け!$A$1:$BZ$3001,2693,$B$1)="","",IF(ISNUMBER(INDEX(貼り付け!$A$1:$BZ$3001,2693,$B$1)),INT(INDEX(貼り付け!$A$1:$BZ$3001,2693,$B$1)),DATE(VALUE(LEFT(I2694,FIND("-",I2694)-1)),VALUE(LEFT(J2694,FIND("-",J2694)-1)),VALUE(MID(J2694,FIND("-",J2694)+1,99)))))),"")</f>
        <v/>
      </c>
      <c r="C2694">
        <f>IF($C$1=0,0,IFERROR(VALUE(SUBSTITUTE(SUBSTITUTE(SUBSTITUTE(INDEX(貼り付け!$A$1:$BZ$3001,2693,$C$1)&amp;"",",",""),"¥",""),"￥","")),0))</f>
        <v/>
      </c>
      <c r="D2694">
        <f>IF($D$1=0,0,IFERROR(VALUE(SUBSTITUTE(SUBSTITUTE(SUBSTITUTE(INDEX(貼り付け!$A$1:$BZ$3001,2693,$D$1)&amp;"",",",""),"¥",""),"￥","")),0))</f>
        <v/>
      </c>
      <c r="E2694">
        <f>IF($E$1=0,0,IFERROR(VALUE(SUBSTITUTE(SUBSTITUTE(SUBSTITUTE(INDEX(貼り付け!$A$1:$BZ$3001,2693,$E$1)&amp;"",",",""),"¥",""),"￥","")),0))</f>
        <v/>
      </c>
      <c r="F2694">
        <f>IF($F$1=0,0,IFERROR(VALUE(SUBSTITUTE(SUBSTITUTE(SUBSTITUTE(INDEX(貼り付け!$A$1:$BZ$3001,2693,$F$1)&amp;"",",",""),"¥",""),"￥","")),0))</f>
        <v/>
      </c>
      <c r="G2694">
        <f>IF(ISNUMBER(B2694),YEAR(B2694),"")</f>
        <v/>
      </c>
      <c r="H2694">
        <f>IF(ISNUMBER(B2694),MONTH(B2694),"")</f>
        <v/>
      </c>
      <c r="I2694">
        <f>IFERROR(IF($B$1=0,"",IF(ISNUMBER(INDEX(貼り付け!$A$1:$BZ$3001,2693,$B$1)),"",SUBSTITUTE(SUBSTITUTE(SUBSTITUTE(SUBSTITUTE(TRIM(LEFT(INDEX(貼り付け!$A$1:$BZ$3001,2693,$B$1)&amp;"",FIND(" ",TRIM(INDEX(貼り付け!$A$1:$BZ$3001,2693,$B$1)&amp;"")&amp;" ")-1)),"/","-"),"年","-"),"月","-"),"日",""))),"")</f>
        <v/>
      </c>
      <c r="J2694">
        <f>IFERROR(MID(I2694,FIND("-",I2694)+1,99),"")</f>
        <v/>
      </c>
    </row>
    <row r="2695">
      <c r="B2695">
        <f>IFERROR(IF($B$1=0,"",IF(INDEX(貼り付け!$A$1:$BZ$3001,2694,$B$1)="","",IF(ISNUMBER(INDEX(貼り付け!$A$1:$BZ$3001,2694,$B$1)),INT(INDEX(貼り付け!$A$1:$BZ$3001,2694,$B$1)),DATE(VALUE(LEFT(I2695,FIND("-",I2695)-1)),VALUE(LEFT(J2695,FIND("-",J2695)-1)),VALUE(MID(J2695,FIND("-",J2695)+1,99)))))),"")</f>
        <v/>
      </c>
      <c r="C2695">
        <f>IF($C$1=0,0,IFERROR(VALUE(SUBSTITUTE(SUBSTITUTE(SUBSTITUTE(INDEX(貼り付け!$A$1:$BZ$3001,2694,$C$1)&amp;"",",",""),"¥",""),"￥","")),0))</f>
        <v/>
      </c>
      <c r="D2695">
        <f>IF($D$1=0,0,IFERROR(VALUE(SUBSTITUTE(SUBSTITUTE(SUBSTITUTE(INDEX(貼り付け!$A$1:$BZ$3001,2694,$D$1)&amp;"",",",""),"¥",""),"￥","")),0))</f>
        <v/>
      </c>
      <c r="E2695">
        <f>IF($E$1=0,0,IFERROR(VALUE(SUBSTITUTE(SUBSTITUTE(SUBSTITUTE(INDEX(貼り付け!$A$1:$BZ$3001,2694,$E$1)&amp;"",",",""),"¥",""),"￥","")),0))</f>
        <v/>
      </c>
      <c r="F2695">
        <f>IF($F$1=0,0,IFERROR(VALUE(SUBSTITUTE(SUBSTITUTE(SUBSTITUTE(INDEX(貼り付け!$A$1:$BZ$3001,2694,$F$1)&amp;"",",",""),"¥",""),"￥","")),0))</f>
        <v/>
      </c>
      <c r="G2695">
        <f>IF(ISNUMBER(B2695),YEAR(B2695),"")</f>
        <v/>
      </c>
      <c r="H2695">
        <f>IF(ISNUMBER(B2695),MONTH(B2695),"")</f>
        <v/>
      </c>
      <c r="I2695">
        <f>IFERROR(IF($B$1=0,"",IF(ISNUMBER(INDEX(貼り付け!$A$1:$BZ$3001,2694,$B$1)),"",SUBSTITUTE(SUBSTITUTE(SUBSTITUTE(SUBSTITUTE(TRIM(LEFT(INDEX(貼り付け!$A$1:$BZ$3001,2694,$B$1)&amp;"",FIND(" ",TRIM(INDEX(貼り付け!$A$1:$BZ$3001,2694,$B$1)&amp;"")&amp;" ")-1)),"/","-"),"年","-"),"月","-"),"日",""))),"")</f>
        <v/>
      </c>
      <c r="J2695">
        <f>IFERROR(MID(I2695,FIND("-",I2695)+1,99),"")</f>
        <v/>
      </c>
    </row>
    <row r="2696">
      <c r="B2696">
        <f>IFERROR(IF($B$1=0,"",IF(INDEX(貼り付け!$A$1:$BZ$3001,2695,$B$1)="","",IF(ISNUMBER(INDEX(貼り付け!$A$1:$BZ$3001,2695,$B$1)),INT(INDEX(貼り付け!$A$1:$BZ$3001,2695,$B$1)),DATE(VALUE(LEFT(I2696,FIND("-",I2696)-1)),VALUE(LEFT(J2696,FIND("-",J2696)-1)),VALUE(MID(J2696,FIND("-",J2696)+1,99)))))),"")</f>
        <v/>
      </c>
      <c r="C2696">
        <f>IF($C$1=0,0,IFERROR(VALUE(SUBSTITUTE(SUBSTITUTE(SUBSTITUTE(INDEX(貼り付け!$A$1:$BZ$3001,2695,$C$1)&amp;"",",",""),"¥",""),"￥","")),0))</f>
        <v/>
      </c>
      <c r="D2696">
        <f>IF($D$1=0,0,IFERROR(VALUE(SUBSTITUTE(SUBSTITUTE(SUBSTITUTE(INDEX(貼り付け!$A$1:$BZ$3001,2695,$D$1)&amp;"",",",""),"¥",""),"￥","")),0))</f>
        <v/>
      </c>
      <c r="E2696">
        <f>IF($E$1=0,0,IFERROR(VALUE(SUBSTITUTE(SUBSTITUTE(SUBSTITUTE(INDEX(貼り付け!$A$1:$BZ$3001,2695,$E$1)&amp;"",",",""),"¥",""),"￥","")),0))</f>
        <v/>
      </c>
      <c r="F2696">
        <f>IF($F$1=0,0,IFERROR(VALUE(SUBSTITUTE(SUBSTITUTE(SUBSTITUTE(INDEX(貼り付け!$A$1:$BZ$3001,2695,$F$1)&amp;"",",",""),"¥",""),"￥","")),0))</f>
        <v/>
      </c>
      <c r="G2696">
        <f>IF(ISNUMBER(B2696),YEAR(B2696),"")</f>
        <v/>
      </c>
      <c r="H2696">
        <f>IF(ISNUMBER(B2696),MONTH(B2696),"")</f>
        <v/>
      </c>
      <c r="I2696">
        <f>IFERROR(IF($B$1=0,"",IF(ISNUMBER(INDEX(貼り付け!$A$1:$BZ$3001,2695,$B$1)),"",SUBSTITUTE(SUBSTITUTE(SUBSTITUTE(SUBSTITUTE(TRIM(LEFT(INDEX(貼り付け!$A$1:$BZ$3001,2695,$B$1)&amp;"",FIND(" ",TRIM(INDEX(貼り付け!$A$1:$BZ$3001,2695,$B$1)&amp;"")&amp;" ")-1)),"/","-"),"年","-"),"月","-"),"日",""))),"")</f>
        <v/>
      </c>
      <c r="J2696">
        <f>IFERROR(MID(I2696,FIND("-",I2696)+1,99),"")</f>
        <v/>
      </c>
    </row>
    <row r="2697">
      <c r="B2697">
        <f>IFERROR(IF($B$1=0,"",IF(INDEX(貼り付け!$A$1:$BZ$3001,2696,$B$1)="","",IF(ISNUMBER(INDEX(貼り付け!$A$1:$BZ$3001,2696,$B$1)),INT(INDEX(貼り付け!$A$1:$BZ$3001,2696,$B$1)),DATE(VALUE(LEFT(I2697,FIND("-",I2697)-1)),VALUE(LEFT(J2697,FIND("-",J2697)-1)),VALUE(MID(J2697,FIND("-",J2697)+1,99)))))),"")</f>
        <v/>
      </c>
      <c r="C2697">
        <f>IF($C$1=0,0,IFERROR(VALUE(SUBSTITUTE(SUBSTITUTE(SUBSTITUTE(INDEX(貼り付け!$A$1:$BZ$3001,2696,$C$1)&amp;"",",",""),"¥",""),"￥","")),0))</f>
        <v/>
      </c>
      <c r="D2697">
        <f>IF($D$1=0,0,IFERROR(VALUE(SUBSTITUTE(SUBSTITUTE(SUBSTITUTE(INDEX(貼り付け!$A$1:$BZ$3001,2696,$D$1)&amp;"",",",""),"¥",""),"￥","")),0))</f>
        <v/>
      </c>
      <c r="E2697">
        <f>IF($E$1=0,0,IFERROR(VALUE(SUBSTITUTE(SUBSTITUTE(SUBSTITUTE(INDEX(貼り付け!$A$1:$BZ$3001,2696,$E$1)&amp;"",",",""),"¥",""),"￥","")),0))</f>
        <v/>
      </c>
      <c r="F2697">
        <f>IF($F$1=0,0,IFERROR(VALUE(SUBSTITUTE(SUBSTITUTE(SUBSTITUTE(INDEX(貼り付け!$A$1:$BZ$3001,2696,$F$1)&amp;"",",",""),"¥",""),"￥","")),0))</f>
        <v/>
      </c>
      <c r="G2697">
        <f>IF(ISNUMBER(B2697),YEAR(B2697),"")</f>
        <v/>
      </c>
      <c r="H2697">
        <f>IF(ISNUMBER(B2697),MONTH(B2697),"")</f>
        <v/>
      </c>
      <c r="I2697">
        <f>IFERROR(IF($B$1=0,"",IF(ISNUMBER(INDEX(貼り付け!$A$1:$BZ$3001,2696,$B$1)),"",SUBSTITUTE(SUBSTITUTE(SUBSTITUTE(SUBSTITUTE(TRIM(LEFT(INDEX(貼り付け!$A$1:$BZ$3001,2696,$B$1)&amp;"",FIND(" ",TRIM(INDEX(貼り付け!$A$1:$BZ$3001,2696,$B$1)&amp;"")&amp;" ")-1)),"/","-"),"年","-"),"月","-"),"日",""))),"")</f>
        <v/>
      </c>
      <c r="J2697">
        <f>IFERROR(MID(I2697,FIND("-",I2697)+1,99),"")</f>
        <v/>
      </c>
    </row>
    <row r="2698">
      <c r="B2698">
        <f>IFERROR(IF($B$1=0,"",IF(INDEX(貼り付け!$A$1:$BZ$3001,2697,$B$1)="","",IF(ISNUMBER(INDEX(貼り付け!$A$1:$BZ$3001,2697,$B$1)),INT(INDEX(貼り付け!$A$1:$BZ$3001,2697,$B$1)),DATE(VALUE(LEFT(I2698,FIND("-",I2698)-1)),VALUE(LEFT(J2698,FIND("-",J2698)-1)),VALUE(MID(J2698,FIND("-",J2698)+1,99)))))),"")</f>
        <v/>
      </c>
      <c r="C2698">
        <f>IF($C$1=0,0,IFERROR(VALUE(SUBSTITUTE(SUBSTITUTE(SUBSTITUTE(INDEX(貼り付け!$A$1:$BZ$3001,2697,$C$1)&amp;"",",",""),"¥",""),"￥","")),0))</f>
        <v/>
      </c>
      <c r="D2698">
        <f>IF($D$1=0,0,IFERROR(VALUE(SUBSTITUTE(SUBSTITUTE(SUBSTITUTE(INDEX(貼り付け!$A$1:$BZ$3001,2697,$D$1)&amp;"",",",""),"¥",""),"￥","")),0))</f>
        <v/>
      </c>
      <c r="E2698">
        <f>IF($E$1=0,0,IFERROR(VALUE(SUBSTITUTE(SUBSTITUTE(SUBSTITUTE(INDEX(貼り付け!$A$1:$BZ$3001,2697,$E$1)&amp;"",",",""),"¥",""),"￥","")),0))</f>
        <v/>
      </c>
      <c r="F2698">
        <f>IF($F$1=0,0,IFERROR(VALUE(SUBSTITUTE(SUBSTITUTE(SUBSTITUTE(INDEX(貼り付け!$A$1:$BZ$3001,2697,$F$1)&amp;"",",",""),"¥",""),"￥","")),0))</f>
        <v/>
      </c>
      <c r="G2698">
        <f>IF(ISNUMBER(B2698),YEAR(B2698),"")</f>
        <v/>
      </c>
      <c r="H2698">
        <f>IF(ISNUMBER(B2698),MONTH(B2698),"")</f>
        <v/>
      </c>
      <c r="I2698">
        <f>IFERROR(IF($B$1=0,"",IF(ISNUMBER(INDEX(貼り付け!$A$1:$BZ$3001,2697,$B$1)),"",SUBSTITUTE(SUBSTITUTE(SUBSTITUTE(SUBSTITUTE(TRIM(LEFT(INDEX(貼り付け!$A$1:$BZ$3001,2697,$B$1)&amp;"",FIND(" ",TRIM(INDEX(貼り付け!$A$1:$BZ$3001,2697,$B$1)&amp;"")&amp;" ")-1)),"/","-"),"年","-"),"月","-"),"日",""))),"")</f>
        <v/>
      </c>
      <c r="J2698">
        <f>IFERROR(MID(I2698,FIND("-",I2698)+1,99),"")</f>
        <v/>
      </c>
    </row>
    <row r="2699">
      <c r="B2699">
        <f>IFERROR(IF($B$1=0,"",IF(INDEX(貼り付け!$A$1:$BZ$3001,2698,$B$1)="","",IF(ISNUMBER(INDEX(貼り付け!$A$1:$BZ$3001,2698,$B$1)),INT(INDEX(貼り付け!$A$1:$BZ$3001,2698,$B$1)),DATE(VALUE(LEFT(I2699,FIND("-",I2699)-1)),VALUE(LEFT(J2699,FIND("-",J2699)-1)),VALUE(MID(J2699,FIND("-",J2699)+1,99)))))),"")</f>
        <v/>
      </c>
      <c r="C2699">
        <f>IF($C$1=0,0,IFERROR(VALUE(SUBSTITUTE(SUBSTITUTE(SUBSTITUTE(INDEX(貼り付け!$A$1:$BZ$3001,2698,$C$1)&amp;"",",",""),"¥",""),"￥","")),0))</f>
        <v/>
      </c>
      <c r="D2699">
        <f>IF($D$1=0,0,IFERROR(VALUE(SUBSTITUTE(SUBSTITUTE(SUBSTITUTE(INDEX(貼り付け!$A$1:$BZ$3001,2698,$D$1)&amp;"",",",""),"¥",""),"￥","")),0))</f>
        <v/>
      </c>
      <c r="E2699">
        <f>IF($E$1=0,0,IFERROR(VALUE(SUBSTITUTE(SUBSTITUTE(SUBSTITUTE(INDEX(貼り付け!$A$1:$BZ$3001,2698,$E$1)&amp;"",",",""),"¥",""),"￥","")),0))</f>
        <v/>
      </c>
      <c r="F2699">
        <f>IF($F$1=0,0,IFERROR(VALUE(SUBSTITUTE(SUBSTITUTE(SUBSTITUTE(INDEX(貼り付け!$A$1:$BZ$3001,2698,$F$1)&amp;"",",",""),"¥",""),"￥","")),0))</f>
        <v/>
      </c>
      <c r="G2699">
        <f>IF(ISNUMBER(B2699),YEAR(B2699),"")</f>
        <v/>
      </c>
      <c r="H2699">
        <f>IF(ISNUMBER(B2699),MONTH(B2699),"")</f>
        <v/>
      </c>
      <c r="I2699">
        <f>IFERROR(IF($B$1=0,"",IF(ISNUMBER(INDEX(貼り付け!$A$1:$BZ$3001,2698,$B$1)),"",SUBSTITUTE(SUBSTITUTE(SUBSTITUTE(SUBSTITUTE(TRIM(LEFT(INDEX(貼り付け!$A$1:$BZ$3001,2698,$B$1)&amp;"",FIND(" ",TRIM(INDEX(貼り付け!$A$1:$BZ$3001,2698,$B$1)&amp;"")&amp;" ")-1)),"/","-"),"年","-"),"月","-"),"日",""))),"")</f>
        <v/>
      </c>
      <c r="J2699">
        <f>IFERROR(MID(I2699,FIND("-",I2699)+1,99),"")</f>
        <v/>
      </c>
    </row>
    <row r="2700">
      <c r="B2700">
        <f>IFERROR(IF($B$1=0,"",IF(INDEX(貼り付け!$A$1:$BZ$3001,2699,$B$1)="","",IF(ISNUMBER(INDEX(貼り付け!$A$1:$BZ$3001,2699,$B$1)),INT(INDEX(貼り付け!$A$1:$BZ$3001,2699,$B$1)),DATE(VALUE(LEFT(I2700,FIND("-",I2700)-1)),VALUE(LEFT(J2700,FIND("-",J2700)-1)),VALUE(MID(J2700,FIND("-",J2700)+1,99)))))),"")</f>
        <v/>
      </c>
      <c r="C2700">
        <f>IF($C$1=0,0,IFERROR(VALUE(SUBSTITUTE(SUBSTITUTE(SUBSTITUTE(INDEX(貼り付け!$A$1:$BZ$3001,2699,$C$1)&amp;"",",",""),"¥",""),"￥","")),0))</f>
        <v/>
      </c>
      <c r="D2700">
        <f>IF($D$1=0,0,IFERROR(VALUE(SUBSTITUTE(SUBSTITUTE(SUBSTITUTE(INDEX(貼り付け!$A$1:$BZ$3001,2699,$D$1)&amp;"",",",""),"¥",""),"￥","")),0))</f>
        <v/>
      </c>
      <c r="E2700">
        <f>IF($E$1=0,0,IFERROR(VALUE(SUBSTITUTE(SUBSTITUTE(SUBSTITUTE(INDEX(貼り付け!$A$1:$BZ$3001,2699,$E$1)&amp;"",",",""),"¥",""),"￥","")),0))</f>
        <v/>
      </c>
      <c r="F2700">
        <f>IF($F$1=0,0,IFERROR(VALUE(SUBSTITUTE(SUBSTITUTE(SUBSTITUTE(INDEX(貼り付け!$A$1:$BZ$3001,2699,$F$1)&amp;"",",",""),"¥",""),"￥","")),0))</f>
        <v/>
      </c>
      <c r="G2700">
        <f>IF(ISNUMBER(B2700),YEAR(B2700),"")</f>
        <v/>
      </c>
      <c r="H2700">
        <f>IF(ISNUMBER(B2700),MONTH(B2700),"")</f>
        <v/>
      </c>
      <c r="I2700">
        <f>IFERROR(IF($B$1=0,"",IF(ISNUMBER(INDEX(貼り付け!$A$1:$BZ$3001,2699,$B$1)),"",SUBSTITUTE(SUBSTITUTE(SUBSTITUTE(SUBSTITUTE(TRIM(LEFT(INDEX(貼り付け!$A$1:$BZ$3001,2699,$B$1)&amp;"",FIND(" ",TRIM(INDEX(貼り付け!$A$1:$BZ$3001,2699,$B$1)&amp;"")&amp;" ")-1)),"/","-"),"年","-"),"月","-"),"日",""))),"")</f>
        <v/>
      </c>
      <c r="J2700">
        <f>IFERROR(MID(I2700,FIND("-",I2700)+1,99),"")</f>
        <v/>
      </c>
    </row>
    <row r="2701">
      <c r="B2701">
        <f>IFERROR(IF($B$1=0,"",IF(INDEX(貼り付け!$A$1:$BZ$3001,2700,$B$1)="","",IF(ISNUMBER(INDEX(貼り付け!$A$1:$BZ$3001,2700,$B$1)),INT(INDEX(貼り付け!$A$1:$BZ$3001,2700,$B$1)),DATE(VALUE(LEFT(I2701,FIND("-",I2701)-1)),VALUE(LEFT(J2701,FIND("-",J2701)-1)),VALUE(MID(J2701,FIND("-",J2701)+1,99)))))),"")</f>
        <v/>
      </c>
      <c r="C2701">
        <f>IF($C$1=0,0,IFERROR(VALUE(SUBSTITUTE(SUBSTITUTE(SUBSTITUTE(INDEX(貼り付け!$A$1:$BZ$3001,2700,$C$1)&amp;"",",",""),"¥",""),"￥","")),0))</f>
        <v/>
      </c>
      <c r="D2701">
        <f>IF($D$1=0,0,IFERROR(VALUE(SUBSTITUTE(SUBSTITUTE(SUBSTITUTE(INDEX(貼り付け!$A$1:$BZ$3001,2700,$D$1)&amp;"",",",""),"¥",""),"￥","")),0))</f>
        <v/>
      </c>
      <c r="E2701">
        <f>IF($E$1=0,0,IFERROR(VALUE(SUBSTITUTE(SUBSTITUTE(SUBSTITUTE(INDEX(貼り付け!$A$1:$BZ$3001,2700,$E$1)&amp;"",",",""),"¥",""),"￥","")),0))</f>
        <v/>
      </c>
      <c r="F2701">
        <f>IF($F$1=0,0,IFERROR(VALUE(SUBSTITUTE(SUBSTITUTE(SUBSTITUTE(INDEX(貼り付け!$A$1:$BZ$3001,2700,$F$1)&amp;"",",",""),"¥",""),"￥","")),0))</f>
        <v/>
      </c>
      <c r="G2701">
        <f>IF(ISNUMBER(B2701),YEAR(B2701),"")</f>
        <v/>
      </c>
      <c r="H2701">
        <f>IF(ISNUMBER(B2701),MONTH(B2701),"")</f>
        <v/>
      </c>
      <c r="I2701">
        <f>IFERROR(IF($B$1=0,"",IF(ISNUMBER(INDEX(貼り付け!$A$1:$BZ$3001,2700,$B$1)),"",SUBSTITUTE(SUBSTITUTE(SUBSTITUTE(SUBSTITUTE(TRIM(LEFT(INDEX(貼り付け!$A$1:$BZ$3001,2700,$B$1)&amp;"",FIND(" ",TRIM(INDEX(貼り付け!$A$1:$BZ$3001,2700,$B$1)&amp;"")&amp;" ")-1)),"/","-"),"年","-"),"月","-"),"日",""))),"")</f>
        <v/>
      </c>
      <c r="J2701">
        <f>IFERROR(MID(I2701,FIND("-",I2701)+1,99),"")</f>
        <v/>
      </c>
    </row>
    <row r="2702">
      <c r="B2702">
        <f>IFERROR(IF($B$1=0,"",IF(INDEX(貼り付け!$A$1:$BZ$3001,2701,$B$1)="","",IF(ISNUMBER(INDEX(貼り付け!$A$1:$BZ$3001,2701,$B$1)),INT(INDEX(貼り付け!$A$1:$BZ$3001,2701,$B$1)),DATE(VALUE(LEFT(I2702,FIND("-",I2702)-1)),VALUE(LEFT(J2702,FIND("-",J2702)-1)),VALUE(MID(J2702,FIND("-",J2702)+1,99)))))),"")</f>
        <v/>
      </c>
      <c r="C2702">
        <f>IF($C$1=0,0,IFERROR(VALUE(SUBSTITUTE(SUBSTITUTE(SUBSTITUTE(INDEX(貼り付け!$A$1:$BZ$3001,2701,$C$1)&amp;"",",",""),"¥",""),"￥","")),0))</f>
        <v/>
      </c>
      <c r="D2702">
        <f>IF($D$1=0,0,IFERROR(VALUE(SUBSTITUTE(SUBSTITUTE(SUBSTITUTE(INDEX(貼り付け!$A$1:$BZ$3001,2701,$D$1)&amp;"",",",""),"¥",""),"￥","")),0))</f>
        <v/>
      </c>
      <c r="E2702">
        <f>IF($E$1=0,0,IFERROR(VALUE(SUBSTITUTE(SUBSTITUTE(SUBSTITUTE(INDEX(貼り付け!$A$1:$BZ$3001,2701,$E$1)&amp;"",",",""),"¥",""),"￥","")),0))</f>
        <v/>
      </c>
      <c r="F2702">
        <f>IF($F$1=0,0,IFERROR(VALUE(SUBSTITUTE(SUBSTITUTE(SUBSTITUTE(INDEX(貼り付け!$A$1:$BZ$3001,2701,$F$1)&amp;"",",",""),"¥",""),"￥","")),0))</f>
        <v/>
      </c>
      <c r="G2702">
        <f>IF(ISNUMBER(B2702),YEAR(B2702),"")</f>
        <v/>
      </c>
      <c r="H2702">
        <f>IF(ISNUMBER(B2702),MONTH(B2702),"")</f>
        <v/>
      </c>
      <c r="I2702">
        <f>IFERROR(IF($B$1=0,"",IF(ISNUMBER(INDEX(貼り付け!$A$1:$BZ$3001,2701,$B$1)),"",SUBSTITUTE(SUBSTITUTE(SUBSTITUTE(SUBSTITUTE(TRIM(LEFT(INDEX(貼り付け!$A$1:$BZ$3001,2701,$B$1)&amp;"",FIND(" ",TRIM(INDEX(貼り付け!$A$1:$BZ$3001,2701,$B$1)&amp;"")&amp;" ")-1)),"/","-"),"年","-"),"月","-"),"日",""))),"")</f>
        <v/>
      </c>
      <c r="J2702">
        <f>IFERROR(MID(I2702,FIND("-",I2702)+1,99),"")</f>
        <v/>
      </c>
    </row>
    <row r="2703">
      <c r="B2703">
        <f>IFERROR(IF($B$1=0,"",IF(INDEX(貼り付け!$A$1:$BZ$3001,2702,$B$1)="","",IF(ISNUMBER(INDEX(貼り付け!$A$1:$BZ$3001,2702,$B$1)),INT(INDEX(貼り付け!$A$1:$BZ$3001,2702,$B$1)),DATE(VALUE(LEFT(I2703,FIND("-",I2703)-1)),VALUE(LEFT(J2703,FIND("-",J2703)-1)),VALUE(MID(J2703,FIND("-",J2703)+1,99)))))),"")</f>
        <v/>
      </c>
      <c r="C2703">
        <f>IF($C$1=0,0,IFERROR(VALUE(SUBSTITUTE(SUBSTITUTE(SUBSTITUTE(INDEX(貼り付け!$A$1:$BZ$3001,2702,$C$1)&amp;"",",",""),"¥",""),"￥","")),0))</f>
        <v/>
      </c>
      <c r="D2703">
        <f>IF($D$1=0,0,IFERROR(VALUE(SUBSTITUTE(SUBSTITUTE(SUBSTITUTE(INDEX(貼り付け!$A$1:$BZ$3001,2702,$D$1)&amp;"",",",""),"¥",""),"￥","")),0))</f>
        <v/>
      </c>
      <c r="E2703">
        <f>IF($E$1=0,0,IFERROR(VALUE(SUBSTITUTE(SUBSTITUTE(SUBSTITUTE(INDEX(貼り付け!$A$1:$BZ$3001,2702,$E$1)&amp;"",",",""),"¥",""),"￥","")),0))</f>
        <v/>
      </c>
      <c r="F2703">
        <f>IF($F$1=0,0,IFERROR(VALUE(SUBSTITUTE(SUBSTITUTE(SUBSTITUTE(INDEX(貼り付け!$A$1:$BZ$3001,2702,$F$1)&amp;"",",",""),"¥",""),"￥","")),0))</f>
        <v/>
      </c>
      <c r="G2703">
        <f>IF(ISNUMBER(B2703),YEAR(B2703),"")</f>
        <v/>
      </c>
      <c r="H2703">
        <f>IF(ISNUMBER(B2703),MONTH(B2703),"")</f>
        <v/>
      </c>
      <c r="I2703">
        <f>IFERROR(IF($B$1=0,"",IF(ISNUMBER(INDEX(貼り付け!$A$1:$BZ$3001,2702,$B$1)),"",SUBSTITUTE(SUBSTITUTE(SUBSTITUTE(SUBSTITUTE(TRIM(LEFT(INDEX(貼り付け!$A$1:$BZ$3001,2702,$B$1)&amp;"",FIND(" ",TRIM(INDEX(貼り付け!$A$1:$BZ$3001,2702,$B$1)&amp;"")&amp;" ")-1)),"/","-"),"年","-"),"月","-"),"日",""))),"")</f>
        <v/>
      </c>
      <c r="J2703">
        <f>IFERROR(MID(I2703,FIND("-",I2703)+1,99),"")</f>
        <v/>
      </c>
    </row>
    <row r="2704">
      <c r="B2704">
        <f>IFERROR(IF($B$1=0,"",IF(INDEX(貼り付け!$A$1:$BZ$3001,2703,$B$1)="","",IF(ISNUMBER(INDEX(貼り付け!$A$1:$BZ$3001,2703,$B$1)),INT(INDEX(貼り付け!$A$1:$BZ$3001,2703,$B$1)),DATE(VALUE(LEFT(I2704,FIND("-",I2704)-1)),VALUE(LEFT(J2704,FIND("-",J2704)-1)),VALUE(MID(J2704,FIND("-",J2704)+1,99)))))),"")</f>
        <v/>
      </c>
      <c r="C2704">
        <f>IF($C$1=0,0,IFERROR(VALUE(SUBSTITUTE(SUBSTITUTE(SUBSTITUTE(INDEX(貼り付け!$A$1:$BZ$3001,2703,$C$1)&amp;"",",",""),"¥",""),"￥","")),0))</f>
        <v/>
      </c>
      <c r="D2704">
        <f>IF($D$1=0,0,IFERROR(VALUE(SUBSTITUTE(SUBSTITUTE(SUBSTITUTE(INDEX(貼り付け!$A$1:$BZ$3001,2703,$D$1)&amp;"",",",""),"¥",""),"￥","")),0))</f>
        <v/>
      </c>
      <c r="E2704">
        <f>IF($E$1=0,0,IFERROR(VALUE(SUBSTITUTE(SUBSTITUTE(SUBSTITUTE(INDEX(貼り付け!$A$1:$BZ$3001,2703,$E$1)&amp;"",",",""),"¥",""),"￥","")),0))</f>
        <v/>
      </c>
      <c r="F2704">
        <f>IF($F$1=0,0,IFERROR(VALUE(SUBSTITUTE(SUBSTITUTE(SUBSTITUTE(INDEX(貼り付け!$A$1:$BZ$3001,2703,$F$1)&amp;"",",",""),"¥",""),"￥","")),0))</f>
        <v/>
      </c>
      <c r="G2704">
        <f>IF(ISNUMBER(B2704),YEAR(B2704),"")</f>
        <v/>
      </c>
      <c r="H2704">
        <f>IF(ISNUMBER(B2704),MONTH(B2704),"")</f>
        <v/>
      </c>
      <c r="I2704">
        <f>IFERROR(IF($B$1=0,"",IF(ISNUMBER(INDEX(貼り付け!$A$1:$BZ$3001,2703,$B$1)),"",SUBSTITUTE(SUBSTITUTE(SUBSTITUTE(SUBSTITUTE(TRIM(LEFT(INDEX(貼り付け!$A$1:$BZ$3001,2703,$B$1)&amp;"",FIND(" ",TRIM(INDEX(貼り付け!$A$1:$BZ$3001,2703,$B$1)&amp;"")&amp;" ")-1)),"/","-"),"年","-"),"月","-"),"日",""))),"")</f>
        <v/>
      </c>
      <c r="J2704">
        <f>IFERROR(MID(I2704,FIND("-",I2704)+1,99),"")</f>
        <v/>
      </c>
    </row>
    <row r="2705">
      <c r="B2705">
        <f>IFERROR(IF($B$1=0,"",IF(INDEX(貼り付け!$A$1:$BZ$3001,2704,$B$1)="","",IF(ISNUMBER(INDEX(貼り付け!$A$1:$BZ$3001,2704,$B$1)),INT(INDEX(貼り付け!$A$1:$BZ$3001,2704,$B$1)),DATE(VALUE(LEFT(I2705,FIND("-",I2705)-1)),VALUE(LEFT(J2705,FIND("-",J2705)-1)),VALUE(MID(J2705,FIND("-",J2705)+1,99)))))),"")</f>
        <v/>
      </c>
      <c r="C2705">
        <f>IF($C$1=0,0,IFERROR(VALUE(SUBSTITUTE(SUBSTITUTE(SUBSTITUTE(INDEX(貼り付け!$A$1:$BZ$3001,2704,$C$1)&amp;"",",",""),"¥",""),"￥","")),0))</f>
        <v/>
      </c>
      <c r="D2705">
        <f>IF($D$1=0,0,IFERROR(VALUE(SUBSTITUTE(SUBSTITUTE(SUBSTITUTE(INDEX(貼り付け!$A$1:$BZ$3001,2704,$D$1)&amp;"",",",""),"¥",""),"￥","")),0))</f>
        <v/>
      </c>
      <c r="E2705">
        <f>IF($E$1=0,0,IFERROR(VALUE(SUBSTITUTE(SUBSTITUTE(SUBSTITUTE(INDEX(貼り付け!$A$1:$BZ$3001,2704,$E$1)&amp;"",",",""),"¥",""),"￥","")),0))</f>
        <v/>
      </c>
      <c r="F2705">
        <f>IF($F$1=0,0,IFERROR(VALUE(SUBSTITUTE(SUBSTITUTE(SUBSTITUTE(INDEX(貼り付け!$A$1:$BZ$3001,2704,$F$1)&amp;"",",",""),"¥",""),"￥","")),0))</f>
        <v/>
      </c>
      <c r="G2705">
        <f>IF(ISNUMBER(B2705),YEAR(B2705),"")</f>
        <v/>
      </c>
      <c r="H2705">
        <f>IF(ISNUMBER(B2705),MONTH(B2705),"")</f>
        <v/>
      </c>
      <c r="I2705">
        <f>IFERROR(IF($B$1=0,"",IF(ISNUMBER(INDEX(貼り付け!$A$1:$BZ$3001,2704,$B$1)),"",SUBSTITUTE(SUBSTITUTE(SUBSTITUTE(SUBSTITUTE(TRIM(LEFT(INDEX(貼り付け!$A$1:$BZ$3001,2704,$B$1)&amp;"",FIND(" ",TRIM(INDEX(貼り付け!$A$1:$BZ$3001,2704,$B$1)&amp;"")&amp;" ")-1)),"/","-"),"年","-"),"月","-"),"日",""))),"")</f>
        <v/>
      </c>
      <c r="J2705">
        <f>IFERROR(MID(I2705,FIND("-",I2705)+1,99),"")</f>
        <v/>
      </c>
    </row>
    <row r="2706">
      <c r="B2706">
        <f>IFERROR(IF($B$1=0,"",IF(INDEX(貼り付け!$A$1:$BZ$3001,2705,$B$1)="","",IF(ISNUMBER(INDEX(貼り付け!$A$1:$BZ$3001,2705,$B$1)),INT(INDEX(貼り付け!$A$1:$BZ$3001,2705,$B$1)),DATE(VALUE(LEFT(I2706,FIND("-",I2706)-1)),VALUE(LEFT(J2706,FIND("-",J2706)-1)),VALUE(MID(J2706,FIND("-",J2706)+1,99)))))),"")</f>
        <v/>
      </c>
      <c r="C2706">
        <f>IF($C$1=0,0,IFERROR(VALUE(SUBSTITUTE(SUBSTITUTE(SUBSTITUTE(INDEX(貼り付け!$A$1:$BZ$3001,2705,$C$1)&amp;"",",",""),"¥",""),"￥","")),0))</f>
        <v/>
      </c>
      <c r="D2706">
        <f>IF($D$1=0,0,IFERROR(VALUE(SUBSTITUTE(SUBSTITUTE(SUBSTITUTE(INDEX(貼り付け!$A$1:$BZ$3001,2705,$D$1)&amp;"",",",""),"¥",""),"￥","")),0))</f>
        <v/>
      </c>
      <c r="E2706">
        <f>IF($E$1=0,0,IFERROR(VALUE(SUBSTITUTE(SUBSTITUTE(SUBSTITUTE(INDEX(貼り付け!$A$1:$BZ$3001,2705,$E$1)&amp;"",",",""),"¥",""),"￥","")),0))</f>
        <v/>
      </c>
      <c r="F2706">
        <f>IF($F$1=0,0,IFERROR(VALUE(SUBSTITUTE(SUBSTITUTE(SUBSTITUTE(INDEX(貼り付け!$A$1:$BZ$3001,2705,$F$1)&amp;"",",",""),"¥",""),"￥","")),0))</f>
        <v/>
      </c>
      <c r="G2706">
        <f>IF(ISNUMBER(B2706),YEAR(B2706),"")</f>
        <v/>
      </c>
      <c r="H2706">
        <f>IF(ISNUMBER(B2706),MONTH(B2706),"")</f>
        <v/>
      </c>
      <c r="I2706">
        <f>IFERROR(IF($B$1=0,"",IF(ISNUMBER(INDEX(貼り付け!$A$1:$BZ$3001,2705,$B$1)),"",SUBSTITUTE(SUBSTITUTE(SUBSTITUTE(SUBSTITUTE(TRIM(LEFT(INDEX(貼り付け!$A$1:$BZ$3001,2705,$B$1)&amp;"",FIND(" ",TRIM(INDEX(貼り付け!$A$1:$BZ$3001,2705,$B$1)&amp;"")&amp;" ")-1)),"/","-"),"年","-"),"月","-"),"日",""))),"")</f>
        <v/>
      </c>
      <c r="J2706">
        <f>IFERROR(MID(I2706,FIND("-",I2706)+1,99),"")</f>
        <v/>
      </c>
    </row>
    <row r="2707">
      <c r="B2707">
        <f>IFERROR(IF($B$1=0,"",IF(INDEX(貼り付け!$A$1:$BZ$3001,2706,$B$1)="","",IF(ISNUMBER(INDEX(貼り付け!$A$1:$BZ$3001,2706,$B$1)),INT(INDEX(貼り付け!$A$1:$BZ$3001,2706,$B$1)),DATE(VALUE(LEFT(I2707,FIND("-",I2707)-1)),VALUE(LEFT(J2707,FIND("-",J2707)-1)),VALUE(MID(J2707,FIND("-",J2707)+1,99)))))),"")</f>
        <v/>
      </c>
      <c r="C2707">
        <f>IF($C$1=0,0,IFERROR(VALUE(SUBSTITUTE(SUBSTITUTE(SUBSTITUTE(INDEX(貼り付け!$A$1:$BZ$3001,2706,$C$1)&amp;"",",",""),"¥",""),"￥","")),0))</f>
        <v/>
      </c>
      <c r="D2707">
        <f>IF($D$1=0,0,IFERROR(VALUE(SUBSTITUTE(SUBSTITUTE(SUBSTITUTE(INDEX(貼り付け!$A$1:$BZ$3001,2706,$D$1)&amp;"",",",""),"¥",""),"￥","")),0))</f>
        <v/>
      </c>
      <c r="E2707">
        <f>IF($E$1=0,0,IFERROR(VALUE(SUBSTITUTE(SUBSTITUTE(SUBSTITUTE(INDEX(貼り付け!$A$1:$BZ$3001,2706,$E$1)&amp;"",",",""),"¥",""),"￥","")),0))</f>
        <v/>
      </c>
      <c r="F2707">
        <f>IF($F$1=0,0,IFERROR(VALUE(SUBSTITUTE(SUBSTITUTE(SUBSTITUTE(INDEX(貼り付け!$A$1:$BZ$3001,2706,$F$1)&amp;"",",",""),"¥",""),"￥","")),0))</f>
        <v/>
      </c>
      <c r="G2707">
        <f>IF(ISNUMBER(B2707),YEAR(B2707),"")</f>
        <v/>
      </c>
      <c r="H2707">
        <f>IF(ISNUMBER(B2707),MONTH(B2707),"")</f>
        <v/>
      </c>
      <c r="I2707">
        <f>IFERROR(IF($B$1=0,"",IF(ISNUMBER(INDEX(貼り付け!$A$1:$BZ$3001,2706,$B$1)),"",SUBSTITUTE(SUBSTITUTE(SUBSTITUTE(SUBSTITUTE(TRIM(LEFT(INDEX(貼り付け!$A$1:$BZ$3001,2706,$B$1)&amp;"",FIND(" ",TRIM(INDEX(貼り付け!$A$1:$BZ$3001,2706,$B$1)&amp;"")&amp;" ")-1)),"/","-"),"年","-"),"月","-"),"日",""))),"")</f>
        <v/>
      </c>
      <c r="J2707">
        <f>IFERROR(MID(I2707,FIND("-",I2707)+1,99),"")</f>
        <v/>
      </c>
    </row>
    <row r="2708">
      <c r="B2708">
        <f>IFERROR(IF($B$1=0,"",IF(INDEX(貼り付け!$A$1:$BZ$3001,2707,$B$1)="","",IF(ISNUMBER(INDEX(貼り付け!$A$1:$BZ$3001,2707,$B$1)),INT(INDEX(貼り付け!$A$1:$BZ$3001,2707,$B$1)),DATE(VALUE(LEFT(I2708,FIND("-",I2708)-1)),VALUE(LEFT(J2708,FIND("-",J2708)-1)),VALUE(MID(J2708,FIND("-",J2708)+1,99)))))),"")</f>
        <v/>
      </c>
      <c r="C2708">
        <f>IF($C$1=0,0,IFERROR(VALUE(SUBSTITUTE(SUBSTITUTE(SUBSTITUTE(INDEX(貼り付け!$A$1:$BZ$3001,2707,$C$1)&amp;"",",",""),"¥",""),"￥","")),0))</f>
        <v/>
      </c>
      <c r="D2708">
        <f>IF($D$1=0,0,IFERROR(VALUE(SUBSTITUTE(SUBSTITUTE(SUBSTITUTE(INDEX(貼り付け!$A$1:$BZ$3001,2707,$D$1)&amp;"",",",""),"¥",""),"￥","")),0))</f>
        <v/>
      </c>
      <c r="E2708">
        <f>IF($E$1=0,0,IFERROR(VALUE(SUBSTITUTE(SUBSTITUTE(SUBSTITUTE(INDEX(貼り付け!$A$1:$BZ$3001,2707,$E$1)&amp;"",",",""),"¥",""),"￥","")),0))</f>
        <v/>
      </c>
      <c r="F2708">
        <f>IF($F$1=0,0,IFERROR(VALUE(SUBSTITUTE(SUBSTITUTE(SUBSTITUTE(INDEX(貼り付け!$A$1:$BZ$3001,2707,$F$1)&amp;"",",",""),"¥",""),"￥","")),0))</f>
        <v/>
      </c>
      <c r="G2708">
        <f>IF(ISNUMBER(B2708),YEAR(B2708),"")</f>
        <v/>
      </c>
      <c r="H2708">
        <f>IF(ISNUMBER(B2708),MONTH(B2708),"")</f>
        <v/>
      </c>
      <c r="I2708">
        <f>IFERROR(IF($B$1=0,"",IF(ISNUMBER(INDEX(貼り付け!$A$1:$BZ$3001,2707,$B$1)),"",SUBSTITUTE(SUBSTITUTE(SUBSTITUTE(SUBSTITUTE(TRIM(LEFT(INDEX(貼り付け!$A$1:$BZ$3001,2707,$B$1)&amp;"",FIND(" ",TRIM(INDEX(貼り付け!$A$1:$BZ$3001,2707,$B$1)&amp;"")&amp;" ")-1)),"/","-"),"年","-"),"月","-"),"日",""))),"")</f>
        <v/>
      </c>
      <c r="J2708">
        <f>IFERROR(MID(I2708,FIND("-",I2708)+1,99),"")</f>
        <v/>
      </c>
    </row>
    <row r="2709">
      <c r="B2709">
        <f>IFERROR(IF($B$1=0,"",IF(INDEX(貼り付け!$A$1:$BZ$3001,2708,$B$1)="","",IF(ISNUMBER(INDEX(貼り付け!$A$1:$BZ$3001,2708,$B$1)),INT(INDEX(貼り付け!$A$1:$BZ$3001,2708,$B$1)),DATE(VALUE(LEFT(I2709,FIND("-",I2709)-1)),VALUE(LEFT(J2709,FIND("-",J2709)-1)),VALUE(MID(J2709,FIND("-",J2709)+1,99)))))),"")</f>
        <v/>
      </c>
      <c r="C2709">
        <f>IF($C$1=0,0,IFERROR(VALUE(SUBSTITUTE(SUBSTITUTE(SUBSTITUTE(INDEX(貼り付け!$A$1:$BZ$3001,2708,$C$1)&amp;"",",",""),"¥",""),"￥","")),0))</f>
        <v/>
      </c>
      <c r="D2709">
        <f>IF($D$1=0,0,IFERROR(VALUE(SUBSTITUTE(SUBSTITUTE(SUBSTITUTE(INDEX(貼り付け!$A$1:$BZ$3001,2708,$D$1)&amp;"",",",""),"¥",""),"￥","")),0))</f>
        <v/>
      </c>
      <c r="E2709">
        <f>IF($E$1=0,0,IFERROR(VALUE(SUBSTITUTE(SUBSTITUTE(SUBSTITUTE(INDEX(貼り付け!$A$1:$BZ$3001,2708,$E$1)&amp;"",",",""),"¥",""),"￥","")),0))</f>
        <v/>
      </c>
      <c r="F2709">
        <f>IF($F$1=0,0,IFERROR(VALUE(SUBSTITUTE(SUBSTITUTE(SUBSTITUTE(INDEX(貼り付け!$A$1:$BZ$3001,2708,$F$1)&amp;"",",",""),"¥",""),"￥","")),0))</f>
        <v/>
      </c>
      <c r="G2709">
        <f>IF(ISNUMBER(B2709),YEAR(B2709),"")</f>
        <v/>
      </c>
      <c r="H2709">
        <f>IF(ISNUMBER(B2709),MONTH(B2709),"")</f>
        <v/>
      </c>
      <c r="I2709">
        <f>IFERROR(IF($B$1=0,"",IF(ISNUMBER(INDEX(貼り付け!$A$1:$BZ$3001,2708,$B$1)),"",SUBSTITUTE(SUBSTITUTE(SUBSTITUTE(SUBSTITUTE(TRIM(LEFT(INDEX(貼り付け!$A$1:$BZ$3001,2708,$B$1)&amp;"",FIND(" ",TRIM(INDEX(貼り付け!$A$1:$BZ$3001,2708,$B$1)&amp;"")&amp;" ")-1)),"/","-"),"年","-"),"月","-"),"日",""))),"")</f>
        <v/>
      </c>
      <c r="J2709">
        <f>IFERROR(MID(I2709,FIND("-",I2709)+1,99),"")</f>
        <v/>
      </c>
    </row>
    <row r="2710">
      <c r="B2710">
        <f>IFERROR(IF($B$1=0,"",IF(INDEX(貼り付け!$A$1:$BZ$3001,2709,$B$1)="","",IF(ISNUMBER(INDEX(貼り付け!$A$1:$BZ$3001,2709,$B$1)),INT(INDEX(貼り付け!$A$1:$BZ$3001,2709,$B$1)),DATE(VALUE(LEFT(I2710,FIND("-",I2710)-1)),VALUE(LEFT(J2710,FIND("-",J2710)-1)),VALUE(MID(J2710,FIND("-",J2710)+1,99)))))),"")</f>
        <v/>
      </c>
      <c r="C2710">
        <f>IF($C$1=0,0,IFERROR(VALUE(SUBSTITUTE(SUBSTITUTE(SUBSTITUTE(INDEX(貼り付け!$A$1:$BZ$3001,2709,$C$1)&amp;"",",",""),"¥",""),"￥","")),0))</f>
        <v/>
      </c>
      <c r="D2710">
        <f>IF($D$1=0,0,IFERROR(VALUE(SUBSTITUTE(SUBSTITUTE(SUBSTITUTE(INDEX(貼り付け!$A$1:$BZ$3001,2709,$D$1)&amp;"",",",""),"¥",""),"￥","")),0))</f>
        <v/>
      </c>
      <c r="E2710">
        <f>IF($E$1=0,0,IFERROR(VALUE(SUBSTITUTE(SUBSTITUTE(SUBSTITUTE(INDEX(貼り付け!$A$1:$BZ$3001,2709,$E$1)&amp;"",",",""),"¥",""),"￥","")),0))</f>
        <v/>
      </c>
      <c r="F2710">
        <f>IF($F$1=0,0,IFERROR(VALUE(SUBSTITUTE(SUBSTITUTE(SUBSTITUTE(INDEX(貼り付け!$A$1:$BZ$3001,2709,$F$1)&amp;"",",",""),"¥",""),"￥","")),0))</f>
        <v/>
      </c>
      <c r="G2710">
        <f>IF(ISNUMBER(B2710),YEAR(B2710),"")</f>
        <v/>
      </c>
      <c r="H2710">
        <f>IF(ISNUMBER(B2710),MONTH(B2710),"")</f>
        <v/>
      </c>
      <c r="I2710">
        <f>IFERROR(IF($B$1=0,"",IF(ISNUMBER(INDEX(貼り付け!$A$1:$BZ$3001,2709,$B$1)),"",SUBSTITUTE(SUBSTITUTE(SUBSTITUTE(SUBSTITUTE(TRIM(LEFT(INDEX(貼り付け!$A$1:$BZ$3001,2709,$B$1)&amp;"",FIND(" ",TRIM(INDEX(貼り付け!$A$1:$BZ$3001,2709,$B$1)&amp;"")&amp;" ")-1)),"/","-"),"年","-"),"月","-"),"日",""))),"")</f>
        <v/>
      </c>
      <c r="J2710">
        <f>IFERROR(MID(I2710,FIND("-",I2710)+1,99),"")</f>
        <v/>
      </c>
    </row>
    <row r="2711">
      <c r="B2711">
        <f>IFERROR(IF($B$1=0,"",IF(INDEX(貼り付け!$A$1:$BZ$3001,2710,$B$1)="","",IF(ISNUMBER(INDEX(貼り付け!$A$1:$BZ$3001,2710,$B$1)),INT(INDEX(貼り付け!$A$1:$BZ$3001,2710,$B$1)),DATE(VALUE(LEFT(I2711,FIND("-",I2711)-1)),VALUE(LEFT(J2711,FIND("-",J2711)-1)),VALUE(MID(J2711,FIND("-",J2711)+1,99)))))),"")</f>
        <v/>
      </c>
      <c r="C2711">
        <f>IF($C$1=0,0,IFERROR(VALUE(SUBSTITUTE(SUBSTITUTE(SUBSTITUTE(INDEX(貼り付け!$A$1:$BZ$3001,2710,$C$1)&amp;"",",",""),"¥",""),"￥","")),0))</f>
        <v/>
      </c>
      <c r="D2711">
        <f>IF($D$1=0,0,IFERROR(VALUE(SUBSTITUTE(SUBSTITUTE(SUBSTITUTE(INDEX(貼り付け!$A$1:$BZ$3001,2710,$D$1)&amp;"",",",""),"¥",""),"￥","")),0))</f>
        <v/>
      </c>
      <c r="E2711">
        <f>IF($E$1=0,0,IFERROR(VALUE(SUBSTITUTE(SUBSTITUTE(SUBSTITUTE(INDEX(貼り付け!$A$1:$BZ$3001,2710,$E$1)&amp;"",",",""),"¥",""),"￥","")),0))</f>
        <v/>
      </c>
      <c r="F2711">
        <f>IF($F$1=0,0,IFERROR(VALUE(SUBSTITUTE(SUBSTITUTE(SUBSTITUTE(INDEX(貼り付け!$A$1:$BZ$3001,2710,$F$1)&amp;"",",",""),"¥",""),"￥","")),0))</f>
        <v/>
      </c>
      <c r="G2711">
        <f>IF(ISNUMBER(B2711),YEAR(B2711),"")</f>
        <v/>
      </c>
      <c r="H2711">
        <f>IF(ISNUMBER(B2711),MONTH(B2711),"")</f>
        <v/>
      </c>
      <c r="I2711">
        <f>IFERROR(IF($B$1=0,"",IF(ISNUMBER(INDEX(貼り付け!$A$1:$BZ$3001,2710,$B$1)),"",SUBSTITUTE(SUBSTITUTE(SUBSTITUTE(SUBSTITUTE(TRIM(LEFT(INDEX(貼り付け!$A$1:$BZ$3001,2710,$B$1)&amp;"",FIND(" ",TRIM(INDEX(貼り付け!$A$1:$BZ$3001,2710,$B$1)&amp;"")&amp;" ")-1)),"/","-"),"年","-"),"月","-"),"日",""))),"")</f>
        <v/>
      </c>
      <c r="J2711">
        <f>IFERROR(MID(I2711,FIND("-",I2711)+1,99),"")</f>
        <v/>
      </c>
    </row>
    <row r="2712">
      <c r="B2712">
        <f>IFERROR(IF($B$1=0,"",IF(INDEX(貼り付け!$A$1:$BZ$3001,2711,$B$1)="","",IF(ISNUMBER(INDEX(貼り付け!$A$1:$BZ$3001,2711,$B$1)),INT(INDEX(貼り付け!$A$1:$BZ$3001,2711,$B$1)),DATE(VALUE(LEFT(I2712,FIND("-",I2712)-1)),VALUE(LEFT(J2712,FIND("-",J2712)-1)),VALUE(MID(J2712,FIND("-",J2712)+1,99)))))),"")</f>
        <v/>
      </c>
      <c r="C2712">
        <f>IF($C$1=0,0,IFERROR(VALUE(SUBSTITUTE(SUBSTITUTE(SUBSTITUTE(INDEX(貼り付け!$A$1:$BZ$3001,2711,$C$1)&amp;"",",",""),"¥",""),"￥","")),0))</f>
        <v/>
      </c>
      <c r="D2712">
        <f>IF($D$1=0,0,IFERROR(VALUE(SUBSTITUTE(SUBSTITUTE(SUBSTITUTE(INDEX(貼り付け!$A$1:$BZ$3001,2711,$D$1)&amp;"",",",""),"¥",""),"￥","")),0))</f>
        <v/>
      </c>
      <c r="E2712">
        <f>IF($E$1=0,0,IFERROR(VALUE(SUBSTITUTE(SUBSTITUTE(SUBSTITUTE(INDEX(貼り付け!$A$1:$BZ$3001,2711,$E$1)&amp;"",",",""),"¥",""),"￥","")),0))</f>
        <v/>
      </c>
      <c r="F2712">
        <f>IF($F$1=0,0,IFERROR(VALUE(SUBSTITUTE(SUBSTITUTE(SUBSTITUTE(INDEX(貼り付け!$A$1:$BZ$3001,2711,$F$1)&amp;"",",",""),"¥",""),"￥","")),0))</f>
        <v/>
      </c>
      <c r="G2712">
        <f>IF(ISNUMBER(B2712),YEAR(B2712),"")</f>
        <v/>
      </c>
      <c r="H2712">
        <f>IF(ISNUMBER(B2712),MONTH(B2712),"")</f>
        <v/>
      </c>
      <c r="I2712">
        <f>IFERROR(IF($B$1=0,"",IF(ISNUMBER(INDEX(貼り付け!$A$1:$BZ$3001,2711,$B$1)),"",SUBSTITUTE(SUBSTITUTE(SUBSTITUTE(SUBSTITUTE(TRIM(LEFT(INDEX(貼り付け!$A$1:$BZ$3001,2711,$B$1)&amp;"",FIND(" ",TRIM(INDEX(貼り付け!$A$1:$BZ$3001,2711,$B$1)&amp;"")&amp;" ")-1)),"/","-"),"年","-"),"月","-"),"日",""))),"")</f>
        <v/>
      </c>
      <c r="J2712">
        <f>IFERROR(MID(I2712,FIND("-",I2712)+1,99),"")</f>
        <v/>
      </c>
    </row>
    <row r="2713">
      <c r="B2713">
        <f>IFERROR(IF($B$1=0,"",IF(INDEX(貼り付け!$A$1:$BZ$3001,2712,$B$1)="","",IF(ISNUMBER(INDEX(貼り付け!$A$1:$BZ$3001,2712,$B$1)),INT(INDEX(貼り付け!$A$1:$BZ$3001,2712,$B$1)),DATE(VALUE(LEFT(I2713,FIND("-",I2713)-1)),VALUE(LEFT(J2713,FIND("-",J2713)-1)),VALUE(MID(J2713,FIND("-",J2713)+1,99)))))),"")</f>
        <v/>
      </c>
      <c r="C2713">
        <f>IF($C$1=0,0,IFERROR(VALUE(SUBSTITUTE(SUBSTITUTE(SUBSTITUTE(INDEX(貼り付け!$A$1:$BZ$3001,2712,$C$1)&amp;"",",",""),"¥",""),"￥","")),0))</f>
        <v/>
      </c>
      <c r="D2713">
        <f>IF($D$1=0,0,IFERROR(VALUE(SUBSTITUTE(SUBSTITUTE(SUBSTITUTE(INDEX(貼り付け!$A$1:$BZ$3001,2712,$D$1)&amp;"",",",""),"¥",""),"￥","")),0))</f>
        <v/>
      </c>
      <c r="E2713">
        <f>IF($E$1=0,0,IFERROR(VALUE(SUBSTITUTE(SUBSTITUTE(SUBSTITUTE(INDEX(貼り付け!$A$1:$BZ$3001,2712,$E$1)&amp;"",",",""),"¥",""),"￥","")),0))</f>
        <v/>
      </c>
      <c r="F2713">
        <f>IF($F$1=0,0,IFERROR(VALUE(SUBSTITUTE(SUBSTITUTE(SUBSTITUTE(INDEX(貼り付け!$A$1:$BZ$3001,2712,$F$1)&amp;"",",",""),"¥",""),"￥","")),0))</f>
        <v/>
      </c>
      <c r="G2713">
        <f>IF(ISNUMBER(B2713),YEAR(B2713),"")</f>
        <v/>
      </c>
      <c r="H2713">
        <f>IF(ISNUMBER(B2713),MONTH(B2713),"")</f>
        <v/>
      </c>
      <c r="I2713">
        <f>IFERROR(IF($B$1=0,"",IF(ISNUMBER(INDEX(貼り付け!$A$1:$BZ$3001,2712,$B$1)),"",SUBSTITUTE(SUBSTITUTE(SUBSTITUTE(SUBSTITUTE(TRIM(LEFT(INDEX(貼り付け!$A$1:$BZ$3001,2712,$B$1)&amp;"",FIND(" ",TRIM(INDEX(貼り付け!$A$1:$BZ$3001,2712,$B$1)&amp;"")&amp;" ")-1)),"/","-"),"年","-"),"月","-"),"日",""))),"")</f>
        <v/>
      </c>
      <c r="J2713">
        <f>IFERROR(MID(I2713,FIND("-",I2713)+1,99),"")</f>
        <v/>
      </c>
    </row>
    <row r="2714">
      <c r="B2714">
        <f>IFERROR(IF($B$1=0,"",IF(INDEX(貼り付け!$A$1:$BZ$3001,2713,$B$1)="","",IF(ISNUMBER(INDEX(貼り付け!$A$1:$BZ$3001,2713,$B$1)),INT(INDEX(貼り付け!$A$1:$BZ$3001,2713,$B$1)),DATE(VALUE(LEFT(I2714,FIND("-",I2714)-1)),VALUE(LEFT(J2714,FIND("-",J2714)-1)),VALUE(MID(J2714,FIND("-",J2714)+1,99)))))),"")</f>
        <v/>
      </c>
      <c r="C2714">
        <f>IF($C$1=0,0,IFERROR(VALUE(SUBSTITUTE(SUBSTITUTE(SUBSTITUTE(INDEX(貼り付け!$A$1:$BZ$3001,2713,$C$1)&amp;"",",",""),"¥",""),"￥","")),0))</f>
        <v/>
      </c>
      <c r="D2714">
        <f>IF($D$1=0,0,IFERROR(VALUE(SUBSTITUTE(SUBSTITUTE(SUBSTITUTE(INDEX(貼り付け!$A$1:$BZ$3001,2713,$D$1)&amp;"",",",""),"¥",""),"￥","")),0))</f>
        <v/>
      </c>
      <c r="E2714">
        <f>IF($E$1=0,0,IFERROR(VALUE(SUBSTITUTE(SUBSTITUTE(SUBSTITUTE(INDEX(貼り付け!$A$1:$BZ$3001,2713,$E$1)&amp;"",",",""),"¥",""),"￥","")),0))</f>
        <v/>
      </c>
      <c r="F2714">
        <f>IF($F$1=0,0,IFERROR(VALUE(SUBSTITUTE(SUBSTITUTE(SUBSTITUTE(INDEX(貼り付け!$A$1:$BZ$3001,2713,$F$1)&amp;"",",",""),"¥",""),"￥","")),0))</f>
        <v/>
      </c>
      <c r="G2714">
        <f>IF(ISNUMBER(B2714),YEAR(B2714),"")</f>
        <v/>
      </c>
      <c r="H2714">
        <f>IF(ISNUMBER(B2714),MONTH(B2714),"")</f>
        <v/>
      </c>
      <c r="I2714">
        <f>IFERROR(IF($B$1=0,"",IF(ISNUMBER(INDEX(貼り付け!$A$1:$BZ$3001,2713,$B$1)),"",SUBSTITUTE(SUBSTITUTE(SUBSTITUTE(SUBSTITUTE(TRIM(LEFT(INDEX(貼り付け!$A$1:$BZ$3001,2713,$B$1)&amp;"",FIND(" ",TRIM(INDEX(貼り付け!$A$1:$BZ$3001,2713,$B$1)&amp;"")&amp;" ")-1)),"/","-"),"年","-"),"月","-"),"日",""))),"")</f>
        <v/>
      </c>
      <c r="J2714">
        <f>IFERROR(MID(I2714,FIND("-",I2714)+1,99),"")</f>
        <v/>
      </c>
    </row>
    <row r="2715">
      <c r="B2715">
        <f>IFERROR(IF($B$1=0,"",IF(INDEX(貼り付け!$A$1:$BZ$3001,2714,$B$1)="","",IF(ISNUMBER(INDEX(貼り付け!$A$1:$BZ$3001,2714,$B$1)),INT(INDEX(貼り付け!$A$1:$BZ$3001,2714,$B$1)),DATE(VALUE(LEFT(I2715,FIND("-",I2715)-1)),VALUE(LEFT(J2715,FIND("-",J2715)-1)),VALUE(MID(J2715,FIND("-",J2715)+1,99)))))),"")</f>
        <v/>
      </c>
      <c r="C2715">
        <f>IF($C$1=0,0,IFERROR(VALUE(SUBSTITUTE(SUBSTITUTE(SUBSTITUTE(INDEX(貼り付け!$A$1:$BZ$3001,2714,$C$1)&amp;"",",",""),"¥",""),"￥","")),0))</f>
        <v/>
      </c>
      <c r="D2715">
        <f>IF($D$1=0,0,IFERROR(VALUE(SUBSTITUTE(SUBSTITUTE(SUBSTITUTE(INDEX(貼り付け!$A$1:$BZ$3001,2714,$D$1)&amp;"",",",""),"¥",""),"￥","")),0))</f>
        <v/>
      </c>
      <c r="E2715">
        <f>IF($E$1=0,0,IFERROR(VALUE(SUBSTITUTE(SUBSTITUTE(SUBSTITUTE(INDEX(貼り付け!$A$1:$BZ$3001,2714,$E$1)&amp;"",",",""),"¥",""),"￥","")),0))</f>
        <v/>
      </c>
      <c r="F2715">
        <f>IF($F$1=0,0,IFERROR(VALUE(SUBSTITUTE(SUBSTITUTE(SUBSTITUTE(INDEX(貼り付け!$A$1:$BZ$3001,2714,$F$1)&amp;"",",",""),"¥",""),"￥","")),0))</f>
        <v/>
      </c>
      <c r="G2715">
        <f>IF(ISNUMBER(B2715),YEAR(B2715),"")</f>
        <v/>
      </c>
      <c r="H2715">
        <f>IF(ISNUMBER(B2715),MONTH(B2715),"")</f>
        <v/>
      </c>
      <c r="I2715">
        <f>IFERROR(IF($B$1=0,"",IF(ISNUMBER(INDEX(貼り付け!$A$1:$BZ$3001,2714,$B$1)),"",SUBSTITUTE(SUBSTITUTE(SUBSTITUTE(SUBSTITUTE(TRIM(LEFT(INDEX(貼り付け!$A$1:$BZ$3001,2714,$B$1)&amp;"",FIND(" ",TRIM(INDEX(貼り付け!$A$1:$BZ$3001,2714,$B$1)&amp;"")&amp;" ")-1)),"/","-"),"年","-"),"月","-"),"日",""))),"")</f>
        <v/>
      </c>
      <c r="J2715">
        <f>IFERROR(MID(I2715,FIND("-",I2715)+1,99),"")</f>
        <v/>
      </c>
    </row>
    <row r="2716">
      <c r="B2716">
        <f>IFERROR(IF($B$1=0,"",IF(INDEX(貼り付け!$A$1:$BZ$3001,2715,$B$1)="","",IF(ISNUMBER(INDEX(貼り付け!$A$1:$BZ$3001,2715,$B$1)),INT(INDEX(貼り付け!$A$1:$BZ$3001,2715,$B$1)),DATE(VALUE(LEFT(I2716,FIND("-",I2716)-1)),VALUE(LEFT(J2716,FIND("-",J2716)-1)),VALUE(MID(J2716,FIND("-",J2716)+1,99)))))),"")</f>
        <v/>
      </c>
      <c r="C2716">
        <f>IF($C$1=0,0,IFERROR(VALUE(SUBSTITUTE(SUBSTITUTE(SUBSTITUTE(INDEX(貼り付け!$A$1:$BZ$3001,2715,$C$1)&amp;"",",",""),"¥",""),"￥","")),0))</f>
        <v/>
      </c>
      <c r="D2716">
        <f>IF($D$1=0,0,IFERROR(VALUE(SUBSTITUTE(SUBSTITUTE(SUBSTITUTE(INDEX(貼り付け!$A$1:$BZ$3001,2715,$D$1)&amp;"",",",""),"¥",""),"￥","")),0))</f>
        <v/>
      </c>
      <c r="E2716">
        <f>IF($E$1=0,0,IFERROR(VALUE(SUBSTITUTE(SUBSTITUTE(SUBSTITUTE(INDEX(貼り付け!$A$1:$BZ$3001,2715,$E$1)&amp;"",",",""),"¥",""),"￥","")),0))</f>
        <v/>
      </c>
      <c r="F2716">
        <f>IF($F$1=0,0,IFERROR(VALUE(SUBSTITUTE(SUBSTITUTE(SUBSTITUTE(INDEX(貼り付け!$A$1:$BZ$3001,2715,$F$1)&amp;"",",",""),"¥",""),"￥","")),0))</f>
        <v/>
      </c>
      <c r="G2716">
        <f>IF(ISNUMBER(B2716),YEAR(B2716),"")</f>
        <v/>
      </c>
      <c r="H2716">
        <f>IF(ISNUMBER(B2716),MONTH(B2716),"")</f>
        <v/>
      </c>
      <c r="I2716">
        <f>IFERROR(IF($B$1=0,"",IF(ISNUMBER(INDEX(貼り付け!$A$1:$BZ$3001,2715,$B$1)),"",SUBSTITUTE(SUBSTITUTE(SUBSTITUTE(SUBSTITUTE(TRIM(LEFT(INDEX(貼り付け!$A$1:$BZ$3001,2715,$B$1)&amp;"",FIND(" ",TRIM(INDEX(貼り付け!$A$1:$BZ$3001,2715,$B$1)&amp;"")&amp;" ")-1)),"/","-"),"年","-"),"月","-"),"日",""))),"")</f>
        <v/>
      </c>
      <c r="J2716">
        <f>IFERROR(MID(I2716,FIND("-",I2716)+1,99),"")</f>
        <v/>
      </c>
    </row>
    <row r="2717">
      <c r="B2717">
        <f>IFERROR(IF($B$1=0,"",IF(INDEX(貼り付け!$A$1:$BZ$3001,2716,$B$1)="","",IF(ISNUMBER(INDEX(貼り付け!$A$1:$BZ$3001,2716,$B$1)),INT(INDEX(貼り付け!$A$1:$BZ$3001,2716,$B$1)),DATE(VALUE(LEFT(I2717,FIND("-",I2717)-1)),VALUE(LEFT(J2717,FIND("-",J2717)-1)),VALUE(MID(J2717,FIND("-",J2717)+1,99)))))),"")</f>
        <v/>
      </c>
      <c r="C2717">
        <f>IF($C$1=0,0,IFERROR(VALUE(SUBSTITUTE(SUBSTITUTE(SUBSTITUTE(INDEX(貼り付け!$A$1:$BZ$3001,2716,$C$1)&amp;"",",",""),"¥",""),"￥","")),0))</f>
        <v/>
      </c>
      <c r="D2717">
        <f>IF($D$1=0,0,IFERROR(VALUE(SUBSTITUTE(SUBSTITUTE(SUBSTITUTE(INDEX(貼り付け!$A$1:$BZ$3001,2716,$D$1)&amp;"",",",""),"¥",""),"￥","")),0))</f>
        <v/>
      </c>
      <c r="E2717">
        <f>IF($E$1=0,0,IFERROR(VALUE(SUBSTITUTE(SUBSTITUTE(SUBSTITUTE(INDEX(貼り付け!$A$1:$BZ$3001,2716,$E$1)&amp;"",",",""),"¥",""),"￥","")),0))</f>
        <v/>
      </c>
      <c r="F2717">
        <f>IF($F$1=0,0,IFERROR(VALUE(SUBSTITUTE(SUBSTITUTE(SUBSTITUTE(INDEX(貼り付け!$A$1:$BZ$3001,2716,$F$1)&amp;"",",",""),"¥",""),"￥","")),0))</f>
        <v/>
      </c>
      <c r="G2717">
        <f>IF(ISNUMBER(B2717),YEAR(B2717),"")</f>
        <v/>
      </c>
      <c r="H2717">
        <f>IF(ISNUMBER(B2717),MONTH(B2717),"")</f>
        <v/>
      </c>
      <c r="I2717">
        <f>IFERROR(IF($B$1=0,"",IF(ISNUMBER(INDEX(貼り付け!$A$1:$BZ$3001,2716,$B$1)),"",SUBSTITUTE(SUBSTITUTE(SUBSTITUTE(SUBSTITUTE(TRIM(LEFT(INDEX(貼り付け!$A$1:$BZ$3001,2716,$B$1)&amp;"",FIND(" ",TRIM(INDEX(貼り付け!$A$1:$BZ$3001,2716,$B$1)&amp;"")&amp;" ")-1)),"/","-"),"年","-"),"月","-"),"日",""))),"")</f>
        <v/>
      </c>
      <c r="J2717">
        <f>IFERROR(MID(I2717,FIND("-",I2717)+1,99),"")</f>
        <v/>
      </c>
    </row>
    <row r="2718">
      <c r="B2718">
        <f>IFERROR(IF($B$1=0,"",IF(INDEX(貼り付け!$A$1:$BZ$3001,2717,$B$1)="","",IF(ISNUMBER(INDEX(貼り付け!$A$1:$BZ$3001,2717,$B$1)),INT(INDEX(貼り付け!$A$1:$BZ$3001,2717,$B$1)),DATE(VALUE(LEFT(I2718,FIND("-",I2718)-1)),VALUE(LEFT(J2718,FIND("-",J2718)-1)),VALUE(MID(J2718,FIND("-",J2718)+1,99)))))),"")</f>
        <v/>
      </c>
      <c r="C2718">
        <f>IF($C$1=0,0,IFERROR(VALUE(SUBSTITUTE(SUBSTITUTE(SUBSTITUTE(INDEX(貼り付け!$A$1:$BZ$3001,2717,$C$1)&amp;"",",",""),"¥",""),"￥","")),0))</f>
        <v/>
      </c>
      <c r="D2718">
        <f>IF($D$1=0,0,IFERROR(VALUE(SUBSTITUTE(SUBSTITUTE(SUBSTITUTE(INDEX(貼り付け!$A$1:$BZ$3001,2717,$D$1)&amp;"",",",""),"¥",""),"￥","")),0))</f>
        <v/>
      </c>
      <c r="E2718">
        <f>IF($E$1=0,0,IFERROR(VALUE(SUBSTITUTE(SUBSTITUTE(SUBSTITUTE(INDEX(貼り付け!$A$1:$BZ$3001,2717,$E$1)&amp;"",",",""),"¥",""),"￥","")),0))</f>
        <v/>
      </c>
      <c r="F2718">
        <f>IF($F$1=0,0,IFERROR(VALUE(SUBSTITUTE(SUBSTITUTE(SUBSTITUTE(INDEX(貼り付け!$A$1:$BZ$3001,2717,$F$1)&amp;"",",",""),"¥",""),"￥","")),0))</f>
        <v/>
      </c>
      <c r="G2718">
        <f>IF(ISNUMBER(B2718),YEAR(B2718),"")</f>
        <v/>
      </c>
      <c r="H2718">
        <f>IF(ISNUMBER(B2718),MONTH(B2718),"")</f>
        <v/>
      </c>
      <c r="I2718">
        <f>IFERROR(IF($B$1=0,"",IF(ISNUMBER(INDEX(貼り付け!$A$1:$BZ$3001,2717,$B$1)),"",SUBSTITUTE(SUBSTITUTE(SUBSTITUTE(SUBSTITUTE(TRIM(LEFT(INDEX(貼り付け!$A$1:$BZ$3001,2717,$B$1)&amp;"",FIND(" ",TRIM(INDEX(貼り付け!$A$1:$BZ$3001,2717,$B$1)&amp;"")&amp;" ")-1)),"/","-"),"年","-"),"月","-"),"日",""))),"")</f>
        <v/>
      </c>
      <c r="J2718">
        <f>IFERROR(MID(I2718,FIND("-",I2718)+1,99),"")</f>
        <v/>
      </c>
    </row>
    <row r="2719">
      <c r="B2719">
        <f>IFERROR(IF($B$1=0,"",IF(INDEX(貼り付け!$A$1:$BZ$3001,2718,$B$1)="","",IF(ISNUMBER(INDEX(貼り付け!$A$1:$BZ$3001,2718,$B$1)),INT(INDEX(貼り付け!$A$1:$BZ$3001,2718,$B$1)),DATE(VALUE(LEFT(I2719,FIND("-",I2719)-1)),VALUE(LEFT(J2719,FIND("-",J2719)-1)),VALUE(MID(J2719,FIND("-",J2719)+1,99)))))),"")</f>
        <v/>
      </c>
      <c r="C2719">
        <f>IF($C$1=0,0,IFERROR(VALUE(SUBSTITUTE(SUBSTITUTE(SUBSTITUTE(INDEX(貼り付け!$A$1:$BZ$3001,2718,$C$1)&amp;"",",",""),"¥",""),"￥","")),0))</f>
        <v/>
      </c>
      <c r="D2719">
        <f>IF($D$1=0,0,IFERROR(VALUE(SUBSTITUTE(SUBSTITUTE(SUBSTITUTE(INDEX(貼り付け!$A$1:$BZ$3001,2718,$D$1)&amp;"",",",""),"¥",""),"￥","")),0))</f>
        <v/>
      </c>
      <c r="E2719">
        <f>IF($E$1=0,0,IFERROR(VALUE(SUBSTITUTE(SUBSTITUTE(SUBSTITUTE(INDEX(貼り付け!$A$1:$BZ$3001,2718,$E$1)&amp;"",",",""),"¥",""),"￥","")),0))</f>
        <v/>
      </c>
      <c r="F2719">
        <f>IF($F$1=0,0,IFERROR(VALUE(SUBSTITUTE(SUBSTITUTE(SUBSTITUTE(INDEX(貼り付け!$A$1:$BZ$3001,2718,$F$1)&amp;"",",",""),"¥",""),"￥","")),0))</f>
        <v/>
      </c>
      <c r="G2719">
        <f>IF(ISNUMBER(B2719),YEAR(B2719),"")</f>
        <v/>
      </c>
      <c r="H2719">
        <f>IF(ISNUMBER(B2719),MONTH(B2719),"")</f>
        <v/>
      </c>
      <c r="I2719">
        <f>IFERROR(IF($B$1=0,"",IF(ISNUMBER(INDEX(貼り付け!$A$1:$BZ$3001,2718,$B$1)),"",SUBSTITUTE(SUBSTITUTE(SUBSTITUTE(SUBSTITUTE(TRIM(LEFT(INDEX(貼り付け!$A$1:$BZ$3001,2718,$B$1)&amp;"",FIND(" ",TRIM(INDEX(貼り付け!$A$1:$BZ$3001,2718,$B$1)&amp;"")&amp;" ")-1)),"/","-"),"年","-"),"月","-"),"日",""))),"")</f>
        <v/>
      </c>
      <c r="J2719">
        <f>IFERROR(MID(I2719,FIND("-",I2719)+1,99),"")</f>
        <v/>
      </c>
    </row>
    <row r="2720">
      <c r="B2720">
        <f>IFERROR(IF($B$1=0,"",IF(INDEX(貼り付け!$A$1:$BZ$3001,2719,$B$1)="","",IF(ISNUMBER(INDEX(貼り付け!$A$1:$BZ$3001,2719,$B$1)),INT(INDEX(貼り付け!$A$1:$BZ$3001,2719,$B$1)),DATE(VALUE(LEFT(I2720,FIND("-",I2720)-1)),VALUE(LEFT(J2720,FIND("-",J2720)-1)),VALUE(MID(J2720,FIND("-",J2720)+1,99)))))),"")</f>
        <v/>
      </c>
      <c r="C2720">
        <f>IF($C$1=0,0,IFERROR(VALUE(SUBSTITUTE(SUBSTITUTE(SUBSTITUTE(INDEX(貼り付け!$A$1:$BZ$3001,2719,$C$1)&amp;"",",",""),"¥",""),"￥","")),0))</f>
        <v/>
      </c>
      <c r="D2720">
        <f>IF($D$1=0,0,IFERROR(VALUE(SUBSTITUTE(SUBSTITUTE(SUBSTITUTE(INDEX(貼り付け!$A$1:$BZ$3001,2719,$D$1)&amp;"",",",""),"¥",""),"￥","")),0))</f>
        <v/>
      </c>
      <c r="E2720">
        <f>IF($E$1=0,0,IFERROR(VALUE(SUBSTITUTE(SUBSTITUTE(SUBSTITUTE(INDEX(貼り付け!$A$1:$BZ$3001,2719,$E$1)&amp;"",",",""),"¥",""),"￥","")),0))</f>
        <v/>
      </c>
      <c r="F2720">
        <f>IF($F$1=0,0,IFERROR(VALUE(SUBSTITUTE(SUBSTITUTE(SUBSTITUTE(INDEX(貼り付け!$A$1:$BZ$3001,2719,$F$1)&amp;"",",",""),"¥",""),"￥","")),0))</f>
        <v/>
      </c>
      <c r="G2720">
        <f>IF(ISNUMBER(B2720),YEAR(B2720),"")</f>
        <v/>
      </c>
      <c r="H2720">
        <f>IF(ISNUMBER(B2720),MONTH(B2720),"")</f>
        <v/>
      </c>
      <c r="I2720">
        <f>IFERROR(IF($B$1=0,"",IF(ISNUMBER(INDEX(貼り付け!$A$1:$BZ$3001,2719,$B$1)),"",SUBSTITUTE(SUBSTITUTE(SUBSTITUTE(SUBSTITUTE(TRIM(LEFT(INDEX(貼り付け!$A$1:$BZ$3001,2719,$B$1)&amp;"",FIND(" ",TRIM(INDEX(貼り付け!$A$1:$BZ$3001,2719,$B$1)&amp;"")&amp;" ")-1)),"/","-"),"年","-"),"月","-"),"日",""))),"")</f>
        <v/>
      </c>
      <c r="J2720">
        <f>IFERROR(MID(I2720,FIND("-",I2720)+1,99),"")</f>
        <v/>
      </c>
    </row>
    <row r="2721">
      <c r="B2721">
        <f>IFERROR(IF($B$1=0,"",IF(INDEX(貼り付け!$A$1:$BZ$3001,2720,$B$1)="","",IF(ISNUMBER(INDEX(貼り付け!$A$1:$BZ$3001,2720,$B$1)),INT(INDEX(貼り付け!$A$1:$BZ$3001,2720,$B$1)),DATE(VALUE(LEFT(I2721,FIND("-",I2721)-1)),VALUE(LEFT(J2721,FIND("-",J2721)-1)),VALUE(MID(J2721,FIND("-",J2721)+1,99)))))),"")</f>
        <v/>
      </c>
      <c r="C2721">
        <f>IF($C$1=0,0,IFERROR(VALUE(SUBSTITUTE(SUBSTITUTE(SUBSTITUTE(INDEX(貼り付け!$A$1:$BZ$3001,2720,$C$1)&amp;"",",",""),"¥",""),"￥","")),0))</f>
        <v/>
      </c>
      <c r="D2721">
        <f>IF($D$1=0,0,IFERROR(VALUE(SUBSTITUTE(SUBSTITUTE(SUBSTITUTE(INDEX(貼り付け!$A$1:$BZ$3001,2720,$D$1)&amp;"",",",""),"¥",""),"￥","")),0))</f>
        <v/>
      </c>
      <c r="E2721">
        <f>IF($E$1=0,0,IFERROR(VALUE(SUBSTITUTE(SUBSTITUTE(SUBSTITUTE(INDEX(貼り付け!$A$1:$BZ$3001,2720,$E$1)&amp;"",",",""),"¥",""),"￥","")),0))</f>
        <v/>
      </c>
      <c r="F2721">
        <f>IF($F$1=0,0,IFERROR(VALUE(SUBSTITUTE(SUBSTITUTE(SUBSTITUTE(INDEX(貼り付け!$A$1:$BZ$3001,2720,$F$1)&amp;"",",",""),"¥",""),"￥","")),0))</f>
        <v/>
      </c>
      <c r="G2721">
        <f>IF(ISNUMBER(B2721),YEAR(B2721),"")</f>
        <v/>
      </c>
      <c r="H2721">
        <f>IF(ISNUMBER(B2721),MONTH(B2721),"")</f>
        <v/>
      </c>
      <c r="I2721">
        <f>IFERROR(IF($B$1=0,"",IF(ISNUMBER(INDEX(貼り付け!$A$1:$BZ$3001,2720,$B$1)),"",SUBSTITUTE(SUBSTITUTE(SUBSTITUTE(SUBSTITUTE(TRIM(LEFT(INDEX(貼り付け!$A$1:$BZ$3001,2720,$B$1)&amp;"",FIND(" ",TRIM(INDEX(貼り付け!$A$1:$BZ$3001,2720,$B$1)&amp;"")&amp;" ")-1)),"/","-"),"年","-"),"月","-"),"日",""))),"")</f>
        <v/>
      </c>
      <c r="J2721">
        <f>IFERROR(MID(I2721,FIND("-",I2721)+1,99),"")</f>
        <v/>
      </c>
    </row>
    <row r="2722">
      <c r="B2722">
        <f>IFERROR(IF($B$1=0,"",IF(INDEX(貼り付け!$A$1:$BZ$3001,2721,$B$1)="","",IF(ISNUMBER(INDEX(貼り付け!$A$1:$BZ$3001,2721,$B$1)),INT(INDEX(貼り付け!$A$1:$BZ$3001,2721,$B$1)),DATE(VALUE(LEFT(I2722,FIND("-",I2722)-1)),VALUE(LEFT(J2722,FIND("-",J2722)-1)),VALUE(MID(J2722,FIND("-",J2722)+1,99)))))),"")</f>
        <v/>
      </c>
      <c r="C2722">
        <f>IF($C$1=0,0,IFERROR(VALUE(SUBSTITUTE(SUBSTITUTE(SUBSTITUTE(INDEX(貼り付け!$A$1:$BZ$3001,2721,$C$1)&amp;"",",",""),"¥",""),"￥","")),0))</f>
        <v/>
      </c>
      <c r="D2722">
        <f>IF($D$1=0,0,IFERROR(VALUE(SUBSTITUTE(SUBSTITUTE(SUBSTITUTE(INDEX(貼り付け!$A$1:$BZ$3001,2721,$D$1)&amp;"",",",""),"¥",""),"￥","")),0))</f>
        <v/>
      </c>
      <c r="E2722">
        <f>IF($E$1=0,0,IFERROR(VALUE(SUBSTITUTE(SUBSTITUTE(SUBSTITUTE(INDEX(貼り付け!$A$1:$BZ$3001,2721,$E$1)&amp;"",",",""),"¥",""),"￥","")),0))</f>
        <v/>
      </c>
      <c r="F2722">
        <f>IF($F$1=0,0,IFERROR(VALUE(SUBSTITUTE(SUBSTITUTE(SUBSTITUTE(INDEX(貼り付け!$A$1:$BZ$3001,2721,$F$1)&amp;"",",",""),"¥",""),"￥","")),0))</f>
        <v/>
      </c>
      <c r="G2722">
        <f>IF(ISNUMBER(B2722),YEAR(B2722),"")</f>
        <v/>
      </c>
      <c r="H2722">
        <f>IF(ISNUMBER(B2722),MONTH(B2722),"")</f>
        <v/>
      </c>
      <c r="I2722">
        <f>IFERROR(IF($B$1=0,"",IF(ISNUMBER(INDEX(貼り付け!$A$1:$BZ$3001,2721,$B$1)),"",SUBSTITUTE(SUBSTITUTE(SUBSTITUTE(SUBSTITUTE(TRIM(LEFT(INDEX(貼り付け!$A$1:$BZ$3001,2721,$B$1)&amp;"",FIND(" ",TRIM(INDEX(貼り付け!$A$1:$BZ$3001,2721,$B$1)&amp;"")&amp;" ")-1)),"/","-"),"年","-"),"月","-"),"日",""))),"")</f>
        <v/>
      </c>
      <c r="J2722">
        <f>IFERROR(MID(I2722,FIND("-",I2722)+1,99),"")</f>
        <v/>
      </c>
    </row>
    <row r="2723">
      <c r="B2723">
        <f>IFERROR(IF($B$1=0,"",IF(INDEX(貼り付け!$A$1:$BZ$3001,2722,$B$1)="","",IF(ISNUMBER(INDEX(貼り付け!$A$1:$BZ$3001,2722,$B$1)),INT(INDEX(貼り付け!$A$1:$BZ$3001,2722,$B$1)),DATE(VALUE(LEFT(I2723,FIND("-",I2723)-1)),VALUE(LEFT(J2723,FIND("-",J2723)-1)),VALUE(MID(J2723,FIND("-",J2723)+1,99)))))),"")</f>
        <v/>
      </c>
      <c r="C2723">
        <f>IF($C$1=0,0,IFERROR(VALUE(SUBSTITUTE(SUBSTITUTE(SUBSTITUTE(INDEX(貼り付け!$A$1:$BZ$3001,2722,$C$1)&amp;"",",",""),"¥",""),"￥","")),0))</f>
        <v/>
      </c>
      <c r="D2723">
        <f>IF($D$1=0,0,IFERROR(VALUE(SUBSTITUTE(SUBSTITUTE(SUBSTITUTE(INDEX(貼り付け!$A$1:$BZ$3001,2722,$D$1)&amp;"",",",""),"¥",""),"￥","")),0))</f>
        <v/>
      </c>
      <c r="E2723">
        <f>IF($E$1=0,0,IFERROR(VALUE(SUBSTITUTE(SUBSTITUTE(SUBSTITUTE(INDEX(貼り付け!$A$1:$BZ$3001,2722,$E$1)&amp;"",",",""),"¥",""),"￥","")),0))</f>
        <v/>
      </c>
      <c r="F2723">
        <f>IF($F$1=0,0,IFERROR(VALUE(SUBSTITUTE(SUBSTITUTE(SUBSTITUTE(INDEX(貼り付け!$A$1:$BZ$3001,2722,$F$1)&amp;"",",",""),"¥",""),"￥","")),0))</f>
        <v/>
      </c>
      <c r="G2723">
        <f>IF(ISNUMBER(B2723),YEAR(B2723),"")</f>
        <v/>
      </c>
      <c r="H2723">
        <f>IF(ISNUMBER(B2723),MONTH(B2723),"")</f>
        <v/>
      </c>
      <c r="I2723">
        <f>IFERROR(IF($B$1=0,"",IF(ISNUMBER(INDEX(貼り付け!$A$1:$BZ$3001,2722,$B$1)),"",SUBSTITUTE(SUBSTITUTE(SUBSTITUTE(SUBSTITUTE(TRIM(LEFT(INDEX(貼り付け!$A$1:$BZ$3001,2722,$B$1)&amp;"",FIND(" ",TRIM(INDEX(貼り付け!$A$1:$BZ$3001,2722,$B$1)&amp;"")&amp;" ")-1)),"/","-"),"年","-"),"月","-"),"日",""))),"")</f>
        <v/>
      </c>
      <c r="J2723">
        <f>IFERROR(MID(I2723,FIND("-",I2723)+1,99),"")</f>
        <v/>
      </c>
    </row>
    <row r="2724">
      <c r="B2724">
        <f>IFERROR(IF($B$1=0,"",IF(INDEX(貼り付け!$A$1:$BZ$3001,2723,$B$1)="","",IF(ISNUMBER(INDEX(貼り付け!$A$1:$BZ$3001,2723,$B$1)),INT(INDEX(貼り付け!$A$1:$BZ$3001,2723,$B$1)),DATE(VALUE(LEFT(I2724,FIND("-",I2724)-1)),VALUE(LEFT(J2724,FIND("-",J2724)-1)),VALUE(MID(J2724,FIND("-",J2724)+1,99)))))),"")</f>
        <v/>
      </c>
      <c r="C2724">
        <f>IF($C$1=0,0,IFERROR(VALUE(SUBSTITUTE(SUBSTITUTE(SUBSTITUTE(INDEX(貼り付け!$A$1:$BZ$3001,2723,$C$1)&amp;"",",",""),"¥",""),"￥","")),0))</f>
        <v/>
      </c>
      <c r="D2724">
        <f>IF($D$1=0,0,IFERROR(VALUE(SUBSTITUTE(SUBSTITUTE(SUBSTITUTE(INDEX(貼り付け!$A$1:$BZ$3001,2723,$D$1)&amp;"",",",""),"¥",""),"￥","")),0))</f>
        <v/>
      </c>
      <c r="E2724">
        <f>IF($E$1=0,0,IFERROR(VALUE(SUBSTITUTE(SUBSTITUTE(SUBSTITUTE(INDEX(貼り付け!$A$1:$BZ$3001,2723,$E$1)&amp;"",",",""),"¥",""),"￥","")),0))</f>
        <v/>
      </c>
      <c r="F2724">
        <f>IF($F$1=0,0,IFERROR(VALUE(SUBSTITUTE(SUBSTITUTE(SUBSTITUTE(INDEX(貼り付け!$A$1:$BZ$3001,2723,$F$1)&amp;"",",",""),"¥",""),"￥","")),0))</f>
        <v/>
      </c>
      <c r="G2724">
        <f>IF(ISNUMBER(B2724),YEAR(B2724),"")</f>
        <v/>
      </c>
      <c r="H2724">
        <f>IF(ISNUMBER(B2724),MONTH(B2724),"")</f>
        <v/>
      </c>
      <c r="I2724">
        <f>IFERROR(IF($B$1=0,"",IF(ISNUMBER(INDEX(貼り付け!$A$1:$BZ$3001,2723,$B$1)),"",SUBSTITUTE(SUBSTITUTE(SUBSTITUTE(SUBSTITUTE(TRIM(LEFT(INDEX(貼り付け!$A$1:$BZ$3001,2723,$B$1)&amp;"",FIND(" ",TRIM(INDEX(貼り付け!$A$1:$BZ$3001,2723,$B$1)&amp;"")&amp;" ")-1)),"/","-"),"年","-"),"月","-"),"日",""))),"")</f>
        <v/>
      </c>
      <c r="J2724">
        <f>IFERROR(MID(I2724,FIND("-",I2724)+1,99),"")</f>
        <v/>
      </c>
    </row>
    <row r="2725">
      <c r="B2725">
        <f>IFERROR(IF($B$1=0,"",IF(INDEX(貼り付け!$A$1:$BZ$3001,2724,$B$1)="","",IF(ISNUMBER(INDEX(貼り付け!$A$1:$BZ$3001,2724,$B$1)),INT(INDEX(貼り付け!$A$1:$BZ$3001,2724,$B$1)),DATE(VALUE(LEFT(I2725,FIND("-",I2725)-1)),VALUE(LEFT(J2725,FIND("-",J2725)-1)),VALUE(MID(J2725,FIND("-",J2725)+1,99)))))),"")</f>
        <v/>
      </c>
      <c r="C2725">
        <f>IF($C$1=0,0,IFERROR(VALUE(SUBSTITUTE(SUBSTITUTE(SUBSTITUTE(INDEX(貼り付け!$A$1:$BZ$3001,2724,$C$1)&amp;"",",",""),"¥",""),"￥","")),0))</f>
        <v/>
      </c>
      <c r="D2725">
        <f>IF($D$1=0,0,IFERROR(VALUE(SUBSTITUTE(SUBSTITUTE(SUBSTITUTE(INDEX(貼り付け!$A$1:$BZ$3001,2724,$D$1)&amp;"",",",""),"¥",""),"￥","")),0))</f>
        <v/>
      </c>
      <c r="E2725">
        <f>IF($E$1=0,0,IFERROR(VALUE(SUBSTITUTE(SUBSTITUTE(SUBSTITUTE(INDEX(貼り付け!$A$1:$BZ$3001,2724,$E$1)&amp;"",",",""),"¥",""),"￥","")),0))</f>
        <v/>
      </c>
      <c r="F2725">
        <f>IF($F$1=0,0,IFERROR(VALUE(SUBSTITUTE(SUBSTITUTE(SUBSTITUTE(INDEX(貼り付け!$A$1:$BZ$3001,2724,$F$1)&amp;"",",",""),"¥",""),"￥","")),0))</f>
        <v/>
      </c>
      <c r="G2725">
        <f>IF(ISNUMBER(B2725),YEAR(B2725),"")</f>
        <v/>
      </c>
      <c r="H2725">
        <f>IF(ISNUMBER(B2725),MONTH(B2725),"")</f>
        <v/>
      </c>
      <c r="I2725">
        <f>IFERROR(IF($B$1=0,"",IF(ISNUMBER(INDEX(貼り付け!$A$1:$BZ$3001,2724,$B$1)),"",SUBSTITUTE(SUBSTITUTE(SUBSTITUTE(SUBSTITUTE(TRIM(LEFT(INDEX(貼り付け!$A$1:$BZ$3001,2724,$B$1)&amp;"",FIND(" ",TRIM(INDEX(貼り付け!$A$1:$BZ$3001,2724,$B$1)&amp;"")&amp;" ")-1)),"/","-"),"年","-"),"月","-"),"日",""))),"")</f>
        <v/>
      </c>
      <c r="J2725">
        <f>IFERROR(MID(I2725,FIND("-",I2725)+1,99),"")</f>
        <v/>
      </c>
    </row>
    <row r="2726">
      <c r="B2726">
        <f>IFERROR(IF($B$1=0,"",IF(INDEX(貼り付け!$A$1:$BZ$3001,2725,$B$1)="","",IF(ISNUMBER(INDEX(貼り付け!$A$1:$BZ$3001,2725,$B$1)),INT(INDEX(貼り付け!$A$1:$BZ$3001,2725,$B$1)),DATE(VALUE(LEFT(I2726,FIND("-",I2726)-1)),VALUE(LEFT(J2726,FIND("-",J2726)-1)),VALUE(MID(J2726,FIND("-",J2726)+1,99)))))),"")</f>
        <v/>
      </c>
      <c r="C2726">
        <f>IF($C$1=0,0,IFERROR(VALUE(SUBSTITUTE(SUBSTITUTE(SUBSTITUTE(INDEX(貼り付け!$A$1:$BZ$3001,2725,$C$1)&amp;"",",",""),"¥",""),"￥","")),0))</f>
        <v/>
      </c>
      <c r="D2726">
        <f>IF($D$1=0,0,IFERROR(VALUE(SUBSTITUTE(SUBSTITUTE(SUBSTITUTE(INDEX(貼り付け!$A$1:$BZ$3001,2725,$D$1)&amp;"",",",""),"¥",""),"￥","")),0))</f>
        <v/>
      </c>
      <c r="E2726">
        <f>IF($E$1=0,0,IFERROR(VALUE(SUBSTITUTE(SUBSTITUTE(SUBSTITUTE(INDEX(貼り付け!$A$1:$BZ$3001,2725,$E$1)&amp;"",",",""),"¥",""),"￥","")),0))</f>
        <v/>
      </c>
      <c r="F2726">
        <f>IF($F$1=0,0,IFERROR(VALUE(SUBSTITUTE(SUBSTITUTE(SUBSTITUTE(INDEX(貼り付け!$A$1:$BZ$3001,2725,$F$1)&amp;"",",",""),"¥",""),"￥","")),0))</f>
        <v/>
      </c>
      <c r="G2726">
        <f>IF(ISNUMBER(B2726),YEAR(B2726),"")</f>
        <v/>
      </c>
      <c r="H2726">
        <f>IF(ISNUMBER(B2726),MONTH(B2726),"")</f>
        <v/>
      </c>
      <c r="I2726">
        <f>IFERROR(IF($B$1=0,"",IF(ISNUMBER(INDEX(貼り付け!$A$1:$BZ$3001,2725,$B$1)),"",SUBSTITUTE(SUBSTITUTE(SUBSTITUTE(SUBSTITUTE(TRIM(LEFT(INDEX(貼り付け!$A$1:$BZ$3001,2725,$B$1)&amp;"",FIND(" ",TRIM(INDEX(貼り付け!$A$1:$BZ$3001,2725,$B$1)&amp;"")&amp;" ")-1)),"/","-"),"年","-"),"月","-"),"日",""))),"")</f>
        <v/>
      </c>
      <c r="J2726">
        <f>IFERROR(MID(I2726,FIND("-",I2726)+1,99),"")</f>
        <v/>
      </c>
    </row>
    <row r="2727">
      <c r="B2727">
        <f>IFERROR(IF($B$1=0,"",IF(INDEX(貼り付け!$A$1:$BZ$3001,2726,$B$1)="","",IF(ISNUMBER(INDEX(貼り付け!$A$1:$BZ$3001,2726,$B$1)),INT(INDEX(貼り付け!$A$1:$BZ$3001,2726,$B$1)),DATE(VALUE(LEFT(I2727,FIND("-",I2727)-1)),VALUE(LEFT(J2727,FIND("-",J2727)-1)),VALUE(MID(J2727,FIND("-",J2727)+1,99)))))),"")</f>
        <v/>
      </c>
      <c r="C2727">
        <f>IF($C$1=0,0,IFERROR(VALUE(SUBSTITUTE(SUBSTITUTE(SUBSTITUTE(INDEX(貼り付け!$A$1:$BZ$3001,2726,$C$1)&amp;"",",",""),"¥",""),"￥","")),0))</f>
        <v/>
      </c>
      <c r="D2727">
        <f>IF($D$1=0,0,IFERROR(VALUE(SUBSTITUTE(SUBSTITUTE(SUBSTITUTE(INDEX(貼り付け!$A$1:$BZ$3001,2726,$D$1)&amp;"",",",""),"¥",""),"￥","")),0))</f>
        <v/>
      </c>
      <c r="E2727">
        <f>IF($E$1=0,0,IFERROR(VALUE(SUBSTITUTE(SUBSTITUTE(SUBSTITUTE(INDEX(貼り付け!$A$1:$BZ$3001,2726,$E$1)&amp;"",",",""),"¥",""),"￥","")),0))</f>
        <v/>
      </c>
      <c r="F2727">
        <f>IF($F$1=0,0,IFERROR(VALUE(SUBSTITUTE(SUBSTITUTE(SUBSTITUTE(INDEX(貼り付け!$A$1:$BZ$3001,2726,$F$1)&amp;"",",",""),"¥",""),"￥","")),0))</f>
        <v/>
      </c>
      <c r="G2727">
        <f>IF(ISNUMBER(B2727),YEAR(B2727),"")</f>
        <v/>
      </c>
      <c r="H2727">
        <f>IF(ISNUMBER(B2727),MONTH(B2727),"")</f>
        <v/>
      </c>
      <c r="I2727">
        <f>IFERROR(IF($B$1=0,"",IF(ISNUMBER(INDEX(貼り付け!$A$1:$BZ$3001,2726,$B$1)),"",SUBSTITUTE(SUBSTITUTE(SUBSTITUTE(SUBSTITUTE(TRIM(LEFT(INDEX(貼り付け!$A$1:$BZ$3001,2726,$B$1)&amp;"",FIND(" ",TRIM(INDEX(貼り付け!$A$1:$BZ$3001,2726,$B$1)&amp;"")&amp;" ")-1)),"/","-"),"年","-"),"月","-"),"日",""))),"")</f>
        <v/>
      </c>
      <c r="J2727">
        <f>IFERROR(MID(I2727,FIND("-",I2727)+1,99),"")</f>
        <v/>
      </c>
    </row>
    <row r="2728">
      <c r="B2728">
        <f>IFERROR(IF($B$1=0,"",IF(INDEX(貼り付け!$A$1:$BZ$3001,2727,$B$1)="","",IF(ISNUMBER(INDEX(貼り付け!$A$1:$BZ$3001,2727,$B$1)),INT(INDEX(貼り付け!$A$1:$BZ$3001,2727,$B$1)),DATE(VALUE(LEFT(I2728,FIND("-",I2728)-1)),VALUE(LEFT(J2728,FIND("-",J2728)-1)),VALUE(MID(J2728,FIND("-",J2728)+1,99)))))),"")</f>
        <v/>
      </c>
      <c r="C2728">
        <f>IF($C$1=0,0,IFERROR(VALUE(SUBSTITUTE(SUBSTITUTE(SUBSTITUTE(INDEX(貼り付け!$A$1:$BZ$3001,2727,$C$1)&amp;"",",",""),"¥",""),"￥","")),0))</f>
        <v/>
      </c>
      <c r="D2728">
        <f>IF($D$1=0,0,IFERROR(VALUE(SUBSTITUTE(SUBSTITUTE(SUBSTITUTE(INDEX(貼り付け!$A$1:$BZ$3001,2727,$D$1)&amp;"",",",""),"¥",""),"￥","")),0))</f>
        <v/>
      </c>
      <c r="E2728">
        <f>IF($E$1=0,0,IFERROR(VALUE(SUBSTITUTE(SUBSTITUTE(SUBSTITUTE(INDEX(貼り付け!$A$1:$BZ$3001,2727,$E$1)&amp;"",",",""),"¥",""),"￥","")),0))</f>
        <v/>
      </c>
      <c r="F2728">
        <f>IF($F$1=0,0,IFERROR(VALUE(SUBSTITUTE(SUBSTITUTE(SUBSTITUTE(INDEX(貼り付け!$A$1:$BZ$3001,2727,$F$1)&amp;"",",",""),"¥",""),"￥","")),0))</f>
        <v/>
      </c>
      <c r="G2728">
        <f>IF(ISNUMBER(B2728),YEAR(B2728),"")</f>
        <v/>
      </c>
      <c r="H2728">
        <f>IF(ISNUMBER(B2728),MONTH(B2728),"")</f>
        <v/>
      </c>
      <c r="I2728">
        <f>IFERROR(IF($B$1=0,"",IF(ISNUMBER(INDEX(貼り付け!$A$1:$BZ$3001,2727,$B$1)),"",SUBSTITUTE(SUBSTITUTE(SUBSTITUTE(SUBSTITUTE(TRIM(LEFT(INDEX(貼り付け!$A$1:$BZ$3001,2727,$B$1)&amp;"",FIND(" ",TRIM(INDEX(貼り付け!$A$1:$BZ$3001,2727,$B$1)&amp;"")&amp;" ")-1)),"/","-"),"年","-"),"月","-"),"日",""))),"")</f>
        <v/>
      </c>
      <c r="J2728">
        <f>IFERROR(MID(I2728,FIND("-",I2728)+1,99),"")</f>
        <v/>
      </c>
    </row>
    <row r="2729">
      <c r="B2729">
        <f>IFERROR(IF($B$1=0,"",IF(INDEX(貼り付け!$A$1:$BZ$3001,2728,$B$1)="","",IF(ISNUMBER(INDEX(貼り付け!$A$1:$BZ$3001,2728,$B$1)),INT(INDEX(貼り付け!$A$1:$BZ$3001,2728,$B$1)),DATE(VALUE(LEFT(I2729,FIND("-",I2729)-1)),VALUE(LEFT(J2729,FIND("-",J2729)-1)),VALUE(MID(J2729,FIND("-",J2729)+1,99)))))),"")</f>
        <v/>
      </c>
      <c r="C2729">
        <f>IF($C$1=0,0,IFERROR(VALUE(SUBSTITUTE(SUBSTITUTE(SUBSTITUTE(INDEX(貼り付け!$A$1:$BZ$3001,2728,$C$1)&amp;"",",",""),"¥",""),"￥","")),0))</f>
        <v/>
      </c>
      <c r="D2729">
        <f>IF($D$1=0,0,IFERROR(VALUE(SUBSTITUTE(SUBSTITUTE(SUBSTITUTE(INDEX(貼り付け!$A$1:$BZ$3001,2728,$D$1)&amp;"",",",""),"¥",""),"￥","")),0))</f>
        <v/>
      </c>
      <c r="E2729">
        <f>IF($E$1=0,0,IFERROR(VALUE(SUBSTITUTE(SUBSTITUTE(SUBSTITUTE(INDEX(貼り付け!$A$1:$BZ$3001,2728,$E$1)&amp;"",",",""),"¥",""),"￥","")),0))</f>
        <v/>
      </c>
      <c r="F2729">
        <f>IF($F$1=0,0,IFERROR(VALUE(SUBSTITUTE(SUBSTITUTE(SUBSTITUTE(INDEX(貼り付け!$A$1:$BZ$3001,2728,$F$1)&amp;"",",",""),"¥",""),"￥","")),0))</f>
        <v/>
      </c>
      <c r="G2729">
        <f>IF(ISNUMBER(B2729),YEAR(B2729),"")</f>
        <v/>
      </c>
      <c r="H2729">
        <f>IF(ISNUMBER(B2729),MONTH(B2729),"")</f>
        <v/>
      </c>
      <c r="I2729">
        <f>IFERROR(IF($B$1=0,"",IF(ISNUMBER(INDEX(貼り付け!$A$1:$BZ$3001,2728,$B$1)),"",SUBSTITUTE(SUBSTITUTE(SUBSTITUTE(SUBSTITUTE(TRIM(LEFT(INDEX(貼り付け!$A$1:$BZ$3001,2728,$B$1)&amp;"",FIND(" ",TRIM(INDEX(貼り付け!$A$1:$BZ$3001,2728,$B$1)&amp;"")&amp;" ")-1)),"/","-"),"年","-"),"月","-"),"日",""))),"")</f>
        <v/>
      </c>
      <c r="J2729">
        <f>IFERROR(MID(I2729,FIND("-",I2729)+1,99),"")</f>
        <v/>
      </c>
    </row>
    <row r="2730">
      <c r="B2730">
        <f>IFERROR(IF($B$1=0,"",IF(INDEX(貼り付け!$A$1:$BZ$3001,2729,$B$1)="","",IF(ISNUMBER(INDEX(貼り付け!$A$1:$BZ$3001,2729,$B$1)),INT(INDEX(貼り付け!$A$1:$BZ$3001,2729,$B$1)),DATE(VALUE(LEFT(I2730,FIND("-",I2730)-1)),VALUE(LEFT(J2730,FIND("-",J2730)-1)),VALUE(MID(J2730,FIND("-",J2730)+1,99)))))),"")</f>
        <v/>
      </c>
      <c r="C2730">
        <f>IF($C$1=0,0,IFERROR(VALUE(SUBSTITUTE(SUBSTITUTE(SUBSTITUTE(INDEX(貼り付け!$A$1:$BZ$3001,2729,$C$1)&amp;"",",",""),"¥",""),"￥","")),0))</f>
        <v/>
      </c>
      <c r="D2730">
        <f>IF($D$1=0,0,IFERROR(VALUE(SUBSTITUTE(SUBSTITUTE(SUBSTITUTE(INDEX(貼り付け!$A$1:$BZ$3001,2729,$D$1)&amp;"",",",""),"¥",""),"￥","")),0))</f>
        <v/>
      </c>
      <c r="E2730">
        <f>IF($E$1=0,0,IFERROR(VALUE(SUBSTITUTE(SUBSTITUTE(SUBSTITUTE(INDEX(貼り付け!$A$1:$BZ$3001,2729,$E$1)&amp;"",",",""),"¥",""),"￥","")),0))</f>
        <v/>
      </c>
      <c r="F2730">
        <f>IF($F$1=0,0,IFERROR(VALUE(SUBSTITUTE(SUBSTITUTE(SUBSTITUTE(INDEX(貼り付け!$A$1:$BZ$3001,2729,$F$1)&amp;"",",",""),"¥",""),"￥","")),0))</f>
        <v/>
      </c>
      <c r="G2730">
        <f>IF(ISNUMBER(B2730),YEAR(B2730),"")</f>
        <v/>
      </c>
      <c r="H2730">
        <f>IF(ISNUMBER(B2730),MONTH(B2730),"")</f>
        <v/>
      </c>
      <c r="I2730">
        <f>IFERROR(IF($B$1=0,"",IF(ISNUMBER(INDEX(貼り付け!$A$1:$BZ$3001,2729,$B$1)),"",SUBSTITUTE(SUBSTITUTE(SUBSTITUTE(SUBSTITUTE(TRIM(LEFT(INDEX(貼り付け!$A$1:$BZ$3001,2729,$B$1)&amp;"",FIND(" ",TRIM(INDEX(貼り付け!$A$1:$BZ$3001,2729,$B$1)&amp;"")&amp;" ")-1)),"/","-"),"年","-"),"月","-"),"日",""))),"")</f>
        <v/>
      </c>
      <c r="J2730">
        <f>IFERROR(MID(I2730,FIND("-",I2730)+1,99),"")</f>
        <v/>
      </c>
    </row>
    <row r="2731">
      <c r="B2731">
        <f>IFERROR(IF($B$1=0,"",IF(INDEX(貼り付け!$A$1:$BZ$3001,2730,$B$1)="","",IF(ISNUMBER(INDEX(貼り付け!$A$1:$BZ$3001,2730,$B$1)),INT(INDEX(貼り付け!$A$1:$BZ$3001,2730,$B$1)),DATE(VALUE(LEFT(I2731,FIND("-",I2731)-1)),VALUE(LEFT(J2731,FIND("-",J2731)-1)),VALUE(MID(J2731,FIND("-",J2731)+1,99)))))),"")</f>
        <v/>
      </c>
      <c r="C2731">
        <f>IF($C$1=0,0,IFERROR(VALUE(SUBSTITUTE(SUBSTITUTE(SUBSTITUTE(INDEX(貼り付け!$A$1:$BZ$3001,2730,$C$1)&amp;"",",",""),"¥",""),"￥","")),0))</f>
        <v/>
      </c>
      <c r="D2731">
        <f>IF($D$1=0,0,IFERROR(VALUE(SUBSTITUTE(SUBSTITUTE(SUBSTITUTE(INDEX(貼り付け!$A$1:$BZ$3001,2730,$D$1)&amp;"",",",""),"¥",""),"￥","")),0))</f>
        <v/>
      </c>
      <c r="E2731">
        <f>IF($E$1=0,0,IFERROR(VALUE(SUBSTITUTE(SUBSTITUTE(SUBSTITUTE(INDEX(貼り付け!$A$1:$BZ$3001,2730,$E$1)&amp;"",",",""),"¥",""),"￥","")),0))</f>
        <v/>
      </c>
      <c r="F2731">
        <f>IF($F$1=0,0,IFERROR(VALUE(SUBSTITUTE(SUBSTITUTE(SUBSTITUTE(INDEX(貼り付け!$A$1:$BZ$3001,2730,$F$1)&amp;"",",",""),"¥",""),"￥","")),0))</f>
        <v/>
      </c>
      <c r="G2731">
        <f>IF(ISNUMBER(B2731),YEAR(B2731),"")</f>
        <v/>
      </c>
      <c r="H2731">
        <f>IF(ISNUMBER(B2731),MONTH(B2731),"")</f>
        <v/>
      </c>
      <c r="I2731">
        <f>IFERROR(IF($B$1=0,"",IF(ISNUMBER(INDEX(貼り付け!$A$1:$BZ$3001,2730,$B$1)),"",SUBSTITUTE(SUBSTITUTE(SUBSTITUTE(SUBSTITUTE(TRIM(LEFT(INDEX(貼り付け!$A$1:$BZ$3001,2730,$B$1)&amp;"",FIND(" ",TRIM(INDEX(貼り付け!$A$1:$BZ$3001,2730,$B$1)&amp;"")&amp;" ")-1)),"/","-"),"年","-"),"月","-"),"日",""))),"")</f>
        <v/>
      </c>
      <c r="J2731">
        <f>IFERROR(MID(I2731,FIND("-",I2731)+1,99),"")</f>
        <v/>
      </c>
    </row>
    <row r="2732">
      <c r="B2732">
        <f>IFERROR(IF($B$1=0,"",IF(INDEX(貼り付け!$A$1:$BZ$3001,2731,$B$1)="","",IF(ISNUMBER(INDEX(貼り付け!$A$1:$BZ$3001,2731,$B$1)),INT(INDEX(貼り付け!$A$1:$BZ$3001,2731,$B$1)),DATE(VALUE(LEFT(I2732,FIND("-",I2732)-1)),VALUE(LEFT(J2732,FIND("-",J2732)-1)),VALUE(MID(J2732,FIND("-",J2732)+1,99)))))),"")</f>
        <v/>
      </c>
      <c r="C2732">
        <f>IF($C$1=0,0,IFERROR(VALUE(SUBSTITUTE(SUBSTITUTE(SUBSTITUTE(INDEX(貼り付け!$A$1:$BZ$3001,2731,$C$1)&amp;"",",",""),"¥",""),"￥","")),0))</f>
        <v/>
      </c>
      <c r="D2732">
        <f>IF($D$1=0,0,IFERROR(VALUE(SUBSTITUTE(SUBSTITUTE(SUBSTITUTE(INDEX(貼り付け!$A$1:$BZ$3001,2731,$D$1)&amp;"",",",""),"¥",""),"￥","")),0))</f>
        <v/>
      </c>
      <c r="E2732">
        <f>IF($E$1=0,0,IFERROR(VALUE(SUBSTITUTE(SUBSTITUTE(SUBSTITUTE(INDEX(貼り付け!$A$1:$BZ$3001,2731,$E$1)&amp;"",",",""),"¥",""),"￥","")),0))</f>
        <v/>
      </c>
      <c r="F2732">
        <f>IF($F$1=0,0,IFERROR(VALUE(SUBSTITUTE(SUBSTITUTE(SUBSTITUTE(INDEX(貼り付け!$A$1:$BZ$3001,2731,$F$1)&amp;"",",",""),"¥",""),"￥","")),0))</f>
        <v/>
      </c>
      <c r="G2732">
        <f>IF(ISNUMBER(B2732),YEAR(B2732),"")</f>
        <v/>
      </c>
      <c r="H2732">
        <f>IF(ISNUMBER(B2732),MONTH(B2732),"")</f>
        <v/>
      </c>
      <c r="I2732">
        <f>IFERROR(IF($B$1=0,"",IF(ISNUMBER(INDEX(貼り付け!$A$1:$BZ$3001,2731,$B$1)),"",SUBSTITUTE(SUBSTITUTE(SUBSTITUTE(SUBSTITUTE(TRIM(LEFT(INDEX(貼り付け!$A$1:$BZ$3001,2731,$B$1)&amp;"",FIND(" ",TRIM(INDEX(貼り付け!$A$1:$BZ$3001,2731,$B$1)&amp;"")&amp;" ")-1)),"/","-"),"年","-"),"月","-"),"日",""))),"")</f>
        <v/>
      </c>
      <c r="J2732">
        <f>IFERROR(MID(I2732,FIND("-",I2732)+1,99),"")</f>
        <v/>
      </c>
    </row>
    <row r="2733">
      <c r="B2733">
        <f>IFERROR(IF($B$1=0,"",IF(INDEX(貼り付け!$A$1:$BZ$3001,2732,$B$1)="","",IF(ISNUMBER(INDEX(貼り付け!$A$1:$BZ$3001,2732,$B$1)),INT(INDEX(貼り付け!$A$1:$BZ$3001,2732,$B$1)),DATE(VALUE(LEFT(I2733,FIND("-",I2733)-1)),VALUE(LEFT(J2733,FIND("-",J2733)-1)),VALUE(MID(J2733,FIND("-",J2733)+1,99)))))),"")</f>
        <v/>
      </c>
      <c r="C2733">
        <f>IF($C$1=0,0,IFERROR(VALUE(SUBSTITUTE(SUBSTITUTE(SUBSTITUTE(INDEX(貼り付け!$A$1:$BZ$3001,2732,$C$1)&amp;"",",",""),"¥",""),"￥","")),0))</f>
        <v/>
      </c>
      <c r="D2733">
        <f>IF($D$1=0,0,IFERROR(VALUE(SUBSTITUTE(SUBSTITUTE(SUBSTITUTE(INDEX(貼り付け!$A$1:$BZ$3001,2732,$D$1)&amp;"",",",""),"¥",""),"￥","")),0))</f>
        <v/>
      </c>
      <c r="E2733">
        <f>IF($E$1=0,0,IFERROR(VALUE(SUBSTITUTE(SUBSTITUTE(SUBSTITUTE(INDEX(貼り付け!$A$1:$BZ$3001,2732,$E$1)&amp;"",",",""),"¥",""),"￥","")),0))</f>
        <v/>
      </c>
      <c r="F2733">
        <f>IF($F$1=0,0,IFERROR(VALUE(SUBSTITUTE(SUBSTITUTE(SUBSTITUTE(INDEX(貼り付け!$A$1:$BZ$3001,2732,$F$1)&amp;"",",",""),"¥",""),"￥","")),0))</f>
        <v/>
      </c>
      <c r="G2733">
        <f>IF(ISNUMBER(B2733),YEAR(B2733),"")</f>
        <v/>
      </c>
      <c r="H2733">
        <f>IF(ISNUMBER(B2733),MONTH(B2733),"")</f>
        <v/>
      </c>
      <c r="I2733">
        <f>IFERROR(IF($B$1=0,"",IF(ISNUMBER(INDEX(貼り付け!$A$1:$BZ$3001,2732,$B$1)),"",SUBSTITUTE(SUBSTITUTE(SUBSTITUTE(SUBSTITUTE(TRIM(LEFT(INDEX(貼り付け!$A$1:$BZ$3001,2732,$B$1)&amp;"",FIND(" ",TRIM(INDEX(貼り付け!$A$1:$BZ$3001,2732,$B$1)&amp;"")&amp;" ")-1)),"/","-"),"年","-"),"月","-"),"日",""))),"")</f>
        <v/>
      </c>
      <c r="J2733">
        <f>IFERROR(MID(I2733,FIND("-",I2733)+1,99),"")</f>
        <v/>
      </c>
    </row>
    <row r="2734">
      <c r="B2734">
        <f>IFERROR(IF($B$1=0,"",IF(INDEX(貼り付け!$A$1:$BZ$3001,2733,$B$1)="","",IF(ISNUMBER(INDEX(貼り付け!$A$1:$BZ$3001,2733,$B$1)),INT(INDEX(貼り付け!$A$1:$BZ$3001,2733,$B$1)),DATE(VALUE(LEFT(I2734,FIND("-",I2734)-1)),VALUE(LEFT(J2734,FIND("-",J2734)-1)),VALUE(MID(J2734,FIND("-",J2734)+1,99)))))),"")</f>
        <v/>
      </c>
      <c r="C2734">
        <f>IF($C$1=0,0,IFERROR(VALUE(SUBSTITUTE(SUBSTITUTE(SUBSTITUTE(INDEX(貼り付け!$A$1:$BZ$3001,2733,$C$1)&amp;"",",",""),"¥",""),"￥","")),0))</f>
        <v/>
      </c>
      <c r="D2734">
        <f>IF($D$1=0,0,IFERROR(VALUE(SUBSTITUTE(SUBSTITUTE(SUBSTITUTE(INDEX(貼り付け!$A$1:$BZ$3001,2733,$D$1)&amp;"",",",""),"¥",""),"￥","")),0))</f>
        <v/>
      </c>
      <c r="E2734">
        <f>IF($E$1=0,0,IFERROR(VALUE(SUBSTITUTE(SUBSTITUTE(SUBSTITUTE(INDEX(貼り付け!$A$1:$BZ$3001,2733,$E$1)&amp;"",",",""),"¥",""),"￥","")),0))</f>
        <v/>
      </c>
      <c r="F2734">
        <f>IF($F$1=0,0,IFERROR(VALUE(SUBSTITUTE(SUBSTITUTE(SUBSTITUTE(INDEX(貼り付け!$A$1:$BZ$3001,2733,$F$1)&amp;"",",",""),"¥",""),"￥","")),0))</f>
        <v/>
      </c>
      <c r="G2734">
        <f>IF(ISNUMBER(B2734),YEAR(B2734),"")</f>
        <v/>
      </c>
      <c r="H2734">
        <f>IF(ISNUMBER(B2734),MONTH(B2734),"")</f>
        <v/>
      </c>
      <c r="I2734">
        <f>IFERROR(IF($B$1=0,"",IF(ISNUMBER(INDEX(貼り付け!$A$1:$BZ$3001,2733,$B$1)),"",SUBSTITUTE(SUBSTITUTE(SUBSTITUTE(SUBSTITUTE(TRIM(LEFT(INDEX(貼り付け!$A$1:$BZ$3001,2733,$B$1)&amp;"",FIND(" ",TRIM(INDEX(貼り付け!$A$1:$BZ$3001,2733,$B$1)&amp;"")&amp;" ")-1)),"/","-"),"年","-"),"月","-"),"日",""))),"")</f>
        <v/>
      </c>
      <c r="J2734">
        <f>IFERROR(MID(I2734,FIND("-",I2734)+1,99),"")</f>
        <v/>
      </c>
    </row>
    <row r="2735">
      <c r="B2735">
        <f>IFERROR(IF($B$1=0,"",IF(INDEX(貼り付け!$A$1:$BZ$3001,2734,$B$1)="","",IF(ISNUMBER(INDEX(貼り付け!$A$1:$BZ$3001,2734,$B$1)),INT(INDEX(貼り付け!$A$1:$BZ$3001,2734,$B$1)),DATE(VALUE(LEFT(I2735,FIND("-",I2735)-1)),VALUE(LEFT(J2735,FIND("-",J2735)-1)),VALUE(MID(J2735,FIND("-",J2735)+1,99)))))),"")</f>
        <v/>
      </c>
      <c r="C2735">
        <f>IF($C$1=0,0,IFERROR(VALUE(SUBSTITUTE(SUBSTITUTE(SUBSTITUTE(INDEX(貼り付け!$A$1:$BZ$3001,2734,$C$1)&amp;"",",",""),"¥",""),"￥","")),0))</f>
        <v/>
      </c>
      <c r="D2735">
        <f>IF($D$1=0,0,IFERROR(VALUE(SUBSTITUTE(SUBSTITUTE(SUBSTITUTE(INDEX(貼り付け!$A$1:$BZ$3001,2734,$D$1)&amp;"",",",""),"¥",""),"￥","")),0))</f>
        <v/>
      </c>
      <c r="E2735">
        <f>IF($E$1=0,0,IFERROR(VALUE(SUBSTITUTE(SUBSTITUTE(SUBSTITUTE(INDEX(貼り付け!$A$1:$BZ$3001,2734,$E$1)&amp;"",",",""),"¥",""),"￥","")),0))</f>
        <v/>
      </c>
      <c r="F2735">
        <f>IF($F$1=0,0,IFERROR(VALUE(SUBSTITUTE(SUBSTITUTE(SUBSTITUTE(INDEX(貼り付け!$A$1:$BZ$3001,2734,$F$1)&amp;"",",",""),"¥",""),"￥","")),0))</f>
        <v/>
      </c>
      <c r="G2735">
        <f>IF(ISNUMBER(B2735),YEAR(B2735),"")</f>
        <v/>
      </c>
      <c r="H2735">
        <f>IF(ISNUMBER(B2735),MONTH(B2735),"")</f>
        <v/>
      </c>
      <c r="I2735">
        <f>IFERROR(IF($B$1=0,"",IF(ISNUMBER(INDEX(貼り付け!$A$1:$BZ$3001,2734,$B$1)),"",SUBSTITUTE(SUBSTITUTE(SUBSTITUTE(SUBSTITUTE(TRIM(LEFT(INDEX(貼り付け!$A$1:$BZ$3001,2734,$B$1)&amp;"",FIND(" ",TRIM(INDEX(貼り付け!$A$1:$BZ$3001,2734,$B$1)&amp;"")&amp;" ")-1)),"/","-"),"年","-"),"月","-"),"日",""))),"")</f>
        <v/>
      </c>
      <c r="J2735">
        <f>IFERROR(MID(I2735,FIND("-",I2735)+1,99),"")</f>
        <v/>
      </c>
    </row>
    <row r="2736">
      <c r="B2736">
        <f>IFERROR(IF($B$1=0,"",IF(INDEX(貼り付け!$A$1:$BZ$3001,2735,$B$1)="","",IF(ISNUMBER(INDEX(貼り付け!$A$1:$BZ$3001,2735,$B$1)),INT(INDEX(貼り付け!$A$1:$BZ$3001,2735,$B$1)),DATE(VALUE(LEFT(I2736,FIND("-",I2736)-1)),VALUE(LEFT(J2736,FIND("-",J2736)-1)),VALUE(MID(J2736,FIND("-",J2736)+1,99)))))),"")</f>
        <v/>
      </c>
      <c r="C2736">
        <f>IF($C$1=0,0,IFERROR(VALUE(SUBSTITUTE(SUBSTITUTE(SUBSTITUTE(INDEX(貼り付け!$A$1:$BZ$3001,2735,$C$1)&amp;"",",",""),"¥",""),"￥","")),0))</f>
        <v/>
      </c>
      <c r="D2736">
        <f>IF($D$1=0,0,IFERROR(VALUE(SUBSTITUTE(SUBSTITUTE(SUBSTITUTE(INDEX(貼り付け!$A$1:$BZ$3001,2735,$D$1)&amp;"",",",""),"¥",""),"￥","")),0))</f>
        <v/>
      </c>
      <c r="E2736">
        <f>IF($E$1=0,0,IFERROR(VALUE(SUBSTITUTE(SUBSTITUTE(SUBSTITUTE(INDEX(貼り付け!$A$1:$BZ$3001,2735,$E$1)&amp;"",",",""),"¥",""),"￥","")),0))</f>
        <v/>
      </c>
      <c r="F2736">
        <f>IF($F$1=0,0,IFERROR(VALUE(SUBSTITUTE(SUBSTITUTE(SUBSTITUTE(INDEX(貼り付け!$A$1:$BZ$3001,2735,$F$1)&amp;"",",",""),"¥",""),"￥","")),0))</f>
        <v/>
      </c>
      <c r="G2736">
        <f>IF(ISNUMBER(B2736),YEAR(B2736),"")</f>
        <v/>
      </c>
      <c r="H2736">
        <f>IF(ISNUMBER(B2736),MONTH(B2736),"")</f>
        <v/>
      </c>
      <c r="I2736">
        <f>IFERROR(IF($B$1=0,"",IF(ISNUMBER(INDEX(貼り付け!$A$1:$BZ$3001,2735,$B$1)),"",SUBSTITUTE(SUBSTITUTE(SUBSTITUTE(SUBSTITUTE(TRIM(LEFT(INDEX(貼り付け!$A$1:$BZ$3001,2735,$B$1)&amp;"",FIND(" ",TRIM(INDEX(貼り付け!$A$1:$BZ$3001,2735,$B$1)&amp;"")&amp;" ")-1)),"/","-"),"年","-"),"月","-"),"日",""))),"")</f>
        <v/>
      </c>
      <c r="J2736">
        <f>IFERROR(MID(I2736,FIND("-",I2736)+1,99),"")</f>
        <v/>
      </c>
    </row>
    <row r="2737">
      <c r="B2737">
        <f>IFERROR(IF($B$1=0,"",IF(INDEX(貼り付け!$A$1:$BZ$3001,2736,$B$1)="","",IF(ISNUMBER(INDEX(貼り付け!$A$1:$BZ$3001,2736,$B$1)),INT(INDEX(貼り付け!$A$1:$BZ$3001,2736,$B$1)),DATE(VALUE(LEFT(I2737,FIND("-",I2737)-1)),VALUE(LEFT(J2737,FIND("-",J2737)-1)),VALUE(MID(J2737,FIND("-",J2737)+1,99)))))),"")</f>
        <v/>
      </c>
      <c r="C2737">
        <f>IF($C$1=0,0,IFERROR(VALUE(SUBSTITUTE(SUBSTITUTE(SUBSTITUTE(INDEX(貼り付け!$A$1:$BZ$3001,2736,$C$1)&amp;"",",",""),"¥",""),"￥","")),0))</f>
        <v/>
      </c>
      <c r="D2737">
        <f>IF($D$1=0,0,IFERROR(VALUE(SUBSTITUTE(SUBSTITUTE(SUBSTITUTE(INDEX(貼り付け!$A$1:$BZ$3001,2736,$D$1)&amp;"",",",""),"¥",""),"￥","")),0))</f>
        <v/>
      </c>
      <c r="E2737">
        <f>IF($E$1=0,0,IFERROR(VALUE(SUBSTITUTE(SUBSTITUTE(SUBSTITUTE(INDEX(貼り付け!$A$1:$BZ$3001,2736,$E$1)&amp;"",",",""),"¥",""),"￥","")),0))</f>
        <v/>
      </c>
      <c r="F2737">
        <f>IF($F$1=0,0,IFERROR(VALUE(SUBSTITUTE(SUBSTITUTE(SUBSTITUTE(INDEX(貼り付け!$A$1:$BZ$3001,2736,$F$1)&amp;"",",",""),"¥",""),"￥","")),0))</f>
        <v/>
      </c>
      <c r="G2737">
        <f>IF(ISNUMBER(B2737),YEAR(B2737),"")</f>
        <v/>
      </c>
      <c r="H2737">
        <f>IF(ISNUMBER(B2737),MONTH(B2737),"")</f>
        <v/>
      </c>
      <c r="I2737">
        <f>IFERROR(IF($B$1=0,"",IF(ISNUMBER(INDEX(貼り付け!$A$1:$BZ$3001,2736,$B$1)),"",SUBSTITUTE(SUBSTITUTE(SUBSTITUTE(SUBSTITUTE(TRIM(LEFT(INDEX(貼り付け!$A$1:$BZ$3001,2736,$B$1)&amp;"",FIND(" ",TRIM(INDEX(貼り付け!$A$1:$BZ$3001,2736,$B$1)&amp;"")&amp;" ")-1)),"/","-"),"年","-"),"月","-"),"日",""))),"")</f>
        <v/>
      </c>
      <c r="J2737">
        <f>IFERROR(MID(I2737,FIND("-",I2737)+1,99),"")</f>
        <v/>
      </c>
    </row>
    <row r="2738">
      <c r="B2738">
        <f>IFERROR(IF($B$1=0,"",IF(INDEX(貼り付け!$A$1:$BZ$3001,2737,$B$1)="","",IF(ISNUMBER(INDEX(貼り付け!$A$1:$BZ$3001,2737,$B$1)),INT(INDEX(貼り付け!$A$1:$BZ$3001,2737,$B$1)),DATE(VALUE(LEFT(I2738,FIND("-",I2738)-1)),VALUE(LEFT(J2738,FIND("-",J2738)-1)),VALUE(MID(J2738,FIND("-",J2738)+1,99)))))),"")</f>
        <v/>
      </c>
      <c r="C2738">
        <f>IF($C$1=0,0,IFERROR(VALUE(SUBSTITUTE(SUBSTITUTE(SUBSTITUTE(INDEX(貼り付け!$A$1:$BZ$3001,2737,$C$1)&amp;"",",",""),"¥",""),"￥","")),0))</f>
        <v/>
      </c>
      <c r="D2738">
        <f>IF($D$1=0,0,IFERROR(VALUE(SUBSTITUTE(SUBSTITUTE(SUBSTITUTE(INDEX(貼り付け!$A$1:$BZ$3001,2737,$D$1)&amp;"",",",""),"¥",""),"￥","")),0))</f>
        <v/>
      </c>
      <c r="E2738">
        <f>IF($E$1=0,0,IFERROR(VALUE(SUBSTITUTE(SUBSTITUTE(SUBSTITUTE(INDEX(貼り付け!$A$1:$BZ$3001,2737,$E$1)&amp;"",",",""),"¥",""),"￥","")),0))</f>
        <v/>
      </c>
      <c r="F2738">
        <f>IF($F$1=0,0,IFERROR(VALUE(SUBSTITUTE(SUBSTITUTE(SUBSTITUTE(INDEX(貼り付け!$A$1:$BZ$3001,2737,$F$1)&amp;"",",",""),"¥",""),"￥","")),0))</f>
        <v/>
      </c>
      <c r="G2738">
        <f>IF(ISNUMBER(B2738),YEAR(B2738),"")</f>
        <v/>
      </c>
      <c r="H2738">
        <f>IF(ISNUMBER(B2738),MONTH(B2738),"")</f>
        <v/>
      </c>
      <c r="I2738">
        <f>IFERROR(IF($B$1=0,"",IF(ISNUMBER(INDEX(貼り付け!$A$1:$BZ$3001,2737,$B$1)),"",SUBSTITUTE(SUBSTITUTE(SUBSTITUTE(SUBSTITUTE(TRIM(LEFT(INDEX(貼り付け!$A$1:$BZ$3001,2737,$B$1)&amp;"",FIND(" ",TRIM(INDEX(貼り付け!$A$1:$BZ$3001,2737,$B$1)&amp;"")&amp;" ")-1)),"/","-"),"年","-"),"月","-"),"日",""))),"")</f>
        <v/>
      </c>
      <c r="J2738">
        <f>IFERROR(MID(I2738,FIND("-",I2738)+1,99),"")</f>
        <v/>
      </c>
    </row>
    <row r="2739">
      <c r="B2739">
        <f>IFERROR(IF($B$1=0,"",IF(INDEX(貼り付け!$A$1:$BZ$3001,2738,$B$1)="","",IF(ISNUMBER(INDEX(貼り付け!$A$1:$BZ$3001,2738,$B$1)),INT(INDEX(貼り付け!$A$1:$BZ$3001,2738,$B$1)),DATE(VALUE(LEFT(I2739,FIND("-",I2739)-1)),VALUE(LEFT(J2739,FIND("-",J2739)-1)),VALUE(MID(J2739,FIND("-",J2739)+1,99)))))),"")</f>
        <v/>
      </c>
      <c r="C2739">
        <f>IF($C$1=0,0,IFERROR(VALUE(SUBSTITUTE(SUBSTITUTE(SUBSTITUTE(INDEX(貼り付け!$A$1:$BZ$3001,2738,$C$1)&amp;"",",",""),"¥",""),"￥","")),0))</f>
        <v/>
      </c>
      <c r="D2739">
        <f>IF($D$1=0,0,IFERROR(VALUE(SUBSTITUTE(SUBSTITUTE(SUBSTITUTE(INDEX(貼り付け!$A$1:$BZ$3001,2738,$D$1)&amp;"",",",""),"¥",""),"￥","")),0))</f>
        <v/>
      </c>
      <c r="E2739">
        <f>IF($E$1=0,0,IFERROR(VALUE(SUBSTITUTE(SUBSTITUTE(SUBSTITUTE(INDEX(貼り付け!$A$1:$BZ$3001,2738,$E$1)&amp;"",",",""),"¥",""),"￥","")),0))</f>
        <v/>
      </c>
      <c r="F2739">
        <f>IF($F$1=0,0,IFERROR(VALUE(SUBSTITUTE(SUBSTITUTE(SUBSTITUTE(INDEX(貼り付け!$A$1:$BZ$3001,2738,$F$1)&amp;"",",",""),"¥",""),"￥","")),0))</f>
        <v/>
      </c>
      <c r="G2739">
        <f>IF(ISNUMBER(B2739),YEAR(B2739),"")</f>
        <v/>
      </c>
      <c r="H2739">
        <f>IF(ISNUMBER(B2739),MONTH(B2739),"")</f>
        <v/>
      </c>
      <c r="I2739">
        <f>IFERROR(IF($B$1=0,"",IF(ISNUMBER(INDEX(貼り付け!$A$1:$BZ$3001,2738,$B$1)),"",SUBSTITUTE(SUBSTITUTE(SUBSTITUTE(SUBSTITUTE(TRIM(LEFT(INDEX(貼り付け!$A$1:$BZ$3001,2738,$B$1)&amp;"",FIND(" ",TRIM(INDEX(貼り付け!$A$1:$BZ$3001,2738,$B$1)&amp;"")&amp;" ")-1)),"/","-"),"年","-"),"月","-"),"日",""))),"")</f>
        <v/>
      </c>
      <c r="J2739">
        <f>IFERROR(MID(I2739,FIND("-",I2739)+1,99),"")</f>
        <v/>
      </c>
    </row>
    <row r="2740">
      <c r="B2740">
        <f>IFERROR(IF($B$1=0,"",IF(INDEX(貼り付け!$A$1:$BZ$3001,2739,$B$1)="","",IF(ISNUMBER(INDEX(貼り付け!$A$1:$BZ$3001,2739,$B$1)),INT(INDEX(貼り付け!$A$1:$BZ$3001,2739,$B$1)),DATE(VALUE(LEFT(I2740,FIND("-",I2740)-1)),VALUE(LEFT(J2740,FIND("-",J2740)-1)),VALUE(MID(J2740,FIND("-",J2740)+1,99)))))),"")</f>
        <v/>
      </c>
      <c r="C2740">
        <f>IF($C$1=0,0,IFERROR(VALUE(SUBSTITUTE(SUBSTITUTE(SUBSTITUTE(INDEX(貼り付け!$A$1:$BZ$3001,2739,$C$1)&amp;"",",",""),"¥",""),"￥","")),0))</f>
        <v/>
      </c>
      <c r="D2740">
        <f>IF($D$1=0,0,IFERROR(VALUE(SUBSTITUTE(SUBSTITUTE(SUBSTITUTE(INDEX(貼り付け!$A$1:$BZ$3001,2739,$D$1)&amp;"",",",""),"¥",""),"￥","")),0))</f>
        <v/>
      </c>
      <c r="E2740">
        <f>IF($E$1=0,0,IFERROR(VALUE(SUBSTITUTE(SUBSTITUTE(SUBSTITUTE(INDEX(貼り付け!$A$1:$BZ$3001,2739,$E$1)&amp;"",",",""),"¥",""),"￥","")),0))</f>
        <v/>
      </c>
      <c r="F2740">
        <f>IF($F$1=0,0,IFERROR(VALUE(SUBSTITUTE(SUBSTITUTE(SUBSTITUTE(INDEX(貼り付け!$A$1:$BZ$3001,2739,$F$1)&amp;"",",",""),"¥",""),"￥","")),0))</f>
        <v/>
      </c>
      <c r="G2740">
        <f>IF(ISNUMBER(B2740),YEAR(B2740),"")</f>
        <v/>
      </c>
      <c r="H2740">
        <f>IF(ISNUMBER(B2740),MONTH(B2740),"")</f>
        <v/>
      </c>
      <c r="I2740">
        <f>IFERROR(IF($B$1=0,"",IF(ISNUMBER(INDEX(貼り付け!$A$1:$BZ$3001,2739,$B$1)),"",SUBSTITUTE(SUBSTITUTE(SUBSTITUTE(SUBSTITUTE(TRIM(LEFT(INDEX(貼り付け!$A$1:$BZ$3001,2739,$B$1)&amp;"",FIND(" ",TRIM(INDEX(貼り付け!$A$1:$BZ$3001,2739,$B$1)&amp;"")&amp;" ")-1)),"/","-"),"年","-"),"月","-"),"日",""))),"")</f>
        <v/>
      </c>
      <c r="J2740">
        <f>IFERROR(MID(I2740,FIND("-",I2740)+1,99),"")</f>
        <v/>
      </c>
    </row>
    <row r="2741">
      <c r="B2741">
        <f>IFERROR(IF($B$1=0,"",IF(INDEX(貼り付け!$A$1:$BZ$3001,2740,$B$1)="","",IF(ISNUMBER(INDEX(貼り付け!$A$1:$BZ$3001,2740,$B$1)),INT(INDEX(貼り付け!$A$1:$BZ$3001,2740,$B$1)),DATE(VALUE(LEFT(I2741,FIND("-",I2741)-1)),VALUE(LEFT(J2741,FIND("-",J2741)-1)),VALUE(MID(J2741,FIND("-",J2741)+1,99)))))),"")</f>
        <v/>
      </c>
      <c r="C2741">
        <f>IF($C$1=0,0,IFERROR(VALUE(SUBSTITUTE(SUBSTITUTE(SUBSTITUTE(INDEX(貼り付け!$A$1:$BZ$3001,2740,$C$1)&amp;"",",",""),"¥",""),"￥","")),0))</f>
        <v/>
      </c>
      <c r="D2741">
        <f>IF($D$1=0,0,IFERROR(VALUE(SUBSTITUTE(SUBSTITUTE(SUBSTITUTE(INDEX(貼り付け!$A$1:$BZ$3001,2740,$D$1)&amp;"",",",""),"¥",""),"￥","")),0))</f>
        <v/>
      </c>
      <c r="E2741">
        <f>IF($E$1=0,0,IFERROR(VALUE(SUBSTITUTE(SUBSTITUTE(SUBSTITUTE(INDEX(貼り付け!$A$1:$BZ$3001,2740,$E$1)&amp;"",",",""),"¥",""),"￥","")),0))</f>
        <v/>
      </c>
      <c r="F2741">
        <f>IF($F$1=0,0,IFERROR(VALUE(SUBSTITUTE(SUBSTITUTE(SUBSTITUTE(INDEX(貼り付け!$A$1:$BZ$3001,2740,$F$1)&amp;"",",",""),"¥",""),"￥","")),0))</f>
        <v/>
      </c>
      <c r="G2741">
        <f>IF(ISNUMBER(B2741),YEAR(B2741),"")</f>
        <v/>
      </c>
      <c r="H2741">
        <f>IF(ISNUMBER(B2741),MONTH(B2741),"")</f>
        <v/>
      </c>
      <c r="I2741">
        <f>IFERROR(IF($B$1=0,"",IF(ISNUMBER(INDEX(貼り付け!$A$1:$BZ$3001,2740,$B$1)),"",SUBSTITUTE(SUBSTITUTE(SUBSTITUTE(SUBSTITUTE(TRIM(LEFT(INDEX(貼り付け!$A$1:$BZ$3001,2740,$B$1)&amp;"",FIND(" ",TRIM(INDEX(貼り付け!$A$1:$BZ$3001,2740,$B$1)&amp;"")&amp;" ")-1)),"/","-"),"年","-"),"月","-"),"日",""))),"")</f>
        <v/>
      </c>
      <c r="J2741">
        <f>IFERROR(MID(I2741,FIND("-",I2741)+1,99),"")</f>
        <v/>
      </c>
    </row>
    <row r="2742">
      <c r="B2742">
        <f>IFERROR(IF($B$1=0,"",IF(INDEX(貼り付け!$A$1:$BZ$3001,2741,$B$1)="","",IF(ISNUMBER(INDEX(貼り付け!$A$1:$BZ$3001,2741,$B$1)),INT(INDEX(貼り付け!$A$1:$BZ$3001,2741,$B$1)),DATE(VALUE(LEFT(I2742,FIND("-",I2742)-1)),VALUE(LEFT(J2742,FIND("-",J2742)-1)),VALUE(MID(J2742,FIND("-",J2742)+1,99)))))),"")</f>
        <v/>
      </c>
      <c r="C2742">
        <f>IF($C$1=0,0,IFERROR(VALUE(SUBSTITUTE(SUBSTITUTE(SUBSTITUTE(INDEX(貼り付け!$A$1:$BZ$3001,2741,$C$1)&amp;"",",",""),"¥",""),"￥","")),0))</f>
        <v/>
      </c>
      <c r="D2742">
        <f>IF($D$1=0,0,IFERROR(VALUE(SUBSTITUTE(SUBSTITUTE(SUBSTITUTE(INDEX(貼り付け!$A$1:$BZ$3001,2741,$D$1)&amp;"",",",""),"¥",""),"￥","")),0))</f>
        <v/>
      </c>
      <c r="E2742">
        <f>IF($E$1=0,0,IFERROR(VALUE(SUBSTITUTE(SUBSTITUTE(SUBSTITUTE(INDEX(貼り付け!$A$1:$BZ$3001,2741,$E$1)&amp;"",",",""),"¥",""),"￥","")),0))</f>
        <v/>
      </c>
      <c r="F2742">
        <f>IF($F$1=0,0,IFERROR(VALUE(SUBSTITUTE(SUBSTITUTE(SUBSTITUTE(INDEX(貼り付け!$A$1:$BZ$3001,2741,$F$1)&amp;"",",",""),"¥",""),"￥","")),0))</f>
        <v/>
      </c>
      <c r="G2742">
        <f>IF(ISNUMBER(B2742),YEAR(B2742),"")</f>
        <v/>
      </c>
      <c r="H2742">
        <f>IF(ISNUMBER(B2742),MONTH(B2742),"")</f>
        <v/>
      </c>
      <c r="I2742">
        <f>IFERROR(IF($B$1=0,"",IF(ISNUMBER(INDEX(貼り付け!$A$1:$BZ$3001,2741,$B$1)),"",SUBSTITUTE(SUBSTITUTE(SUBSTITUTE(SUBSTITUTE(TRIM(LEFT(INDEX(貼り付け!$A$1:$BZ$3001,2741,$B$1)&amp;"",FIND(" ",TRIM(INDEX(貼り付け!$A$1:$BZ$3001,2741,$B$1)&amp;"")&amp;" ")-1)),"/","-"),"年","-"),"月","-"),"日",""))),"")</f>
        <v/>
      </c>
      <c r="J2742">
        <f>IFERROR(MID(I2742,FIND("-",I2742)+1,99),"")</f>
        <v/>
      </c>
    </row>
    <row r="2743">
      <c r="B2743">
        <f>IFERROR(IF($B$1=0,"",IF(INDEX(貼り付け!$A$1:$BZ$3001,2742,$B$1)="","",IF(ISNUMBER(INDEX(貼り付け!$A$1:$BZ$3001,2742,$B$1)),INT(INDEX(貼り付け!$A$1:$BZ$3001,2742,$B$1)),DATE(VALUE(LEFT(I2743,FIND("-",I2743)-1)),VALUE(LEFT(J2743,FIND("-",J2743)-1)),VALUE(MID(J2743,FIND("-",J2743)+1,99)))))),"")</f>
        <v/>
      </c>
      <c r="C2743">
        <f>IF($C$1=0,0,IFERROR(VALUE(SUBSTITUTE(SUBSTITUTE(SUBSTITUTE(INDEX(貼り付け!$A$1:$BZ$3001,2742,$C$1)&amp;"",",",""),"¥",""),"￥","")),0))</f>
        <v/>
      </c>
      <c r="D2743">
        <f>IF($D$1=0,0,IFERROR(VALUE(SUBSTITUTE(SUBSTITUTE(SUBSTITUTE(INDEX(貼り付け!$A$1:$BZ$3001,2742,$D$1)&amp;"",",",""),"¥",""),"￥","")),0))</f>
        <v/>
      </c>
      <c r="E2743">
        <f>IF($E$1=0,0,IFERROR(VALUE(SUBSTITUTE(SUBSTITUTE(SUBSTITUTE(INDEX(貼り付け!$A$1:$BZ$3001,2742,$E$1)&amp;"",",",""),"¥",""),"￥","")),0))</f>
        <v/>
      </c>
      <c r="F2743">
        <f>IF($F$1=0,0,IFERROR(VALUE(SUBSTITUTE(SUBSTITUTE(SUBSTITUTE(INDEX(貼り付け!$A$1:$BZ$3001,2742,$F$1)&amp;"",",",""),"¥",""),"￥","")),0))</f>
        <v/>
      </c>
      <c r="G2743">
        <f>IF(ISNUMBER(B2743),YEAR(B2743),"")</f>
        <v/>
      </c>
      <c r="H2743">
        <f>IF(ISNUMBER(B2743),MONTH(B2743),"")</f>
        <v/>
      </c>
      <c r="I2743">
        <f>IFERROR(IF($B$1=0,"",IF(ISNUMBER(INDEX(貼り付け!$A$1:$BZ$3001,2742,$B$1)),"",SUBSTITUTE(SUBSTITUTE(SUBSTITUTE(SUBSTITUTE(TRIM(LEFT(INDEX(貼り付け!$A$1:$BZ$3001,2742,$B$1)&amp;"",FIND(" ",TRIM(INDEX(貼り付け!$A$1:$BZ$3001,2742,$B$1)&amp;"")&amp;" ")-1)),"/","-"),"年","-"),"月","-"),"日",""))),"")</f>
        <v/>
      </c>
      <c r="J2743">
        <f>IFERROR(MID(I2743,FIND("-",I2743)+1,99),"")</f>
        <v/>
      </c>
    </row>
    <row r="2744">
      <c r="B2744">
        <f>IFERROR(IF($B$1=0,"",IF(INDEX(貼り付け!$A$1:$BZ$3001,2743,$B$1)="","",IF(ISNUMBER(INDEX(貼り付け!$A$1:$BZ$3001,2743,$B$1)),INT(INDEX(貼り付け!$A$1:$BZ$3001,2743,$B$1)),DATE(VALUE(LEFT(I2744,FIND("-",I2744)-1)),VALUE(LEFT(J2744,FIND("-",J2744)-1)),VALUE(MID(J2744,FIND("-",J2744)+1,99)))))),"")</f>
        <v/>
      </c>
      <c r="C2744">
        <f>IF($C$1=0,0,IFERROR(VALUE(SUBSTITUTE(SUBSTITUTE(SUBSTITUTE(INDEX(貼り付け!$A$1:$BZ$3001,2743,$C$1)&amp;"",",",""),"¥",""),"￥","")),0))</f>
        <v/>
      </c>
      <c r="D2744">
        <f>IF($D$1=0,0,IFERROR(VALUE(SUBSTITUTE(SUBSTITUTE(SUBSTITUTE(INDEX(貼り付け!$A$1:$BZ$3001,2743,$D$1)&amp;"",",",""),"¥",""),"￥","")),0))</f>
        <v/>
      </c>
      <c r="E2744">
        <f>IF($E$1=0,0,IFERROR(VALUE(SUBSTITUTE(SUBSTITUTE(SUBSTITUTE(INDEX(貼り付け!$A$1:$BZ$3001,2743,$E$1)&amp;"",",",""),"¥",""),"￥","")),0))</f>
        <v/>
      </c>
      <c r="F2744">
        <f>IF($F$1=0,0,IFERROR(VALUE(SUBSTITUTE(SUBSTITUTE(SUBSTITUTE(INDEX(貼り付け!$A$1:$BZ$3001,2743,$F$1)&amp;"",",",""),"¥",""),"￥","")),0))</f>
        <v/>
      </c>
      <c r="G2744">
        <f>IF(ISNUMBER(B2744),YEAR(B2744),"")</f>
        <v/>
      </c>
      <c r="H2744">
        <f>IF(ISNUMBER(B2744),MONTH(B2744),"")</f>
        <v/>
      </c>
      <c r="I2744">
        <f>IFERROR(IF($B$1=0,"",IF(ISNUMBER(INDEX(貼り付け!$A$1:$BZ$3001,2743,$B$1)),"",SUBSTITUTE(SUBSTITUTE(SUBSTITUTE(SUBSTITUTE(TRIM(LEFT(INDEX(貼り付け!$A$1:$BZ$3001,2743,$B$1)&amp;"",FIND(" ",TRIM(INDEX(貼り付け!$A$1:$BZ$3001,2743,$B$1)&amp;"")&amp;" ")-1)),"/","-"),"年","-"),"月","-"),"日",""))),"")</f>
        <v/>
      </c>
      <c r="J2744">
        <f>IFERROR(MID(I2744,FIND("-",I2744)+1,99),"")</f>
        <v/>
      </c>
    </row>
    <row r="2745">
      <c r="B2745">
        <f>IFERROR(IF($B$1=0,"",IF(INDEX(貼り付け!$A$1:$BZ$3001,2744,$B$1)="","",IF(ISNUMBER(INDEX(貼り付け!$A$1:$BZ$3001,2744,$B$1)),INT(INDEX(貼り付け!$A$1:$BZ$3001,2744,$B$1)),DATE(VALUE(LEFT(I2745,FIND("-",I2745)-1)),VALUE(LEFT(J2745,FIND("-",J2745)-1)),VALUE(MID(J2745,FIND("-",J2745)+1,99)))))),"")</f>
        <v/>
      </c>
      <c r="C2745">
        <f>IF($C$1=0,0,IFERROR(VALUE(SUBSTITUTE(SUBSTITUTE(SUBSTITUTE(INDEX(貼り付け!$A$1:$BZ$3001,2744,$C$1)&amp;"",",",""),"¥",""),"￥","")),0))</f>
        <v/>
      </c>
      <c r="D2745">
        <f>IF($D$1=0,0,IFERROR(VALUE(SUBSTITUTE(SUBSTITUTE(SUBSTITUTE(INDEX(貼り付け!$A$1:$BZ$3001,2744,$D$1)&amp;"",",",""),"¥",""),"￥","")),0))</f>
        <v/>
      </c>
      <c r="E2745">
        <f>IF($E$1=0,0,IFERROR(VALUE(SUBSTITUTE(SUBSTITUTE(SUBSTITUTE(INDEX(貼り付け!$A$1:$BZ$3001,2744,$E$1)&amp;"",",",""),"¥",""),"￥","")),0))</f>
        <v/>
      </c>
      <c r="F2745">
        <f>IF($F$1=0,0,IFERROR(VALUE(SUBSTITUTE(SUBSTITUTE(SUBSTITUTE(INDEX(貼り付け!$A$1:$BZ$3001,2744,$F$1)&amp;"",",",""),"¥",""),"￥","")),0))</f>
        <v/>
      </c>
      <c r="G2745">
        <f>IF(ISNUMBER(B2745),YEAR(B2745),"")</f>
        <v/>
      </c>
      <c r="H2745">
        <f>IF(ISNUMBER(B2745),MONTH(B2745),"")</f>
        <v/>
      </c>
      <c r="I2745">
        <f>IFERROR(IF($B$1=0,"",IF(ISNUMBER(INDEX(貼り付け!$A$1:$BZ$3001,2744,$B$1)),"",SUBSTITUTE(SUBSTITUTE(SUBSTITUTE(SUBSTITUTE(TRIM(LEFT(INDEX(貼り付け!$A$1:$BZ$3001,2744,$B$1)&amp;"",FIND(" ",TRIM(INDEX(貼り付け!$A$1:$BZ$3001,2744,$B$1)&amp;"")&amp;" ")-1)),"/","-"),"年","-"),"月","-"),"日",""))),"")</f>
        <v/>
      </c>
      <c r="J2745">
        <f>IFERROR(MID(I2745,FIND("-",I2745)+1,99),"")</f>
        <v/>
      </c>
    </row>
    <row r="2746">
      <c r="B2746">
        <f>IFERROR(IF($B$1=0,"",IF(INDEX(貼り付け!$A$1:$BZ$3001,2745,$B$1)="","",IF(ISNUMBER(INDEX(貼り付け!$A$1:$BZ$3001,2745,$B$1)),INT(INDEX(貼り付け!$A$1:$BZ$3001,2745,$B$1)),DATE(VALUE(LEFT(I2746,FIND("-",I2746)-1)),VALUE(LEFT(J2746,FIND("-",J2746)-1)),VALUE(MID(J2746,FIND("-",J2746)+1,99)))))),"")</f>
        <v/>
      </c>
      <c r="C2746">
        <f>IF($C$1=0,0,IFERROR(VALUE(SUBSTITUTE(SUBSTITUTE(SUBSTITUTE(INDEX(貼り付け!$A$1:$BZ$3001,2745,$C$1)&amp;"",",",""),"¥",""),"￥","")),0))</f>
        <v/>
      </c>
      <c r="D2746">
        <f>IF($D$1=0,0,IFERROR(VALUE(SUBSTITUTE(SUBSTITUTE(SUBSTITUTE(INDEX(貼り付け!$A$1:$BZ$3001,2745,$D$1)&amp;"",",",""),"¥",""),"￥","")),0))</f>
        <v/>
      </c>
      <c r="E2746">
        <f>IF($E$1=0,0,IFERROR(VALUE(SUBSTITUTE(SUBSTITUTE(SUBSTITUTE(INDEX(貼り付け!$A$1:$BZ$3001,2745,$E$1)&amp;"",",",""),"¥",""),"￥","")),0))</f>
        <v/>
      </c>
      <c r="F2746">
        <f>IF($F$1=0,0,IFERROR(VALUE(SUBSTITUTE(SUBSTITUTE(SUBSTITUTE(INDEX(貼り付け!$A$1:$BZ$3001,2745,$F$1)&amp;"",",",""),"¥",""),"￥","")),0))</f>
        <v/>
      </c>
      <c r="G2746">
        <f>IF(ISNUMBER(B2746),YEAR(B2746),"")</f>
        <v/>
      </c>
      <c r="H2746">
        <f>IF(ISNUMBER(B2746),MONTH(B2746),"")</f>
        <v/>
      </c>
      <c r="I2746">
        <f>IFERROR(IF($B$1=0,"",IF(ISNUMBER(INDEX(貼り付け!$A$1:$BZ$3001,2745,$B$1)),"",SUBSTITUTE(SUBSTITUTE(SUBSTITUTE(SUBSTITUTE(TRIM(LEFT(INDEX(貼り付け!$A$1:$BZ$3001,2745,$B$1)&amp;"",FIND(" ",TRIM(INDEX(貼り付け!$A$1:$BZ$3001,2745,$B$1)&amp;"")&amp;" ")-1)),"/","-"),"年","-"),"月","-"),"日",""))),"")</f>
        <v/>
      </c>
      <c r="J2746">
        <f>IFERROR(MID(I2746,FIND("-",I2746)+1,99),"")</f>
        <v/>
      </c>
    </row>
    <row r="2747">
      <c r="B2747">
        <f>IFERROR(IF($B$1=0,"",IF(INDEX(貼り付け!$A$1:$BZ$3001,2746,$B$1)="","",IF(ISNUMBER(INDEX(貼り付け!$A$1:$BZ$3001,2746,$B$1)),INT(INDEX(貼り付け!$A$1:$BZ$3001,2746,$B$1)),DATE(VALUE(LEFT(I2747,FIND("-",I2747)-1)),VALUE(LEFT(J2747,FIND("-",J2747)-1)),VALUE(MID(J2747,FIND("-",J2747)+1,99)))))),"")</f>
        <v/>
      </c>
      <c r="C2747">
        <f>IF($C$1=0,0,IFERROR(VALUE(SUBSTITUTE(SUBSTITUTE(SUBSTITUTE(INDEX(貼り付け!$A$1:$BZ$3001,2746,$C$1)&amp;"",",",""),"¥",""),"￥","")),0))</f>
        <v/>
      </c>
      <c r="D2747">
        <f>IF($D$1=0,0,IFERROR(VALUE(SUBSTITUTE(SUBSTITUTE(SUBSTITUTE(INDEX(貼り付け!$A$1:$BZ$3001,2746,$D$1)&amp;"",",",""),"¥",""),"￥","")),0))</f>
        <v/>
      </c>
      <c r="E2747">
        <f>IF($E$1=0,0,IFERROR(VALUE(SUBSTITUTE(SUBSTITUTE(SUBSTITUTE(INDEX(貼り付け!$A$1:$BZ$3001,2746,$E$1)&amp;"",",",""),"¥",""),"￥","")),0))</f>
        <v/>
      </c>
      <c r="F2747">
        <f>IF($F$1=0,0,IFERROR(VALUE(SUBSTITUTE(SUBSTITUTE(SUBSTITUTE(INDEX(貼り付け!$A$1:$BZ$3001,2746,$F$1)&amp;"",",",""),"¥",""),"￥","")),0))</f>
        <v/>
      </c>
      <c r="G2747">
        <f>IF(ISNUMBER(B2747),YEAR(B2747),"")</f>
        <v/>
      </c>
      <c r="H2747">
        <f>IF(ISNUMBER(B2747),MONTH(B2747),"")</f>
        <v/>
      </c>
      <c r="I2747">
        <f>IFERROR(IF($B$1=0,"",IF(ISNUMBER(INDEX(貼り付け!$A$1:$BZ$3001,2746,$B$1)),"",SUBSTITUTE(SUBSTITUTE(SUBSTITUTE(SUBSTITUTE(TRIM(LEFT(INDEX(貼り付け!$A$1:$BZ$3001,2746,$B$1)&amp;"",FIND(" ",TRIM(INDEX(貼り付け!$A$1:$BZ$3001,2746,$B$1)&amp;"")&amp;" ")-1)),"/","-"),"年","-"),"月","-"),"日",""))),"")</f>
        <v/>
      </c>
      <c r="J2747">
        <f>IFERROR(MID(I2747,FIND("-",I2747)+1,99),"")</f>
        <v/>
      </c>
    </row>
    <row r="2748">
      <c r="B2748">
        <f>IFERROR(IF($B$1=0,"",IF(INDEX(貼り付け!$A$1:$BZ$3001,2747,$B$1)="","",IF(ISNUMBER(INDEX(貼り付け!$A$1:$BZ$3001,2747,$B$1)),INT(INDEX(貼り付け!$A$1:$BZ$3001,2747,$B$1)),DATE(VALUE(LEFT(I2748,FIND("-",I2748)-1)),VALUE(LEFT(J2748,FIND("-",J2748)-1)),VALUE(MID(J2748,FIND("-",J2748)+1,99)))))),"")</f>
        <v/>
      </c>
      <c r="C2748">
        <f>IF($C$1=0,0,IFERROR(VALUE(SUBSTITUTE(SUBSTITUTE(SUBSTITUTE(INDEX(貼り付け!$A$1:$BZ$3001,2747,$C$1)&amp;"",",",""),"¥",""),"￥","")),0))</f>
        <v/>
      </c>
      <c r="D2748">
        <f>IF($D$1=0,0,IFERROR(VALUE(SUBSTITUTE(SUBSTITUTE(SUBSTITUTE(INDEX(貼り付け!$A$1:$BZ$3001,2747,$D$1)&amp;"",",",""),"¥",""),"￥","")),0))</f>
        <v/>
      </c>
      <c r="E2748">
        <f>IF($E$1=0,0,IFERROR(VALUE(SUBSTITUTE(SUBSTITUTE(SUBSTITUTE(INDEX(貼り付け!$A$1:$BZ$3001,2747,$E$1)&amp;"",",",""),"¥",""),"￥","")),0))</f>
        <v/>
      </c>
      <c r="F2748">
        <f>IF($F$1=0,0,IFERROR(VALUE(SUBSTITUTE(SUBSTITUTE(SUBSTITUTE(INDEX(貼り付け!$A$1:$BZ$3001,2747,$F$1)&amp;"",",",""),"¥",""),"￥","")),0))</f>
        <v/>
      </c>
      <c r="G2748">
        <f>IF(ISNUMBER(B2748),YEAR(B2748),"")</f>
        <v/>
      </c>
      <c r="H2748">
        <f>IF(ISNUMBER(B2748),MONTH(B2748),"")</f>
        <v/>
      </c>
      <c r="I2748">
        <f>IFERROR(IF($B$1=0,"",IF(ISNUMBER(INDEX(貼り付け!$A$1:$BZ$3001,2747,$B$1)),"",SUBSTITUTE(SUBSTITUTE(SUBSTITUTE(SUBSTITUTE(TRIM(LEFT(INDEX(貼り付け!$A$1:$BZ$3001,2747,$B$1)&amp;"",FIND(" ",TRIM(INDEX(貼り付け!$A$1:$BZ$3001,2747,$B$1)&amp;"")&amp;" ")-1)),"/","-"),"年","-"),"月","-"),"日",""))),"")</f>
        <v/>
      </c>
      <c r="J2748">
        <f>IFERROR(MID(I2748,FIND("-",I2748)+1,99),"")</f>
        <v/>
      </c>
    </row>
    <row r="2749">
      <c r="B2749">
        <f>IFERROR(IF($B$1=0,"",IF(INDEX(貼り付け!$A$1:$BZ$3001,2748,$B$1)="","",IF(ISNUMBER(INDEX(貼り付け!$A$1:$BZ$3001,2748,$B$1)),INT(INDEX(貼り付け!$A$1:$BZ$3001,2748,$B$1)),DATE(VALUE(LEFT(I2749,FIND("-",I2749)-1)),VALUE(LEFT(J2749,FIND("-",J2749)-1)),VALUE(MID(J2749,FIND("-",J2749)+1,99)))))),"")</f>
        <v/>
      </c>
      <c r="C2749">
        <f>IF($C$1=0,0,IFERROR(VALUE(SUBSTITUTE(SUBSTITUTE(SUBSTITUTE(INDEX(貼り付け!$A$1:$BZ$3001,2748,$C$1)&amp;"",",",""),"¥",""),"￥","")),0))</f>
        <v/>
      </c>
      <c r="D2749">
        <f>IF($D$1=0,0,IFERROR(VALUE(SUBSTITUTE(SUBSTITUTE(SUBSTITUTE(INDEX(貼り付け!$A$1:$BZ$3001,2748,$D$1)&amp;"",",",""),"¥",""),"￥","")),0))</f>
        <v/>
      </c>
      <c r="E2749">
        <f>IF($E$1=0,0,IFERROR(VALUE(SUBSTITUTE(SUBSTITUTE(SUBSTITUTE(INDEX(貼り付け!$A$1:$BZ$3001,2748,$E$1)&amp;"",",",""),"¥",""),"￥","")),0))</f>
        <v/>
      </c>
      <c r="F2749">
        <f>IF($F$1=0,0,IFERROR(VALUE(SUBSTITUTE(SUBSTITUTE(SUBSTITUTE(INDEX(貼り付け!$A$1:$BZ$3001,2748,$F$1)&amp;"",",",""),"¥",""),"￥","")),0))</f>
        <v/>
      </c>
      <c r="G2749">
        <f>IF(ISNUMBER(B2749),YEAR(B2749),"")</f>
        <v/>
      </c>
      <c r="H2749">
        <f>IF(ISNUMBER(B2749),MONTH(B2749),"")</f>
        <v/>
      </c>
      <c r="I2749">
        <f>IFERROR(IF($B$1=0,"",IF(ISNUMBER(INDEX(貼り付け!$A$1:$BZ$3001,2748,$B$1)),"",SUBSTITUTE(SUBSTITUTE(SUBSTITUTE(SUBSTITUTE(TRIM(LEFT(INDEX(貼り付け!$A$1:$BZ$3001,2748,$B$1)&amp;"",FIND(" ",TRIM(INDEX(貼り付け!$A$1:$BZ$3001,2748,$B$1)&amp;"")&amp;" ")-1)),"/","-"),"年","-"),"月","-"),"日",""))),"")</f>
        <v/>
      </c>
      <c r="J2749">
        <f>IFERROR(MID(I2749,FIND("-",I2749)+1,99),"")</f>
        <v/>
      </c>
    </row>
    <row r="2750">
      <c r="B2750">
        <f>IFERROR(IF($B$1=0,"",IF(INDEX(貼り付け!$A$1:$BZ$3001,2749,$B$1)="","",IF(ISNUMBER(INDEX(貼り付け!$A$1:$BZ$3001,2749,$B$1)),INT(INDEX(貼り付け!$A$1:$BZ$3001,2749,$B$1)),DATE(VALUE(LEFT(I2750,FIND("-",I2750)-1)),VALUE(LEFT(J2750,FIND("-",J2750)-1)),VALUE(MID(J2750,FIND("-",J2750)+1,99)))))),"")</f>
        <v/>
      </c>
      <c r="C2750">
        <f>IF($C$1=0,0,IFERROR(VALUE(SUBSTITUTE(SUBSTITUTE(SUBSTITUTE(INDEX(貼り付け!$A$1:$BZ$3001,2749,$C$1)&amp;"",",",""),"¥",""),"￥","")),0))</f>
        <v/>
      </c>
      <c r="D2750">
        <f>IF($D$1=0,0,IFERROR(VALUE(SUBSTITUTE(SUBSTITUTE(SUBSTITUTE(INDEX(貼り付け!$A$1:$BZ$3001,2749,$D$1)&amp;"",",",""),"¥",""),"￥","")),0))</f>
        <v/>
      </c>
      <c r="E2750">
        <f>IF($E$1=0,0,IFERROR(VALUE(SUBSTITUTE(SUBSTITUTE(SUBSTITUTE(INDEX(貼り付け!$A$1:$BZ$3001,2749,$E$1)&amp;"",",",""),"¥",""),"￥","")),0))</f>
        <v/>
      </c>
      <c r="F2750">
        <f>IF($F$1=0,0,IFERROR(VALUE(SUBSTITUTE(SUBSTITUTE(SUBSTITUTE(INDEX(貼り付け!$A$1:$BZ$3001,2749,$F$1)&amp;"",",",""),"¥",""),"￥","")),0))</f>
        <v/>
      </c>
      <c r="G2750">
        <f>IF(ISNUMBER(B2750),YEAR(B2750),"")</f>
        <v/>
      </c>
      <c r="H2750">
        <f>IF(ISNUMBER(B2750),MONTH(B2750),"")</f>
        <v/>
      </c>
      <c r="I2750">
        <f>IFERROR(IF($B$1=0,"",IF(ISNUMBER(INDEX(貼り付け!$A$1:$BZ$3001,2749,$B$1)),"",SUBSTITUTE(SUBSTITUTE(SUBSTITUTE(SUBSTITUTE(TRIM(LEFT(INDEX(貼り付け!$A$1:$BZ$3001,2749,$B$1)&amp;"",FIND(" ",TRIM(INDEX(貼り付け!$A$1:$BZ$3001,2749,$B$1)&amp;"")&amp;" ")-1)),"/","-"),"年","-"),"月","-"),"日",""))),"")</f>
        <v/>
      </c>
      <c r="J2750">
        <f>IFERROR(MID(I2750,FIND("-",I2750)+1,99),"")</f>
        <v/>
      </c>
    </row>
    <row r="2751">
      <c r="B2751">
        <f>IFERROR(IF($B$1=0,"",IF(INDEX(貼り付け!$A$1:$BZ$3001,2750,$B$1)="","",IF(ISNUMBER(INDEX(貼り付け!$A$1:$BZ$3001,2750,$B$1)),INT(INDEX(貼り付け!$A$1:$BZ$3001,2750,$B$1)),DATE(VALUE(LEFT(I2751,FIND("-",I2751)-1)),VALUE(LEFT(J2751,FIND("-",J2751)-1)),VALUE(MID(J2751,FIND("-",J2751)+1,99)))))),"")</f>
        <v/>
      </c>
      <c r="C2751">
        <f>IF($C$1=0,0,IFERROR(VALUE(SUBSTITUTE(SUBSTITUTE(SUBSTITUTE(INDEX(貼り付け!$A$1:$BZ$3001,2750,$C$1)&amp;"",",",""),"¥",""),"￥","")),0))</f>
        <v/>
      </c>
      <c r="D2751">
        <f>IF($D$1=0,0,IFERROR(VALUE(SUBSTITUTE(SUBSTITUTE(SUBSTITUTE(INDEX(貼り付け!$A$1:$BZ$3001,2750,$D$1)&amp;"",",",""),"¥",""),"￥","")),0))</f>
        <v/>
      </c>
      <c r="E2751">
        <f>IF($E$1=0,0,IFERROR(VALUE(SUBSTITUTE(SUBSTITUTE(SUBSTITUTE(INDEX(貼り付け!$A$1:$BZ$3001,2750,$E$1)&amp;"",",",""),"¥",""),"￥","")),0))</f>
        <v/>
      </c>
      <c r="F2751">
        <f>IF($F$1=0,0,IFERROR(VALUE(SUBSTITUTE(SUBSTITUTE(SUBSTITUTE(INDEX(貼り付け!$A$1:$BZ$3001,2750,$F$1)&amp;"",",",""),"¥",""),"￥","")),0))</f>
        <v/>
      </c>
      <c r="G2751">
        <f>IF(ISNUMBER(B2751),YEAR(B2751),"")</f>
        <v/>
      </c>
      <c r="H2751">
        <f>IF(ISNUMBER(B2751),MONTH(B2751),"")</f>
        <v/>
      </c>
      <c r="I2751">
        <f>IFERROR(IF($B$1=0,"",IF(ISNUMBER(INDEX(貼り付け!$A$1:$BZ$3001,2750,$B$1)),"",SUBSTITUTE(SUBSTITUTE(SUBSTITUTE(SUBSTITUTE(TRIM(LEFT(INDEX(貼り付け!$A$1:$BZ$3001,2750,$B$1)&amp;"",FIND(" ",TRIM(INDEX(貼り付け!$A$1:$BZ$3001,2750,$B$1)&amp;"")&amp;" ")-1)),"/","-"),"年","-"),"月","-"),"日",""))),"")</f>
        <v/>
      </c>
      <c r="J2751">
        <f>IFERROR(MID(I2751,FIND("-",I2751)+1,99),"")</f>
        <v/>
      </c>
    </row>
    <row r="2752">
      <c r="B2752">
        <f>IFERROR(IF($B$1=0,"",IF(INDEX(貼り付け!$A$1:$BZ$3001,2751,$B$1)="","",IF(ISNUMBER(INDEX(貼り付け!$A$1:$BZ$3001,2751,$B$1)),INT(INDEX(貼り付け!$A$1:$BZ$3001,2751,$B$1)),DATE(VALUE(LEFT(I2752,FIND("-",I2752)-1)),VALUE(LEFT(J2752,FIND("-",J2752)-1)),VALUE(MID(J2752,FIND("-",J2752)+1,99)))))),"")</f>
        <v/>
      </c>
      <c r="C2752">
        <f>IF($C$1=0,0,IFERROR(VALUE(SUBSTITUTE(SUBSTITUTE(SUBSTITUTE(INDEX(貼り付け!$A$1:$BZ$3001,2751,$C$1)&amp;"",",",""),"¥",""),"￥","")),0))</f>
        <v/>
      </c>
      <c r="D2752">
        <f>IF($D$1=0,0,IFERROR(VALUE(SUBSTITUTE(SUBSTITUTE(SUBSTITUTE(INDEX(貼り付け!$A$1:$BZ$3001,2751,$D$1)&amp;"",",",""),"¥",""),"￥","")),0))</f>
        <v/>
      </c>
      <c r="E2752">
        <f>IF($E$1=0,0,IFERROR(VALUE(SUBSTITUTE(SUBSTITUTE(SUBSTITUTE(INDEX(貼り付け!$A$1:$BZ$3001,2751,$E$1)&amp;"",",",""),"¥",""),"￥","")),0))</f>
        <v/>
      </c>
      <c r="F2752">
        <f>IF($F$1=0,0,IFERROR(VALUE(SUBSTITUTE(SUBSTITUTE(SUBSTITUTE(INDEX(貼り付け!$A$1:$BZ$3001,2751,$F$1)&amp;"",",",""),"¥",""),"￥","")),0))</f>
        <v/>
      </c>
      <c r="G2752">
        <f>IF(ISNUMBER(B2752),YEAR(B2752),"")</f>
        <v/>
      </c>
      <c r="H2752">
        <f>IF(ISNUMBER(B2752),MONTH(B2752),"")</f>
        <v/>
      </c>
      <c r="I2752">
        <f>IFERROR(IF($B$1=0,"",IF(ISNUMBER(INDEX(貼り付け!$A$1:$BZ$3001,2751,$B$1)),"",SUBSTITUTE(SUBSTITUTE(SUBSTITUTE(SUBSTITUTE(TRIM(LEFT(INDEX(貼り付け!$A$1:$BZ$3001,2751,$B$1)&amp;"",FIND(" ",TRIM(INDEX(貼り付け!$A$1:$BZ$3001,2751,$B$1)&amp;"")&amp;" ")-1)),"/","-"),"年","-"),"月","-"),"日",""))),"")</f>
        <v/>
      </c>
      <c r="J2752">
        <f>IFERROR(MID(I2752,FIND("-",I2752)+1,99),"")</f>
        <v/>
      </c>
    </row>
    <row r="2753">
      <c r="B2753">
        <f>IFERROR(IF($B$1=0,"",IF(INDEX(貼り付け!$A$1:$BZ$3001,2752,$B$1)="","",IF(ISNUMBER(INDEX(貼り付け!$A$1:$BZ$3001,2752,$B$1)),INT(INDEX(貼り付け!$A$1:$BZ$3001,2752,$B$1)),DATE(VALUE(LEFT(I2753,FIND("-",I2753)-1)),VALUE(LEFT(J2753,FIND("-",J2753)-1)),VALUE(MID(J2753,FIND("-",J2753)+1,99)))))),"")</f>
        <v/>
      </c>
      <c r="C2753">
        <f>IF($C$1=0,0,IFERROR(VALUE(SUBSTITUTE(SUBSTITUTE(SUBSTITUTE(INDEX(貼り付け!$A$1:$BZ$3001,2752,$C$1)&amp;"",",",""),"¥",""),"￥","")),0))</f>
        <v/>
      </c>
      <c r="D2753">
        <f>IF($D$1=0,0,IFERROR(VALUE(SUBSTITUTE(SUBSTITUTE(SUBSTITUTE(INDEX(貼り付け!$A$1:$BZ$3001,2752,$D$1)&amp;"",",",""),"¥",""),"￥","")),0))</f>
        <v/>
      </c>
      <c r="E2753">
        <f>IF($E$1=0,0,IFERROR(VALUE(SUBSTITUTE(SUBSTITUTE(SUBSTITUTE(INDEX(貼り付け!$A$1:$BZ$3001,2752,$E$1)&amp;"",",",""),"¥",""),"￥","")),0))</f>
        <v/>
      </c>
      <c r="F2753">
        <f>IF($F$1=0,0,IFERROR(VALUE(SUBSTITUTE(SUBSTITUTE(SUBSTITUTE(INDEX(貼り付け!$A$1:$BZ$3001,2752,$F$1)&amp;"",",",""),"¥",""),"￥","")),0))</f>
        <v/>
      </c>
      <c r="G2753">
        <f>IF(ISNUMBER(B2753),YEAR(B2753),"")</f>
        <v/>
      </c>
      <c r="H2753">
        <f>IF(ISNUMBER(B2753),MONTH(B2753),"")</f>
        <v/>
      </c>
      <c r="I2753">
        <f>IFERROR(IF($B$1=0,"",IF(ISNUMBER(INDEX(貼り付け!$A$1:$BZ$3001,2752,$B$1)),"",SUBSTITUTE(SUBSTITUTE(SUBSTITUTE(SUBSTITUTE(TRIM(LEFT(INDEX(貼り付け!$A$1:$BZ$3001,2752,$B$1)&amp;"",FIND(" ",TRIM(INDEX(貼り付け!$A$1:$BZ$3001,2752,$B$1)&amp;"")&amp;" ")-1)),"/","-"),"年","-"),"月","-"),"日",""))),"")</f>
        <v/>
      </c>
      <c r="J2753">
        <f>IFERROR(MID(I2753,FIND("-",I2753)+1,99),"")</f>
        <v/>
      </c>
    </row>
    <row r="2754">
      <c r="B2754">
        <f>IFERROR(IF($B$1=0,"",IF(INDEX(貼り付け!$A$1:$BZ$3001,2753,$B$1)="","",IF(ISNUMBER(INDEX(貼り付け!$A$1:$BZ$3001,2753,$B$1)),INT(INDEX(貼り付け!$A$1:$BZ$3001,2753,$B$1)),DATE(VALUE(LEFT(I2754,FIND("-",I2754)-1)),VALUE(LEFT(J2754,FIND("-",J2754)-1)),VALUE(MID(J2754,FIND("-",J2754)+1,99)))))),"")</f>
        <v/>
      </c>
      <c r="C2754">
        <f>IF($C$1=0,0,IFERROR(VALUE(SUBSTITUTE(SUBSTITUTE(SUBSTITUTE(INDEX(貼り付け!$A$1:$BZ$3001,2753,$C$1)&amp;"",",",""),"¥",""),"￥","")),0))</f>
        <v/>
      </c>
      <c r="D2754">
        <f>IF($D$1=0,0,IFERROR(VALUE(SUBSTITUTE(SUBSTITUTE(SUBSTITUTE(INDEX(貼り付け!$A$1:$BZ$3001,2753,$D$1)&amp;"",",",""),"¥",""),"￥","")),0))</f>
        <v/>
      </c>
      <c r="E2754">
        <f>IF($E$1=0,0,IFERROR(VALUE(SUBSTITUTE(SUBSTITUTE(SUBSTITUTE(INDEX(貼り付け!$A$1:$BZ$3001,2753,$E$1)&amp;"",",",""),"¥",""),"￥","")),0))</f>
        <v/>
      </c>
      <c r="F2754">
        <f>IF($F$1=0,0,IFERROR(VALUE(SUBSTITUTE(SUBSTITUTE(SUBSTITUTE(INDEX(貼り付け!$A$1:$BZ$3001,2753,$F$1)&amp;"",",",""),"¥",""),"￥","")),0))</f>
        <v/>
      </c>
      <c r="G2754">
        <f>IF(ISNUMBER(B2754),YEAR(B2754),"")</f>
        <v/>
      </c>
      <c r="H2754">
        <f>IF(ISNUMBER(B2754),MONTH(B2754),"")</f>
        <v/>
      </c>
      <c r="I2754">
        <f>IFERROR(IF($B$1=0,"",IF(ISNUMBER(INDEX(貼り付け!$A$1:$BZ$3001,2753,$B$1)),"",SUBSTITUTE(SUBSTITUTE(SUBSTITUTE(SUBSTITUTE(TRIM(LEFT(INDEX(貼り付け!$A$1:$BZ$3001,2753,$B$1)&amp;"",FIND(" ",TRIM(INDEX(貼り付け!$A$1:$BZ$3001,2753,$B$1)&amp;"")&amp;" ")-1)),"/","-"),"年","-"),"月","-"),"日",""))),"")</f>
        <v/>
      </c>
      <c r="J2754">
        <f>IFERROR(MID(I2754,FIND("-",I2754)+1,99),"")</f>
        <v/>
      </c>
    </row>
    <row r="2755">
      <c r="B2755">
        <f>IFERROR(IF($B$1=0,"",IF(INDEX(貼り付け!$A$1:$BZ$3001,2754,$B$1)="","",IF(ISNUMBER(INDEX(貼り付け!$A$1:$BZ$3001,2754,$B$1)),INT(INDEX(貼り付け!$A$1:$BZ$3001,2754,$B$1)),DATE(VALUE(LEFT(I2755,FIND("-",I2755)-1)),VALUE(LEFT(J2755,FIND("-",J2755)-1)),VALUE(MID(J2755,FIND("-",J2755)+1,99)))))),"")</f>
        <v/>
      </c>
      <c r="C2755">
        <f>IF($C$1=0,0,IFERROR(VALUE(SUBSTITUTE(SUBSTITUTE(SUBSTITUTE(INDEX(貼り付け!$A$1:$BZ$3001,2754,$C$1)&amp;"",",",""),"¥",""),"￥","")),0))</f>
        <v/>
      </c>
      <c r="D2755">
        <f>IF($D$1=0,0,IFERROR(VALUE(SUBSTITUTE(SUBSTITUTE(SUBSTITUTE(INDEX(貼り付け!$A$1:$BZ$3001,2754,$D$1)&amp;"",",",""),"¥",""),"￥","")),0))</f>
        <v/>
      </c>
      <c r="E2755">
        <f>IF($E$1=0,0,IFERROR(VALUE(SUBSTITUTE(SUBSTITUTE(SUBSTITUTE(INDEX(貼り付け!$A$1:$BZ$3001,2754,$E$1)&amp;"",",",""),"¥",""),"￥","")),0))</f>
        <v/>
      </c>
      <c r="F2755">
        <f>IF($F$1=0,0,IFERROR(VALUE(SUBSTITUTE(SUBSTITUTE(SUBSTITUTE(INDEX(貼り付け!$A$1:$BZ$3001,2754,$F$1)&amp;"",",",""),"¥",""),"￥","")),0))</f>
        <v/>
      </c>
      <c r="G2755">
        <f>IF(ISNUMBER(B2755),YEAR(B2755),"")</f>
        <v/>
      </c>
      <c r="H2755">
        <f>IF(ISNUMBER(B2755),MONTH(B2755),"")</f>
        <v/>
      </c>
      <c r="I2755">
        <f>IFERROR(IF($B$1=0,"",IF(ISNUMBER(INDEX(貼り付け!$A$1:$BZ$3001,2754,$B$1)),"",SUBSTITUTE(SUBSTITUTE(SUBSTITUTE(SUBSTITUTE(TRIM(LEFT(INDEX(貼り付け!$A$1:$BZ$3001,2754,$B$1)&amp;"",FIND(" ",TRIM(INDEX(貼り付け!$A$1:$BZ$3001,2754,$B$1)&amp;"")&amp;" ")-1)),"/","-"),"年","-"),"月","-"),"日",""))),"")</f>
        <v/>
      </c>
      <c r="J2755">
        <f>IFERROR(MID(I2755,FIND("-",I2755)+1,99),"")</f>
        <v/>
      </c>
    </row>
    <row r="2756">
      <c r="B2756">
        <f>IFERROR(IF($B$1=0,"",IF(INDEX(貼り付け!$A$1:$BZ$3001,2755,$B$1)="","",IF(ISNUMBER(INDEX(貼り付け!$A$1:$BZ$3001,2755,$B$1)),INT(INDEX(貼り付け!$A$1:$BZ$3001,2755,$B$1)),DATE(VALUE(LEFT(I2756,FIND("-",I2756)-1)),VALUE(LEFT(J2756,FIND("-",J2756)-1)),VALUE(MID(J2756,FIND("-",J2756)+1,99)))))),"")</f>
        <v/>
      </c>
      <c r="C2756">
        <f>IF($C$1=0,0,IFERROR(VALUE(SUBSTITUTE(SUBSTITUTE(SUBSTITUTE(INDEX(貼り付け!$A$1:$BZ$3001,2755,$C$1)&amp;"",",",""),"¥",""),"￥","")),0))</f>
        <v/>
      </c>
      <c r="D2756">
        <f>IF($D$1=0,0,IFERROR(VALUE(SUBSTITUTE(SUBSTITUTE(SUBSTITUTE(INDEX(貼り付け!$A$1:$BZ$3001,2755,$D$1)&amp;"",",",""),"¥",""),"￥","")),0))</f>
        <v/>
      </c>
      <c r="E2756">
        <f>IF($E$1=0,0,IFERROR(VALUE(SUBSTITUTE(SUBSTITUTE(SUBSTITUTE(INDEX(貼り付け!$A$1:$BZ$3001,2755,$E$1)&amp;"",",",""),"¥",""),"￥","")),0))</f>
        <v/>
      </c>
      <c r="F2756">
        <f>IF($F$1=0,0,IFERROR(VALUE(SUBSTITUTE(SUBSTITUTE(SUBSTITUTE(INDEX(貼り付け!$A$1:$BZ$3001,2755,$F$1)&amp;"",",",""),"¥",""),"￥","")),0))</f>
        <v/>
      </c>
      <c r="G2756">
        <f>IF(ISNUMBER(B2756),YEAR(B2756),"")</f>
        <v/>
      </c>
      <c r="H2756">
        <f>IF(ISNUMBER(B2756),MONTH(B2756),"")</f>
        <v/>
      </c>
      <c r="I2756">
        <f>IFERROR(IF($B$1=0,"",IF(ISNUMBER(INDEX(貼り付け!$A$1:$BZ$3001,2755,$B$1)),"",SUBSTITUTE(SUBSTITUTE(SUBSTITUTE(SUBSTITUTE(TRIM(LEFT(INDEX(貼り付け!$A$1:$BZ$3001,2755,$B$1)&amp;"",FIND(" ",TRIM(INDEX(貼り付け!$A$1:$BZ$3001,2755,$B$1)&amp;"")&amp;" ")-1)),"/","-"),"年","-"),"月","-"),"日",""))),"")</f>
        <v/>
      </c>
      <c r="J2756">
        <f>IFERROR(MID(I2756,FIND("-",I2756)+1,99),"")</f>
        <v/>
      </c>
    </row>
    <row r="2757">
      <c r="B2757">
        <f>IFERROR(IF($B$1=0,"",IF(INDEX(貼り付け!$A$1:$BZ$3001,2756,$B$1)="","",IF(ISNUMBER(INDEX(貼り付け!$A$1:$BZ$3001,2756,$B$1)),INT(INDEX(貼り付け!$A$1:$BZ$3001,2756,$B$1)),DATE(VALUE(LEFT(I2757,FIND("-",I2757)-1)),VALUE(LEFT(J2757,FIND("-",J2757)-1)),VALUE(MID(J2757,FIND("-",J2757)+1,99)))))),"")</f>
        <v/>
      </c>
      <c r="C2757">
        <f>IF($C$1=0,0,IFERROR(VALUE(SUBSTITUTE(SUBSTITUTE(SUBSTITUTE(INDEX(貼り付け!$A$1:$BZ$3001,2756,$C$1)&amp;"",",",""),"¥",""),"￥","")),0))</f>
        <v/>
      </c>
      <c r="D2757">
        <f>IF($D$1=0,0,IFERROR(VALUE(SUBSTITUTE(SUBSTITUTE(SUBSTITUTE(INDEX(貼り付け!$A$1:$BZ$3001,2756,$D$1)&amp;"",",",""),"¥",""),"￥","")),0))</f>
        <v/>
      </c>
      <c r="E2757">
        <f>IF($E$1=0,0,IFERROR(VALUE(SUBSTITUTE(SUBSTITUTE(SUBSTITUTE(INDEX(貼り付け!$A$1:$BZ$3001,2756,$E$1)&amp;"",",",""),"¥",""),"￥","")),0))</f>
        <v/>
      </c>
      <c r="F2757">
        <f>IF($F$1=0,0,IFERROR(VALUE(SUBSTITUTE(SUBSTITUTE(SUBSTITUTE(INDEX(貼り付け!$A$1:$BZ$3001,2756,$F$1)&amp;"",",",""),"¥",""),"￥","")),0))</f>
        <v/>
      </c>
      <c r="G2757">
        <f>IF(ISNUMBER(B2757),YEAR(B2757),"")</f>
        <v/>
      </c>
      <c r="H2757">
        <f>IF(ISNUMBER(B2757),MONTH(B2757),"")</f>
        <v/>
      </c>
      <c r="I2757">
        <f>IFERROR(IF($B$1=0,"",IF(ISNUMBER(INDEX(貼り付け!$A$1:$BZ$3001,2756,$B$1)),"",SUBSTITUTE(SUBSTITUTE(SUBSTITUTE(SUBSTITUTE(TRIM(LEFT(INDEX(貼り付け!$A$1:$BZ$3001,2756,$B$1)&amp;"",FIND(" ",TRIM(INDEX(貼り付け!$A$1:$BZ$3001,2756,$B$1)&amp;"")&amp;" ")-1)),"/","-"),"年","-"),"月","-"),"日",""))),"")</f>
        <v/>
      </c>
      <c r="J2757">
        <f>IFERROR(MID(I2757,FIND("-",I2757)+1,99),"")</f>
        <v/>
      </c>
    </row>
    <row r="2758">
      <c r="B2758">
        <f>IFERROR(IF($B$1=0,"",IF(INDEX(貼り付け!$A$1:$BZ$3001,2757,$B$1)="","",IF(ISNUMBER(INDEX(貼り付け!$A$1:$BZ$3001,2757,$B$1)),INT(INDEX(貼り付け!$A$1:$BZ$3001,2757,$B$1)),DATE(VALUE(LEFT(I2758,FIND("-",I2758)-1)),VALUE(LEFT(J2758,FIND("-",J2758)-1)),VALUE(MID(J2758,FIND("-",J2758)+1,99)))))),"")</f>
        <v/>
      </c>
      <c r="C2758">
        <f>IF($C$1=0,0,IFERROR(VALUE(SUBSTITUTE(SUBSTITUTE(SUBSTITUTE(INDEX(貼り付け!$A$1:$BZ$3001,2757,$C$1)&amp;"",",",""),"¥",""),"￥","")),0))</f>
        <v/>
      </c>
      <c r="D2758">
        <f>IF($D$1=0,0,IFERROR(VALUE(SUBSTITUTE(SUBSTITUTE(SUBSTITUTE(INDEX(貼り付け!$A$1:$BZ$3001,2757,$D$1)&amp;"",",",""),"¥",""),"￥","")),0))</f>
        <v/>
      </c>
      <c r="E2758">
        <f>IF($E$1=0,0,IFERROR(VALUE(SUBSTITUTE(SUBSTITUTE(SUBSTITUTE(INDEX(貼り付け!$A$1:$BZ$3001,2757,$E$1)&amp;"",",",""),"¥",""),"￥","")),0))</f>
        <v/>
      </c>
      <c r="F2758">
        <f>IF($F$1=0,0,IFERROR(VALUE(SUBSTITUTE(SUBSTITUTE(SUBSTITUTE(INDEX(貼り付け!$A$1:$BZ$3001,2757,$F$1)&amp;"",",",""),"¥",""),"￥","")),0))</f>
        <v/>
      </c>
      <c r="G2758">
        <f>IF(ISNUMBER(B2758),YEAR(B2758),"")</f>
        <v/>
      </c>
      <c r="H2758">
        <f>IF(ISNUMBER(B2758),MONTH(B2758),"")</f>
        <v/>
      </c>
      <c r="I2758">
        <f>IFERROR(IF($B$1=0,"",IF(ISNUMBER(INDEX(貼り付け!$A$1:$BZ$3001,2757,$B$1)),"",SUBSTITUTE(SUBSTITUTE(SUBSTITUTE(SUBSTITUTE(TRIM(LEFT(INDEX(貼り付け!$A$1:$BZ$3001,2757,$B$1)&amp;"",FIND(" ",TRIM(INDEX(貼り付け!$A$1:$BZ$3001,2757,$B$1)&amp;"")&amp;" ")-1)),"/","-"),"年","-"),"月","-"),"日",""))),"")</f>
        <v/>
      </c>
      <c r="J2758">
        <f>IFERROR(MID(I2758,FIND("-",I2758)+1,99),"")</f>
        <v/>
      </c>
    </row>
    <row r="2759">
      <c r="B2759">
        <f>IFERROR(IF($B$1=0,"",IF(INDEX(貼り付け!$A$1:$BZ$3001,2758,$B$1)="","",IF(ISNUMBER(INDEX(貼り付け!$A$1:$BZ$3001,2758,$B$1)),INT(INDEX(貼り付け!$A$1:$BZ$3001,2758,$B$1)),DATE(VALUE(LEFT(I2759,FIND("-",I2759)-1)),VALUE(LEFT(J2759,FIND("-",J2759)-1)),VALUE(MID(J2759,FIND("-",J2759)+1,99)))))),"")</f>
        <v/>
      </c>
      <c r="C2759">
        <f>IF($C$1=0,0,IFERROR(VALUE(SUBSTITUTE(SUBSTITUTE(SUBSTITUTE(INDEX(貼り付け!$A$1:$BZ$3001,2758,$C$1)&amp;"",",",""),"¥",""),"￥","")),0))</f>
        <v/>
      </c>
      <c r="D2759">
        <f>IF($D$1=0,0,IFERROR(VALUE(SUBSTITUTE(SUBSTITUTE(SUBSTITUTE(INDEX(貼り付け!$A$1:$BZ$3001,2758,$D$1)&amp;"",",",""),"¥",""),"￥","")),0))</f>
        <v/>
      </c>
      <c r="E2759">
        <f>IF($E$1=0,0,IFERROR(VALUE(SUBSTITUTE(SUBSTITUTE(SUBSTITUTE(INDEX(貼り付け!$A$1:$BZ$3001,2758,$E$1)&amp;"",",",""),"¥",""),"￥","")),0))</f>
        <v/>
      </c>
      <c r="F2759">
        <f>IF($F$1=0,0,IFERROR(VALUE(SUBSTITUTE(SUBSTITUTE(SUBSTITUTE(INDEX(貼り付け!$A$1:$BZ$3001,2758,$F$1)&amp;"",",",""),"¥",""),"￥","")),0))</f>
        <v/>
      </c>
      <c r="G2759">
        <f>IF(ISNUMBER(B2759),YEAR(B2759),"")</f>
        <v/>
      </c>
      <c r="H2759">
        <f>IF(ISNUMBER(B2759),MONTH(B2759),"")</f>
        <v/>
      </c>
      <c r="I2759">
        <f>IFERROR(IF($B$1=0,"",IF(ISNUMBER(INDEX(貼り付け!$A$1:$BZ$3001,2758,$B$1)),"",SUBSTITUTE(SUBSTITUTE(SUBSTITUTE(SUBSTITUTE(TRIM(LEFT(INDEX(貼り付け!$A$1:$BZ$3001,2758,$B$1)&amp;"",FIND(" ",TRIM(INDEX(貼り付け!$A$1:$BZ$3001,2758,$B$1)&amp;"")&amp;" ")-1)),"/","-"),"年","-"),"月","-"),"日",""))),"")</f>
        <v/>
      </c>
      <c r="J2759">
        <f>IFERROR(MID(I2759,FIND("-",I2759)+1,99),"")</f>
        <v/>
      </c>
    </row>
    <row r="2760">
      <c r="B2760">
        <f>IFERROR(IF($B$1=0,"",IF(INDEX(貼り付け!$A$1:$BZ$3001,2759,$B$1)="","",IF(ISNUMBER(INDEX(貼り付け!$A$1:$BZ$3001,2759,$B$1)),INT(INDEX(貼り付け!$A$1:$BZ$3001,2759,$B$1)),DATE(VALUE(LEFT(I2760,FIND("-",I2760)-1)),VALUE(LEFT(J2760,FIND("-",J2760)-1)),VALUE(MID(J2760,FIND("-",J2760)+1,99)))))),"")</f>
        <v/>
      </c>
      <c r="C2760">
        <f>IF($C$1=0,0,IFERROR(VALUE(SUBSTITUTE(SUBSTITUTE(SUBSTITUTE(INDEX(貼り付け!$A$1:$BZ$3001,2759,$C$1)&amp;"",",",""),"¥",""),"￥","")),0))</f>
        <v/>
      </c>
      <c r="D2760">
        <f>IF($D$1=0,0,IFERROR(VALUE(SUBSTITUTE(SUBSTITUTE(SUBSTITUTE(INDEX(貼り付け!$A$1:$BZ$3001,2759,$D$1)&amp;"",",",""),"¥",""),"￥","")),0))</f>
        <v/>
      </c>
      <c r="E2760">
        <f>IF($E$1=0,0,IFERROR(VALUE(SUBSTITUTE(SUBSTITUTE(SUBSTITUTE(INDEX(貼り付け!$A$1:$BZ$3001,2759,$E$1)&amp;"",",",""),"¥",""),"￥","")),0))</f>
        <v/>
      </c>
      <c r="F2760">
        <f>IF($F$1=0,0,IFERROR(VALUE(SUBSTITUTE(SUBSTITUTE(SUBSTITUTE(INDEX(貼り付け!$A$1:$BZ$3001,2759,$F$1)&amp;"",",",""),"¥",""),"￥","")),0))</f>
        <v/>
      </c>
      <c r="G2760">
        <f>IF(ISNUMBER(B2760),YEAR(B2760),"")</f>
        <v/>
      </c>
      <c r="H2760">
        <f>IF(ISNUMBER(B2760),MONTH(B2760),"")</f>
        <v/>
      </c>
      <c r="I2760">
        <f>IFERROR(IF($B$1=0,"",IF(ISNUMBER(INDEX(貼り付け!$A$1:$BZ$3001,2759,$B$1)),"",SUBSTITUTE(SUBSTITUTE(SUBSTITUTE(SUBSTITUTE(TRIM(LEFT(INDEX(貼り付け!$A$1:$BZ$3001,2759,$B$1)&amp;"",FIND(" ",TRIM(INDEX(貼り付け!$A$1:$BZ$3001,2759,$B$1)&amp;"")&amp;" ")-1)),"/","-"),"年","-"),"月","-"),"日",""))),"")</f>
        <v/>
      </c>
      <c r="J2760">
        <f>IFERROR(MID(I2760,FIND("-",I2760)+1,99),"")</f>
        <v/>
      </c>
    </row>
    <row r="2761">
      <c r="B2761">
        <f>IFERROR(IF($B$1=0,"",IF(INDEX(貼り付け!$A$1:$BZ$3001,2760,$B$1)="","",IF(ISNUMBER(INDEX(貼り付け!$A$1:$BZ$3001,2760,$B$1)),INT(INDEX(貼り付け!$A$1:$BZ$3001,2760,$B$1)),DATE(VALUE(LEFT(I2761,FIND("-",I2761)-1)),VALUE(LEFT(J2761,FIND("-",J2761)-1)),VALUE(MID(J2761,FIND("-",J2761)+1,99)))))),"")</f>
        <v/>
      </c>
      <c r="C2761">
        <f>IF($C$1=0,0,IFERROR(VALUE(SUBSTITUTE(SUBSTITUTE(SUBSTITUTE(INDEX(貼り付け!$A$1:$BZ$3001,2760,$C$1)&amp;"",",",""),"¥",""),"￥","")),0))</f>
        <v/>
      </c>
      <c r="D2761">
        <f>IF($D$1=0,0,IFERROR(VALUE(SUBSTITUTE(SUBSTITUTE(SUBSTITUTE(INDEX(貼り付け!$A$1:$BZ$3001,2760,$D$1)&amp;"",",",""),"¥",""),"￥","")),0))</f>
        <v/>
      </c>
      <c r="E2761">
        <f>IF($E$1=0,0,IFERROR(VALUE(SUBSTITUTE(SUBSTITUTE(SUBSTITUTE(INDEX(貼り付け!$A$1:$BZ$3001,2760,$E$1)&amp;"",",",""),"¥",""),"￥","")),0))</f>
        <v/>
      </c>
      <c r="F2761">
        <f>IF($F$1=0,0,IFERROR(VALUE(SUBSTITUTE(SUBSTITUTE(SUBSTITUTE(INDEX(貼り付け!$A$1:$BZ$3001,2760,$F$1)&amp;"",",",""),"¥",""),"￥","")),0))</f>
        <v/>
      </c>
      <c r="G2761">
        <f>IF(ISNUMBER(B2761),YEAR(B2761),"")</f>
        <v/>
      </c>
      <c r="H2761">
        <f>IF(ISNUMBER(B2761),MONTH(B2761),"")</f>
        <v/>
      </c>
      <c r="I2761">
        <f>IFERROR(IF($B$1=0,"",IF(ISNUMBER(INDEX(貼り付け!$A$1:$BZ$3001,2760,$B$1)),"",SUBSTITUTE(SUBSTITUTE(SUBSTITUTE(SUBSTITUTE(TRIM(LEFT(INDEX(貼り付け!$A$1:$BZ$3001,2760,$B$1)&amp;"",FIND(" ",TRIM(INDEX(貼り付け!$A$1:$BZ$3001,2760,$B$1)&amp;"")&amp;" ")-1)),"/","-"),"年","-"),"月","-"),"日",""))),"")</f>
        <v/>
      </c>
      <c r="J2761">
        <f>IFERROR(MID(I2761,FIND("-",I2761)+1,99),"")</f>
        <v/>
      </c>
    </row>
    <row r="2762">
      <c r="B2762">
        <f>IFERROR(IF($B$1=0,"",IF(INDEX(貼り付け!$A$1:$BZ$3001,2761,$B$1)="","",IF(ISNUMBER(INDEX(貼り付け!$A$1:$BZ$3001,2761,$B$1)),INT(INDEX(貼り付け!$A$1:$BZ$3001,2761,$B$1)),DATE(VALUE(LEFT(I2762,FIND("-",I2762)-1)),VALUE(LEFT(J2762,FIND("-",J2762)-1)),VALUE(MID(J2762,FIND("-",J2762)+1,99)))))),"")</f>
        <v/>
      </c>
      <c r="C2762">
        <f>IF($C$1=0,0,IFERROR(VALUE(SUBSTITUTE(SUBSTITUTE(SUBSTITUTE(INDEX(貼り付け!$A$1:$BZ$3001,2761,$C$1)&amp;"",",",""),"¥",""),"￥","")),0))</f>
        <v/>
      </c>
      <c r="D2762">
        <f>IF($D$1=0,0,IFERROR(VALUE(SUBSTITUTE(SUBSTITUTE(SUBSTITUTE(INDEX(貼り付け!$A$1:$BZ$3001,2761,$D$1)&amp;"",",",""),"¥",""),"￥","")),0))</f>
        <v/>
      </c>
      <c r="E2762">
        <f>IF($E$1=0,0,IFERROR(VALUE(SUBSTITUTE(SUBSTITUTE(SUBSTITUTE(INDEX(貼り付け!$A$1:$BZ$3001,2761,$E$1)&amp;"",",",""),"¥",""),"￥","")),0))</f>
        <v/>
      </c>
      <c r="F2762">
        <f>IF($F$1=0,0,IFERROR(VALUE(SUBSTITUTE(SUBSTITUTE(SUBSTITUTE(INDEX(貼り付け!$A$1:$BZ$3001,2761,$F$1)&amp;"",",",""),"¥",""),"￥","")),0))</f>
        <v/>
      </c>
      <c r="G2762">
        <f>IF(ISNUMBER(B2762),YEAR(B2762),"")</f>
        <v/>
      </c>
      <c r="H2762">
        <f>IF(ISNUMBER(B2762),MONTH(B2762),"")</f>
        <v/>
      </c>
      <c r="I2762">
        <f>IFERROR(IF($B$1=0,"",IF(ISNUMBER(INDEX(貼り付け!$A$1:$BZ$3001,2761,$B$1)),"",SUBSTITUTE(SUBSTITUTE(SUBSTITUTE(SUBSTITUTE(TRIM(LEFT(INDEX(貼り付け!$A$1:$BZ$3001,2761,$B$1)&amp;"",FIND(" ",TRIM(INDEX(貼り付け!$A$1:$BZ$3001,2761,$B$1)&amp;"")&amp;" ")-1)),"/","-"),"年","-"),"月","-"),"日",""))),"")</f>
        <v/>
      </c>
      <c r="J2762">
        <f>IFERROR(MID(I2762,FIND("-",I2762)+1,99),"")</f>
        <v/>
      </c>
    </row>
    <row r="2763">
      <c r="B2763">
        <f>IFERROR(IF($B$1=0,"",IF(INDEX(貼り付け!$A$1:$BZ$3001,2762,$B$1)="","",IF(ISNUMBER(INDEX(貼り付け!$A$1:$BZ$3001,2762,$B$1)),INT(INDEX(貼り付け!$A$1:$BZ$3001,2762,$B$1)),DATE(VALUE(LEFT(I2763,FIND("-",I2763)-1)),VALUE(LEFT(J2763,FIND("-",J2763)-1)),VALUE(MID(J2763,FIND("-",J2763)+1,99)))))),"")</f>
        <v/>
      </c>
      <c r="C2763">
        <f>IF($C$1=0,0,IFERROR(VALUE(SUBSTITUTE(SUBSTITUTE(SUBSTITUTE(INDEX(貼り付け!$A$1:$BZ$3001,2762,$C$1)&amp;"",",",""),"¥",""),"￥","")),0))</f>
        <v/>
      </c>
      <c r="D2763">
        <f>IF($D$1=0,0,IFERROR(VALUE(SUBSTITUTE(SUBSTITUTE(SUBSTITUTE(INDEX(貼り付け!$A$1:$BZ$3001,2762,$D$1)&amp;"",",",""),"¥",""),"￥","")),0))</f>
        <v/>
      </c>
      <c r="E2763">
        <f>IF($E$1=0,0,IFERROR(VALUE(SUBSTITUTE(SUBSTITUTE(SUBSTITUTE(INDEX(貼り付け!$A$1:$BZ$3001,2762,$E$1)&amp;"",",",""),"¥",""),"￥","")),0))</f>
        <v/>
      </c>
      <c r="F2763">
        <f>IF($F$1=0,0,IFERROR(VALUE(SUBSTITUTE(SUBSTITUTE(SUBSTITUTE(INDEX(貼り付け!$A$1:$BZ$3001,2762,$F$1)&amp;"",",",""),"¥",""),"￥","")),0))</f>
        <v/>
      </c>
      <c r="G2763">
        <f>IF(ISNUMBER(B2763),YEAR(B2763),"")</f>
        <v/>
      </c>
      <c r="H2763">
        <f>IF(ISNUMBER(B2763),MONTH(B2763),"")</f>
        <v/>
      </c>
      <c r="I2763">
        <f>IFERROR(IF($B$1=0,"",IF(ISNUMBER(INDEX(貼り付け!$A$1:$BZ$3001,2762,$B$1)),"",SUBSTITUTE(SUBSTITUTE(SUBSTITUTE(SUBSTITUTE(TRIM(LEFT(INDEX(貼り付け!$A$1:$BZ$3001,2762,$B$1)&amp;"",FIND(" ",TRIM(INDEX(貼り付け!$A$1:$BZ$3001,2762,$B$1)&amp;"")&amp;" ")-1)),"/","-"),"年","-"),"月","-"),"日",""))),"")</f>
        <v/>
      </c>
      <c r="J2763">
        <f>IFERROR(MID(I2763,FIND("-",I2763)+1,99),"")</f>
        <v/>
      </c>
    </row>
    <row r="2764">
      <c r="B2764">
        <f>IFERROR(IF($B$1=0,"",IF(INDEX(貼り付け!$A$1:$BZ$3001,2763,$B$1)="","",IF(ISNUMBER(INDEX(貼り付け!$A$1:$BZ$3001,2763,$B$1)),INT(INDEX(貼り付け!$A$1:$BZ$3001,2763,$B$1)),DATE(VALUE(LEFT(I2764,FIND("-",I2764)-1)),VALUE(LEFT(J2764,FIND("-",J2764)-1)),VALUE(MID(J2764,FIND("-",J2764)+1,99)))))),"")</f>
        <v/>
      </c>
      <c r="C2764">
        <f>IF($C$1=0,0,IFERROR(VALUE(SUBSTITUTE(SUBSTITUTE(SUBSTITUTE(INDEX(貼り付け!$A$1:$BZ$3001,2763,$C$1)&amp;"",",",""),"¥",""),"￥","")),0))</f>
        <v/>
      </c>
      <c r="D2764">
        <f>IF($D$1=0,0,IFERROR(VALUE(SUBSTITUTE(SUBSTITUTE(SUBSTITUTE(INDEX(貼り付け!$A$1:$BZ$3001,2763,$D$1)&amp;"",",",""),"¥",""),"￥","")),0))</f>
        <v/>
      </c>
      <c r="E2764">
        <f>IF($E$1=0,0,IFERROR(VALUE(SUBSTITUTE(SUBSTITUTE(SUBSTITUTE(INDEX(貼り付け!$A$1:$BZ$3001,2763,$E$1)&amp;"",",",""),"¥",""),"￥","")),0))</f>
        <v/>
      </c>
      <c r="F2764">
        <f>IF($F$1=0,0,IFERROR(VALUE(SUBSTITUTE(SUBSTITUTE(SUBSTITUTE(INDEX(貼り付け!$A$1:$BZ$3001,2763,$F$1)&amp;"",",",""),"¥",""),"￥","")),0))</f>
        <v/>
      </c>
      <c r="G2764">
        <f>IF(ISNUMBER(B2764),YEAR(B2764),"")</f>
        <v/>
      </c>
      <c r="H2764">
        <f>IF(ISNUMBER(B2764),MONTH(B2764),"")</f>
        <v/>
      </c>
      <c r="I2764">
        <f>IFERROR(IF($B$1=0,"",IF(ISNUMBER(INDEX(貼り付け!$A$1:$BZ$3001,2763,$B$1)),"",SUBSTITUTE(SUBSTITUTE(SUBSTITUTE(SUBSTITUTE(TRIM(LEFT(INDEX(貼り付け!$A$1:$BZ$3001,2763,$B$1)&amp;"",FIND(" ",TRIM(INDEX(貼り付け!$A$1:$BZ$3001,2763,$B$1)&amp;"")&amp;" ")-1)),"/","-"),"年","-"),"月","-"),"日",""))),"")</f>
        <v/>
      </c>
      <c r="J2764">
        <f>IFERROR(MID(I2764,FIND("-",I2764)+1,99),"")</f>
        <v/>
      </c>
    </row>
    <row r="2765">
      <c r="B2765">
        <f>IFERROR(IF($B$1=0,"",IF(INDEX(貼り付け!$A$1:$BZ$3001,2764,$B$1)="","",IF(ISNUMBER(INDEX(貼り付け!$A$1:$BZ$3001,2764,$B$1)),INT(INDEX(貼り付け!$A$1:$BZ$3001,2764,$B$1)),DATE(VALUE(LEFT(I2765,FIND("-",I2765)-1)),VALUE(LEFT(J2765,FIND("-",J2765)-1)),VALUE(MID(J2765,FIND("-",J2765)+1,99)))))),"")</f>
        <v/>
      </c>
      <c r="C2765">
        <f>IF($C$1=0,0,IFERROR(VALUE(SUBSTITUTE(SUBSTITUTE(SUBSTITUTE(INDEX(貼り付け!$A$1:$BZ$3001,2764,$C$1)&amp;"",",",""),"¥",""),"￥","")),0))</f>
        <v/>
      </c>
      <c r="D2765">
        <f>IF($D$1=0,0,IFERROR(VALUE(SUBSTITUTE(SUBSTITUTE(SUBSTITUTE(INDEX(貼り付け!$A$1:$BZ$3001,2764,$D$1)&amp;"",",",""),"¥",""),"￥","")),0))</f>
        <v/>
      </c>
      <c r="E2765">
        <f>IF($E$1=0,0,IFERROR(VALUE(SUBSTITUTE(SUBSTITUTE(SUBSTITUTE(INDEX(貼り付け!$A$1:$BZ$3001,2764,$E$1)&amp;"",",",""),"¥",""),"￥","")),0))</f>
        <v/>
      </c>
      <c r="F2765">
        <f>IF($F$1=0,0,IFERROR(VALUE(SUBSTITUTE(SUBSTITUTE(SUBSTITUTE(INDEX(貼り付け!$A$1:$BZ$3001,2764,$F$1)&amp;"",",",""),"¥",""),"￥","")),0))</f>
        <v/>
      </c>
      <c r="G2765">
        <f>IF(ISNUMBER(B2765),YEAR(B2765),"")</f>
        <v/>
      </c>
      <c r="H2765">
        <f>IF(ISNUMBER(B2765),MONTH(B2765),"")</f>
        <v/>
      </c>
      <c r="I2765">
        <f>IFERROR(IF($B$1=0,"",IF(ISNUMBER(INDEX(貼り付け!$A$1:$BZ$3001,2764,$B$1)),"",SUBSTITUTE(SUBSTITUTE(SUBSTITUTE(SUBSTITUTE(TRIM(LEFT(INDEX(貼り付け!$A$1:$BZ$3001,2764,$B$1)&amp;"",FIND(" ",TRIM(INDEX(貼り付け!$A$1:$BZ$3001,2764,$B$1)&amp;"")&amp;" ")-1)),"/","-"),"年","-"),"月","-"),"日",""))),"")</f>
        <v/>
      </c>
      <c r="J2765">
        <f>IFERROR(MID(I2765,FIND("-",I2765)+1,99),"")</f>
        <v/>
      </c>
    </row>
    <row r="2766">
      <c r="B2766">
        <f>IFERROR(IF($B$1=0,"",IF(INDEX(貼り付け!$A$1:$BZ$3001,2765,$B$1)="","",IF(ISNUMBER(INDEX(貼り付け!$A$1:$BZ$3001,2765,$B$1)),INT(INDEX(貼り付け!$A$1:$BZ$3001,2765,$B$1)),DATE(VALUE(LEFT(I2766,FIND("-",I2766)-1)),VALUE(LEFT(J2766,FIND("-",J2766)-1)),VALUE(MID(J2766,FIND("-",J2766)+1,99)))))),"")</f>
        <v/>
      </c>
      <c r="C2766">
        <f>IF($C$1=0,0,IFERROR(VALUE(SUBSTITUTE(SUBSTITUTE(SUBSTITUTE(INDEX(貼り付け!$A$1:$BZ$3001,2765,$C$1)&amp;"",",",""),"¥",""),"￥","")),0))</f>
        <v/>
      </c>
      <c r="D2766">
        <f>IF($D$1=0,0,IFERROR(VALUE(SUBSTITUTE(SUBSTITUTE(SUBSTITUTE(INDEX(貼り付け!$A$1:$BZ$3001,2765,$D$1)&amp;"",",",""),"¥",""),"￥","")),0))</f>
        <v/>
      </c>
      <c r="E2766">
        <f>IF($E$1=0,0,IFERROR(VALUE(SUBSTITUTE(SUBSTITUTE(SUBSTITUTE(INDEX(貼り付け!$A$1:$BZ$3001,2765,$E$1)&amp;"",",",""),"¥",""),"￥","")),0))</f>
        <v/>
      </c>
      <c r="F2766">
        <f>IF($F$1=0,0,IFERROR(VALUE(SUBSTITUTE(SUBSTITUTE(SUBSTITUTE(INDEX(貼り付け!$A$1:$BZ$3001,2765,$F$1)&amp;"",",",""),"¥",""),"￥","")),0))</f>
        <v/>
      </c>
      <c r="G2766">
        <f>IF(ISNUMBER(B2766),YEAR(B2766),"")</f>
        <v/>
      </c>
      <c r="H2766">
        <f>IF(ISNUMBER(B2766),MONTH(B2766),"")</f>
        <v/>
      </c>
      <c r="I2766">
        <f>IFERROR(IF($B$1=0,"",IF(ISNUMBER(INDEX(貼り付け!$A$1:$BZ$3001,2765,$B$1)),"",SUBSTITUTE(SUBSTITUTE(SUBSTITUTE(SUBSTITUTE(TRIM(LEFT(INDEX(貼り付け!$A$1:$BZ$3001,2765,$B$1)&amp;"",FIND(" ",TRIM(INDEX(貼り付け!$A$1:$BZ$3001,2765,$B$1)&amp;"")&amp;" ")-1)),"/","-"),"年","-"),"月","-"),"日",""))),"")</f>
        <v/>
      </c>
      <c r="J2766">
        <f>IFERROR(MID(I2766,FIND("-",I2766)+1,99),"")</f>
        <v/>
      </c>
    </row>
    <row r="2767">
      <c r="B2767">
        <f>IFERROR(IF($B$1=0,"",IF(INDEX(貼り付け!$A$1:$BZ$3001,2766,$B$1)="","",IF(ISNUMBER(INDEX(貼り付け!$A$1:$BZ$3001,2766,$B$1)),INT(INDEX(貼り付け!$A$1:$BZ$3001,2766,$B$1)),DATE(VALUE(LEFT(I2767,FIND("-",I2767)-1)),VALUE(LEFT(J2767,FIND("-",J2767)-1)),VALUE(MID(J2767,FIND("-",J2767)+1,99)))))),"")</f>
        <v/>
      </c>
      <c r="C2767">
        <f>IF($C$1=0,0,IFERROR(VALUE(SUBSTITUTE(SUBSTITUTE(SUBSTITUTE(INDEX(貼り付け!$A$1:$BZ$3001,2766,$C$1)&amp;"",",",""),"¥",""),"￥","")),0))</f>
        <v/>
      </c>
      <c r="D2767">
        <f>IF($D$1=0,0,IFERROR(VALUE(SUBSTITUTE(SUBSTITUTE(SUBSTITUTE(INDEX(貼り付け!$A$1:$BZ$3001,2766,$D$1)&amp;"",",",""),"¥",""),"￥","")),0))</f>
        <v/>
      </c>
      <c r="E2767">
        <f>IF($E$1=0,0,IFERROR(VALUE(SUBSTITUTE(SUBSTITUTE(SUBSTITUTE(INDEX(貼り付け!$A$1:$BZ$3001,2766,$E$1)&amp;"",",",""),"¥",""),"￥","")),0))</f>
        <v/>
      </c>
      <c r="F2767">
        <f>IF($F$1=0,0,IFERROR(VALUE(SUBSTITUTE(SUBSTITUTE(SUBSTITUTE(INDEX(貼り付け!$A$1:$BZ$3001,2766,$F$1)&amp;"",",",""),"¥",""),"￥","")),0))</f>
        <v/>
      </c>
      <c r="G2767">
        <f>IF(ISNUMBER(B2767),YEAR(B2767),"")</f>
        <v/>
      </c>
      <c r="H2767">
        <f>IF(ISNUMBER(B2767),MONTH(B2767),"")</f>
        <v/>
      </c>
      <c r="I2767">
        <f>IFERROR(IF($B$1=0,"",IF(ISNUMBER(INDEX(貼り付け!$A$1:$BZ$3001,2766,$B$1)),"",SUBSTITUTE(SUBSTITUTE(SUBSTITUTE(SUBSTITUTE(TRIM(LEFT(INDEX(貼り付け!$A$1:$BZ$3001,2766,$B$1)&amp;"",FIND(" ",TRIM(INDEX(貼り付け!$A$1:$BZ$3001,2766,$B$1)&amp;"")&amp;" ")-1)),"/","-"),"年","-"),"月","-"),"日",""))),"")</f>
        <v/>
      </c>
      <c r="J2767">
        <f>IFERROR(MID(I2767,FIND("-",I2767)+1,99),"")</f>
        <v/>
      </c>
    </row>
    <row r="2768">
      <c r="B2768">
        <f>IFERROR(IF($B$1=0,"",IF(INDEX(貼り付け!$A$1:$BZ$3001,2767,$B$1)="","",IF(ISNUMBER(INDEX(貼り付け!$A$1:$BZ$3001,2767,$B$1)),INT(INDEX(貼り付け!$A$1:$BZ$3001,2767,$B$1)),DATE(VALUE(LEFT(I2768,FIND("-",I2768)-1)),VALUE(LEFT(J2768,FIND("-",J2768)-1)),VALUE(MID(J2768,FIND("-",J2768)+1,99)))))),"")</f>
        <v/>
      </c>
      <c r="C2768">
        <f>IF($C$1=0,0,IFERROR(VALUE(SUBSTITUTE(SUBSTITUTE(SUBSTITUTE(INDEX(貼り付け!$A$1:$BZ$3001,2767,$C$1)&amp;"",",",""),"¥",""),"￥","")),0))</f>
        <v/>
      </c>
      <c r="D2768">
        <f>IF($D$1=0,0,IFERROR(VALUE(SUBSTITUTE(SUBSTITUTE(SUBSTITUTE(INDEX(貼り付け!$A$1:$BZ$3001,2767,$D$1)&amp;"",",",""),"¥",""),"￥","")),0))</f>
        <v/>
      </c>
      <c r="E2768">
        <f>IF($E$1=0,0,IFERROR(VALUE(SUBSTITUTE(SUBSTITUTE(SUBSTITUTE(INDEX(貼り付け!$A$1:$BZ$3001,2767,$E$1)&amp;"",",",""),"¥",""),"￥","")),0))</f>
        <v/>
      </c>
      <c r="F2768">
        <f>IF($F$1=0,0,IFERROR(VALUE(SUBSTITUTE(SUBSTITUTE(SUBSTITUTE(INDEX(貼り付け!$A$1:$BZ$3001,2767,$F$1)&amp;"",",",""),"¥",""),"￥","")),0))</f>
        <v/>
      </c>
      <c r="G2768">
        <f>IF(ISNUMBER(B2768),YEAR(B2768),"")</f>
        <v/>
      </c>
      <c r="H2768">
        <f>IF(ISNUMBER(B2768),MONTH(B2768),"")</f>
        <v/>
      </c>
      <c r="I2768">
        <f>IFERROR(IF($B$1=0,"",IF(ISNUMBER(INDEX(貼り付け!$A$1:$BZ$3001,2767,$B$1)),"",SUBSTITUTE(SUBSTITUTE(SUBSTITUTE(SUBSTITUTE(TRIM(LEFT(INDEX(貼り付け!$A$1:$BZ$3001,2767,$B$1)&amp;"",FIND(" ",TRIM(INDEX(貼り付け!$A$1:$BZ$3001,2767,$B$1)&amp;"")&amp;" ")-1)),"/","-"),"年","-"),"月","-"),"日",""))),"")</f>
        <v/>
      </c>
      <c r="J2768">
        <f>IFERROR(MID(I2768,FIND("-",I2768)+1,99),"")</f>
        <v/>
      </c>
    </row>
    <row r="2769">
      <c r="B2769">
        <f>IFERROR(IF($B$1=0,"",IF(INDEX(貼り付け!$A$1:$BZ$3001,2768,$B$1)="","",IF(ISNUMBER(INDEX(貼り付け!$A$1:$BZ$3001,2768,$B$1)),INT(INDEX(貼り付け!$A$1:$BZ$3001,2768,$B$1)),DATE(VALUE(LEFT(I2769,FIND("-",I2769)-1)),VALUE(LEFT(J2769,FIND("-",J2769)-1)),VALUE(MID(J2769,FIND("-",J2769)+1,99)))))),"")</f>
        <v/>
      </c>
      <c r="C2769">
        <f>IF($C$1=0,0,IFERROR(VALUE(SUBSTITUTE(SUBSTITUTE(SUBSTITUTE(INDEX(貼り付け!$A$1:$BZ$3001,2768,$C$1)&amp;"",",",""),"¥",""),"￥","")),0))</f>
        <v/>
      </c>
      <c r="D2769">
        <f>IF($D$1=0,0,IFERROR(VALUE(SUBSTITUTE(SUBSTITUTE(SUBSTITUTE(INDEX(貼り付け!$A$1:$BZ$3001,2768,$D$1)&amp;"",",",""),"¥",""),"￥","")),0))</f>
        <v/>
      </c>
      <c r="E2769">
        <f>IF($E$1=0,0,IFERROR(VALUE(SUBSTITUTE(SUBSTITUTE(SUBSTITUTE(INDEX(貼り付け!$A$1:$BZ$3001,2768,$E$1)&amp;"",",",""),"¥",""),"￥","")),0))</f>
        <v/>
      </c>
      <c r="F2769">
        <f>IF($F$1=0,0,IFERROR(VALUE(SUBSTITUTE(SUBSTITUTE(SUBSTITUTE(INDEX(貼り付け!$A$1:$BZ$3001,2768,$F$1)&amp;"",",",""),"¥",""),"￥","")),0))</f>
        <v/>
      </c>
      <c r="G2769">
        <f>IF(ISNUMBER(B2769),YEAR(B2769),"")</f>
        <v/>
      </c>
      <c r="H2769">
        <f>IF(ISNUMBER(B2769),MONTH(B2769),"")</f>
        <v/>
      </c>
      <c r="I2769">
        <f>IFERROR(IF($B$1=0,"",IF(ISNUMBER(INDEX(貼り付け!$A$1:$BZ$3001,2768,$B$1)),"",SUBSTITUTE(SUBSTITUTE(SUBSTITUTE(SUBSTITUTE(TRIM(LEFT(INDEX(貼り付け!$A$1:$BZ$3001,2768,$B$1)&amp;"",FIND(" ",TRIM(INDEX(貼り付け!$A$1:$BZ$3001,2768,$B$1)&amp;"")&amp;" ")-1)),"/","-"),"年","-"),"月","-"),"日",""))),"")</f>
        <v/>
      </c>
      <c r="J2769">
        <f>IFERROR(MID(I2769,FIND("-",I2769)+1,99),"")</f>
        <v/>
      </c>
    </row>
    <row r="2770">
      <c r="B2770">
        <f>IFERROR(IF($B$1=0,"",IF(INDEX(貼り付け!$A$1:$BZ$3001,2769,$B$1)="","",IF(ISNUMBER(INDEX(貼り付け!$A$1:$BZ$3001,2769,$B$1)),INT(INDEX(貼り付け!$A$1:$BZ$3001,2769,$B$1)),DATE(VALUE(LEFT(I2770,FIND("-",I2770)-1)),VALUE(LEFT(J2770,FIND("-",J2770)-1)),VALUE(MID(J2770,FIND("-",J2770)+1,99)))))),"")</f>
        <v/>
      </c>
      <c r="C2770">
        <f>IF($C$1=0,0,IFERROR(VALUE(SUBSTITUTE(SUBSTITUTE(SUBSTITUTE(INDEX(貼り付け!$A$1:$BZ$3001,2769,$C$1)&amp;"",",",""),"¥",""),"￥","")),0))</f>
        <v/>
      </c>
      <c r="D2770">
        <f>IF($D$1=0,0,IFERROR(VALUE(SUBSTITUTE(SUBSTITUTE(SUBSTITUTE(INDEX(貼り付け!$A$1:$BZ$3001,2769,$D$1)&amp;"",",",""),"¥",""),"￥","")),0))</f>
        <v/>
      </c>
      <c r="E2770">
        <f>IF($E$1=0,0,IFERROR(VALUE(SUBSTITUTE(SUBSTITUTE(SUBSTITUTE(INDEX(貼り付け!$A$1:$BZ$3001,2769,$E$1)&amp;"",",",""),"¥",""),"￥","")),0))</f>
        <v/>
      </c>
      <c r="F2770">
        <f>IF($F$1=0,0,IFERROR(VALUE(SUBSTITUTE(SUBSTITUTE(SUBSTITUTE(INDEX(貼り付け!$A$1:$BZ$3001,2769,$F$1)&amp;"",",",""),"¥",""),"￥","")),0))</f>
        <v/>
      </c>
      <c r="G2770">
        <f>IF(ISNUMBER(B2770),YEAR(B2770),"")</f>
        <v/>
      </c>
      <c r="H2770">
        <f>IF(ISNUMBER(B2770),MONTH(B2770),"")</f>
        <v/>
      </c>
      <c r="I2770">
        <f>IFERROR(IF($B$1=0,"",IF(ISNUMBER(INDEX(貼り付け!$A$1:$BZ$3001,2769,$B$1)),"",SUBSTITUTE(SUBSTITUTE(SUBSTITUTE(SUBSTITUTE(TRIM(LEFT(INDEX(貼り付け!$A$1:$BZ$3001,2769,$B$1)&amp;"",FIND(" ",TRIM(INDEX(貼り付け!$A$1:$BZ$3001,2769,$B$1)&amp;"")&amp;" ")-1)),"/","-"),"年","-"),"月","-"),"日",""))),"")</f>
        <v/>
      </c>
      <c r="J2770">
        <f>IFERROR(MID(I2770,FIND("-",I2770)+1,99),"")</f>
        <v/>
      </c>
    </row>
    <row r="2771">
      <c r="B2771">
        <f>IFERROR(IF($B$1=0,"",IF(INDEX(貼り付け!$A$1:$BZ$3001,2770,$B$1)="","",IF(ISNUMBER(INDEX(貼り付け!$A$1:$BZ$3001,2770,$B$1)),INT(INDEX(貼り付け!$A$1:$BZ$3001,2770,$B$1)),DATE(VALUE(LEFT(I2771,FIND("-",I2771)-1)),VALUE(LEFT(J2771,FIND("-",J2771)-1)),VALUE(MID(J2771,FIND("-",J2771)+1,99)))))),"")</f>
        <v/>
      </c>
      <c r="C2771">
        <f>IF($C$1=0,0,IFERROR(VALUE(SUBSTITUTE(SUBSTITUTE(SUBSTITUTE(INDEX(貼り付け!$A$1:$BZ$3001,2770,$C$1)&amp;"",",",""),"¥",""),"￥","")),0))</f>
        <v/>
      </c>
      <c r="D2771">
        <f>IF($D$1=0,0,IFERROR(VALUE(SUBSTITUTE(SUBSTITUTE(SUBSTITUTE(INDEX(貼り付け!$A$1:$BZ$3001,2770,$D$1)&amp;"",",",""),"¥",""),"￥","")),0))</f>
        <v/>
      </c>
      <c r="E2771">
        <f>IF($E$1=0,0,IFERROR(VALUE(SUBSTITUTE(SUBSTITUTE(SUBSTITUTE(INDEX(貼り付け!$A$1:$BZ$3001,2770,$E$1)&amp;"",",",""),"¥",""),"￥","")),0))</f>
        <v/>
      </c>
      <c r="F2771">
        <f>IF($F$1=0,0,IFERROR(VALUE(SUBSTITUTE(SUBSTITUTE(SUBSTITUTE(INDEX(貼り付け!$A$1:$BZ$3001,2770,$F$1)&amp;"",",",""),"¥",""),"￥","")),0))</f>
        <v/>
      </c>
      <c r="G2771">
        <f>IF(ISNUMBER(B2771),YEAR(B2771),"")</f>
        <v/>
      </c>
      <c r="H2771">
        <f>IF(ISNUMBER(B2771),MONTH(B2771),"")</f>
        <v/>
      </c>
      <c r="I2771">
        <f>IFERROR(IF($B$1=0,"",IF(ISNUMBER(INDEX(貼り付け!$A$1:$BZ$3001,2770,$B$1)),"",SUBSTITUTE(SUBSTITUTE(SUBSTITUTE(SUBSTITUTE(TRIM(LEFT(INDEX(貼り付け!$A$1:$BZ$3001,2770,$B$1)&amp;"",FIND(" ",TRIM(INDEX(貼り付け!$A$1:$BZ$3001,2770,$B$1)&amp;"")&amp;" ")-1)),"/","-"),"年","-"),"月","-"),"日",""))),"")</f>
        <v/>
      </c>
      <c r="J2771">
        <f>IFERROR(MID(I2771,FIND("-",I2771)+1,99),"")</f>
        <v/>
      </c>
    </row>
    <row r="2772">
      <c r="B2772">
        <f>IFERROR(IF($B$1=0,"",IF(INDEX(貼り付け!$A$1:$BZ$3001,2771,$B$1)="","",IF(ISNUMBER(INDEX(貼り付け!$A$1:$BZ$3001,2771,$B$1)),INT(INDEX(貼り付け!$A$1:$BZ$3001,2771,$B$1)),DATE(VALUE(LEFT(I2772,FIND("-",I2772)-1)),VALUE(LEFT(J2772,FIND("-",J2772)-1)),VALUE(MID(J2772,FIND("-",J2772)+1,99)))))),"")</f>
        <v/>
      </c>
      <c r="C2772">
        <f>IF($C$1=0,0,IFERROR(VALUE(SUBSTITUTE(SUBSTITUTE(SUBSTITUTE(INDEX(貼り付け!$A$1:$BZ$3001,2771,$C$1)&amp;"",",",""),"¥",""),"￥","")),0))</f>
        <v/>
      </c>
      <c r="D2772">
        <f>IF($D$1=0,0,IFERROR(VALUE(SUBSTITUTE(SUBSTITUTE(SUBSTITUTE(INDEX(貼り付け!$A$1:$BZ$3001,2771,$D$1)&amp;"",",",""),"¥",""),"￥","")),0))</f>
        <v/>
      </c>
      <c r="E2772">
        <f>IF($E$1=0,0,IFERROR(VALUE(SUBSTITUTE(SUBSTITUTE(SUBSTITUTE(INDEX(貼り付け!$A$1:$BZ$3001,2771,$E$1)&amp;"",",",""),"¥",""),"￥","")),0))</f>
        <v/>
      </c>
      <c r="F2772">
        <f>IF($F$1=0,0,IFERROR(VALUE(SUBSTITUTE(SUBSTITUTE(SUBSTITUTE(INDEX(貼り付け!$A$1:$BZ$3001,2771,$F$1)&amp;"",",",""),"¥",""),"￥","")),0))</f>
        <v/>
      </c>
      <c r="G2772">
        <f>IF(ISNUMBER(B2772),YEAR(B2772),"")</f>
        <v/>
      </c>
      <c r="H2772">
        <f>IF(ISNUMBER(B2772),MONTH(B2772),"")</f>
        <v/>
      </c>
      <c r="I2772">
        <f>IFERROR(IF($B$1=0,"",IF(ISNUMBER(INDEX(貼り付け!$A$1:$BZ$3001,2771,$B$1)),"",SUBSTITUTE(SUBSTITUTE(SUBSTITUTE(SUBSTITUTE(TRIM(LEFT(INDEX(貼り付け!$A$1:$BZ$3001,2771,$B$1)&amp;"",FIND(" ",TRIM(INDEX(貼り付け!$A$1:$BZ$3001,2771,$B$1)&amp;"")&amp;" ")-1)),"/","-"),"年","-"),"月","-"),"日",""))),"")</f>
        <v/>
      </c>
      <c r="J2772">
        <f>IFERROR(MID(I2772,FIND("-",I2772)+1,99),"")</f>
        <v/>
      </c>
    </row>
    <row r="2773">
      <c r="B2773">
        <f>IFERROR(IF($B$1=0,"",IF(INDEX(貼り付け!$A$1:$BZ$3001,2772,$B$1)="","",IF(ISNUMBER(INDEX(貼り付け!$A$1:$BZ$3001,2772,$B$1)),INT(INDEX(貼り付け!$A$1:$BZ$3001,2772,$B$1)),DATE(VALUE(LEFT(I2773,FIND("-",I2773)-1)),VALUE(LEFT(J2773,FIND("-",J2773)-1)),VALUE(MID(J2773,FIND("-",J2773)+1,99)))))),"")</f>
        <v/>
      </c>
      <c r="C2773">
        <f>IF($C$1=0,0,IFERROR(VALUE(SUBSTITUTE(SUBSTITUTE(SUBSTITUTE(INDEX(貼り付け!$A$1:$BZ$3001,2772,$C$1)&amp;"",",",""),"¥",""),"￥","")),0))</f>
        <v/>
      </c>
      <c r="D2773">
        <f>IF($D$1=0,0,IFERROR(VALUE(SUBSTITUTE(SUBSTITUTE(SUBSTITUTE(INDEX(貼り付け!$A$1:$BZ$3001,2772,$D$1)&amp;"",",",""),"¥",""),"￥","")),0))</f>
        <v/>
      </c>
      <c r="E2773">
        <f>IF($E$1=0,0,IFERROR(VALUE(SUBSTITUTE(SUBSTITUTE(SUBSTITUTE(INDEX(貼り付け!$A$1:$BZ$3001,2772,$E$1)&amp;"",",",""),"¥",""),"￥","")),0))</f>
        <v/>
      </c>
      <c r="F2773">
        <f>IF($F$1=0,0,IFERROR(VALUE(SUBSTITUTE(SUBSTITUTE(SUBSTITUTE(INDEX(貼り付け!$A$1:$BZ$3001,2772,$F$1)&amp;"",",",""),"¥",""),"￥","")),0))</f>
        <v/>
      </c>
      <c r="G2773">
        <f>IF(ISNUMBER(B2773),YEAR(B2773),"")</f>
        <v/>
      </c>
      <c r="H2773">
        <f>IF(ISNUMBER(B2773),MONTH(B2773),"")</f>
        <v/>
      </c>
      <c r="I2773">
        <f>IFERROR(IF($B$1=0,"",IF(ISNUMBER(INDEX(貼り付け!$A$1:$BZ$3001,2772,$B$1)),"",SUBSTITUTE(SUBSTITUTE(SUBSTITUTE(SUBSTITUTE(TRIM(LEFT(INDEX(貼り付け!$A$1:$BZ$3001,2772,$B$1)&amp;"",FIND(" ",TRIM(INDEX(貼り付け!$A$1:$BZ$3001,2772,$B$1)&amp;"")&amp;" ")-1)),"/","-"),"年","-"),"月","-"),"日",""))),"")</f>
        <v/>
      </c>
      <c r="J2773">
        <f>IFERROR(MID(I2773,FIND("-",I2773)+1,99),"")</f>
        <v/>
      </c>
    </row>
    <row r="2774">
      <c r="B2774">
        <f>IFERROR(IF($B$1=0,"",IF(INDEX(貼り付け!$A$1:$BZ$3001,2773,$B$1)="","",IF(ISNUMBER(INDEX(貼り付け!$A$1:$BZ$3001,2773,$B$1)),INT(INDEX(貼り付け!$A$1:$BZ$3001,2773,$B$1)),DATE(VALUE(LEFT(I2774,FIND("-",I2774)-1)),VALUE(LEFT(J2774,FIND("-",J2774)-1)),VALUE(MID(J2774,FIND("-",J2774)+1,99)))))),"")</f>
        <v/>
      </c>
      <c r="C2774">
        <f>IF($C$1=0,0,IFERROR(VALUE(SUBSTITUTE(SUBSTITUTE(SUBSTITUTE(INDEX(貼り付け!$A$1:$BZ$3001,2773,$C$1)&amp;"",",",""),"¥",""),"￥","")),0))</f>
        <v/>
      </c>
      <c r="D2774">
        <f>IF($D$1=0,0,IFERROR(VALUE(SUBSTITUTE(SUBSTITUTE(SUBSTITUTE(INDEX(貼り付け!$A$1:$BZ$3001,2773,$D$1)&amp;"",",",""),"¥",""),"￥","")),0))</f>
        <v/>
      </c>
      <c r="E2774">
        <f>IF($E$1=0,0,IFERROR(VALUE(SUBSTITUTE(SUBSTITUTE(SUBSTITUTE(INDEX(貼り付け!$A$1:$BZ$3001,2773,$E$1)&amp;"",",",""),"¥",""),"￥","")),0))</f>
        <v/>
      </c>
      <c r="F2774">
        <f>IF($F$1=0,0,IFERROR(VALUE(SUBSTITUTE(SUBSTITUTE(SUBSTITUTE(INDEX(貼り付け!$A$1:$BZ$3001,2773,$F$1)&amp;"",",",""),"¥",""),"￥","")),0))</f>
        <v/>
      </c>
      <c r="G2774">
        <f>IF(ISNUMBER(B2774),YEAR(B2774),"")</f>
        <v/>
      </c>
      <c r="H2774">
        <f>IF(ISNUMBER(B2774),MONTH(B2774),"")</f>
        <v/>
      </c>
      <c r="I2774">
        <f>IFERROR(IF($B$1=0,"",IF(ISNUMBER(INDEX(貼り付け!$A$1:$BZ$3001,2773,$B$1)),"",SUBSTITUTE(SUBSTITUTE(SUBSTITUTE(SUBSTITUTE(TRIM(LEFT(INDEX(貼り付け!$A$1:$BZ$3001,2773,$B$1)&amp;"",FIND(" ",TRIM(INDEX(貼り付け!$A$1:$BZ$3001,2773,$B$1)&amp;"")&amp;" ")-1)),"/","-"),"年","-"),"月","-"),"日",""))),"")</f>
        <v/>
      </c>
      <c r="J2774">
        <f>IFERROR(MID(I2774,FIND("-",I2774)+1,99),"")</f>
        <v/>
      </c>
    </row>
    <row r="2775">
      <c r="B2775">
        <f>IFERROR(IF($B$1=0,"",IF(INDEX(貼り付け!$A$1:$BZ$3001,2774,$B$1)="","",IF(ISNUMBER(INDEX(貼り付け!$A$1:$BZ$3001,2774,$B$1)),INT(INDEX(貼り付け!$A$1:$BZ$3001,2774,$B$1)),DATE(VALUE(LEFT(I2775,FIND("-",I2775)-1)),VALUE(LEFT(J2775,FIND("-",J2775)-1)),VALUE(MID(J2775,FIND("-",J2775)+1,99)))))),"")</f>
        <v/>
      </c>
      <c r="C2775">
        <f>IF($C$1=0,0,IFERROR(VALUE(SUBSTITUTE(SUBSTITUTE(SUBSTITUTE(INDEX(貼り付け!$A$1:$BZ$3001,2774,$C$1)&amp;"",",",""),"¥",""),"￥","")),0))</f>
        <v/>
      </c>
      <c r="D2775">
        <f>IF($D$1=0,0,IFERROR(VALUE(SUBSTITUTE(SUBSTITUTE(SUBSTITUTE(INDEX(貼り付け!$A$1:$BZ$3001,2774,$D$1)&amp;"",",",""),"¥",""),"￥","")),0))</f>
        <v/>
      </c>
      <c r="E2775">
        <f>IF($E$1=0,0,IFERROR(VALUE(SUBSTITUTE(SUBSTITUTE(SUBSTITUTE(INDEX(貼り付け!$A$1:$BZ$3001,2774,$E$1)&amp;"",",",""),"¥",""),"￥","")),0))</f>
        <v/>
      </c>
      <c r="F2775">
        <f>IF($F$1=0,0,IFERROR(VALUE(SUBSTITUTE(SUBSTITUTE(SUBSTITUTE(INDEX(貼り付け!$A$1:$BZ$3001,2774,$F$1)&amp;"",",",""),"¥",""),"￥","")),0))</f>
        <v/>
      </c>
      <c r="G2775">
        <f>IF(ISNUMBER(B2775),YEAR(B2775),"")</f>
        <v/>
      </c>
      <c r="H2775">
        <f>IF(ISNUMBER(B2775),MONTH(B2775),"")</f>
        <v/>
      </c>
      <c r="I2775">
        <f>IFERROR(IF($B$1=0,"",IF(ISNUMBER(INDEX(貼り付け!$A$1:$BZ$3001,2774,$B$1)),"",SUBSTITUTE(SUBSTITUTE(SUBSTITUTE(SUBSTITUTE(TRIM(LEFT(INDEX(貼り付け!$A$1:$BZ$3001,2774,$B$1)&amp;"",FIND(" ",TRIM(INDEX(貼り付け!$A$1:$BZ$3001,2774,$B$1)&amp;"")&amp;" ")-1)),"/","-"),"年","-"),"月","-"),"日",""))),"")</f>
        <v/>
      </c>
      <c r="J2775">
        <f>IFERROR(MID(I2775,FIND("-",I2775)+1,99),"")</f>
        <v/>
      </c>
    </row>
    <row r="2776">
      <c r="B2776">
        <f>IFERROR(IF($B$1=0,"",IF(INDEX(貼り付け!$A$1:$BZ$3001,2775,$B$1)="","",IF(ISNUMBER(INDEX(貼り付け!$A$1:$BZ$3001,2775,$B$1)),INT(INDEX(貼り付け!$A$1:$BZ$3001,2775,$B$1)),DATE(VALUE(LEFT(I2776,FIND("-",I2776)-1)),VALUE(LEFT(J2776,FIND("-",J2776)-1)),VALUE(MID(J2776,FIND("-",J2776)+1,99)))))),"")</f>
        <v/>
      </c>
      <c r="C2776">
        <f>IF($C$1=0,0,IFERROR(VALUE(SUBSTITUTE(SUBSTITUTE(SUBSTITUTE(INDEX(貼り付け!$A$1:$BZ$3001,2775,$C$1)&amp;"",",",""),"¥",""),"￥","")),0))</f>
        <v/>
      </c>
      <c r="D2776">
        <f>IF($D$1=0,0,IFERROR(VALUE(SUBSTITUTE(SUBSTITUTE(SUBSTITUTE(INDEX(貼り付け!$A$1:$BZ$3001,2775,$D$1)&amp;"",",",""),"¥",""),"￥","")),0))</f>
        <v/>
      </c>
      <c r="E2776">
        <f>IF($E$1=0,0,IFERROR(VALUE(SUBSTITUTE(SUBSTITUTE(SUBSTITUTE(INDEX(貼り付け!$A$1:$BZ$3001,2775,$E$1)&amp;"",",",""),"¥",""),"￥","")),0))</f>
        <v/>
      </c>
      <c r="F2776">
        <f>IF($F$1=0,0,IFERROR(VALUE(SUBSTITUTE(SUBSTITUTE(SUBSTITUTE(INDEX(貼り付け!$A$1:$BZ$3001,2775,$F$1)&amp;"",",",""),"¥",""),"￥","")),0))</f>
        <v/>
      </c>
      <c r="G2776">
        <f>IF(ISNUMBER(B2776),YEAR(B2776),"")</f>
        <v/>
      </c>
      <c r="H2776">
        <f>IF(ISNUMBER(B2776),MONTH(B2776),"")</f>
        <v/>
      </c>
      <c r="I2776">
        <f>IFERROR(IF($B$1=0,"",IF(ISNUMBER(INDEX(貼り付け!$A$1:$BZ$3001,2775,$B$1)),"",SUBSTITUTE(SUBSTITUTE(SUBSTITUTE(SUBSTITUTE(TRIM(LEFT(INDEX(貼り付け!$A$1:$BZ$3001,2775,$B$1)&amp;"",FIND(" ",TRIM(INDEX(貼り付け!$A$1:$BZ$3001,2775,$B$1)&amp;"")&amp;" ")-1)),"/","-"),"年","-"),"月","-"),"日",""))),"")</f>
        <v/>
      </c>
      <c r="J2776">
        <f>IFERROR(MID(I2776,FIND("-",I2776)+1,99),"")</f>
        <v/>
      </c>
    </row>
    <row r="2777">
      <c r="B2777">
        <f>IFERROR(IF($B$1=0,"",IF(INDEX(貼り付け!$A$1:$BZ$3001,2776,$B$1)="","",IF(ISNUMBER(INDEX(貼り付け!$A$1:$BZ$3001,2776,$B$1)),INT(INDEX(貼り付け!$A$1:$BZ$3001,2776,$B$1)),DATE(VALUE(LEFT(I2777,FIND("-",I2777)-1)),VALUE(LEFT(J2777,FIND("-",J2777)-1)),VALUE(MID(J2777,FIND("-",J2777)+1,99)))))),"")</f>
        <v/>
      </c>
      <c r="C2777">
        <f>IF($C$1=0,0,IFERROR(VALUE(SUBSTITUTE(SUBSTITUTE(SUBSTITUTE(INDEX(貼り付け!$A$1:$BZ$3001,2776,$C$1)&amp;"",",",""),"¥",""),"￥","")),0))</f>
        <v/>
      </c>
      <c r="D2777">
        <f>IF($D$1=0,0,IFERROR(VALUE(SUBSTITUTE(SUBSTITUTE(SUBSTITUTE(INDEX(貼り付け!$A$1:$BZ$3001,2776,$D$1)&amp;"",",",""),"¥",""),"￥","")),0))</f>
        <v/>
      </c>
      <c r="E2777">
        <f>IF($E$1=0,0,IFERROR(VALUE(SUBSTITUTE(SUBSTITUTE(SUBSTITUTE(INDEX(貼り付け!$A$1:$BZ$3001,2776,$E$1)&amp;"",",",""),"¥",""),"￥","")),0))</f>
        <v/>
      </c>
      <c r="F2777">
        <f>IF($F$1=0,0,IFERROR(VALUE(SUBSTITUTE(SUBSTITUTE(SUBSTITUTE(INDEX(貼り付け!$A$1:$BZ$3001,2776,$F$1)&amp;"",",",""),"¥",""),"￥","")),0))</f>
        <v/>
      </c>
      <c r="G2777">
        <f>IF(ISNUMBER(B2777),YEAR(B2777),"")</f>
        <v/>
      </c>
      <c r="H2777">
        <f>IF(ISNUMBER(B2777),MONTH(B2777),"")</f>
        <v/>
      </c>
      <c r="I2777">
        <f>IFERROR(IF($B$1=0,"",IF(ISNUMBER(INDEX(貼り付け!$A$1:$BZ$3001,2776,$B$1)),"",SUBSTITUTE(SUBSTITUTE(SUBSTITUTE(SUBSTITUTE(TRIM(LEFT(INDEX(貼り付け!$A$1:$BZ$3001,2776,$B$1)&amp;"",FIND(" ",TRIM(INDEX(貼り付け!$A$1:$BZ$3001,2776,$B$1)&amp;"")&amp;" ")-1)),"/","-"),"年","-"),"月","-"),"日",""))),"")</f>
        <v/>
      </c>
      <c r="J2777">
        <f>IFERROR(MID(I2777,FIND("-",I2777)+1,99),"")</f>
        <v/>
      </c>
    </row>
    <row r="2778">
      <c r="B2778">
        <f>IFERROR(IF($B$1=0,"",IF(INDEX(貼り付け!$A$1:$BZ$3001,2777,$B$1)="","",IF(ISNUMBER(INDEX(貼り付け!$A$1:$BZ$3001,2777,$B$1)),INT(INDEX(貼り付け!$A$1:$BZ$3001,2777,$B$1)),DATE(VALUE(LEFT(I2778,FIND("-",I2778)-1)),VALUE(LEFT(J2778,FIND("-",J2778)-1)),VALUE(MID(J2778,FIND("-",J2778)+1,99)))))),"")</f>
        <v/>
      </c>
      <c r="C2778">
        <f>IF($C$1=0,0,IFERROR(VALUE(SUBSTITUTE(SUBSTITUTE(SUBSTITUTE(INDEX(貼り付け!$A$1:$BZ$3001,2777,$C$1)&amp;"",",",""),"¥",""),"￥","")),0))</f>
        <v/>
      </c>
      <c r="D2778">
        <f>IF($D$1=0,0,IFERROR(VALUE(SUBSTITUTE(SUBSTITUTE(SUBSTITUTE(INDEX(貼り付け!$A$1:$BZ$3001,2777,$D$1)&amp;"",",",""),"¥",""),"￥","")),0))</f>
        <v/>
      </c>
      <c r="E2778">
        <f>IF($E$1=0,0,IFERROR(VALUE(SUBSTITUTE(SUBSTITUTE(SUBSTITUTE(INDEX(貼り付け!$A$1:$BZ$3001,2777,$E$1)&amp;"",",",""),"¥",""),"￥","")),0))</f>
        <v/>
      </c>
      <c r="F2778">
        <f>IF($F$1=0,0,IFERROR(VALUE(SUBSTITUTE(SUBSTITUTE(SUBSTITUTE(INDEX(貼り付け!$A$1:$BZ$3001,2777,$F$1)&amp;"",",",""),"¥",""),"￥","")),0))</f>
        <v/>
      </c>
      <c r="G2778">
        <f>IF(ISNUMBER(B2778),YEAR(B2778),"")</f>
        <v/>
      </c>
      <c r="H2778">
        <f>IF(ISNUMBER(B2778),MONTH(B2778),"")</f>
        <v/>
      </c>
      <c r="I2778">
        <f>IFERROR(IF($B$1=0,"",IF(ISNUMBER(INDEX(貼り付け!$A$1:$BZ$3001,2777,$B$1)),"",SUBSTITUTE(SUBSTITUTE(SUBSTITUTE(SUBSTITUTE(TRIM(LEFT(INDEX(貼り付け!$A$1:$BZ$3001,2777,$B$1)&amp;"",FIND(" ",TRIM(INDEX(貼り付け!$A$1:$BZ$3001,2777,$B$1)&amp;"")&amp;" ")-1)),"/","-"),"年","-"),"月","-"),"日",""))),"")</f>
        <v/>
      </c>
      <c r="J2778">
        <f>IFERROR(MID(I2778,FIND("-",I2778)+1,99),"")</f>
        <v/>
      </c>
    </row>
    <row r="2779">
      <c r="B2779">
        <f>IFERROR(IF($B$1=0,"",IF(INDEX(貼り付け!$A$1:$BZ$3001,2778,$B$1)="","",IF(ISNUMBER(INDEX(貼り付け!$A$1:$BZ$3001,2778,$B$1)),INT(INDEX(貼り付け!$A$1:$BZ$3001,2778,$B$1)),DATE(VALUE(LEFT(I2779,FIND("-",I2779)-1)),VALUE(LEFT(J2779,FIND("-",J2779)-1)),VALUE(MID(J2779,FIND("-",J2779)+1,99)))))),"")</f>
        <v/>
      </c>
      <c r="C2779">
        <f>IF($C$1=0,0,IFERROR(VALUE(SUBSTITUTE(SUBSTITUTE(SUBSTITUTE(INDEX(貼り付け!$A$1:$BZ$3001,2778,$C$1)&amp;"",",",""),"¥",""),"￥","")),0))</f>
        <v/>
      </c>
      <c r="D2779">
        <f>IF($D$1=0,0,IFERROR(VALUE(SUBSTITUTE(SUBSTITUTE(SUBSTITUTE(INDEX(貼り付け!$A$1:$BZ$3001,2778,$D$1)&amp;"",",",""),"¥",""),"￥","")),0))</f>
        <v/>
      </c>
      <c r="E2779">
        <f>IF($E$1=0,0,IFERROR(VALUE(SUBSTITUTE(SUBSTITUTE(SUBSTITUTE(INDEX(貼り付け!$A$1:$BZ$3001,2778,$E$1)&amp;"",",",""),"¥",""),"￥","")),0))</f>
        <v/>
      </c>
      <c r="F2779">
        <f>IF($F$1=0,0,IFERROR(VALUE(SUBSTITUTE(SUBSTITUTE(SUBSTITUTE(INDEX(貼り付け!$A$1:$BZ$3001,2778,$F$1)&amp;"",",",""),"¥",""),"￥","")),0))</f>
        <v/>
      </c>
      <c r="G2779">
        <f>IF(ISNUMBER(B2779),YEAR(B2779),"")</f>
        <v/>
      </c>
      <c r="H2779">
        <f>IF(ISNUMBER(B2779),MONTH(B2779),"")</f>
        <v/>
      </c>
      <c r="I2779">
        <f>IFERROR(IF($B$1=0,"",IF(ISNUMBER(INDEX(貼り付け!$A$1:$BZ$3001,2778,$B$1)),"",SUBSTITUTE(SUBSTITUTE(SUBSTITUTE(SUBSTITUTE(TRIM(LEFT(INDEX(貼り付け!$A$1:$BZ$3001,2778,$B$1)&amp;"",FIND(" ",TRIM(INDEX(貼り付け!$A$1:$BZ$3001,2778,$B$1)&amp;"")&amp;" ")-1)),"/","-"),"年","-"),"月","-"),"日",""))),"")</f>
        <v/>
      </c>
      <c r="J2779">
        <f>IFERROR(MID(I2779,FIND("-",I2779)+1,99),"")</f>
        <v/>
      </c>
    </row>
    <row r="2780">
      <c r="B2780">
        <f>IFERROR(IF($B$1=0,"",IF(INDEX(貼り付け!$A$1:$BZ$3001,2779,$B$1)="","",IF(ISNUMBER(INDEX(貼り付け!$A$1:$BZ$3001,2779,$B$1)),INT(INDEX(貼り付け!$A$1:$BZ$3001,2779,$B$1)),DATE(VALUE(LEFT(I2780,FIND("-",I2780)-1)),VALUE(LEFT(J2780,FIND("-",J2780)-1)),VALUE(MID(J2780,FIND("-",J2780)+1,99)))))),"")</f>
        <v/>
      </c>
      <c r="C2780">
        <f>IF($C$1=0,0,IFERROR(VALUE(SUBSTITUTE(SUBSTITUTE(SUBSTITUTE(INDEX(貼り付け!$A$1:$BZ$3001,2779,$C$1)&amp;"",",",""),"¥",""),"￥","")),0))</f>
        <v/>
      </c>
      <c r="D2780">
        <f>IF($D$1=0,0,IFERROR(VALUE(SUBSTITUTE(SUBSTITUTE(SUBSTITUTE(INDEX(貼り付け!$A$1:$BZ$3001,2779,$D$1)&amp;"",",",""),"¥",""),"￥","")),0))</f>
        <v/>
      </c>
      <c r="E2780">
        <f>IF($E$1=0,0,IFERROR(VALUE(SUBSTITUTE(SUBSTITUTE(SUBSTITUTE(INDEX(貼り付け!$A$1:$BZ$3001,2779,$E$1)&amp;"",",",""),"¥",""),"￥","")),0))</f>
        <v/>
      </c>
      <c r="F2780">
        <f>IF($F$1=0,0,IFERROR(VALUE(SUBSTITUTE(SUBSTITUTE(SUBSTITUTE(INDEX(貼り付け!$A$1:$BZ$3001,2779,$F$1)&amp;"",",",""),"¥",""),"￥","")),0))</f>
        <v/>
      </c>
      <c r="G2780">
        <f>IF(ISNUMBER(B2780),YEAR(B2780),"")</f>
        <v/>
      </c>
      <c r="H2780">
        <f>IF(ISNUMBER(B2780),MONTH(B2780),"")</f>
        <v/>
      </c>
      <c r="I2780">
        <f>IFERROR(IF($B$1=0,"",IF(ISNUMBER(INDEX(貼り付け!$A$1:$BZ$3001,2779,$B$1)),"",SUBSTITUTE(SUBSTITUTE(SUBSTITUTE(SUBSTITUTE(TRIM(LEFT(INDEX(貼り付け!$A$1:$BZ$3001,2779,$B$1)&amp;"",FIND(" ",TRIM(INDEX(貼り付け!$A$1:$BZ$3001,2779,$B$1)&amp;"")&amp;" ")-1)),"/","-"),"年","-"),"月","-"),"日",""))),"")</f>
        <v/>
      </c>
      <c r="J2780">
        <f>IFERROR(MID(I2780,FIND("-",I2780)+1,99),"")</f>
        <v/>
      </c>
    </row>
    <row r="2781">
      <c r="B2781">
        <f>IFERROR(IF($B$1=0,"",IF(INDEX(貼り付け!$A$1:$BZ$3001,2780,$B$1)="","",IF(ISNUMBER(INDEX(貼り付け!$A$1:$BZ$3001,2780,$B$1)),INT(INDEX(貼り付け!$A$1:$BZ$3001,2780,$B$1)),DATE(VALUE(LEFT(I2781,FIND("-",I2781)-1)),VALUE(LEFT(J2781,FIND("-",J2781)-1)),VALUE(MID(J2781,FIND("-",J2781)+1,99)))))),"")</f>
        <v/>
      </c>
      <c r="C2781">
        <f>IF($C$1=0,0,IFERROR(VALUE(SUBSTITUTE(SUBSTITUTE(SUBSTITUTE(INDEX(貼り付け!$A$1:$BZ$3001,2780,$C$1)&amp;"",",",""),"¥",""),"￥","")),0))</f>
        <v/>
      </c>
      <c r="D2781">
        <f>IF($D$1=0,0,IFERROR(VALUE(SUBSTITUTE(SUBSTITUTE(SUBSTITUTE(INDEX(貼り付け!$A$1:$BZ$3001,2780,$D$1)&amp;"",",",""),"¥",""),"￥","")),0))</f>
        <v/>
      </c>
      <c r="E2781">
        <f>IF($E$1=0,0,IFERROR(VALUE(SUBSTITUTE(SUBSTITUTE(SUBSTITUTE(INDEX(貼り付け!$A$1:$BZ$3001,2780,$E$1)&amp;"",",",""),"¥",""),"￥","")),0))</f>
        <v/>
      </c>
      <c r="F2781">
        <f>IF($F$1=0,0,IFERROR(VALUE(SUBSTITUTE(SUBSTITUTE(SUBSTITUTE(INDEX(貼り付け!$A$1:$BZ$3001,2780,$F$1)&amp;"",",",""),"¥",""),"￥","")),0))</f>
        <v/>
      </c>
      <c r="G2781">
        <f>IF(ISNUMBER(B2781),YEAR(B2781),"")</f>
        <v/>
      </c>
      <c r="H2781">
        <f>IF(ISNUMBER(B2781),MONTH(B2781),"")</f>
        <v/>
      </c>
      <c r="I2781">
        <f>IFERROR(IF($B$1=0,"",IF(ISNUMBER(INDEX(貼り付け!$A$1:$BZ$3001,2780,$B$1)),"",SUBSTITUTE(SUBSTITUTE(SUBSTITUTE(SUBSTITUTE(TRIM(LEFT(INDEX(貼り付け!$A$1:$BZ$3001,2780,$B$1)&amp;"",FIND(" ",TRIM(INDEX(貼り付け!$A$1:$BZ$3001,2780,$B$1)&amp;"")&amp;" ")-1)),"/","-"),"年","-"),"月","-"),"日",""))),"")</f>
        <v/>
      </c>
      <c r="J2781">
        <f>IFERROR(MID(I2781,FIND("-",I2781)+1,99),"")</f>
        <v/>
      </c>
    </row>
    <row r="2782">
      <c r="B2782">
        <f>IFERROR(IF($B$1=0,"",IF(INDEX(貼り付け!$A$1:$BZ$3001,2781,$B$1)="","",IF(ISNUMBER(INDEX(貼り付け!$A$1:$BZ$3001,2781,$B$1)),INT(INDEX(貼り付け!$A$1:$BZ$3001,2781,$B$1)),DATE(VALUE(LEFT(I2782,FIND("-",I2782)-1)),VALUE(LEFT(J2782,FIND("-",J2782)-1)),VALUE(MID(J2782,FIND("-",J2782)+1,99)))))),"")</f>
        <v/>
      </c>
      <c r="C2782">
        <f>IF($C$1=0,0,IFERROR(VALUE(SUBSTITUTE(SUBSTITUTE(SUBSTITUTE(INDEX(貼り付け!$A$1:$BZ$3001,2781,$C$1)&amp;"",",",""),"¥",""),"￥","")),0))</f>
        <v/>
      </c>
      <c r="D2782">
        <f>IF($D$1=0,0,IFERROR(VALUE(SUBSTITUTE(SUBSTITUTE(SUBSTITUTE(INDEX(貼り付け!$A$1:$BZ$3001,2781,$D$1)&amp;"",",",""),"¥",""),"￥","")),0))</f>
        <v/>
      </c>
      <c r="E2782">
        <f>IF($E$1=0,0,IFERROR(VALUE(SUBSTITUTE(SUBSTITUTE(SUBSTITUTE(INDEX(貼り付け!$A$1:$BZ$3001,2781,$E$1)&amp;"",",",""),"¥",""),"￥","")),0))</f>
        <v/>
      </c>
      <c r="F2782">
        <f>IF($F$1=0,0,IFERROR(VALUE(SUBSTITUTE(SUBSTITUTE(SUBSTITUTE(INDEX(貼り付け!$A$1:$BZ$3001,2781,$F$1)&amp;"",",",""),"¥",""),"￥","")),0))</f>
        <v/>
      </c>
      <c r="G2782">
        <f>IF(ISNUMBER(B2782),YEAR(B2782),"")</f>
        <v/>
      </c>
      <c r="H2782">
        <f>IF(ISNUMBER(B2782),MONTH(B2782),"")</f>
        <v/>
      </c>
      <c r="I2782">
        <f>IFERROR(IF($B$1=0,"",IF(ISNUMBER(INDEX(貼り付け!$A$1:$BZ$3001,2781,$B$1)),"",SUBSTITUTE(SUBSTITUTE(SUBSTITUTE(SUBSTITUTE(TRIM(LEFT(INDEX(貼り付け!$A$1:$BZ$3001,2781,$B$1)&amp;"",FIND(" ",TRIM(INDEX(貼り付け!$A$1:$BZ$3001,2781,$B$1)&amp;"")&amp;" ")-1)),"/","-"),"年","-"),"月","-"),"日",""))),"")</f>
        <v/>
      </c>
      <c r="J2782">
        <f>IFERROR(MID(I2782,FIND("-",I2782)+1,99),"")</f>
        <v/>
      </c>
    </row>
    <row r="2783">
      <c r="B2783">
        <f>IFERROR(IF($B$1=0,"",IF(INDEX(貼り付け!$A$1:$BZ$3001,2782,$B$1)="","",IF(ISNUMBER(INDEX(貼り付け!$A$1:$BZ$3001,2782,$B$1)),INT(INDEX(貼り付け!$A$1:$BZ$3001,2782,$B$1)),DATE(VALUE(LEFT(I2783,FIND("-",I2783)-1)),VALUE(LEFT(J2783,FIND("-",J2783)-1)),VALUE(MID(J2783,FIND("-",J2783)+1,99)))))),"")</f>
        <v/>
      </c>
      <c r="C2783">
        <f>IF($C$1=0,0,IFERROR(VALUE(SUBSTITUTE(SUBSTITUTE(SUBSTITUTE(INDEX(貼り付け!$A$1:$BZ$3001,2782,$C$1)&amp;"",",",""),"¥",""),"￥","")),0))</f>
        <v/>
      </c>
      <c r="D2783">
        <f>IF($D$1=0,0,IFERROR(VALUE(SUBSTITUTE(SUBSTITUTE(SUBSTITUTE(INDEX(貼り付け!$A$1:$BZ$3001,2782,$D$1)&amp;"",",",""),"¥",""),"￥","")),0))</f>
        <v/>
      </c>
      <c r="E2783">
        <f>IF($E$1=0,0,IFERROR(VALUE(SUBSTITUTE(SUBSTITUTE(SUBSTITUTE(INDEX(貼り付け!$A$1:$BZ$3001,2782,$E$1)&amp;"",",",""),"¥",""),"￥","")),0))</f>
        <v/>
      </c>
      <c r="F2783">
        <f>IF($F$1=0,0,IFERROR(VALUE(SUBSTITUTE(SUBSTITUTE(SUBSTITUTE(INDEX(貼り付け!$A$1:$BZ$3001,2782,$F$1)&amp;"",",",""),"¥",""),"￥","")),0))</f>
        <v/>
      </c>
      <c r="G2783">
        <f>IF(ISNUMBER(B2783),YEAR(B2783),"")</f>
        <v/>
      </c>
      <c r="H2783">
        <f>IF(ISNUMBER(B2783),MONTH(B2783),"")</f>
        <v/>
      </c>
      <c r="I2783">
        <f>IFERROR(IF($B$1=0,"",IF(ISNUMBER(INDEX(貼り付け!$A$1:$BZ$3001,2782,$B$1)),"",SUBSTITUTE(SUBSTITUTE(SUBSTITUTE(SUBSTITUTE(TRIM(LEFT(INDEX(貼り付け!$A$1:$BZ$3001,2782,$B$1)&amp;"",FIND(" ",TRIM(INDEX(貼り付け!$A$1:$BZ$3001,2782,$B$1)&amp;"")&amp;" ")-1)),"/","-"),"年","-"),"月","-"),"日",""))),"")</f>
        <v/>
      </c>
      <c r="J2783">
        <f>IFERROR(MID(I2783,FIND("-",I2783)+1,99),"")</f>
        <v/>
      </c>
    </row>
    <row r="2784">
      <c r="B2784">
        <f>IFERROR(IF($B$1=0,"",IF(INDEX(貼り付け!$A$1:$BZ$3001,2783,$B$1)="","",IF(ISNUMBER(INDEX(貼り付け!$A$1:$BZ$3001,2783,$B$1)),INT(INDEX(貼り付け!$A$1:$BZ$3001,2783,$B$1)),DATE(VALUE(LEFT(I2784,FIND("-",I2784)-1)),VALUE(LEFT(J2784,FIND("-",J2784)-1)),VALUE(MID(J2784,FIND("-",J2784)+1,99)))))),"")</f>
        <v/>
      </c>
      <c r="C2784">
        <f>IF($C$1=0,0,IFERROR(VALUE(SUBSTITUTE(SUBSTITUTE(SUBSTITUTE(INDEX(貼り付け!$A$1:$BZ$3001,2783,$C$1)&amp;"",",",""),"¥",""),"￥","")),0))</f>
        <v/>
      </c>
      <c r="D2784">
        <f>IF($D$1=0,0,IFERROR(VALUE(SUBSTITUTE(SUBSTITUTE(SUBSTITUTE(INDEX(貼り付け!$A$1:$BZ$3001,2783,$D$1)&amp;"",",",""),"¥",""),"￥","")),0))</f>
        <v/>
      </c>
      <c r="E2784">
        <f>IF($E$1=0,0,IFERROR(VALUE(SUBSTITUTE(SUBSTITUTE(SUBSTITUTE(INDEX(貼り付け!$A$1:$BZ$3001,2783,$E$1)&amp;"",",",""),"¥",""),"￥","")),0))</f>
        <v/>
      </c>
      <c r="F2784">
        <f>IF($F$1=0,0,IFERROR(VALUE(SUBSTITUTE(SUBSTITUTE(SUBSTITUTE(INDEX(貼り付け!$A$1:$BZ$3001,2783,$F$1)&amp;"",",",""),"¥",""),"￥","")),0))</f>
        <v/>
      </c>
      <c r="G2784">
        <f>IF(ISNUMBER(B2784),YEAR(B2784),"")</f>
        <v/>
      </c>
      <c r="H2784">
        <f>IF(ISNUMBER(B2784),MONTH(B2784),"")</f>
        <v/>
      </c>
      <c r="I2784">
        <f>IFERROR(IF($B$1=0,"",IF(ISNUMBER(INDEX(貼り付け!$A$1:$BZ$3001,2783,$B$1)),"",SUBSTITUTE(SUBSTITUTE(SUBSTITUTE(SUBSTITUTE(TRIM(LEFT(INDEX(貼り付け!$A$1:$BZ$3001,2783,$B$1)&amp;"",FIND(" ",TRIM(INDEX(貼り付け!$A$1:$BZ$3001,2783,$B$1)&amp;"")&amp;" ")-1)),"/","-"),"年","-"),"月","-"),"日",""))),"")</f>
        <v/>
      </c>
      <c r="J2784">
        <f>IFERROR(MID(I2784,FIND("-",I2784)+1,99),"")</f>
        <v/>
      </c>
    </row>
    <row r="2785">
      <c r="B2785">
        <f>IFERROR(IF($B$1=0,"",IF(INDEX(貼り付け!$A$1:$BZ$3001,2784,$B$1)="","",IF(ISNUMBER(INDEX(貼り付け!$A$1:$BZ$3001,2784,$B$1)),INT(INDEX(貼り付け!$A$1:$BZ$3001,2784,$B$1)),DATE(VALUE(LEFT(I2785,FIND("-",I2785)-1)),VALUE(LEFT(J2785,FIND("-",J2785)-1)),VALUE(MID(J2785,FIND("-",J2785)+1,99)))))),"")</f>
        <v/>
      </c>
      <c r="C2785">
        <f>IF($C$1=0,0,IFERROR(VALUE(SUBSTITUTE(SUBSTITUTE(SUBSTITUTE(INDEX(貼り付け!$A$1:$BZ$3001,2784,$C$1)&amp;"",",",""),"¥",""),"￥","")),0))</f>
        <v/>
      </c>
      <c r="D2785">
        <f>IF($D$1=0,0,IFERROR(VALUE(SUBSTITUTE(SUBSTITUTE(SUBSTITUTE(INDEX(貼り付け!$A$1:$BZ$3001,2784,$D$1)&amp;"",",",""),"¥",""),"￥","")),0))</f>
        <v/>
      </c>
      <c r="E2785">
        <f>IF($E$1=0,0,IFERROR(VALUE(SUBSTITUTE(SUBSTITUTE(SUBSTITUTE(INDEX(貼り付け!$A$1:$BZ$3001,2784,$E$1)&amp;"",",",""),"¥",""),"￥","")),0))</f>
        <v/>
      </c>
      <c r="F2785">
        <f>IF($F$1=0,0,IFERROR(VALUE(SUBSTITUTE(SUBSTITUTE(SUBSTITUTE(INDEX(貼り付け!$A$1:$BZ$3001,2784,$F$1)&amp;"",",",""),"¥",""),"￥","")),0))</f>
        <v/>
      </c>
      <c r="G2785">
        <f>IF(ISNUMBER(B2785),YEAR(B2785),"")</f>
        <v/>
      </c>
      <c r="H2785">
        <f>IF(ISNUMBER(B2785),MONTH(B2785),"")</f>
        <v/>
      </c>
      <c r="I2785">
        <f>IFERROR(IF($B$1=0,"",IF(ISNUMBER(INDEX(貼り付け!$A$1:$BZ$3001,2784,$B$1)),"",SUBSTITUTE(SUBSTITUTE(SUBSTITUTE(SUBSTITUTE(TRIM(LEFT(INDEX(貼り付け!$A$1:$BZ$3001,2784,$B$1)&amp;"",FIND(" ",TRIM(INDEX(貼り付け!$A$1:$BZ$3001,2784,$B$1)&amp;"")&amp;" ")-1)),"/","-"),"年","-"),"月","-"),"日",""))),"")</f>
        <v/>
      </c>
      <c r="J2785">
        <f>IFERROR(MID(I2785,FIND("-",I2785)+1,99),"")</f>
        <v/>
      </c>
    </row>
    <row r="2786">
      <c r="B2786">
        <f>IFERROR(IF($B$1=0,"",IF(INDEX(貼り付け!$A$1:$BZ$3001,2785,$B$1)="","",IF(ISNUMBER(INDEX(貼り付け!$A$1:$BZ$3001,2785,$B$1)),INT(INDEX(貼り付け!$A$1:$BZ$3001,2785,$B$1)),DATE(VALUE(LEFT(I2786,FIND("-",I2786)-1)),VALUE(LEFT(J2786,FIND("-",J2786)-1)),VALUE(MID(J2786,FIND("-",J2786)+1,99)))))),"")</f>
        <v/>
      </c>
      <c r="C2786">
        <f>IF($C$1=0,0,IFERROR(VALUE(SUBSTITUTE(SUBSTITUTE(SUBSTITUTE(INDEX(貼り付け!$A$1:$BZ$3001,2785,$C$1)&amp;"",",",""),"¥",""),"￥","")),0))</f>
        <v/>
      </c>
      <c r="D2786">
        <f>IF($D$1=0,0,IFERROR(VALUE(SUBSTITUTE(SUBSTITUTE(SUBSTITUTE(INDEX(貼り付け!$A$1:$BZ$3001,2785,$D$1)&amp;"",",",""),"¥",""),"￥","")),0))</f>
        <v/>
      </c>
      <c r="E2786">
        <f>IF($E$1=0,0,IFERROR(VALUE(SUBSTITUTE(SUBSTITUTE(SUBSTITUTE(INDEX(貼り付け!$A$1:$BZ$3001,2785,$E$1)&amp;"",",",""),"¥",""),"￥","")),0))</f>
        <v/>
      </c>
      <c r="F2786">
        <f>IF($F$1=0,0,IFERROR(VALUE(SUBSTITUTE(SUBSTITUTE(SUBSTITUTE(INDEX(貼り付け!$A$1:$BZ$3001,2785,$F$1)&amp;"",",",""),"¥",""),"￥","")),0))</f>
        <v/>
      </c>
      <c r="G2786">
        <f>IF(ISNUMBER(B2786),YEAR(B2786),"")</f>
        <v/>
      </c>
      <c r="H2786">
        <f>IF(ISNUMBER(B2786),MONTH(B2786),"")</f>
        <v/>
      </c>
      <c r="I2786">
        <f>IFERROR(IF($B$1=0,"",IF(ISNUMBER(INDEX(貼り付け!$A$1:$BZ$3001,2785,$B$1)),"",SUBSTITUTE(SUBSTITUTE(SUBSTITUTE(SUBSTITUTE(TRIM(LEFT(INDEX(貼り付け!$A$1:$BZ$3001,2785,$B$1)&amp;"",FIND(" ",TRIM(INDEX(貼り付け!$A$1:$BZ$3001,2785,$B$1)&amp;"")&amp;" ")-1)),"/","-"),"年","-"),"月","-"),"日",""))),"")</f>
        <v/>
      </c>
      <c r="J2786">
        <f>IFERROR(MID(I2786,FIND("-",I2786)+1,99),"")</f>
        <v/>
      </c>
    </row>
    <row r="2787">
      <c r="B2787">
        <f>IFERROR(IF($B$1=0,"",IF(INDEX(貼り付け!$A$1:$BZ$3001,2786,$B$1)="","",IF(ISNUMBER(INDEX(貼り付け!$A$1:$BZ$3001,2786,$B$1)),INT(INDEX(貼り付け!$A$1:$BZ$3001,2786,$B$1)),DATE(VALUE(LEFT(I2787,FIND("-",I2787)-1)),VALUE(LEFT(J2787,FIND("-",J2787)-1)),VALUE(MID(J2787,FIND("-",J2787)+1,99)))))),"")</f>
        <v/>
      </c>
      <c r="C2787">
        <f>IF($C$1=0,0,IFERROR(VALUE(SUBSTITUTE(SUBSTITUTE(SUBSTITUTE(INDEX(貼り付け!$A$1:$BZ$3001,2786,$C$1)&amp;"",",",""),"¥",""),"￥","")),0))</f>
        <v/>
      </c>
      <c r="D2787">
        <f>IF($D$1=0,0,IFERROR(VALUE(SUBSTITUTE(SUBSTITUTE(SUBSTITUTE(INDEX(貼り付け!$A$1:$BZ$3001,2786,$D$1)&amp;"",",",""),"¥",""),"￥","")),0))</f>
        <v/>
      </c>
      <c r="E2787">
        <f>IF($E$1=0,0,IFERROR(VALUE(SUBSTITUTE(SUBSTITUTE(SUBSTITUTE(INDEX(貼り付け!$A$1:$BZ$3001,2786,$E$1)&amp;"",",",""),"¥",""),"￥","")),0))</f>
        <v/>
      </c>
      <c r="F2787">
        <f>IF($F$1=0,0,IFERROR(VALUE(SUBSTITUTE(SUBSTITUTE(SUBSTITUTE(INDEX(貼り付け!$A$1:$BZ$3001,2786,$F$1)&amp;"",",",""),"¥",""),"￥","")),0))</f>
        <v/>
      </c>
      <c r="G2787">
        <f>IF(ISNUMBER(B2787),YEAR(B2787),"")</f>
        <v/>
      </c>
      <c r="H2787">
        <f>IF(ISNUMBER(B2787),MONTH(B2787),"")</f>
        <v/>
      </c>
      <c r="I2787">
        <f>IFERROR(IF($B$1=0,"",IF(ISNUMBER(INDEX(貼り付け!$A$1:$BZ$3001,2786,$B$1)),"",SUBSTITUTE(SUBSTITUTE(SUBSTITUTE(SUBSTITUTE(TRIM(LEFT(INDEX(貼り付け!$A$1:$BZ$3001,2786,$B$1)&amp;"",FIND(" ",TRIM(INDEX(貼り付け!$A$1:$BZ$3001,2786,$B$1)&amp;"")&amp;" ")-1)),"/","-"),"年","-"),"月","-"),"日",""))),"")</f>
        <v/>
      </c>
      <c r="J2787">
        <f>IFERROR(MID(I2787,FIND("-",I2787)+1,99),"")</f>
        <v/>
      </c>
    </row>
    <row r="2788">
      <c r="B2788">
        <f>IFERROR(IF($B$1=0,"",IF(INDEX(貼り付け!$A$1:$BZ$3001,2787,$B$1)="","",IF(ISNUMBER(INDEX(貼り付け!$A$1:$BZ$3001,2787,$B$1)),INT(INDEX(貼り付け!$A$1:$BZ$3001,2787,$B$1)),DATE(VALUE(LEFT(I2788,FIND("-",I2788)-1)),VALUE(LEFT(J2788,FIND("-",J2788)-1)),VALUE(MID(J2788,FIND("-",J2788)+1,99)))))),"")</f>
        <v/>
      </c>
      <c r="C2788">
        <f>IF($C$1=0,0,IFERROR(VALUE(SUBSTITUTE(SUBSTITUTE(SUBSTITUTE(INDEX(貼り付け!$A$1:$BZ$3001,2787,$C$1)&amp;"",",",""),"¥",""),"￥","")),0))</f>
        <v/>
      </c>
      <c r="D2788">
        <f>IF($D$1=0,0,IFERROR(VALUE(SUBSTITUTE(SUBSTITUTE(SUBSTITUTE(INDEX(貼り付け!$A$1:$BZ$3001,2787,$D$1)&amp;"",",",""),"¥",""),"￥","")),0))</f>
        <v/>
      </c>
      <c r="E2788">
        <f>IF($E$1=0,0,IFERROR(VALUE(SUBSTITUTE(SUBSTITUTE(SUBSTITUTE(INDEX(貼り付け!$A$1:$BZ$3001,2787,$E$1)&amp;"",",",""),"¥",""),"￥","")),0))</f>
        <v/>
      </c>
      <c r="F2788">
        <f>IF($F$1=0,0,IFERROR(VALUE(SUBSTITUTE(SUBSTITUTE(SUBSTITUTE(INDEX(貼り付け!$A$1:$BZ$3001,2787,$F$1)&amp;"",",",""),"¥",""),"￥","")),0))</f>
        <v/>
      </c>
      <c r="G2788">
        <f>IF(ISNUMBER(B2788),YEAR(B2788),"")</f>
        <v/>
      </c>
      <c r="H2788">
        <f>IF(ISNUMBER(B2788),MONTH(B2788),"")</f>
        <v/>
      </c>
      <c r="I2788">
        <f>IFERROR(IF($B$1=0,"",IF(ISNUMBER(INDEX(貼り付け!$A$1:$BZ$3001,2787,$B$1)),"",SUBSTITUTE(SUBSTITUTE(SUBSTITUTE(SUBSTITUTE(TRIM(LEFT(INDEX(貼り付け!$A$1:$BZ$3001,2787,$B$1)&amp;"",FIND(" ",TRIM(INDEX(貼り付け!$A$1:$BZ$3001,2787,$B$1)&amp;"")&amp;" ")-1)),"/","-"),"年","-"),"月","-"),"日",""))),"")</f>
        <v/>
      </c>
      <c r="J2788">
        <f>IFERROR(MID(I2788,FIND("-",I2788)+1,99),"")</f>
        <v/>
      </c>
    </row>
    <row r="2789">
      <c r="B2789">
        <f>IFERROR(IF($B$1=0,"",IF(INDEX(貼り付け!$A$1:$BZ$3001,2788,$B$1)="","",IF(ISNUMBER(INDEX(貼り付け!$A$1:$BZ$3001,2788,$B$1)),INT(INDEX(貼り付け!$A$1:$BZ$3001,2788,$B$1)),DATE(VALUE(LEFT(I2789,FIND("-",I2789)-1)),VALUE(LEFT(J2789,FIND("-",J2789)-1)),VALUE(MID(J2789,FIND("-",J2789)+1,99)))))),"")</f>
        <v/>
      </c>
      <c r="C2789">
        <f>IF($C$1=0,0,IFERROR(VALUE(SUBSTITUTE(SUBSTITUTE(SUBSTITUTE(INDEX(貼り付け!$A$1:$BZ$3001,2788,$C$1)&amp;"",",",""),"¥",""),"￥","")),0))</f>
        <v/>
      </c>
      <c r="D2789">
        <f>IF($D$1=0,0,IFERROR(VALUE(SUBSTITUTE(SUBSTITUTE(SUBSTITUTE(INDEX(貼り付け!$A$1:$BZ$3001,2788,$D$1)&amp;"",",",""),"¥",""),"￥","")),0))</f>
        <v/>
      </c>
      <c r="E2789">
        <f>IF($E$1=0,0,IFERROR(VALUE(SUBSTITUTE(SUBSTITUTE(SUBSTITUTE(INDEX(貼り付け!$A$1:$BZ$3001,2788,$E$1)&amp;"",",",""),"¥",""),"￥","")),0))</f>
        <v/>
      </c>
      <c r="F2789">
        <f>IF($F$1=0,0,IFERROR(VALUE(SUBSTITUTE(SUBSTITUTE(SUBSTITUTE(INDEX(貼り付け!$A$1:$BZ$3001,2788,$F$1)&amp;"",",",""),"¥",""),"￥","")),0))</f>
        <v/>
      </c>
      <c r="G2789">
        <f>IF(ISNUMBER(B2789),YEAR(B2789),"")</f>
        <v/>
      </c>
      <c r="H2789">
        <f>IF(ISNUMBER(B2789),MONTH(B2789),"")</f>
        <v/>
      </c>
      <c r="I2789">
        <f>IFERROR(IF($B$1=0,"",IF(ISNUMBER(INDEX(貼り付け!$A$1:$BZ$3001,2788,$B$1)),"",SUBSTITUTE(SUBSTITUTE(SUBSTITUTE(SUBSTITUTE(TRIM(LEFT(INDEX(貼り付け!$A$1:$BZ$3001,2788,$B$1)&amp;"",FIND(" ",TRIM(INDEX(貼り付け!$A$1:$BZ$3001,2788,$B$1)&amp;"")&amp;" ")-1)),"/","-"),"年","-"),"月","-"),"日",""))),"")</f>
        <v/>
      </c>
      <c r="J2789">
        <f>IFERROR(MID(I2789,FIND("-",I2789)+1,99),"")</f>
        <v/>
      </c>
    </row>
    <row r="2790">
      <c r="B2790">
        <f>IFERROR(IF($B$1=0,"",IF(INDEX(貼り付け!$A$1:$BZ$3001,2789,$B$1)="","",IF(ISNUMBER(INDEX(貼り付け!$A$1:$BZ$3001,2789,$B$1)),INT(INDEX(貼り付け!$A$1:$BZ$3001,2789,$B$1)),DATE(VALUE(LEFT(I2790,FIND("-",I2790)-1)),VALUE(LEFT(J2790,FIND("-",J2790)-1)),VALUE(MID(J2790,FIND("-",J2790)+1,99)))))),"")</f>
        <v/>
      </c>
      <c r="C2790">
        <f>IF($C$1=0,0,IFERROR(VALUE(SUBSTITUTE(SUBSTITUTE(SUBSTITUTE(INDEX(貼り付け!$A$1:$BZ$3001,2789,$C$1)&amp;"",",",""),"¥",""),"￥","")),0))</f>
        <v/>
      </c>
      <c r="D2790">
        <f>IF($D$1=0,0,IFERROR(VALUE(SUBSTITUTE(SUBSTITUTE(SUBSTITUTE(INDEX(貼り付け!$A$1:$BZ$3001,2789,$D$1)&amp;"",",",""),"¥",""),"￥","")),0))</f>
        <v/>
      </c>
      <c r="E2790">
        <f>IF($E$1=0,0,IFERROR(VALUE(SUBSTITUTE(SUBSTITUTE(SUBSTITUTE(INDEX(貼り付け!$A$1:$BZ$3001,2789,$E$1)&amp;"",",",""),"¥",""),"￥","")),0))</f>
        <v/>
      </c>
      <c r="F2790">
        <f>IF($F$1=0,0,IFERROR(VALUE(SUBSTITUTE(SUBSTITUTE(SUBSTITUTE(INDEX(貼り付け!$A$1:$BZ$3001,2789,$F$1)&amp;"",",",""),"¥",""),"￥","")),0))</f>
        <v/>
      </c>
      <c r="G2790">
        <f>IF(ISNUMBER(B2790),YEAR(B2790),"")</f>
        <v/>
      </c>
      <c r="H2790">
        <f>IF(ISNUMBER(B2790),MONTH(B2790),"")</f>
        <v/>
      </c>
      <c r="I2790">
        <f>IFERROR(IF($B$1=0,"",IF(ISNUMBER(INDEX(貼り付け!$A$1:$BZ$3001,2789,$B$1)),"",SUBSTITUTE(SUBSTITUTE(SUBSTITUTE(SUBSTITUTE(TRIM(LEFT(INDEX(貼り付け!$A$1:$BZ$3001,2789,$B$1)&amp;"",FIND(" ",TRIM(INDEX(貼り付け!$A$1:$BZ$3001,2789,$B$1)&amp;"")&amp;" ")-1)),"/","-"),"年","-"),"月","-"),"日",""))),"")</f>
        <v/>
      </c>
      <c r="J2790">
        <f>IFERROR(MID(I2790,FIND("-",I2790)+1,99),"")</f>
        <v/>
      </c>
    </row>
    <row r="2791">
      <c r="B2791">
        <f>IFERROR(IF($B$1=0,"",IF(INDEX(貼り付け!$A$1:$BZ$3001,2790,$B$1)="","",IF(ISNUMBER(INDEX(貼り付け!$A$1:$BZ$3001,2790,$B$1)),INT(INDEX(貼り付け!$A$1:$BZ$3001,2790,$B$1)),DATE(VALUE(LEFT(I2791,FIND("-",I2791)-1)),VALUE(LEFT(J2791,FIND("-",J2791)-1)),VALUE(MID(J2791,FIND("-",J2791)+1,99)))))),"")</f>
        <v/>
      </c>
      <c r="C2791">
        <f>IF($C$1=0,0,IFERROR(VALUE(SUBSTITUTE(SUBSTITUTE(SUBSTITUTE(INDEX(貼り付け!$A$1:$BZ$3001,2790,$C$1)&amp;"",",",""),"¥",""),"￥","")),0))</f>
        <v/>
      </c>
      <c r="D2791">
        <f>IF($D$1=0,0,IFERROR(VALUE(SUBSTITUTE(SUBSTITUTE(SUBSTITUTE(INDEX(貼り付け!$A$1:$BZ$3001,2790,$D$1)&amp;"",",",""),"¥",""),"￥","")),0))</f>
        <v/>
      </c>
      <c r="E2791">
        <f>IF($E$1=0,0,IFERROR(VALUE(SUBSTITUTE(SUBSTITUTE(SUBSTITUTE(INDEX(貼り付け!$A$1:$BZ$3001,2790,$E$1)&amp;"",",",""),"¥",""),"￥","")),0))</f>
        <v/>
      </c>
      <c r="F2791">
        <f>IF($F$1=0,0,IFERROR(VALUE(SUBSTITUTE(SUBSTITUTE(SUBSTITUTE(INDEX(貼り付け!$A$1:$BZ$3001,2790,$F$1)&amp;"",",",""),"¥",""),"￥","")),0))</f>
        <v/>
      </c>
      <c r="G2791">
        <f>IF(ISNUMBER(B2791),YEAR(B2791),"")</f>
        <v/>
      </c>
      <c r="H2791">
        <f>IF(ISNUMBER(B2791),MONTH(B2791),"")</f>
        <v/>
      </c>
      <c r="I2791">
        <f>IFERROR(IF($B$1=0,"",IF(ISNUMBER(INDEX(貼り付け!$A$1:$BZ$3001,2790,$B$1)),"",SUBSTITUTE(SUBSTITUTE(SUBSTITUTE(SUBSTITUTE(TRIM(LEFT(INDEX(貼り付け!$A$1:$BZ$3001,2790,$B$1)&amp;"",FIND(" ",TRIM(INDEX(貼り付け!$A$1:$BZ$3001,2790,$B$1)&amp;"")&amp;" ")-1)),"/","-"),"年","-"),"月","-"),"日",""))),"")</f>
        <v/>
      </c>
      <c r="J2791">
        <f>IFERROR(MID(I2791,FIND("-",I2791)+1,99),"")</f>
        <v/>
      </c>
    </row>
    <row r="2792">
      <c r="B2792">
        <f>IFERROR(IF($B$1=0,"",IF(INDEX(貼り付け!$A$1:$BZ$3001,2791,$B$1)="","",IF(ISNUMBER(INDEX(貼り付け!$A$1:$BZ$3001,2791,$B$1)),INT(INDEX(貼り付け!$A$1:$BZ$3001,2791,$B$1)),DATE(VALUE(LEFT(I2792,FIND("-",I2792)-1)),VALUE(LEFT(J2792,FIND("-",J2792)-1)),VALUE(MID(J2792,FIND("-",J2792)+1,99)))))),"")</f>
        <v/>
      </c>
      <c r="C2792">
        <f>IF($C$1=0,0,IFERROR(VALUE(SUBSTITUTE(SUBSTITUTE(SUBSTITUTE(INDEX(貼り付け!$A$1:$BZ$3001,2791,$C$1)&amp;"",",",""),"¥",""),"￥","")),0))</f>
        <v/>
      </c>
      <c r="D2792">
        <f>IF($D$1=0,0,IFERROR(VALUE(SUBSTITUTE(SUBSTITUTE(SUBSTITUTE(INDEX(貼り付け!$A$1:$BZ$3001,2791,$D$1)&amp;"",",",""),"¥",""),"￥","")),0))</f>
        <v/>
      </c>
      <c r="E2792">
        <f>IF($E$1=0,0,IFERROR(VALUE(SUBSTITUTE(SUBSTITUTE(SUBSTITUTE(INDEX(貼り付け!$A$1:$BZ$3001,2791,$E$1)&amp;"",",",""),"¥",""),"￥","")),0))</f>
        <v/>
      </c>
      <c r="F2792">
        <f>IF($F$1=0,0,IFERROR(VALUE(SUBSTITUTE(SUBSTITUTE(SUBSTITUTE(INDEX(貼り付け!$A$1:$BZ$3001,2791,$F$1)&amp;"",",",""),"¥",""),"￥","")),0))</f>
        <v/>
      </c>
      <c r="G2792">
        <f>IF(ISNUMBER(B2792),YEAR(B2792),"")</f>
        <v/>
      </c>
      <c r="H2792">
        <f>IF(ISNUMBER(B2792),MONTH(B2792),"")</f>
        <v/>
      </c>
      <c r="I2792">
        <f>IFERROR(IF($B$1=0,"",IF(ISNUMBER(INDEX(貼り付け!$A$1:$BZ$3001,2791,$B$1)),"",SUBSTITUTE(SUBSTITUTE(SUBSTITUTE(SUBSTITUTE(TRIM(LEFT(INDEX(貼り付け!$A$1:$BZ$3001,2791,$B$1)&amp;"",FIND(" ",TRIM(INDEX(貼り付け!$A$1:$BZ$3001,2791,$B$1)&amp;"")&amp;" ")-1)),"/","-"),"年","-"),"月","-"),"日",""))),"")</f>
        <v/>
      </c>
      <c r="J2792">
        <f>IFERROR(MID(I2792,FIND("-",I2792)+1,99),"")</f>
        <v/>
      </c>
    </row>
    <row r="2793">
      <c r="B2793">
        <f>IFERROR(IF($B$1=0,"",IF(INDEX(貼り付け!$A$1:$BZ$3001,2792,$B$1)="","",IF(ISNUMBER(INDEX(貼り付け!$A$1:$BZ$3001,2792,$B$1)),INT(INDEX(貼り付け!$A$1:$BZ$3001,2792,$B$1)),DATE(VALUE(LEFT(I2793,FIND("-",I2793)-1)),VALUE(LEFT(J2793,FIND("-",J2793)-1)),VALUE(MID(J2793,FIND("-",J2793)+1,99)))))),"")</f>
        <v/>
      </c>
      <c r="C2793">
        <f>IF($C$1=0,0,IFERROR(VALUE(SUBSTITUTE(SUBSTITUTE(SUBSTITUTE(INDEX(貼り付け!$A$1:$BZ$3001,2792,$C$1)&amp;"",",",""),"¥",""),"￥","")),0))</f>
        <v/>
      </c>
      <c r="D2793">
        <f>IF($D$1=0,0,IFERROR(VALUE(SUBSTITUTE(SUBSTITUTE(SUBSTITUTE(INDEX(貼り付け!$A$1:$BZ$3001,2792,$D$1)&amp;"",",",""),"¥",""),"￥","")),0))</f>
        <v/>
      </c>
      <c r="E2793">
        <f>IF($E$1=0,0,IFERROR(VALUE(SUBSTITUTE(SUBSTITUTE(SUBSTITUTE(INDEX(貼り付け!$A$1:$BZ$3001,2792,$E$1)&amp;"",",",""),"¥",""),"￥","")),0))</f>
        <v/>
      </c>
      <c r="F2793">
        <f>IF($F$1=0,0,IFERROR(VALUE(SUBSTITUTE(SUBSTITUTE(SUBSTITUTE(INDEX(貼り付け!$A$1:$BZ$3001,2792,$F$1)&amp;"",",",""),"¥",""),"￥","")),0))</f>
        <v/>
      </c>
      <c r="G2793">
        <f>IF(ISNUMBER(B2793),YEAR(B2793),"")</f>
        <v/>
      </c>
      <c r="H2793">
        <f>IF(ISNUMBER(B2793),MONTH(B2793),"")</f>
        <v/>
      </c>
      <c r="I2793">
        <f>IFERROR(IF($B$1=0,"",IF(ISNUMBER(INDEX(貼り付け!$A$1:$BZ$3001,2792,$B$1)),"",SUBSTITUTE(SUBSTITUTE(SUBSTITUTE(SUBSTITUTE(TRIM(LEFT(INDEX(貼り付け!$A$1:$BZ$3001,2792,$B$1)&amp;"",FIND(" ",TRIM(INDEX(貼り付け!$A$1:$BZ$3001,2792,$B$1)&amp;"")&amp;" ")-1)),"/","-"),"年","-"),"月","-"),"日",""))),"")</f>
        <v/>
      </c>
      <c r="J2793">
        <f>IFERROR(MID(I2793,FIND("-",I2793)+1,99),"")</f>
        <v/>
      </c>
    </row>
    <row r="2794">
      <c r="B2794">
        <f>IFERROR(IF($B$1=0,"",IF(INDEX(貼り付け!$A$1:$BZ$3001,2793,$B$1)="","",IF(ISNUMBER(INDEX(貼り付け!$A$1:$BZ$3001,2793,$B$1)),INT(INDEX(貼り付け!$A$1:$BZ$3001,2793,$B$1)),DATE(VALUE(LEFT(I2794,FIND("-",I2794)-1)),VALUE(LEFT(J2794,FIND("-",J2794)-1)),VALUE(MID(J2794,FIND("-",J2794)+1,99)))))),"")</f>
        <v/>
      </c>
      <c r="C2794">
        <f>IF($C$1=0,0,IFERROR(VALUE(SUBSTITUTE(SUBSTITUTE(SUBSTITUTE(INDEX(貼り付け!$A$1:$BZ$3001,2793,$C$1)&amp;"",",",""),"¥",""),"￥","")),0))</f>
        <v/>
      </c>
      <c r="D2794">
        <f>IF($D$1=0,0,IFERROR(VALUE(SUBSTITUTE(SUBSTITUTE(SUBSTITUTE(INDEX(貼り付け!$A$1:$BZ$3001,2793,$D$1)&amp;"",",",""),"¥",""),"￥","")),0))</f>
        <v/>
      </c>
      <c r="E2794">
        <f>IF($E$1=0,0,IFERROR(VALUE(SUBSTITUTE(SUBSTITUTE(SUBSTITUTE(INDEX(貼り付け!$A$1:$BZ$3001,2793,$E$1)&amp;"",",",""),"¥",""),"￥","")),0))</f>
        <v/>
      </c>
      <c r="F2794">
        <f>IF($F$1=0,0,IFERROR(VALUE(SUBSTITUTE(SUBSTITUTE(SUBSTITUTE(INDEX(貼り付け!$A$1:$BZ$3001,2793,$F$1)&amp;"",",",""),"¥",""),"￥","")),0))</f>
        <v/>
      </c>
      <c r="G2794">
        <f>IF(ISNUMBER(B2794),YEAR(B2794),"")</f>
        <v/>
      </c>
      <c r="H2794">
        <f>IF(ISNUMBER(B2794),MONTH(B2794),"")</f>
        <v/>
      </c>
      <c r="I2794">
        <f>IFERROR(IF($B$1=0,"",IF(ISNUMBER(INDEX(貼り付け!$A$1:$BZ$3001,2793,$B$1)),"",SUBSTITUTE(SUBSTITUTE(SUBSTITUTE(SUBSTITUTE(TRIM(LEFT(INDEX(貼り付け!$A$1:$BZ$3001,2793,$B$1)&amp;"",FIND(" ",TRIM(INDEX(貼り付け!$A$1:$BZ$3001,2793,$B$1)&amp;"")&amp;" ")-1)),"/","-"),"年","-"),"月","-"),"日",""))),"")</f>
        <v/>
      </c>
      <c r="J2794">
        <f>IFERROR(MID(I2794,FIND("-",I2794)+1,99),"")</f>
        <v/>
      </c>
    </row>
    <row r="2795">
      <c r="B2795">
        <f>IFERROR(IF($B$1=0,"",IF(INDEX(貼り付け!$A$1:$BZ$3001,2794,$B$1)="","",IF(ISNUMBER(INDEX(貼り付け!$A$1:$BZ$3001,2794,$B$1)),INT(INDEX(貼り付け!$A$1:$BZ$3001,2794,$B$1)),DATE(VALUE(LEFT(I2795,FIND("-",I2795)-1)),VALUE(LEFT(J2795,FIND("-",J2795)-1)),VALUE(MID(J2795,FIND("-",J2795)+1,99)))))),"")</f>
        <v/>
      </c>
      <c r="C2795">
        <f>IF($C$1=0,0,IFERROR(VALUE(SUBSTITUTE(SUBSTITUTE(SUBSTITUTE(INDEX(貼り付け!$A$1:$BZ$3001,2794,$C$1)&amp;"",",",""),"¥",""),"￥","")),0))</f>
        <v/>
      </c>
      <c r="D2795">
        <f>IF($D$1=0,0,IFERROR(VALUE(SUBSTITUTE(SUBSTITUTE(SUBSTITUTE(INDEX(貼り付け!$A$1:$BZ$3001,2794,$D$1)&amp;"",",",""),"¥",""),"￥","")),0))</f>
        <v/>
      </c>
      <c r="E2795">
        <f>IF($E$1=0,0,IFERROR(VALUE(SUBSTITUTE(SUBSTITUTE(SUBSTITUTE(INDEX(貼り付け!$A$1:$BZ$3001,2794,$E$1)&amp;"",",",""),"¥",""),"￥","")),0))</f>
        <v/>
      </c>
      <c r="F2795">
        <f>IF($F$1=0,0,IFERROR(VALUE(SUBSTITUTE(SUBSTITUTE(SUBSTITUTE(INDEX(貼り付け!$A$1:$BZ$3001,2794,$F$1)&amp;"",",",""),"¥",""),"￥","")),0))</f>
        <v/>
      </c>
      <c r="G2795">
        <f>IF(ISNUMBER(B2795),YEAR(B2795),"")</f>
        <v/>
      </c>
      <c r="H2795">
        <f>IF(ISNUMBER(B2795),MONTH(B2795),"")</f>
        <v/>
      </c>
      <c r="I2795">
        <f>IFERROR(IF($B$1=0,"",IF(ISNUMBER(INDEX(貼り付け!$A$1:$BZ$3001,2794,$B$1)),"",SUBSTITUTE(SUBSTITUTE(SUBSTITUTE(SUBSTITUTE(TRIM(LEFT(INDEX(貼り付け!$A$1:$BZ$3001,2794,$B$1)&amp;"",FIND(" ",TRIM(INDEX(貼り付け!$A$1:$BZ$3001,2794,$B$1)&amp;"")&amp;" ")-1)),"/","-"),"年","-"),"月","-"),"日",""))),"")</f>
        <v/>
      </c>
      <c r="J2795">
        <f>IFERROR(MID(I2795,FIND("-",I2795)+1,99),"")</f>
        <v/>
      </c>
    </row>
    <row r="2796">
      <c r="B2796">
        <f>IFERROR(IF($B$1=0,"",IF(INDEX(貼り付け!$A$1:$BZ$3001,2795,$B$1)="","",IF(ISNUMBER(INDEX(貼り付け!$A$1:$BZ$3001,2795,$B$1)),INT(INDEX(貼り付け!$A$1:$BZ$3001,2795,$B$1)),DATE(VALUE(LEFT(I2796,FIND("-",I2796)-1)),VALUE(LEFT(J2796,FIND("-",J2796)-1)),VALUE(MID(J2796,FIND("-",J2796)+1,99)))))),"")</f>
        <v/>
      </c>
      <c r="C2796">
        <f>IF($C$1=0,0,IFERROR(VALUE(SUBSTITUTE(SUBSTITUTE(SUBSTITUTE(INDEX(貼り付け!$A$1:$BZ$3001,2795,$C$1)&amp;"",",",""),"¥",""),"￥","")),0))</f>
        <v/>
      </c>
      <c r="D2796">
        <f>IF($D$1=0,0,IFERROR(VALUE(SUBSTITUTE(SUBSTITUTE(SUBSTITUTE(INDEX(貼り付け!$A$1:$BZ$3001,2795,$D$1)&amp;"",",",""),"¥",""),"￥","")),0))</f>
        <v/>
      </c>
      <c r="E2796">
        <f>IF($E$1=0,0,IFERROR(VALUE(SUBSTITUTE(SUBSTITUTE(SUBSTITUTE(INDEX(貼り付け!$A$1:$BZ$3001,2795,$E$1)&amp;"",",",""),"¥",""),"￥","")),0))</f>
        <v/>
      </c>
      <c r="F2796">
        <f>IF($F$1=0,0,IFERROR(VALUE(SUBSTITUTE(SUBSTITUTE(SUBSTITUTE(INDEX(貼り付け!$A$1:$BZ$3001,2795,$F$1)&amp;"",",",""),"¥",""),"￥","")),0))</f>
        <v/>
      </c>
      <c r="G2796">
        <f>IF(ISNUMBER(B2796),YEAR(B2796),"")</f>
        <v/>
      </c>
      <c r="H2796">
        <f>IF(ISNUMBER(B2796),MONTH(B2796),"")</f>
        <v/>
      </c>
      <c r="I2796">
        <f>IFERROR(IF($B$1=0,"",IF(ISNUMBER(INDEX(貼り付け!$A$1:$BZ$3001,2795,$B$1)),"",SUBSTITUTE(SUBSTITUTE(SUBSTITUTE(SUBSTITUTE(TRIM(LEFT(INDEX(貼り付け!$A$1:$BZ$3001,2795,$B$1)&amp;"",FIND(" ",TRIM(INDEX(貼り付け!$A$1:$BZ$3001,2795,$B$1)&amp;"")&amp;" ")-1)),"/","-"),"年","-"),"月","-"),"日",""))),"")</f>
        <v/>
      </c>
      <c r="J2796">
        <f>IFERROR(MID(I2796,FIND("-",I2796)+1,99),"")</f>
        <v/>
      </c>
    </row>
    <row r="2797">
      <c r="B2797">
        <f>IFERROR(IF($B$1=0,"",IF(INDEX(貼り付け!$A$1:$BZ$3001,2796,$B$1)="","",IF(ISNUMBER(INDEX(貼り付け!$A$1:$BZ$3001,2796,$B$1)),INT(INDEX(貼り付け!$A$1:$BZ$3001,2796,$B$1)),DATE(VALUE(LEFT(I2797,FIND("-",I2797)-1)),VALUE(LEFT(J2797,FIND("-",J2797)-1)),VALUE(MID(J2797,FIND("-",J2797)+1,99)))))),"")</f>
        <v/>
      </c>
      <c r="C2797">
        <f>IF($C$1=0,0,IFERROR(VALUE(SUBSTITUTE(SUBSTITUTE(SUBSTITUTE(INDEX(貼り付け!$A$1:$BZ$3001,2796,$C$1)&amp;"",",",""),"¥",""),"￥","")),0))</f>
        <v/>
      </c>
      <c r="D2797">
        <f>IF($D$1=0,0,IFERROR(VALUE(SUBSTITUTE(SUBSTITUTE(SUBSTITUTE(INDEX(貼り付け!$A$1:$BZ$3001,2796,$D$1)&amp;"",",",""),"¥",""),"￥","")),0))</f>
        <v/>
      </c>
      <c r="E2797">
        <f>IF($E$1=0,0,IFERROR(VALUE(SUBSTITUTE(SUBSTITUTE(SUBSTITUTE(INDEX(貼り付け!$A$1:$BZ$3001,2796,$E$1)&amp;"",",",""),"¥",""),"￥","")),0))</f>
        <v/>
      </c>
      <c r="F2797">
        <f>IF($F$1=0,0,IFERROR(VALUE(SUBSTITUTE(SUBSTITUTE(SUBSTITUTE(INDEX(貼り付け!$A$1:$BZ$3001,2796,$F$1)&amp;"",",",""),"¥",""),"￥","")),0))</f>
        <v/>
      </c>
      <c r="G2797">
        <f>IF(ISNUMBER(B2797),YEAR(B2797),"")</f>
        <v/>
      </c>
      <c r="H2797">
        <f>IF(ISNUMBER(B2797),MONTH(B2797),"")</f>
        <v/>
      </c>
      <c r="I2797">
        <f>IFERROR(IF($B$1=0,"",IF(ISNUMBER(INDEX(貼り付け!$A$1:$BZ$3001,2796,$B$1)),"",SUBSTITUTE(SUBSTITUTE(SUBSTITUTE(SUBSTITUTE(TRIM(LEFT(INDEX(貼り付け!$A$1:$BZ$3001,2796,$B$1)&amp;"",FIND(" ",TRIM(INDEX(貼り付け!$A$1:$BZ$3001,2796,$B$1)&amp;"")&amp;" ")-1)),"/","-"),"年","-"),"月","-"),"日",""))),"")</f>
        <v/>
      </c>
      <c r="J2797">
        <f>IFERROR(MID(I2797,FIND("-",I2797)+1,99),"")</f>
        <v/>
      </c>
    </row>
    <row r="2798">
      <c r="B2798">
        <f>IFERROR(IF($B$1=0,"",IF(INDEX(貼り付け!$A$1:$BZ$3001,2797,$B$1)="","",IF(ISNUMBER(INDEX(貼り付け!$A$1:$BZ$3001,2797,$B$1)),INT(INDEX(貼り付け!$A$1:$BZ$3001,2797,$B$1)),DATE(VALUE(LEFT(I2798,FIND("-",I2798)-1)),VALUE(LEFT(J2798,FIND("-",J2798)-1)),VALUE(MID(J2798,FIND("-",J2798)+1,99)))))),"")</f>
        <v/>
      </c>
      <c r="C2798">
        <f>IF($C$1=0,0,IFERROR(VALUE(SUBSTITUTE(SUBSTITUTE(SUBSTITUTE(INDEX(貼り付け!$A$1:$BZ$3001,2797,$C$1)&amp;"",",",""),"¥",""),"￥","")),0))</f>
        <v/>
      </c>
      <c r="D2798">
        <f>IF($D$1=0,0,IFERROR(VALUE(SUBSTITUTE(SUBSTITUTE(SUBSTITUTE(INDEX(貼り付け!$A$1:$BZ$3001,2797,$D$1)&amp;"",",",""),"¥",""),"￥","")),0))</f>
        <v/>
      </c>
      <c r="E2798">
        <f>IF($E$1=0,0,IFERROR(VALUE(SUBSTITUTE(SUBSTITUTE(SUBSTITUTE(INDEX(貼り付け!$A$1:$BZ$3001,2797,$E$1)&amp;"",",",""),"¥",""),"￥","")),0))</f>
        <v/>
      </c>
      <c r="F2798">
        <f>IF($F$1=0,0,IFERROR(VALUE(SUBSTITUTE(SUBSTITUTE(SUBSTITUTE(INDEX(貼り付け!$A$1:$BZ$3001,2797,$F$1)&amp;"",",",""),"¥",""),"￥","")),0))</f>
        <v/>
      </c>
      <c r="G2798">
        <f>IF(ISNUMBER(B2798),YEAR(B2798),"")</f>
        <v/>
      </c>
      <c r="H2798">
        <f>IF(ISNUMBER(B2798),MONTH(B2798),"")</f>
        <v/>
      </c>
      <c r="I2798">
        <f>IFERROR(IF($B$1=0,"",IF(ISNUMBER(INDEX(貼り付け!$A$1:$BZ$3001,2797,$B$1)),"",SUBSTITUTE(SUBSTITUTE(SUBSTITUTE(SUBSTITUTE(TRIM(LEFT(INDEX(貼り付け!$A$1:$BZ$3001,2797,$B$1)&amp;"",FIND(" ",TRIM(INDEX(貼り付け!$A$1:$BZ$3001,2797,$B$1)&amp;"")&amp;" ")-1)),"/","-"),"年","-"),"月","-"),"日",""))),"")</f>
        <v/>
      </c>
      <c r="J2798">
        <f>IFERROR(MID(I2798,FIND("-",I2798)+1,99),"")</f>
        <v/>
      </c>
    </row>
    <row r="2799">
      <c r="B2799">
        <f>IFERROR(IF($B$1=0,"",IF(INDEX(貼り付け!$A$1:$BZ$3001,2798,$B$1)="","",IF(ISNUMBER(INDEX(貼り付け!$A$1:$BZ$3001,2798,$B$1)),INT(INDEX(貼り付け!$A$1:$BZ$3001,2798,$B$1)),DATE(VALUE(LEFT(I2799,FIND("-",I2799)-1)),VALUE(LEFT(J2799,FIND("-",J2799)-1)),VALUE(MID(J2799,FIND("-",J2799)+1,99)))))),"")</f>
        <v/>
      </c>
      <c r="C2799">
        <f>IF($C$1=0,0,IFERROR(VALUE(SUBSTITUTE(SUBSTITUTE(SUBSTITUTE(INDEX(貼り付け!$A$1:$BZ$3001,2798,$C$1)&amp;"",",",""),"¥",""),"￥","")),0))</f>
        <v/>
      </c>
      <c r="D2799">
        <f>IF($D$1=0,0,IFERROR(VALUE(SUBSTITUTE(SUBSTITUTE(SUBSTITUTE(INDEX(貼り付け!$A$1:$BZ$3001,2798,$D$1)&amp;"",",",""),"¥",""),"￥","")),0))</f>
        <v/>
      </c>
      <c r="E2799">
        <f>IF($E$1=0,0,IFERROR(VALUE(SUBSTITUTE(SUBSTITUTE(SUBSTITUTE(INDEX(貼り付け!$A$1:$BZ$3001,2798,$E$1)&amp;"",",",""),"¥",""),"￥","")),0))</f>
        <v/>
      </c>
      <c r="F2799">
        <f>IF($F$1=0,0,IFERROR(VALUE(SUBSTITUTE(SUBSTITUTE(SUBSTITUTE(INDEX(貼り付け!$A$1:$BZ$3001,2798,$F$1)&amp;"",",",""),"¥",""),"￥","")),0))</f>
        <v/>
      </c>
      <c r="G2799">
        <f>IF(ISNUMBER(B2799),YEAR(B2799),"")</f>
        <v/>
      </c>
      <c r="H2799">
        <f>IF(ISNUMBER(B2799),MONTH(B2799),"")</f>
        <v/>
      </c>
      <c r="I2799">
        <f>IFERROR(IF($B$1=0,"",IF(ISNUMBER(INDEX(貼り付け!$A$1:$BZ$3001,2798,$B$1)),"",SUBSTITUTE(SUBSTITUTE(SUBSTITUTE(SUBSTITUTE(TRIM(LEFT(INDEX(貼り付け!$A$1:$BZ$3001,2798,$B$1)&amp;"",FIND(" ",TRIM(INDEX(貼り付け!$A$1:$BZ$3001,2798,$B$1)&amp;"")&amp;" ")-1)),"/","-"),"年","-"),"月","-"),"日",""))),"")</f>
        <v/>
      </c>
      <c r="J2799">
        <f>IFERROR(MID(I2799,FIND("-",I2799)+1,99),"")</f>
        <v/>
      </c>
    </row>
    <row r="2800">
      <c r="B2800">
        <f>IFERROR(IF($B$1=0,"",IF(INDEX(貼り付け!$A$1:$BZ$3001,2799,$B$1)="","",IF(ISNUMBER(INDEX(貼り付け!$A$1:$BZ$3001,2799,$B$1)),INT(INDEX(貼り付け!$A$1:$BZ$3001,2799,$B$1)),DATE(VALUE(LEFT(I2800,FIND("-",I2800)-1)),VALUE(LEFT(J2800,FIND("-",J2800)-1)),VALUE(MID(J2800,FIND("-",J2800)+1,99)))))),"")</f>
        <v/>
      </c>
      <c r="C2800">
        <f>IF($C$1=0,0,IFERROR(VALUE(SUBSTITUTE(SUBSTITUTE(SUBSTITUTE(INDEX(貼り付け!$A$1:$BZ$3001,2799,$C$1)&amp;"",",",""),"¥",""),"￥","")),0))</f>
        <v/>
      </c>
      <c r="D2800">
        <f>IF($D$1=0,0,IFERROR(VALUE(SUBSTITUTE(SUBSTITUTE(SUBSTITUTE(INDEX(貼り付け!$A$1:$BZ$3001,2799,$D$1)&amp;"",",",""),"¥",""),"￥","")),0))</f>
        <v/>
      </c>
      <c r="E2800">
        <f>IF($E$1=0,0,IFERROR(VALUE(SUBSTITUTE(SUBSTITUTE(SUBSTITUTE(INDEX(貼り付け!$A$1:$BZ$3001,2799,$E$1)&amp;"",",",""),"¥",""),"￥","")),0))</f>
        <v/>
      </c>
      <c r="F2800">
        <f>IF($F$1=0,0,IFERROR(VALUE(SUBSTITUTE(SUBSTITUTE(SUBSTITUTE(INDEX(貼り付け!$A$1:$BZ$3001,2799,$F$1)&amp;"",",",""),"¥",""),"￥","")),0))</f>
        <v/>
      </c>
      <c r="G2800">
        <f>IF(ISNUMBER(B2800),YEAR(B2800),"")</f>
        <v/>
      </c>
      <c r="H2800">
        <f>IF(ISNUMBER(B2800),MONTH(B2800),"")</f>
        <v/>
      </c>
      <c r="I2800">
        <f>IFERROR(IF($B$1=0,"",IF(ISNUMBER(INDEX(貼り付け!$A$1:$BZ$3001,2799,$B$1)),"",SUBSTITUTE(SUBSTITUTE(SUBSTITUTE(SUBSTITUTE(TRIM(LEFT(INDEX(貼り付け!$A$1:$BZ$3001,2799,$B$1)&amp;"",FIND(" ",TRIM(INDEX(貼り付け!$A$1:$BZ$3001,2799,$B$1)&amp;"")&amp;" ")-1)),"/","-"),"年","-"),"月","-"),"日",""))),"")</f>
        <v/>
      </c>
      <c r="J2800">
        <f>IFERROR(MID(I2800,FIND("-",I2800)+1,99),"")</f>
        <v/>
      </c>
    </row>
    <row r="2801">
      <c r="B2801">
        <f>IFERROR(IF($B$1=0,"",IF(INDEX(貼り付け!$A$1:$BZ$3001,2800,$B$1)="","",IF(ISNUMBER(INDEX(貼り付け!$A$1:$BZ$3001,2800,$B$1)),INT(INDEX(貼り付け!$A$1:$BZ$3001,2800,$B$1)),DATE(VALUE(LEFT(I2801,FIND("-",I2801)-1)),VALUE(LEFT(J2801,FIND("-",J2801)-1)),VALUE(MID(J2801,FIND("-",J2801)+1,99)))))),"")</f>
        <v/>
      </c>
      <c r="C2801">
        <f>IF($C$1=0,0,IFERROR(VALUE(SUBSTITUTE(SUBSTITUTE(SUBSTITUTE(INDEX(貼り付け!$A$1:$BZ$3001,2800,$C$1)&amp;"",",",""),"¥",""),"￥","")),0))</f>
        <v/>
      </c>
      <c r="D2801">
        <f>IF($D$1=0,0,IFERROR(VALUE(SUBSTITUTE(SUBSTITUTE(SUBSTITUTE(INDEX(貼り付け!$A$1:$BZ$3001,2800,$D$1)&amp;"",",",""),"¥",""),"￥","")),0))</f>
        <v/>
      </c>
      <c r="E2801">
        <f>IF($E$1=0,0,IFERROR(VALUE(SUBSTITUTE(SUBSTITUTE(SUBSTITUTE(INDEX(貼り付け!$A$1:$BZ$3001,2800,$E$1)&amp;"",",",""),"¥",""),"￥","")),0))</f>
        <v/>
      </c>
      <c r="F2801">
        <f>IF($F$1=0,0,IFERROR(VALUE(SUBSTITUTE(SUBSTITUTE(SUBSTITUTE(INDEX(貼り付け!$A$1:$BZ$3001,2800,$F$1)&amp;"",",",""),"¥",""),"￥","")),0))</f>
        <v/>
      </c>
      <c r="G2801">
        <f>IF(ISNUMBER(B2801),YEAR(B2801),"")</f>
        <v/>
      </c>
      <c r="H2801">
        <f>IF(ISNUMBER(B2801),MONTH(B2801),"")</f>
        <v/>
      </c>
      <c r="I2801">
        <f>IFERROR(IF($B$1=0,"",IF(ISNUMBER(INDEX(貼り付け!$A$1:$BZ$3001,2800,$B$1)),"",SUBSTITUTE(SUBSTITUTE(SUBSTITUTE(SUBSTITUTE(TRIM(LEFT(INDEX(貼り付け!$A$1:$BZ$3001,2800,$B$1)&amp;"",FIND(" ",TRIM(INDEX(貼り付け!$A$1:$BZ$3001,2800,$B$1)&amp;"")&amp;" ")-1)),"/","-"),"年","-"),"月","-"),"日",""))),"")</f>
        <v/>
      </c>
      <c r="J2801">
        <f>IFERROR(MID(I2801,FIND("-",I2801)+1,99),"")</f>
        <v/>
      </c>
    </row>
    <row r="2802">
      <c r="B2802">
        <f>IFERROR(IF($B$1=0,"",IF(INDEX(貼り付け!$A$1:$BZ$3001,2801,$B$1)="","",IF(ISNUMBER(INDEX(貼り付け!$A$1:$BZ$3001,2801,$B$1)),INT(INDEX(貼り付け!$A$1:$BZ$3001,2801,$B$1)),DATE(VALUE(LEFT(I2802,FIND("-",I2802)-1)),VALUE(LEFT(J2802,FIND("-",J2802)-1)),VALUE(MID(J2802,FIND("-",J2802)+1,99)))))),"")</f>
        <v/>
      </c>
      <c r="C2802">
        <f>IF($C$1=0,0,IFERROR(VALUE(SUBSTITUTE(SUBSTITUTE(SUBSTITUTE(INDEX(貼り付け!$A$1:$BZ$3001,2801,$C$1)&amp;"",",",""),"¥",""),"￥","")),0))</f>
        <v/>
      </c>
      <c r="D2802">
        <f>IF($D$1=0,0,IFERROR(VALUE(SUBSTITUTE(SUBSTITUTE(SUBSTITUTE(INDEX(貼り付け!$A$1:$BZ$3001,2801,$D$1)&amp;"",",",""),"¥",""),"￥","")),0))</f>
        <v/>
      </c>
      <c r="E2802">
        <f>IF($E$1=0,0,IFERROR(VALUE(SUBSTITUTE(SUBSTITUTE(SUBSTITUTE(INDEX(貼り付け!$A$1:$BZ$3001,2801,$E$1)&amp;"",",",""),"¥",""),"￥","")),0))</f>
        <v/>
      </c>
      <c r="F2802">
        <f>IF($F$1=0,0,IFERROR(VALUE(SUBSTITUTE(SUBSTITUTE(SUBSTITUTE(INDEX(貼り付け!$A$1:$BZ$3001,2801,$F$1)&amp;"",",",""),"¥",""),"￥","")),0))</f>
        <v/>
      </c>
      <c r="G2802">
        <f>IF(ISNUMBER(B2802),YEAR(B2802),"")</f>
        <v/>
      </c>
      <c r="H2802">
        <f>IF(ISNUMBER(B2802),MONTH(B2802),"")</f>
        <v/>
      </c>
      <c r="I2802">
        <f>IFERROR(IF($B$1=0,"",IF(ISNUMBER(INDEX(貼り付け!$A$1:$BZ$3001,2801,$B$1)),"",SUBSTITUTE(SUBSTITUTE(SUBSTITUTE(SUBSTITUTE(TRIM(LEFT(INDEX(貼り付け!$A$1:$BZ$3001,2801,$B$1)&amp;"",FIND(" ",TRIM(INDEX(貼り付け!$A$1:$BZ$3001,2801,$B$1)&amp;"")&amp;" ")-1)),"/","-"),"年","-"),"月","-"),"日",""))),"")</f>
        <v/>
      </c>
      <c r="J2802">
        <f>IFERROR(MID(I2802,FIND("-",I2802)+1,99),"")</f>
        <v/>
      </c>
    </row>
    <row r="2803">
      <c r="B2803">
        <f>IFERROR(IF($B$1=0,"",IF(INDEX(貼り付け!$A$1:$BZ$3001,2802,$B$1)="","",IF(ISNUMBER(INDEX(貼り付け!$A$1:$BZ$3001,2802,$B$1)),INT(INDEX(貼り付け!$A$1:$BZ$3001,2802,$B$1)),DATE(VALUE(LEFT(I2803,FIND("-",I2803)-1)),VALUE(LEFT(J2803,FIND("-",J2803)-1)),VALUE(MID(J2803,FIND("-",J2803)+1,99)))))),"")</f>
        <v/>
      </c>
      <c r="C2803">
        <f>IF($C$1=0,0,IFERROR(VALUE(SUBSTITUTE(SUBSTITUTE(SUBSTITUTE(INDEX(貼り付け!$A$1:$BZ$3001,2802,$C$1)&amp;"",",",""),"¥",""),"￥","")),0))</f>
        <v/>
      </c>
      <c r="D2803">
        <f>IF($D$1=0,0,IFERROR(VALUE(SUBSTITUTE(SUBSTITUTE(SUBSTITUTE(INDEX(貼り付け!$A$1:$BZ$3001,2802,$D$1)&amp;"",",",""),"¥",""),"￥","")),0))</f>
        <v/>
      </c>
      <c r="E2803">
        <f>IF($E$1=0,0,IFERROR(VALUE(SUBSTITUTE(SUBSTITUTE(SUBSTITUTE(INDEX(貼り付け!$A$1:$BZ$3001,2802,$E$1)&amp;"",",",""),"¥",""),"￥","")),0))</f>
        <v/>
      </c>
      <c r="F2803">
        <f>IF($F$1=0,0,IFERROR(VALUE(SUBSTITUTE(SUBSTITUTE(SUBSTITUTE(INDEX(貼り付け!$A$1:$BZ$3001,2802,$F$1)&amp;"",",",""),"¥",""),"￥","")),0))</f>
        <v/>
      </c>
      <c r="G2803">
        <f>IF(ISNUMBER(B2803),YEAR(B2803),"")</f>
        <v/>
      </c>
      <c r="H2803">
        <f>IF(ISNUMBER(B2803),MONTH(B2803),"")</f>
        <v/>
      </c>
      <c r="I2803">
        <f>IFERROR(IF($B$1=0,"",IF(ISNUMBER(INDEX(貼り付け!$A$1:$BZ$3001,2802,$B$1)),"",SUBSTITUTE(SUBSTITUTE(SUBSTITUTE(SUBSTITUTE(TRIM(LEFT(INDEX(貼り付け!$A$1:$BZ$3001,2802,$B$1)&amp;"",FIND(" ",TRIM(INDEX(貼り付け!$A$1:$BZ$3001,2802,$B$1)&amp;"")&amp;" ")-1)),"/","-"),"年","-"),"月","-"),"日",""))),"")</f>
        <v/>
      </c>
      <c r="J2803">
        <f>IFERROR(MID(I2803,FIND("-",I2803)+1,99),"")</f>
        <v/>
      </c>
    </row>
    <row r="2804">
      <c r="B2804">
        <f>IFERROR(IF($B$1=0,"",IF(INDEX(貼り付け!$A$1:$BZ$3001,2803,$B$1)="","",IF(ISNUMBER(INDEX(貼り付け!$A$1:$BZ$3001,2803,$B$1)),INT(INDEX(貼り付け!$A$1:$BZ$3001,2803,$B$1)),DATE(VALUE(LEFT(I2804,FIND("-",I2804)-1)),VALUE(LEFT(J2804,FIND("-",J2804)-1)),VALUE(MID(J2804,FIND("-",J2804)+1,99)))))),"")</f>
        <v/>
      </c>
      <c r="C2804">
        <f>IF($C$1=0,0,IFERROR(VALUE(SUBSTITUTE(SUBSTITUTE(SUBSTITUTE(INDEX(貼り付け!$A$1:$BZ$3001,2803,$C$1)&amp;"",",",""),"¥",""),"￥","")),0))</f>
        <v/>
      </c>
      <c r="D2804">
        <f>IF($D$1=0,0,IFERROR(VALUE(SUBSTITUTE(SUBSTITUTE(SUBSTITUTE(INDEX(貼り付け!$A$1:$BZ$3001,2803,$D$1)&amp;"",",",""),"¥",""),"￥","")),0))</f>
        <v/>
      </c>
      <c r="E2804">
        <f>IF($E$1=0,0,IFERROR(VALUE(SUBSTITUTE(SUBSTITUTE(SUBSTITUTE(INDEX(貼り付け!$A$1:$BZ$3001,2803,$E$1)&amp;"",",",""),"¥",""),"￥","")),0))</f>
        <v/>
      </c>
      <c r="F2804">
        <f>IF($F$1=0,0,IFERROR(VALUE(SUBSTITUTE(SUBSTITUTE(SUBSTITUTE(INDEX(貼り付け!$A$1:$BZ$3001,2803,$F$1)&amp;"",",",""),"¥",""),"￥","")),0))</f>
        <v/>
      </c>
      <c r="G2804">
        <f>IF(ISNUMBER(B2804),YEAR(B2804),"")</f>
        <v/>
      </c>
      <c r="H2804">
        <f>IF(ISNUMBER(B2804),MONTH(B2804),"")</f>
        <v/>
      </c>
      <c r="I2804">
        <f>IFERROR(IF($B$1=0,"",IF(ISNUMBER(INDEX(貼り付け!$A$1:$BZ$3001,2803,$B$1)),"",SUBSTITUTE(SUBSTITUTE(SUBSTITUTE(SUBSTITUTE(TRIM(LEFT(INDEX(貼り付け!$A$1:$BZ$3001,2803,$B$1)&amp;"",FIND(" ",TRIM(INDEX(貼り付け!$A$1:$BZ$3001,2803,$B$1)&amp;"")&amp;" ")-1)),"/","-"),"年","-"),"月","-"),"日",""))),"")</f>
        <v/>
      </c>
      <c r="J2804">
        <f>IFERROR(MID(I2804,FIND("-",I2804)+1,99),"")</f>
        <v/>
      </c>
    </row>
    <row r="2805">
      <c r="B2805">
        <f>IFERROR(IF($B$1=0,"",IF(INDEX(貼り付け!$A$1:$BZ$3001,2804,$B$1)="","",IF(ISNUMBER(INDEX(貼り付け!$A$1:$BZ$3001,2804,$B$1)),INT(INDEX(貼り付け!$A$1:$BZ$3001,2804,$B$1)),DATE(VALUE(LEFT(I2805,FIND("-",I2805)-1)),VALUE(LEFT(J2805,FIND("-",J2805)-1)),VALUE(MID(J2805,FIND("-",J2805)+1,99)))))),"")</f>
        <v/>
      </c>
      <c r="C2805">
        <f>IF($C$1=0,0,IFERROR(VALUE(SUBSTITUTE(SUBSTITUTE(SUBSTITUTE(INDEX(貼り付け!$A$1:$BZ$3001,2804,$C$1)&amp;"",",",""),"¥",""),"￥","")),0))</f>
        <v/>
      </c>
      <c r="D2805">
        <f>IF($D$1=0,0,IFERROR(VALUE(SUBSTITUTE(SUBSTITUTE(SUBSTITUTE(INDEX(貼り付け!$A$1:$BZ$3001,2804,$D$1)&amp;"",",",""),"¥",""),"￥","")),0))</f>
        <v/>
      </c>
      <c r="E2805">
        <f>IF($E$1=0,0,IFERROR(VALUE(SUBSTITUTE(SUBSTITUTE(SUBSTITUTE(INDEX(貼り付け!$A$1:$BZ$3001,2804,$E$1)&amp;"",",",""),"¥",""),"￥","")),0))</f>
        <v/>
      </c>
      <c r="F2805">
        <f>IF($F$1=0,0,IFERROR(VALUE(SUBSTITUTE(SUBSTITUTE(SUBSTITUTE(INDEX(貼り付け!$A$1:$BZ$3001,2804,$F$1)&amp;"",",",""),"¥",""),"￥","")),0))</f>
        <v/>
      </c>
      <c r="G2805">
        <f>IF(ISNUMBER(B2805),YEAR(B2805),"")</f>
        <v/>
      </c>
      <c r="H2805">
        <f>IF(ISNUMBER(B2805),MONTH(B2805),"")</f>
        <v/>
      </c>
      <c r="I2805">
        <f>IFERROR(IF($B$1=0,"",IF(ISNUMBER(INDEX(貼り付け!$A$1:$BZ$3001,2804,$B$1)),"",SUBSTITUTE(SUBSTITUTE(SUBSTITUTE(SUBSTITUTE(TRIM(LEFT(INDEX(貼り付け!$A$1:$BZ$3001,2804,$B$1)&amp;"",FIND(" ",TRIM(INDEX(貼り付け!$A$1:$BZ$3001,2804,$B$1)&amp;"")&amp;" ")-1)),"/","-"),"年","-"),"月","-"),"日",""))),"")</f>
        <v/>
      </c>
      <c r="J2805">
        <f>IFERROR(MID(I2805,FIND("-",I2805)+1,99),"")</f>
        <v/>
      </c>
    </row>
    <row r="2806">
      <c r="B2806">
        <f>IFERROR(IF($B$1=0,"",IF(INDEX(貼り付け!$A$1:$BZ$3001,2805,$B$1)="","",IF(ISNUMBER(INDEX(貼り付け!$A$1:$BZ$3001,2805,$B$1)),INT(INDEX(貼り付け!$A$1:$BZ$3001,2805,$B$1)),DATE(VALUE(LEFT(I2806,FIND("-",I2806)-1)),VALUE(LEFT(J2806,FIND("-",J2806)-1)),VALUE(MID(J2806,FIND("-",J2806)+1,99)))))),"")</f>
        <v/>
      </c>
      <c r="C2806">
        <f>IF($C$1=0,0,IFERROR(VALUE(SUBSTITUTE(SUBSTITUTE(SUBSTITUTE(INDEX(貼り付け!$A$1:$BZ$3001,2805,$C$1)&amp;"",",",""),"¥",""),"￥","")),0))</f>
        <v/>
      </c>
      <c r="D2806">
        <f>IF($D$1=0,0,IFERROR(VALUE(SUBSTITUTE(SUBSTITUTE(SUBSTITUTE(INDEX(貼り付け!$A$1:$BZ$3001,2805,$D$1)&amp;"",",",""),"¥",""),"￥","")),0))</f>
        <v/>
      </c>
      <c r="E2806">
        <f>IF($E$1=0,0,IFERROR(VALUE(SUBSTITUTE(SUBSTITUTE(SUBSTITUTE(INDEX(貼り付け!$A$1:$BZ$3001,2805,$E$1)&amp;"",",",""),"¥",""),"￥","")),0))</f>
        <v/>
      </c>
      <c r="F2806">
        <f>IF($F$1=0,0,IFERROR(VALUE(SUBSTITUTE(SUBSTITUTE(SUBSTITUTE(INDEX(貼り付け!$A$1:$BZ$3001,2805,$F$1)&amp;"",",",""),"¥",""),"￥","")),0))</f>
        <v/>
      </c>
      <c r="G2806">
        <f>IF(ISNUMBER(B2806),YEAR(B2806),"")</f>
        <v/>
      </c>
      <c r="H2806">
        <f>IF(ISNUMBER(B2806),MONTH(B2806),"")</f>
        <v/>
      </c>
      <c r="I2806">
        <f>IFERROR(IF($B$1=0,"",IF(ISNUMBER(INDEX(貼り付け!$A$1:$BZ$3001,2805,$B$1)),"",SUBSTITUTE(SUBSTITUTE(SUBSTITUTE(SUBSTITUTE(TRIM(LEFT(INDEX(貼り付け!$A$1:$BZ$3001,2805,$B$1)&amp;"",FIND(" ",TRIM(INDEX(貼り付け!$A$1:$BZ$3001,2805,$B$1)&amp;"")&amp;" ")-1)),"/","-"),"年","-"),"月","-"),"日",""))),"")</f>
        <v/>
      </c>
      <c r="J2806">
        <f>IFERROR(MID(I2806,FIND("-",I2806)+1,99),"")</f>
        <v/>
      </c>
    </row>
    <row r="2807">
      <c r="B2807">
        <f>IFERROR(IF($B$1=0,"",IF(INDEX(貼り付け!$A$1:$BZ$3001,2806,$B$1)="","",IF(ISNUMBER(INDEX(貼り付け!$A$1:$BZ$3001,2806,$B$1)),INT(INDEX(貼り付け!$A$1:$BZ$3001,2806,$B$1)),DATE(VALUE(LEFT(I2807,FIND("-",I2807)-1)),VALUE(LEFT(J2807,FIND("-",J2807)-1)),VALUE(MID(J2807,FIND("-",J2807)+1,99)))))),"")</f>
        <v/>
      </c>
      <c r="C2807">
        <f>IF($C$1=0,0,IFERROR(VALUE(SUBSTITUTE(SUBSTITUTE(SUBSTITUTE(INDEX(貼り付け!$A$1:$BZ$3001,2806,$C$1)&amp;"",",",""),"¥",""),"￥","")),0))</f>
        <v/>
      </c>
      <c r="D2807">
        <f>IF($D$1=0,0,IFERROR(VALUE(SUBSTITUTE(SUBSTITUTE(SUBSTITUTE(INDEX(貼り付け!$A$1:$BZ$3001,2806,$D$1)&amp;"",",",""),"¥",""),"￥","")),0))</f>
        <v/>
      </c>
      <c r="E2807">
        <f>IF($E$1=0,0,IFERROR(VALUE(SUBSTITUTE(SUBSTITUTE(SUBSTITUTE(INDEX(貼り付け!$A$1:$BZ$3001,2806,$E$1)&amp;"",",",""),"¥",""),"￥","")),0))</f>
        <v/>
      </c>
      <c r="F2807">
        <f>IF($F$1=0,0,IFERROR(VALUE(SUBSTITUTE(SUBSTITUTE(SUBSTITUTE(INDEX(貼り付け!$A$1:$BZ$3001,2806,$F$1)&amp;"",",",""),"¥",""),"￥","")),0))</f>
        <v/>
      </c>
      <c r="G2807">
        <f>IF(ISNUMBER(B2807),YEAR(B2807),"")</f>
        <v/>
      </c>
      <c r="H2807">
        <f>IF(ISNUMBER(B2807),MONTH(B2807),"")</f>
        <v/>
      </c>
      <c r="I2807">
        <f>IFERROR(IF($B$1=0,"",IF(ISNUMBER(INDEX(貼り付け!$A$1:$BZ$3001,2806,$B$1)),"",SUBSTITUTE(SUBSTITUTE(SUBSTITUTE(SUBSTITUTE(TRIM(LEFT(INDEX(貼り付け!$A$1:$BZ$3001,2806,$B$1)&amp;"",FIND(" ",TRIM(INDEX(貼り付け!$A$1:$BZ$3001,2806,$B$1)&amp;"")&amp;" ")-1)),"/","-"),"年","-"),"月","-"),"日",""))),"")</f>
        <v/>
      </c>
      <c r="J2807">
        <f>IFERROR(MID(I2807,FIND("-",I2807)+1,99),"")</f>
        <v/>
      </c>
    </row>
    <row r="2808">
      <c r="B2808">
        <f>IFERROR(IF($B$1=0,"",IF(INDEX(貼り付け!$A$1:$BZ$3001,2807,$B$1)="","",IF(ISNUMBER(INDEX(貼り付け!$A$1:$BZ$3001,2807,$B$1)),INT(INDEX(貼り付け!$A$1:$BZ$3001,2807,$B$1)),DATE(VALUE(LEFT(I2808,FIND("-",I2808)-1)),VALUE(LEFT(J2808,FIND("-",J2808)-1)),VALUE(MID(J2808,FIND("-",J2808)+1,99)))))),"")</f>
        <v/>
      </c>
      <c r="C2808">
        <f>IF($C$1=0,0,IFERROR(VALUE(SUBSTITUTE(SUBSTITUTE(SUBSTITUTE(INDEX(貼り付け!$A$1:$BZ$3001,2807,$C$1)&amp;"",",",""),"¥",""),"￥","")),0))</f>
        <v/>
      </c>
      <c r="D2808">
        <f>IF($D$1=0,0,IFERROR(VALUE(SUBSTITUTE(SUBSTITUTE(SUBSTITUTE(INDEX(貼り付け!$A$1:$BZ$3001,2807,$D$1)&amp;"",",",""),"¥",""),"￥","")),0))</f>
        <v/>
      </c>
      <c r="E2808">
        <f>IF($E$1=0,0,IFERROR(VALUE(SUBSTITUTE(SUBSTITUTE(SUBSTITUTE(INDEX(貼り付け!$A$1:$BZ$3001,2807,$E$1)&amp;"",",",""),"¥",""),"￥","")),0))</f>
        <v/>
      </c>
      <c r="F2808">
        <f>IF($F$1=0,0,IFERROR(VALUE(SUBSTITUTE(SUBSTITUTE(SUBSTITUTE(INDEX(貼り付け!$A$1:$BZ$3001,2807,$F$1)&amp;"",",",""),"¥",""),"￥","")),0))</f>
        <v/>
      </c>
      <c r="G2808">
        <f>IF(ISNUMBER(B2808),YEAR(B2808),"")</f>
        <v/>
      </c>
      <c r="H2808">
        <f>IF(ISNUMBER(B2808),MONTH(B2808),"")</f>
        <v/>
      </c>
      <c r="I2808">
        <f>IFERROR(IF($B$1=0,"",IF(ISNUMBER(INDEX(貼り付け!$A$1:$BZ$3001,2807,$B$1)),"",SUBSTITUTE(SUBSTITUTE(SUBSTITUTE(SUBSTITUTE(TRIM(LEFT(INDEX(貼り付け!$A$1:$BZ$3001,2807,$B$1)&amp;"",FIND(" ",TRIM(INDEX(貼り付け!$A$1:$BZ$3001,2807,$B$1)&amp;"")&amp;" ")-1)),"/","-"),"年","-"),"月","-"),"日",""))),"")</f>
        <v/>
      </c>
      <c r="J2808">
        <f>IFERROR(MID(I2808,FIND("-",I2808)+1,99),"")</f>
        <v/>
      </c>
    </row>
    <row r="2809">
      <c r="B2809">
        <f>IFERROR(IF($B$1=0,"",IF(INDEX(貼り付け!$A$1:$BZ$3001,2808,$B$1)="","",IF(ISNUMBER(INDEX(貼り付け!$A$1:$BZ$3001,2808,$B$1)),INT(INDEX(貼り付け!$A$1:$BZ$3001,2808,$B$1)),DATE(VALUE(LEFT(I2809,FIND("-",I2809)-1)),VALUE(LEFT(J2809,FIND("-",J2809)-1)),VALUE(MID(J2809,FIND("-",J2809)+1,99)))))),"")</f>
        <v/>
      </c>
      <c r="C2809">
        <f>IF($C$1=0,0,IFERROR(VALUE(SUBSTITUTE(SUBSTITUTE(SUBSTITUTE(INDEX(貼り付け!$A$1:$BZ$3001,2808,$C$1)&amp;"",",",""),"¥",""),"￥","")),0))</f>
        <v/>
      </c>
      <c r="D2809">
        <f>IF($D$1=0,0,IFERROR(VALUE(SUBSTITUTE(SUBSTITUTE(SUBSTITUTE(INDEX(貼り付け!$A$1:$BZ$3001,2808,$D$1)&amp;"",",",""),"¥",""),"￥","")),0))</f>
        <v/>
      </c>
      <c r="E2809">
        <f>IF($E$1=0,0,IFERROR(VALUE(SUBSTITUTE(SUBSTITUTE(SUBSTITUTE(INDEX(貼り付け!$A$1:$BZ$3001,2808,$E$1)&amp;"",",",""),"¥",""),"￥","")),0))</f>
        <v/>
      </c>
      <c r="F2809">
        <f>IF($F$1=0,0,IFERROR(VALUE(SUBSTITUTE(SUBSTITUTE(SUBSTITUTE(INDEX(貼り付け!$A$1:$BZ$3001,2808,$F$1)&amp;"",",",""),"¥",""),"￥","")),0))</f>
        <v/>
      </c>
      <c r="G2809">
        <f>IF(ISNUMBER(B2809),YEAR(B2809),"")</f>
        <v/>
      </c>
      <c r="H2809">
        <f>IF(ISNUMBER(B2809),MONTH(B2809),"")</f>
        <v/>
      </c>
      <c r="I2809">
        <f>IFERROR(IF($B$1=0,"",IF(ISNUMBER(INDEX(貼り付け!$A$1:$BZ$3001,2808,$B$1)),"",SUBSTITUTE(SUBSTITUTE(SUBSTITUTE(SUBSTITUTE(TRIM(LEFT(INDEX(貼り付け!$A$1:$BZ$3001,2808,$B$1)&amp;"",FIND(" ",TRIM(INDEX(貼り付け!$A$1:$BZ$3001,2808,$B$1)&amp;"")&amp;" ")-1)),"/","-"),"年","-"),"月","-"),"日",""))),"")</f>
        <v/>
      </c>
      <c r="J2809">
        <f>IFERROR(MID(I2809,FIND("-",I2809)+1,99),"")</f>
        <v/>
      </c>
    </row>
    <row r="2810">
      <c r="B2810">
        <f>IFERROR(IF($B$1=0,"",IF(INDEX(貼り付け!$A$1:$BZ$3001,2809,$B$1)="","",IF(ISNUMBER(INDEX(貼り付け!$A$1:$BZ$3001,2809,$B$1)),INT(INDEX(貼り付け!$A$1:$BZ$3001,2809,$B$1)),DATE(VALUE(LEFT(I2810,FIND("-",I2810)-1)),VALUE(LEFT(J2810,FIND("-",J2810)-1)),VALUE(MID(J2810,FIND("-",J2810)+1,99)))))),"")</f>
        <v/>
      </c>
      <c r="C2810">
        <f>IF($C$1=0,0,IFERROR(VALUE(SUBSTITUTE(SUBSTITUTE(SUBSTITUTE(INDEX(貼り付け!$A$1:$BZ$3001,2809,$C$1)&amp;"",",",""),"¥",""),"￥","")),0))</f>
        <v/>
      </c>
      <c r="D2810">
        <f>IF($D$1=0,0,IFERROR(VALUE(SUBSTITUTE(SUBSTITUTE(SUBSTITUTE(INDEX(貼り付け!$A$1:$BZ$3001,2809,$D$1)&amp;"",",",""),"¥",""),"￥","")),0))</f>
        <v/>
      </c>
      <c r="E2810">
        <f>IF($E$1=0,0,IFERROR(VALUE(SUBSTITUTE(SUBSTITUTE(SUBSTITUTE(INDEX(貼り付け!$A$1:$BZ$3001,2809,$E$1)&amp;"",",",""),"¥",""),"￥","")),0))</f>
        <v/>
      </c>
      <c r="F2810">
        <f>IF($F$1=0,0,IFERROR(VALUE(SUBSTITUTE(SUBSTITUTE(SUBSTITUTE(INDEX(貼り付け!$A$1:$BZ$3001,2809,$F$1)&amp;"",",",""),"¥",""),"￥","")),0))</f>
        <v/>
      </c>
      <c r="G2810">
        <f>IF(ISNUMBER(B2810),YEAR(B2810),"")</f>
        <v/>
      </c>
      <c r="H2810">
        <f>IF(ISNUMBER(B2810),MONTH(B2810),"")</f>
        <v/>
      </c>
      <c r="I2810">
        <f>IFERROR(IF($B$1=0,"",IF(ISNUMBER(INDEX(貼り付け!$A$1:$BZ$3001,2809,$B$1)),"",SUBSTITUTE(SUBSTITUTE(SUBSTITUTE(SUBSTITUTE(TRIM(LEFT(INDEX(貼り付け!$A$1:$BZ$3001,2809,$B$1)&amp;"",FIND(" ",TRIM(INDEX(貼り付け!$A$1:$BZ$3001,2809,$B$1)&amp;"")&amp;" ")-1)),"/","-"),"年","-"),"月","-"),"日",""))),"")</f>
        <v/>
      </c>
      <c r="J2810">
        <f>IFERROR(MID(I2810,FIND("-",I2810)+1,99),"")</f>
        <v/>
      </c>
    </row>
    <row r="2811">
      <c r="B2811">
        <f>IFERROR(IF($B$1=0,"",IF(INDEX(貼り付け!$A$1:$BZ$3001,2810,$B$1)="","",IF(ISNUMBER(INDEX(貼り付け!$A$1:$BZ$3001,2810,$B$1)),INT(INDEX(貼り付け!$A$1:$BZ$3001,2810,$B$1)),DATE(VALUE(LEFT(I2811,FIND("-",I2811)-1)),VALUE(LEFT(J2811,FIND("-",J2811)-1)),VALUE(MID(J2811,FIND("-",J2811)+1,99)))))),"")</f>
        <v/>
      </c>
      <c r="C2811">
        <f>IF($C$1=0,0,IFERROR(VALUE(SUBSTITUTE(SUBSTITUTE(SUBSTITUTE(INDEX(貼り付け!$A$1:$BZ$3001,2810,$C$1)&amp;"",",",""),"¥",""),"￥","")),0))</f>
        <v/>
      </c>
      <c r="D2811">
        <f>IF($D$1=0,0,IFERROR(VALUE(SUBSTITUTE(SUBSTITUTE(SUBSTITUTE(INDEX(貼り付け!$A$1:$BZ$3001,2810,$D$1)&amp;"",",",""),"¥",""),"￥","")),0))</f>
        <v/>
      </c>
      <c r="E2811">
        <f>IF($E$1=0,0,IFERROR(VALUE(SUBSTITUTE(SUBSTITUTE(SUBSTITUTE(INDEX(貼り付け!$A$1:$BZ$3001,2810,$E$1)&amp;"",",",""),"¥",""),"￥","")),0))</f>
        <v/>
      </c>
      <c r="F2811">
        <f>IF($F$1=0,0,IFERROR(VALUE(SUBSTITUTE(SUBSTITUTE(SUBSTITUTE(INDEX(貼り付け!$A$1:$BZ$3001,2810,$F$1)&amp;"",",",""),"¥",""),"￥","")),0))</f>
        <v/>
      </c>
      <c r="G2811">
        <f>IF(ISNUMBER(B2811),YEAR(B2811),"")</f>
        <v/>
      </c>
      <c r="H2811">
        <f>IF(ISNUMBER(B2811),MONTH(B2811),"")</f>
        <v/>
      </c>
      <c r="I2811">
        <f>IFERROR(IF($B$1=0,"",IF(ISNUMBER(INDEX(貼り付け!$A$1:$BZ$3001,2810,$B$1)),"",SUBSTITUTE(SUBSTITUTE(SUBSTITUTE(SUBSTITUTE(TRIM(LEFT(INDEX(貼り付け!$A$1:$BZ$3001,2810,$B$1)&amp;"",FIND(" ",TRIM(INDEX(貼り付け!$A$1:$BZ$3001,2810,$B$1)&amp;"")&amp;" ")-1)),"/","-"),"年","-"),"月","-"),"日",""))),"")</f>
        <v/>
      </c>
      <c r="J2811">
        <f>IFERROR(MID(I2811,FIND("-",I2811)+1,99),"")</f>
        <v/>
      </c>
    </row>
    <row r="2812">
      <c r="B2812">
        <f>IFERROR(IF($B$1=0,"",IF(INDEX(貼り付け!$A$1:$BZ$3001,2811,$B$1)="","",IF(ISNUMBER(INDEX(貼り付け!$A$1:$BZ$3001,2811,$B$1)),INT(INDEX(貼り付け!$A$1:$BZ$3001,2811,$B$1)),DATE(VALUE(LEFT(I2812,FIND("-",I2812)-1)),VALUE(LEFT(J2812,FIND("-",J2812)-1)),VALUE(MID(J2812,FIND("-",J2812)+1,99)))))),"")</f>
        <v/>
      </c>
      <c r="C2812">
        <f>IF($C$1=0,0,IFERROR(VALUE(SUBSTITUTE(SUBSTITUTE(SUBSTITUTE(INDEX(貼り付け!$A$1:$BZ$3001,2811,$C$1)&amp;"",",",""),"¥",""),"￥","")),0))</f>
        <v/>
      </c>
      <c r="D2812">
        <f>IF($D$1=0,0,IFERROR(VALUE(SUBSTITUTE(SUBSTITUTE(SUBSTITUTE(INDEX(貼り付け!$A$1:$BZ$3001,2811,$D$1)&amp;"",",",""),"¥",""),"￥","")),0))</f>
        <v/>
      </c>
      <c r="E2812">
        <f>IF($E$1=0,0,IFERROR(VALUE(SUBSTITUTE(SUBSTITUTE(SUBSTITUTE(INDEX(貼り付け!$A$1:$BZ$3001,2811,$E$1)&amp;"",",",""),"¥",""),"￥","")),0))</f>
        <v/>
      </c>
      <c r="F2812">
        <f>IF($F$1=0,0,IFERROR(VALUE(SUBSTITUTE(SUBSTITUTE(SUBSTITUTE(INDEX(貼り付け!$A$1:$BZ$3001,2811,$F$1)&amp;"",",",""),"¥",""),"￥","")),0))</f>
        <v/>
      </c>
      <c r="G2812">
        <f>IF(ISNUMBER(B2812),YEAR(B2812),"")</f>
        <v/>
      </c>
      <c r="H2812">
        <f>IF(ISNUMBER(B2812),MONTH(B2812),"")</f>
        <v/>
      </c>
      <c r="I2812">
        <f>IFERROR(IF($B$1=0,"",IF(ISNUMBER(INDEX(貼り付け!$A$1:$BZ$3001,2811,$B$1)),"",SUBSTITUTE(SUBSTITUTE(SUBSTITUTE(SUBSTITUTE(TRIM(LEFT(INDEX(貼り付け!$A$1:$BZ$3001,2811,$B$1)&amp;"",FIND(" ",TRIM(INDEX(貼り付け!$A$1:$BZ$3001,2811,$B$1)&amp;"")&amp;" ")-1)),"/","-"),"年","-"),"月","-"),"日",""))),"")</f>
        <v/>
      </c>
      <c r="J2812">
        <f>IFERROR(MID(I2812,FIND("-",I2812)+1,99),"")</f>
        <v/>
      </c>
    </row>
    <row r="2813">
      <c r="B2813">
        <f>IFERROR(IF($B$1=0,"",IF(INDEX(貼り付け!$A$1:$BZ$3001,2812,$B$1)="","",IF(ISNUMBER(INDEX(貼り付け!$A$1:$BZ$3001,2812,$B$1)),INT(INDEX(貼り付け!$A$1:$BZ$3001,2812,$B$1)),DATE(VALUE(LEFT(I2813,FIND("-",I2813)-1)),VALUE(LEFT(J2813,FIND("-",J2813)-1)),VALUE(MID(J2813,FIND("-",J2813)+1,99)))))),"")</f>
        <v/>
      </c>
      <c r="C2813">
        <f>IF($C$1=0,0,IFERROR(VALUE(SUBSTITUTE(SUBSTITUTE(SUBSTITUTE(INDEX(貼り付け!$A$1:$BZ$3001,2812,$C$1)&amp;"",",",""),"¥",""),"￥","")),0))</f>
        <v/>
      </c>
      <c r="D2813">
        <f>IF($D$1=0,0,IFERROR(VALUE(SUBSTITUTE(SUBSTITUTE(SUBSTITUTE(INDEX(貼り付け!$A$1:$BZ$3001,2812,$D$1)&amp;"",",",""),"¥",""),"￥","")),0))</f>
        <v/>
      </c>
      <c r="E2813">
        <f>IF($E$1=0,0,IFERROR(VALUE(SUBSTITUTE(SUBSTITUTE(SUBSTITUTE(INDEX(貼り付け!$A$1:$BZ$3001,2812,$E$1)&amp;"",",",""),"¥",""),"￥","")),0))</f>
        <v/>
      </c>
      <c r="F2813">
        <f>IF($F$1=0,0,IFERROR(VALUE(SUBSTITUTE(SUBSTITUTE(SUBSTITUTE(INDEX(貼り付け!$A$1:$BZ$3001,2812,$F$1)&amp;"",",",""),"¥",""),"￥","")),0))</f>
        <v/>
      </c>
      <c r="G2813">
        <f>IF(ISNUMBER(B2813),YEAR(B2813),"")</f>
        <v/>
      </c>
      <c r="H2813">
        <f>IF(ISNUMBER(B2813),MONTH(B2813),"")</f>
        <v/>
      </c>
      <c r="I2813">
        <f>IFERROR(IF($B$1=0,"",IF(ISNUMBER(INDEX(貼り付け!$A$1:$BZ$3001,2812,$B$1)),"",SUBSTITUTE(SUBSTITUTE(SUBSTITUTE(SUBSTITUTE(TRIM(LEFT(INDEX(貼り付け!$A$1:$BZ$3001,2812,$B$1)&amp;"",FIND(" ",TRIM(INDEX(貼り付け!$A$1:$BZ$3001,2812,$B$1)&amp;"")&amp;" ")-1)),"/","-"),"年","-"),"月","-"),"日",""))),"")</f>
        <v/>
      </c>
      <c r="J2813">
        <f>IFERROR(MID(I2813,FIND("-",I2813)+1,99),"")</f>
        <v/>
      </c>
    </row>
    <row r="2814">
      <c r="B2814">
        <f>IFERROR(IF($B$1=0,"",IF(INDEX(貼り付け!$A$1:$BZ$3001,2813,$B$1)="","",IF(ISNUMBER(INDEX(貼り付け!$A$1:$BZ$3001,2813,$B$1)),INT(INDEX(貼り付け!$A$1:$BZ$3001,2813,$B$1)),DATE(VALUE(LEFT(I2814,FIND("-",I2814)-1)),VALUE(LEFT(J2814,FIND("-",J2814)-1)),VALUE(MID(J2814,FIND("-",J2814)+1,99)))))),"")</f>
        <v/>
      </c>
      <c r="C2814">
        <f>IF($C$1=0,0,IFERROR(VALUE(SUBSTITUTE(SUBSTITUTE(SUBSTITUTE(INDEX(貼り付け!$A$1:$BZ$3001,2813,$C$1)&amp;"",",",""),"¥",""),"￥","")),0))</f>
        <v/>
      </c>
      <c r="D2814">
        <f>IF($D$1=0,0,IFERROR(VALUE(SUBSTITUTE(SUBSTITUTE(SUBSTITUTE(INDEX(貼り付け!$A$1:$BZ$3001,2813,$D$1)&amp;"",",",""),"¥",""),"￥","")),0))</f>
        <v/>
      </c>
      <c r="E2814">
        <f>IF($E$1=0,0,IFERROR(VALUE(SUBSTITUTE(SUBSTITUTE(SUBSTITUTE(INDEX(貼り付け!$A$1:$BZ$3001,2813,$E$1)&amp;"",",",""),"¥",""),"￥","")),0))</f>
        <v/>
      </c>
      <c r="F2814">
        <f>IF($F$1=0,0,IFERROR(VALUE(SUBSTITUTE(SUBSTITUTE(SUBSTITUTE(INDEX(貼り付け!$A$1:$BZ$3001,2813,$F$1)&amp;"",",",""),"¥",""),"￥","")),0))</f>
        <v/>
      </c>
      <c r="G2814">
        <f>IF(ISNUMBER(B2814),YEAR(B2814),"")</f>
        <v/>
      </c>
      <c r="H2814">
        <f>IF(ISNUMBER(B2814),MONTH(B2814),"")</f>
        <v/>
      </c>
      <c r="I2814">
        <f>IFERROR(IF($B$1=0,"",IF(ISNUMBER(INDEX(貼り付け!$A$1:$BZ$3001,2813,$B$1)),"",SUBSTITUTE(SUBSTITUTE(SUBSTITUTE(SUBSTITUTE(TRIM(LEFT(INDEX(貼り付け!$A$1:$BZ$3001,2813,$B$1)&amp;"",FIND(" ",TRIM(INDEX(貼り付け!$A$1:$BZ$3001,2813,$B$1)&amp;"")&amp;" ")-1)),"/","-"),"年","-"),"月","-"),"日",""))),"")</f>
        <v/>
      </c>
      <c r="J2814">
        <f>IFERROR(MID(I2814,FIND("-",I2814)+1,99),"")</f>
        <v/>
      </c>
    </row>
    <row r="2815">
      <c r="B2815">
        <f>IFERROR(IF($B$1=0,"",IF(INDEX(貼り付け!$A$1:$BZ$3001,2814,$B$1)="","",IF(ISNUMBER(INDEX(貼り付け!$A$1:$BZ$3001,2814,$B$1)),INT(INDEX(貼り付け!$A$1:$BZ$3001,2814,$B$1)),DATE(VALUE(LEFT(I2815,FIND("-",I2815)-1)),VALUE(LEFT(J2815,FIND("-",J2815)-1)),VALUE(MID(J2815,FIND("-",J2815)+1,99)))))),"")</f>
        <v/>
      </c>
      <c r="C2815">
        <f>IF($C$1=0,0,IFERROR(VALUE(SUBSTITUTE(SUBSTITUTE(SUBSTITUTE(INDEX(貼り付け!$A$1:$BZ$3001,2814,$C$1)&amp;"",",",""),"¥",""),"￥","")),0))</f>
        <v/>
      </c>
      <c r="D2815">
        <f>IF($D$1=0,0,IFERROR(VALUE(SUBSTITUTE(SUBSTITUTE(SUBSTITUTE(INDEX(貼り付け!$A$1:$BZ$3001,2814,$D$1)&amp;"",",",""),"¥",""),"￥","")),0))</f>
        <v/>
      </c>
      <c r="E2815">
        <f>IF($E$1=0,0,IFERROR(VALUE(SUBSTITUTE(SUBSTITUTE(SUBSTITUTE(INDEX(貼り付け!$A$1:$BZ$3001,2814,$E$1)&amp;"",",",""),"¥",""),"￥","")),0))</f>
        <v/>
      </c>
      <c r="F2815">
        <f>IF($F$1=0,0,IFERROR(VALUE(SUBSTITUTE(SUBSTITUTE(SUBSTITUTE(INDEX(貼り付け!$A$1:$BZ$3001,2814,$F$1)&amp;"",",",""),"¥",""),"￥","")),0))</f>
        <v/>
      </c>
      <c r="G2815">
        <f>IF(ISNUMBER(B2815),YEAR(B2815),"")</f>
        <v/>
      </c>
      <c r="H2815">
        <f>IF(ISNUMBER(B2815),MONTH(B2815),"")</f>
        <v/>
      </c>
      <c r="I2815">
        <f>IFERROR(IF($B$1=0,"",IF(ISNUMBER(INDEX(貼り付け!$A$1:$BZ$3001,2814,$B$1)),"",SUBSTITUTE(SUBSTITUTE(SUBSTITUTE(SUBSTITUTE(TRIM(LEFT(INDEX(貼り付け!$A$1:$BZ$3001,2814,$B$1)&amp;"",FIND(" ",TRIM(INDEX(貼り付け!$A$1:$BZ$3001,2814,$B$1)&amp;"")&amp;" ")-1)),"/","-"),"年","-"),"月","-"),"日",""))),"")</f>
        <v/>
      </c>
      <c r="J2815">
        <f>IFERROR(MID(I2815,FIND("-",I2815)+1,99),"")</f>
        <v/>
      </c>
    </row>
    <row r="2816">
      <c r="B2816">
        <f>IFERROR(IF($B$1=0,"",IF(INDEX(貼り付け!$A$1:$BZ$3001,2815,$B$1)="","",IF(ISNUMBER(INDEX(貼り付け!$A$1:$BZ$3001,2815,$B$1)),INT(INDEX(貼り付け!$A$1:$BZ$3001,2815,$B$1)),DATE(VALUE(LEFT(I2816,FIND("-",I2816)-1)),VALUE(LEFT(J2816,FIND("-",J2816)-1)),VALUE(MID(J2816,FIND("-",J2816)+1,99)))))),"")</f>
        <v/>
      </c>
      <c r="C2816">
        <f>IF($C$1=0,0,IFERROR(VALUE(SUBSTITUTE(SUBSTITUTE(SUBSTITUTE(INDEX(貼り付け!$A$1:$BZ$3001,2815,$C$1)&amp;"",",",""),"¥",""),"￥","")),0))</f>
        <v/>
      </c>
      <c r="D2816">
        <f>IF($D$1=0,0,IFERROR(VALUE(SUBSTITUTE(SUBSTITUTE(SUBSTITUTE(INDEX(貼り付け!$A$1:$BZ$3001,2815,$D$1)&amp;"",",",""),"¥",""),"￥","")),0))</f>
        <v/>
      </c>
      <c r="E2816">
        <f>IF($E$1=0,0,IFERROR(VALUE(SUBSTITUTE(SUBSTITUTE(SUBSTITUTE(INDEX(貼り付け!$A$1:$BZ$3001,2815,$E$1)&amp;"",",",""),"¥",""),"￥","")),0))</f>
        <v/>
      </c>
      <c r="F2816">
        <f>IF($F$1=0,0,IFERROR(VALUE(SUBSTITUTE(SUBSTITUTE(SUBSTITUTE(INDEX(貼り付け!$A$1:$BZ$3001,2815,$F$1)&amp;"",",",""),"¥",""),"￥","")),0))</f>
        <v/>
      </c>
      <c r="G2816">
        <f>IF(ISNUMBER(B2816),YEAR(B2816),"")</f>
        <v/>
      </c>
      <c r="H2816">
        <f>IF(ISNUMBER(B2816),MONTH(B2816),"")</f>
        <v/>
      </c>
      <c r="I2816">
        <f>IFERROR(IF($B$1=0,"",IF(ISNUMBER(INDEX(貼り付け!$A$1:$BZ$3001,2815,$B$1)),"",SUBSTITUTE(SUBSTITUTE(SUBSTITUTE(SUBSTITUTE(TRIM(LEFT(INDEX(貼り付け!$A$1:$BZ$3001,2815,$B$1)&amp;"",FIND(" ",TRIM(INDEX(貼り付け!$A$1:$BZ$3001,2815,$B$1)&amp;"")&amp;" ")-1)),"/","-"),"年","-"),"月","-"),"日",""))),"")</f>
        <v/>
      </c>
      <c r="J2816">
        <f>IFERROR(MID(I2816,FIND("-",I2816)+1,99),"")</f>
        <v/>
      </c>
    </row>
    <row r="2817">
      <c r="B2817">
        <f>IFERROR(IF($B$1=0,"",IF(INDEX(貼り付け!$A$1:$BZ$3001,2816,$B$1)="","",IF(ISNUMBER(INDEX(貼り付け!$A$1:$BZ$3001,2816,$B$1)),INT(INDEX(貼り付け!$A$1:$BZ$3001,2816,$B$1)),DATE(VALUE(LEFT(I2817,FIND("-",I2817)-1)),VALUE(LEFT(J2817,FIND("-",J2817)-1)),VALUE(MID(J2817,FIND("-",J2817)+1,99)))))),"")</f>
        <v/>
      </c>
      <c r="C2817">
        <f>IF($C$1=0,0,IFERROR(VALUE(SUBSTITUTE(SUBSTITUTE(SUBSTITUTE(INDEX(貼り付け!$A$1:$BZ$3001,2816,$C$1)&amp;"",",",""),"¥",""),"￥","")),0))</f>
        <v/>
      </c>
      <c r="D2817">
        <f>IF($D$1=0,0,IFERROR(VALUE(SUBSTITUTE(SUBSTITUTE(SUBSTITUTE(INDEX(貼り付け!$A$1:$BZ$3001,2816,$D$1)&amp;"",",",""),"¥",""),"￥","")),0))</f>
        <v/>
      </c>
      <c r="E2817">
        <f>IF($E$1=0,0,IFERROR(VALUE(SUBSTITUTE(SUBSTITUTE(SUBSTITUTE(INDEX(貼り付け!$A$1:$BZ$3001,2816,$E$1)&amp;"",",",""),"¥",""),"￥","")),0))</f>
        <v/>
      </c>
      <c r="F2817">
        <f>IF($F$1=0,0,IFERROR(VALUE(SUBSTITUTE(SUBSTITUTE(SUBSTITUTE(INDEX(貼り付け!$A$1:$BZ$3001,2816,$F$1)&amp;"",",",""),"¥",""),"￥","")),0))</f>
        <v/>
      </c>
      <c r="G2817">
        <f>IF(ISNUMBER(B2817),YEAR(B2817),"")</f>
        <v/>
      </c>
      <c r="H2817">
        <f>IF(ISNUMBER(B2817),MONTH(B2817),"")</f>
        <v/>
      </c>
      <c r="I2817">
        <f>IFERROR(IF($B$1=0,"",IF(ISNUMBER(INDEX(貼り付け!$A$1:$BZ$3001,2816,$B$1)),"",SUBSTITUTE(SUBSTITUTE(SUBSTITUTE(SUBSTITUTE(TRIM(LEFT(INDEX(貼り付け!$A$1:$BZ$3001,2816,$B$1)&amp;"",FIND(" ",TRIM(INDEX(貼り付け!$A$1:$BZ$3001,2816,$B$1)&amp;"")&amp;" ")-1)),"/","-"),"年","-"),"月","-"),"日",""))),"")</f>
        <v/>
      </c>
      <c r="J2817">
        <f>IFERROR(MID(I2817,FIND("-",I2817)+1,99),"")</f>
        <v/>
      </c>
    </row>
    <row r="2818">
      <c r="B2818">
        <f>IFERROR(IF($B$1=0,"",IF(INDEX(貼り付け!$A$1:$BZ$3001,2817,$B$1)="","",IF(ISNUMBER(INDEX(貼り付け!$A$1:$BZ$3001,2817,$B$1)),INT(INDEX(貼り付け!$A$1:$BZ$3001,2817,$B$1)),DATE(VALUE(LEFT(I2818,FIND("-",I2818)-1)),VALUE(LEFT(J2818,FIND("-",J2818)-1)),VALUE(MID(J2818,FIND("-",J2818)+1,99)))))),"")</f>
        <v/>
      </c>
      <c r="C2818">
        <f>IF($C$1=0,0,IFERROR(VALUE(SUBSTITUTE(SUBSTITUTE(SUBSTITUTE(INDEX(貼り付け!$A$1:$BZ$3001,2817,$C$1)&amp;"",",",""),"¥",""),"￥","")),0))</f>
        <v/>
      </c>
      <c r="D2818">
        <f>IF($D$1=0,0,IFERROR(VALUE(SUBSTITUTE(SUBSTITUTE(SUBSTITUTE(INDEX(貼り付け!$A$1:$BZ$3001,2817,$D$1)&amp;"",",",""),"¥",""),"￥","")),0))</f>
        <v/>
      </c>
      <c r="E2818">
        <f>IF($E$1=0,0,IFERROR(VALUE(SUBSTITUTE(SUBSTITUTE(SUBSTITUTE(INDEX(貼り付け!$A$1:$BZ$3001,2817,$E$1)&amp;"",",",""),"¥",""),"￥","")),0))</f>
        <v/>
      </c>
      <c r="F2818">
        <f>IF($F$1=0,0,IFERROR(VALUE(SUBSTITUTE(SUBSTITUTE(SUBSTITUTE(INDEX(貼り付け!$A$1:$BZ$3001,2817,$F$1)&amp;"",",",""),"¥",""),"￥","")),0))</f>
        <v/>
      </c>
      <c r="G2818">
        <f>IF(ISNUMBER(B2818),YEAR(B2818),"")</f>
        <v/>
      </c>
      <c r="H2818">
        <f>IF(ISNUMBER(B2818),MONTH(B2818),"")</f>
        <v/>
      </c>
      <c r="I2818">
        <f>IFERROR(IF($B$1=0,"",IF(ISNUMBER(INDEX(貼り付け!$A$1:$BZ$3001,2817,$B$1)),"",SUBSTITUTE(SUBSTITUTE(SUBSTITUTE(SUBSTITUTE(TRIM(LEFT(INDEX(貼り付け!$A$1:$BZ$3001,2817,$B$1)&amp;"",FIND(" ",TRIM(INDEX(貼り付け!$A$1:$BZ$3001,2817,$B$1)&amp;"")&amp;" ")-1)),"/","-"),"年","-"),"月","-"),"日",""))),"")</f>
        <v/>
      </c>
      <c r="J2818">
        <f>IFERROR(MID(I2818,FIND("-",I2818)+1,99),"")</f>
        <v/>
      </c>
    </row>
    <row r="2819">
      <c r="B2819">
        <f>IFERROR(IF($B$1=0,"",IF(INDEX(貼り付け!$A$1:$BZ$3001,2818,$B$1)="","",IF(ISNUMBER(INDEX(貼り付け!$A$1:$BZ$3001,2818,$B$1)),INT(INDEX(貼り付け!$A$1:$BZ$3001,2818,$B$1)),DATE(VALUE(LEFT(I2819,FIND("-",I2819)-1)),VALUE(LEFT(J2819,FIND("-",J2819)-1)),VALUE(MID(J2819,FIND("-",J2819)+1,99)))))),"")</f>
        <v/>
      </c>
      <c r="C2819">
        <f>IF($C$1=0,0,IFERROR(VALUE(SUBSTITUTE(SUBSTITUTE(SUBSTITUTE(INDEX(貼り付け!$A$1:$BZ$3001,2818,$C$1)&amp;"",",",""),"¥",""),"￥","")),0))</f>
        <v/>
      </c>
      <c r="D2819">
        <f>IF($D$1=0,0,IFERROR(VALUE(SUBSTITUTE(SUBSTITUTE(SUBSTITUTE(INDEX(貼り付け!$A$1:$BZ$3001,2818,$D$1)&amp;"",",",""),"¥",""),"￥","")),0))</f>
        <v/>
      </c>
      <c r="E2819">
        <f>IF($E$1=0,0,IFERROR(VALUE(SUBSTITUTE(SUBSTITUTE(SUBSTITUTE(INDEX(貼り付け!$A$1:$BZ$3001,2818,$E$1)&amp;"",",",""),"¥",""),"￥","")),0))</f>
        <v/>
      </c>
      <c r="F2819">
        <f>IF($F$1=0,0,IFERROR(VALUE(SUBSTITUTE(SUBSTITUTE(SUBSTITUTE(INDEX(貼り付け!$A$1:$BZ$3001,2818,$F$1)&amp;"",",",""),"¥",""),"￥","")),0))</f>
        <v/>
      </c>
      <c r="G2819">
        <f>IF(ISNUMBER(B2819),YEAR(B2819),"")</f>
        <v/>
      </c>
      <c r="H2819">
        <f>IF(ISNUMBER(B2819),MONTH(B2819),"")</f>
        <v/>
      </c>
      <c r="I2819">
        <f>IFERROR(IF($B$1=0,"",IF(ISNUMBER(INDEX(貼り付け!$A$1:$BZ$3001,2818,$B$1)),"",SUBSTITUTE(SUBSTITUTE(SUBSTITUTE(SUBSTITUTE(TRIM(LEFT(INDEX(貼り付け!$A$1:$BZ$3001,2818,$B$1)&amp;"",FIND(" ",TRIM(INDEX(貼り付け!$A$1:$BZ$3001,2818,$B$1)&amp;"")&amp;" ")-1)),"/","-"),"年","-"),"月","-"),"日",""))),"")</f>
        <v/>
      </c>
      <c r="J2819">
        <f>IFERROR(MID(I2819,FIND("-",I2819)+1,99),"")</f>
        <v/>
      </c>
    </row>
    <row r="2820">
      <c r="B2820">
        <f>IFERROR(IF($B$1=0,"",IF(INDEX(貼り付け!$A$1:$BZ$3001,2819,$B$1)="","",IF(ISNUMBER(INDEX(貼り付け!$A$1:$BZ$3001,2819,$B$1)),INT(INDEX(貼り付け!$A$1:$BZ$3001,2819,$B$1)),DATE(VALUE(LEFT(I2820,FIND("-",I2820)-1)),VALUE(LEFT(J2820,FIND("-",J2820)-1)),VALUE(MID(J2820,FIND("-",J2820)+1,99)))))),"")</f>
        <v/>
      </c>
      <c r="C2820">
        <f>IF($C$1=0,0,IFERROR(VALUE(SUBSTITUTE(SUBSTITUTE(SUBSTITUTE(INDEX(貼り付け!$A$1:$BZ$3001,2819,$C$1)&amp;"",",",""),"¥",""),"￥","")),0))</f>
        <v/>
      </c>
      <c r="D2820">
        <f>IF($D$1=0,0,IFERROR(VALUE(SUBSTITUTE(SUBSTITUTE(SUBSTITUTE(INDEX(貼り付け!$A$1:$BZ$3001,2819,$D$1)&amp;"",",",""),"¥",""),"￥","")),0))</f>
        <v/>
      </c>
      <c r="E2820">
        <f>IF($E$1=0,0,IFERROR(VALUE(SUBSTITUTE(SUBSTITUTE(SUBSTITUTE(INDEX(貼り付け!$A$1:$BZ$3001,2819,$E$1)&amp;"",",",""),"¥",""),"￥","")),0))</f>
        <v/>
      </c>
      <c r="F2820">
        <f>IF($F$1=0,0,IFERROR(VALUE(SUBSTITUTE(SUBSTITUTE(SUBSTITUTE(INDEX(貼り付け!$A$1:$BZ$3001,2819,$F$1)&amp;"",",",""),"¥",""),"￥","")),0))</f>
        <v/>
      </c>
      <c r="G2820">
        <f>IF(ISNUMBER(B2820),YEAR(B2820),"")</f>
        <v/>
      </c>
      <c r="H2820">
        <f>IF(ISNUMBER(B2820),MONTH(B2820),"")</f>
        <v/>
      </c>
      <c r="I2820">
        <f>IFERROR(IF($B$1=0,"",IF(ISNUMBER(INDEX(貼り付け!$A$1:$BZ$3001,2819,$B$1)),"",SUBSTITUTE(SUBSTITUTE(SUBSTITUTE(SUBSTITUTE(TRIM(LEFT(INDEX(貼り付け!$A$1:$BZ$3001,2819,$B$1)&amp;"",FIND(" ",TRIM(INDEX(貼り付け!$A$1:$BZ$3001,2819,$B$1)&amp;"")&amp;" ")-1)),"/","-"),"年","-"),"月","-"),"日",""))),"")</f>
        <v/>
      </c>
      <c r="J2820">
        <f>IFERROR(MID(I2820,FIND("-",I2820)+1,99),"")</f>
        <v/>
      </c>
    </row>
    <row r="2821">
      <c r="B2821">
        <f>IFERROR(IF($B$1=0,"",IF(INDEX(貼り付け!$A$1:$BZ$3001,2820,$B$1)="","",IF(ISNUMBER(INDEX(貼り付け!$A$1:$BZ$3001,2820,$B$1)),INT(INDEX(貼り付け!$A$1:$BZ$3001,2820,$B$1)),DATE(VALUE(LEFT(I2821,FIND("-",I2821)-1)),VALUE(LEFT(J2821,FIND("-",J2821)-1)),VALUE(MID(J2821,FIND("-",J2821)+1,99)))))),"")</f>
        <v/>
      </c>
      <c r="C2821">
        <f>IF($C$1=0,0,IFERROR(VALUE(SUBSTITUTE(SUBSTITUTE(SUBSTITUTE(INDEX(貼り付け!$A$1:$BZ$3001,2820,$C$1)&amp;"",",",""),"¥",""),"￥","")),0))</f>
        <v/>
      </c>
      <c r="D2821">
        <f>IF($D$1=0,0,IFERROR(VALUE(SUBSTITUTE(SUBSTITUTE(SUBSTITUTE(INDEX(貼り付け!$A$1:$BZ$3001,2820,$D$1)&amp;"",",",""),"¥",""),"￥","")),0))</f>
        <v/>
      </c>
      <c r="E2821">
        <f>IF($E$1=0,0,IFERROR(VALUE(SUBSTITUTE(SUBSTITUTE(SUBSTITUTE(INDEX(貼り付け!$A$1:$BZ$3001,2820,$E$1)&amp;"",",",""),"¥",""),"￥","")),0))</f>
        <v/>
      </c>
      <c r="F2821">
        <f>IF($F$1=0,0,IFERROR(VALUE(SUBSTITUTE(SUBSTITUTE(SUBSTITUTE(INDEX(貼り付け!$A$1:$BZ$3001,2820,$F$1)&amp;"",",",""),"¥",""),"￥","")),0))</f>
        <v/>
      </c>
      <c r="G2821">
        <f>IF(ISNUMBER(B2821),YEAR(B2821),"")</f>
        <v/>
      </c>
      <c r="H2821">
        <f>IF(ISNUMBER(B2821),MONTH(B2821),"")</f>
        <v/>
      </c>
      <c r="I2821">
        <f>IFERROR(IF($B$1=0,"",IF(ISNUMBER(INDEX(貼り付け!$A$1:$BZ$3001,2820,$B$1)),"",SUBSTITUTE(SUBSTITUTE(SUBSTITUTE(SUBSTITUTE(TRIM(LEFT(INDEX(貼り付け!$A$1:$BZ$3001,2820,$B$1)&amp;"",FIND(" ",TRIM(INDEX(貼り付け!$A$1:$BZ$3001,2820,$B$1)&amp;"")&amp;" ")-1)),"/","-"),"年","-"),"月","-"),"日",""))),"")</f>
        <v/>
      </c>
      <c r="J2821">
        <f>IFERROR(MID(I2821,FIND("-",I2821)+1,99),"")</f>
        <v/>
      </c>
    </row>
    <row r="2822">
      <c r="B2822">
        <f>IFERROR(IF($B$1=0,"",IF(INDEX(貼り付け!$A$1:$BZ$3001,2821,$B$1)="","",IF(ISNUMBER(INDEX(貼り付け!$A$1:$BZ$3001,2821,$B$1)),INT(INDEX(貼り付け!$A$1:$BZ$3001,2821,$B$1)),DATE(VALUE(LEFT(I2822,FIND("-",I2822)-1)),VALUE(LEFT(J2822,FIND("-",J2822)-1)),VALUE(MID(J2822,FIND("-",J2822)+1,99)))))),"")</f>
        <v/>
      </c>
      <c r="C2822">
        <f>IF($C$1=0,0,IFERROR(VALUE(SUBSTITUTE(SUBSTITUTE(SUBSTITUTE(INDEX(貼り付け!$A$1:$BZ$3001,2821,$C$1)&amp;"",",",""),"¥",""),"￥","")),0))</f>
        <v/>
      </c>
      <c r="D2822">
        <f>IF($D$1=0,0,IFERROR(VALUE(SUBSTITUTE(SUBSTITUTE(SUBSTITUTE(INDEX(貼り付け!$A$1:$BZ$3001,2821,$D$1)&amp;"",",",""),"¥",""),"￥","")),0))</f>
        <v/>
      </c>
      <c r="E2822">
        <f>IF($E$1=0,0,IFERROR(VALUE(SUBSTITUTE(SUBSTITUTE(SUBSTITUTE(INDEX(貼り付け!$A$1:$BZ$3001,2821,$E$1)&amp;"",",",""),"¥",""),"￥","")),0))</f>
        <v/>
      </c>
      <c r="F2822">
        <f>IF($F$1=0,0,IFERROR(VALUE(SUBSTITUTE(SUBSTITUTE(SUBSTITUTE(INDEX(貼り付け!$A$1:$BZ$3001,2821,$F$1)&amp;"",",",""),"¥",""),"￥","")),0))</f>
        <v/>
      </c>
      <c r="G2822">
        <f>IF(ISNUMBER(B2822),YEAR(B2822),"")</f>
        <v/>
      </c>
      <c r="H2822">
        <f>IF(ISNUMBER(B2822),MONTH(B2822),"")</f>
        <v/>
      </c>
      <c r="I2822">
        <f>IFERROR(IF($B$1=0,"",IF(ISNUMBER(INDEX(貼り付け!$A$1:$BZ$3001,2821,$B$1)),"",SUBSTITUTE(SUBSTITUTE(SUBSTITUTE(SUBSTITUTE(TRIM(LEFT(INDEX(貼り付け!$A$1:$BZ$3001,2821,$B$1)&amp;"",FIND(" ",TRIM(INDEX(貼り付け!$A$1:$BZ$3001,2821,$B$1)&amp;"")&amp;" ")-1)),"/","-"),"年","-"),"月","-"),"日",""))),"")</f>
        <v/>
      </c>
      <c r="J2822">
        <f>IFERROR(MID(I2822,FIND("-",I2822)+1,99),"")</f>
        <v/>
      </c>
    </row>
    <row r="2823">
      <c r="B2823">
        <f>IFERROR(IF($B$1=0,"",IF(INDEX(貼り付け!$A$1:$BZ$3001,2822,$B$1)="","",IF(ISNUMBER(INDEX(貼り付け!$A$1:$BZ$3001,2822,$B$1)),INT(INDEX(貼り付け!$A$1:$BZ$3001,2822,$B$1)),DATE(VALUE(LEFT(I2823,FIND("-",I2823)-1)),VALUE(LEFT(J2823,FIND("-",J2823)-1)),VALUE(MID(J2823,FIND("-",J2823)+1,99)))))),"")</f>
        <v/>
      </c>
      <c r="C2823">
        <f>IF($C$1=0,0,IFERROR(VALUE(SUBSTITUTE(SUBSTITUTE(SUBSTITUTE(INDEX(貼り付け!$A$1:$BZ$3001,2822,$C$1)&amp;"",",",""),"¥",""),"￥","")),0))</f>
        <v/>
      </c>
      <c r="D2823">
        <f>IF($D$1=0,0,IFERROR(VALUE(SUBSTITUTE(SUBSTITUTE(SUBSTITUTE(INDEX(貼り付け!$A$1:$BZ$3001,2822,$D$1)&amp;"",",",""),"¥",""),"￥","")),0))</f>
        <v/>
      </c>
      <c r="E2823">
        <f>IF($E$1=0,0,IFERROR(VALUE(SUBSTITUTE(SUBSTITUTE(SUBSTITUTE(INDEX(貼り付け!$A$1:$BZ$3001,2822,$E$1)&amp;"",",",""),"¥",""),"￥","")),0))</f>
        <v/>
      </c>
      <c r="F2823">
        <f>IF($F$1=0,0,IFERROR(VALUE(SUBSTITUTE(SUBSTITUTE(SUBSTITUTE(INDEX(貼り付け!$A$1:$BZ$3001,2822,$F$1)&amp;"",",",""),"¥",""),"￥","")),0))</f>
        <v/>
      </c>
      <c r="G2823">
        <f>IF(ISNUMBER(B2823),YEAR(B2823),"")</f>
        <v/>
      </c>
      <c r="H2823">
        <f>IF(ISNUMBER(B2823),MONTH(B2823),"")</f>
        <v/>
      </c>
      <c r="I2823">
        <f>IFERROR(IF($B$1=0,"",IF(ISNUMBER(INDEX(貼り付け!$A$1:$BZ$3001,2822,$B$1)),"",SUBSTITUTE(SUBSTITUTE(SUBSTITUTE(SUBSTITUTE(TRIM(LEFT(INDEX(貼り付け!$A$1:$BZ$3001,2822,$B$1)&amp;"",FIND(" ",TRIM(INDEX(貼り付け!$A$1:$BZ$3001,2822,$B$1)&amp;"")&amp;" ")-1)),"/","-"),"年","-"),"月","-"),"日",""))),"")</f>
        <v/>
      </c>
      <c r="J2823">
        <f>IFERROR(MID(I2823,FIND("-",I2823)+1,99),"")</f>
        <v/>
      </c>
    </row>
    <row r="2824">
      <c r="B2824">
        <f>IFERROR(IF($B$1=0,"",IF(INDEX(貼り付け!$A$1:$BZ$3001,2823,$B$1)="","",IF(ISNUMBER(INDEX(貼り付け!$A$1:$BZ$3001,2823,$B$1)),INT(INDEX(貼り付け!$A$1:$BZ$3001,2823,$B$1)),DATE(VALUE(LEFT(I2824,FIND("-",I2824)-1)),VALUE(LEFT(J2824,FIND("-",J2824)-1)),VALUE(MID(J2824,FIND("-",J2824)+1,99)))))),"")</f>
        <v/>
      </c>
      <c r="C2824">
        <f>IF($C$1=0,0,IFERROR(VALUE(SUBSTITUTE(SUBSTITUTE(SUBSTITUTE(INDEX(貼り付け!$A$1:$BZ$3001,2823,$C$1)&amp;"",",",""),"¥",""),"￥","")),0))</f>
        <v/>
      </c>
      <c r="D2824">
        <f>IF($D$1=0,0,IFERROR(VALUE(SUBSTITUTE(SUBSTITUTE(SUBSTITUTE(INDEX(貼り付け!$A$1:$BZ$3001,2823,$D$1)&amp;"",",",""),"¥",""),"￥","")),0))</f>
        <v/>
      </c>
      <c r="E2824">
        <f>IF($E$1=0,0,IFERROR(VALUE(SUBSTITUTE(SUBSTITUTE(SUBSTITUTE(INDEX(貼り付け!$A$1:$BZ$3001,2823,$E$1)&amp;"",",",""),"¥",""),"￥","")),0))</f>
        <v/>
      </c>
      <c r="F2824">
        <f>IF($F$1=0,0,IFERROR(VALUE(SUBSTITUTE(SUBSTITUTE(SUBSTITUTE(INDEX(貼り付け!$A$1:$BZ$3001,2823,$F$1)&amp;"",",",""),"¥",""),"￥","")),0))</f>
        <v/>
      </c>
      <c r="G2824">
        <f>IF(ISNUMBER(B2824),YEAR(B2824),"")</f>
        <v/>
      </c>
      <c r="H2824">
        <f>IF(ISNUMBER(B2824),MONTH(B2824),"")</f>
        <v/>
      </c>
      <c r="I2824">
        <f>IFERROR(IF($B$1=0,"",IF(ISNUMBER(INDEX(貼り付け!$A$1:$BZ$3001,2823,$B$1)),"",SUBSTITUTE(SUBSTITUTE(SUBSTITUTE(SUBSTITUTE(TRIM(LEFT(INDEX(貼り付け!$A$1:$BZ$3001,2823,$B$1)&amp;"",FIND(" ",TRIM(INDEX(貼り付け!$A$1:$BZ$3001,2823,$B$1)&amp;"")&amp;" ")-1)),"/","-"),"年","-"),"月","-"),"日",""))),"")</f>
        <v/>
      </c>
      <c r="J2824">
        <f>IFERROR(MID(I2824,FIND("-",I2824)+1,99),"")</f>
        <v/>
      </c>
    </row>
    <row r="2825">
      <c r="B2825">
        <f>IFERROR(IF($B$1=0,"",IF(INDEX(貼り付け!$A$1:$BZ$3001,2824,$B$1)="","",IF(ISNUMBER(INDEX(貼り付け!$A$1:$BZ$3001,2824,$B$1)),INT(INDEX(貼り付け!$A$1:$BZ$3001,2824,$B$1)),DATE(VALUE(LEFT(I2825,FIND("-",I2825)-1)),VALUE(LEFT(J2825,FIND("-",J2825)-1)),VALUE(MID(J2825,FIND("-",J2825)+1,99)))))),"")</f>
        <v/>
      </c>
      <c r="C2825">
        <f>IF($C$1=0,0,IFERROR(VALUE(SUBSTITUTE(SUBSTITUTE(SUBSTITUTE(INDEX(貼り付け!$A$1:$BZ$3001,2824,$C$1)&amp;"",",",""),"¥",""),"￥","")),0))</f>
        <v/>
      </c>
      <c r="D2825">
        <f>IF($D$1=0,0,IFERROR(VALUE(SUBSTITUTE(SUBSTITUTE(SUBSTITUTE(INDEX(貼り付け!$A$1:$BZ$3001,2824,$D$1)&amp;"",",",""),"¥",""),"￥","")),0))</f>
        <v/>
      </c>
      <c r="E2825">
        <f>IF($E$1=0,0,IFERROR(VALUE(SUBSTITUTE(SUBSTITUTE(SUBSTITUTE(INDEX(貼り付け!$A$1:$BZ$3001,2824,$E$1)&amp;"",",",""),"¥",""),"￥","")),0))</f>
        <v/>
      </c>
      <c r="F2825">
        <f>IF($F$1=0,0,IFERROR(VALUE(SUBSTITUTE(SUBSTITUTE(SUBSTITUTE(INDEX(貼り付け!$A$1:$BZ$3001,2824,$F$1)&amp;"",",",""),"¥",""),"￥","")),0))</f>
        <v/>
      </c>
      <c r="G2825">
        <f>IF(ISNUMBER(B2825),YEAR(B2825),"")</f>
        <v/>
      </c>
      <c r="H2825">
        <f>IF(ISNUMBER(B2825),MONTH(B2825),"")</f>
        <v/>
      </c>
      <c r="I2825">
        <f>IFERROR(IF($B$1=0,"",IF(ISNUMBER(INDEX(貼り付け!$A$1:$BZ$3001,2824,$B$1)),"",SUBSTITUTE(SUBSTITUTE(SUBSTITUTE(SUBSTITUTE(TRIM(LEFT(INDEX(貼り付け!$A$1:$BZ$3001,2824,$B$1)&amp;"",FIND(" ",TRIM(INDEX(貼り付け!$A$1:$BZ$3001,2824,$B$1)&amp;"")&amp;" ")-1)),"/","-"),"年","-"),"月","-"),"日",""))),"")</f>
        <v/>
      </c>
      <c r="J2825">
        <f>IFERROR(MID(I2825,FIND("-",I2825)+1,99),"")</f>
        <v/>
      </c>
    </row>
    <row r="2826">
      <c r="B2826">
        <f>IFERROR(IF($B$1=0,"",IF(INDEX(貼り付け!$A$1:$BZ$3001,2825,$B$1)="","",IF(ISNUMBER(INDEX(貼り付け!$A$1:$BZ$3001,2825,$B$1)),INT(INDEX(貼り付け!$A$1:$BZ$3001,2825,$B$1)),DATE(VALUE(LEFT(I2826,FIND("-",I2826)-1)),VALUE(LEFT(J2826,FIND("-",J2826)-1)),VALUE(MID(J2826,FIND("-",J2826)+1,99)))))),"")</f>
        <v/>
      </c>
      <c r="C2826">
        <f>IF($C$1=0,0,IFERROR(VALUE(SUBSTITUTE(SUBSTITUTE(SUBSTITUTE(INDEX(貼り付け!$A$1:$BZ$3001,2825,$C$1)&amp;"",",",""),"¥",""),"￥","")),0))</f>
        <v/>
      </c>
      <c r="D2826">
        <f>IF($D$1=0,0,IFERROR(VALUE(SUBSTITUTE(SUBSTITUTE(SUBSTITUTE(INDEX(貼り付け!$A$1:$BZ$3001,2825,$D$1)&amp;"",",",""),"¥",""),"￥","")),0))</f>
        <v/>
      </c>
      <c r="E2826">
        <f>IF($E$1=0,0,IFERROR(VALUE(SUBSTITUTE(SUBSTITUTE(SUBSTITUTE(INDEX(貼り付け!$A$1:$BZ$3001,2825,$E$1)&amp;"",",",""),"¥",""),"￥","")),0))</f>
        <v/>
      </c>
      <c r="F2826">
        <f>IF($F$1=0,0,IFERROR(VALUE(SUBSTITUTE(SUBSTITUTE(SUBSTITUTE(INDEX(貼り付け!$A$1:$BZ$3001,2825,$F$1)&amp;"",",",""),"¥",""),"￥","")),0))</f>
        <v/>
      </c>
      <c r="G2826">
        <f>IF(ISNUMBER(B2826),YEAR(B2826),"")</f>
        <v/>
      </c>
      <c r="H2826">
        <f>IF(ISNUMBER(B2826),MONTH(B2826),"")</f>
        <v/>
      </c>
      <c r="I2826">
        <f>IFERROR(IF($B$1=0,"",IF(ISNUMBER(INDEX(貼り付け!$A$1:$BZ$3001,2825,$B$1)),"",SUBSTITUTE(SUBSTITUTE(SUBSTITUTE(SUBSTITUTE(TRIM(LEFT(INDEX(貼り付け!$A$1:$BZ$3001,2825,$B$1)&amp;"",FIND(" ",TRIM(INDEX(貼り付け!$A$1:$BZ$3001,2825,$B$1)&amp;"")&amp;" ")-1)),"/","-"),"年","-"),"月","-"),"日",""))),"")</f>
        <v/>
      </c>
      <c r="J2826">
        <f>IFERROR(MID(I2826,FIND("-",I2826)+1,99),"")</f>
        <v/>
      </c>
    </row>
    <row r="2827">
      <c r="B2827">
        <f>IFERROR(IF($B$1=0,"",IF(INDEX(貼り付け!$A$1:$BZ$3001,2826,$B$1)="","",IF(ISNUMBER(INDEX(貼り付け!$A$1:$BZ$3001,2826,$B$1)),INT(INDEX(貼り付け!$A$1:$BZ$3001,2826,$B$1)),DATE(VALUE(LEFT(I2827,FIND("-",I2827)-1)),VALUE(LEFT(J2827,FIND("-",J2827)-1)),VALUE(MID(J2827,FIND("-",J2827)+1,99)))))),"")</f>
        <v/>
      </c>
      <c r="C2827">
        <f>IF($C$1=0,0,IFERROR(VALUE(SUBSTITUTE(SUBSTITUTE(SUBSTITUTE(INDEX(貼り付け!$A$1:$BZ$3001,2826,$C$1)&amp;"",",",""),"¥",""),"￥","")),0))</f>
        <v/>
      </c>
      <c r="D2827">
        <f>IF($D$1=0,0,IFERROR(VALUE(SUBSTITUTE(SUBSTITUTE(SUBSTITUTE(INDEX(貼り付け!$A$1:$BZ$3001,2826,$D$1)&amp;"",",",""),"¥",""),"￥","")),0))</f>
        <v/>
      </c>
      <c r="E2827">
        <f>IF($E$1=0,0,IFERROR(VALUE(SUBSTITUTE(SUBSTITUTE(SUBSTITUTE(INDEX(貼り付け!$A$1:$BZ$3001,2826,$E$1)&amp;"",",",""),"¥",""),"￥","")),0))</f>
        <v/>
      </c>
      <c r="F2827">
        <f>IF($F$1=0,0,IFERROR(VALUE(SUBSTITUTE(SUBSTITUTE(SUBSTITUTE(INDEX(貼り付け!$A$1:$BZ$3001,2826,$F$1)&amp;"",",",""),"¥",""),"￥","")),0))</f>
        <v/>
      </c>
      <c r="G2827">
        <f>IF(ISNUMBER(B2827),YEAR(B2827),"")</f>
        <v/>
      </c>
      <c r="H2827">
        <f>IF(ISNUMBER(B2827),MONTH(B2827),"")</f>
        <v/>
      </c>
      <c r="I2827">
        <f>IFERROR(IF($B$1=0,"",IF(ISNUMBER(INDEX(貼り付け!$A$1:$BZ$3001,2826,$B$1)),"",SUBSTITUTE(SUBSTITUTE(SUBSTITUTE(SUBSTITUTE(TRIM(LEFT(INDEX(貼り付け!$A$1:$BZ$3001,2826,$B$1)&amp;"",FIND(" ",TRIM(INDEX(貼り付け!$A$1:$BZ$3001,2826,$B$1)&amp;"")&amp;" ")-1)),"/","-"),"年","-"),"月","-"),"日",""))),"")</f>
        <v/>
      </c>
      <c r="J2827">
        <f>IFERROR(MID(I2827,FIND("-",I2827)+1,99),"")</f>
        <v/>
      </c>
    </row>
    <row r="2828">
      <c r="B2828">
        <f>IFERROR(IF($B$1=0,"",IF(INDEX(貼り付け!$A$1:$BZ$3001,2827,$B$1)="","",IF(ISNUMBER(INDEX(貼り付け!$A$1:$BZ$3001,2827,$B$1)),INT(INDEX(貼り付け!$A$1:$BZ$3001,2827,$B$1)),DATE(VALUE(LEFT(I2828,FIND("-",I2828)-1)),VALUE(LEFT(J2828,FIND("-",J2828)-1)),VALUE(MID(J2828,FIND("-",J2828)+1,99)))))),"")</f>
        <v/>
      </c>
      <c r="C2828">
        <f>IF($C$1=0,0,IFERROR(VALUE(SUBSTITUTE(SUBSTITUTE(SUBSTITUTE(INDEX(貼り付け!$A$1:$BZ$3001,2827,$C$1)&amp;"",",",""),"¥",""),"￥","")),0))</f>
        <v/>
      </c>
      <c r="D2828">
        <f>IF($D$1=0,0,IFERROR(VALUE(SUBSTITUTE(SUBSTITUTE(SUBSTITUTE(INDEX(貼り付け!$A$1:$BZ$3001,2827,$D$1)&amp;"",",",""),"¥",""),"￥","")),0))</f>
        <v/>
      </c>
      <c r="E2828">
        <f>IF($E$1=0,0,IFERROR(VALUE(SUBSTITUTE(SUBSTITUTE(SUBSTITUTE(INDEX(貼り付け!$A$1:$BZ$3001,2827,$E$1)&amp;"",",",""),"¥",""),"￥","")),0))</f>
        <v/>
      </c>
      <c r="F2828">
        <f>IF($F$1=0,0,IFERROR(VALUE(SUBSTITUTE(SUBSTITUTE(SUBSTITUTE(INDEX(貼り付け!$A$1:$BZ$3001,2827,$F$1)&amp;"",",",""),"¥",""),"￥","")),0))</f>
        <v/>
      </c>
      <c r="G2828">
        <f>IF(ISNUMBER(B2828),YEAR(B2828),"")</f>
        <v/>
      </c>
      <c r="H2828">
        <f>IF(ISNUMBER(B2828),MONTH(B2828),"")</f>
        <v/>
      </c>
      <c r="I2828">
        <f>IFERROR(IF($B$1=0,"",IF(ISNUMBER(INDEX(貼り付け!$A$1:$BZ$3001,2827,$B$1)),"",SUBSTITUTE(SUBSTITUTE(SUBSTITUTE(SUBSTITUTE(TRIM(LEFT(INDEX(貼り付け!$A$1:$BZ$3001,2827,$B$1)&amp;"",FIND(" ",TRIM(INDEX(貼り付け!$A$1:$BZ$3001,2827,$B$1)&amp;"")&amp;" ")-1)),"/","-"),"年","-"),"月","-"),"日",""))),"")</f>
        <v/>
      </c>
      <c r="J2828">
        <f>IFERROR(MID(I2828,FIND("-",I2828)+1,99),"")</f>
        <v/>
      </c>
    </row>
    <row r="2829">
      <c r="B2829">
        <f>IFERROR(IF($B$1=0,"",IF(INDEX(貼り付け!$A$1:$BZ$3001,2828,$B$1)="","",IF(ISNUMBER(INDEX(貼り付け!$A$1:$BZ$3001,2828,$B$1)),INT(INDEX(貼り付け!$A$1:$BZ$3001,2828,$B$1)),DATE(VALUE(LEFT(I2829,FIND("-",I2829)-1)),VALUE(LEFT(J2829,FIND("-",J2829)-1)),VALUE(MID(J2829,FIND("-",J2829)+1,99)))))),"")</f>
        <v/>
      </c>
      <c r="C2829">
        <f>IF($C$1=0,0,IFERROR(VALUE(SUBSTITUTE(SUBSTITUTE(SUBSTITUTE(INDEX(貼り付け!$A$1:$BZ$3001,2828,$C$1)&amp;"",",",""),"¥",""),"￥","")),0))</f>
        <v/>
      </c>
      <c r="D2829">
        <f>IF($D$1=0,0,IFERROR(VALUE(SUBSTITUTE(SUBSTITUTE(SUBSTITUTE(INDEX(貼り付け!$A$1:$BZ$3001,2828,$D$1)&amp;"",",",""),"¥",""),"￥","")),0))</f>
        <v/>
      </c>
      <c r="E2829">
        <f>IF($E$1=0,0,IFERROR(VALUE(SUBSTITUTE(SUBSTITUTE(SUBSTITUTE(INDEX(貼り付け!$A$1:$BZ$3001,2828,$E$1)&amp;"",",",""),"¥",""),"￥","")),0))</f>
        <v/>
      </c>
      <c r="F2829">
        <f>IF($F$1=0,0,IFERROR(VALUE(SUBSTITUTE(SUBSTITUTE(SUBSTITUTE(INDEX(貼り付け!$A$1:$BZ$3001,2828,$F$1)&amp;"",",",""),"¥",""),"￥","")),0))</f>
        <v/>
      </c>
      <c r="G2829">
        <f>IF(ISNUMBER(B2829),YEAR(B2829),"")</f>
        <v/>
      </c>
      <c r="H2829">
        <f>IF(ISNUMBER(B2829),MONTH(B2829),"")</f>
        <v/>
      </c>
      <c r="I2829">
        <f>IFERROR(IF($B$1=0,"",IF(ISNUMBER(INDEX(貼り付け!$A$1:$BZ$3001,2828,$B$1)),"",SUBSTITUTE(SUBSTITUTE(SUBSTITUTE(SUBSTITUTE(TRIM(LEFT(INDEX(貼り付け!$A$1:$BZ$3001,2828,$B$1)&amp;"",FIND(" ",TRIM(INDEX(貼り付け!$A$1:$BZ$3001,2828,$B$1)&amp;"")&amp;" ")-1)),"/","-"),"年","-"),"月","-"),"日",""))),"")</f>
        <v/>
      </c>
      <c r="J2829">
        <f>IFERROR(MID(I2829,FIND("-",I2829)+1,99),"")</f>
        <v/>
      </c>
    </row>
    <row r="2830">
      <c r="B2830">
        <f>IFERROR(IF($B$1=0,"",IF(INDEX(貼り付け!$A$1:$BZ$3001,2829,$B$1)="","",IF(ISNUMBER(INDEX(貼り付け!$A$1:$BZ$3001,2829,$B$1)),INT(INDEX(貼り付け!$A$1:$BZ$3001,2829,$B$1)),DATE(VALUE(LEFT(I2830,FIND("-",I2830)-1)),VALUE(LEFT(J2830,FIND("-",J2830)-1)),VALUE(MID(J2830,FIND("-",J2830)+1,99)))))),"")</f>
        <v/>
      </c>
      <c r="C2830">
        <f>IF($C$1=0,0,IFERROR(VALUE(SUBSTITUTE(SUBSTITUTE(SUBSTITUTE(INDEX(貼り付け!$A$1:$BZ$3001,2829,$C$1)&amp;"",",",""),"¥",""),"￥","")),0))</f>
        <v/>
      </c>
      <c r="D2830">
        <f>IF($D$1=0,0,IFERROR(VALUE(SUBSTITUTE(SUBSTITUTE(SUBSTITUTE(INDEX(貼り付け!$A$1:$BZ$3001,2829,$D$1)&amp;"",",",""),"¥",""),"￥","")),0))</f>
        <v/>
      </c>
      <c r="E2830">
        <f>IF($E$1=0,0,IFERROR(VALUE(SUBSTITUTE(SUBSTITUTE(SUBSTITUTE(INDEX(貼り付け!$A$1:$BZ$3001,2829,$E$1)&amp;"",",",""),"¥",""),"￥","")),0))</f>
        <v/>
      </c>
      <c r="F2830">
        <f>IF($F$1=0,0,IFERROR(VALUE(SUBSTITUTE(SUBSTITUTE(SUBSTITUTE(INDEX(貼り付け!$A$1:$BZ$3001,2829,$F$1)&amp;"",",",""),"¥",""),"￥","")),0))</f>
        <v/>
      </c>
      <c r="G2830">
        <f>IF(ISNUMBER(B2830),YEAR(B2830),"")</f>
        <v/>
      </c>
      <c r="H2830">
        <f>IF(ISNUMBER(B2830),MONTH(B2830),"")</f>
        <v/>
      </c>
      <c r="I2830">
        <f>IFERROR(IF($B$1=0,"",IF(ISNUMBER(INDEX(貼り付け!$A$1:$BZ$3001,2829,$B$1)),"",SUBSTITUTE(SUBSTITUTE(SUBSTITUTE(SUBSTITUTE(TRIM(LEFT(INDEX(貼り付け!$A$1:$BZ$3001,2829,$B$1)&amp;"",FIND(" ",TRIM(INDEX(貼り付け!$A$1:$BZ$3001,2829,$B$1)&amp;"")&amp;" ")-1)),"/","-"),"年","-"),"月","-"),"日",""))),"")</f>
        <v/>
      </c>
      <c r="J2830">
        <f>IFERROR(MID(I2830,FIND("-",I2830)+1,99),"")</f>
        <v/>
      </c>
    </row>
    <row r="2831">
      <c r="B2831">
        <f>IFERROR(IF($B$1=0,"",IF(INDEX(貼り付け!$A$1:$BZ$3001,2830,$B$1)="","",IF(ISNUMBER(INDEX(貼り付け!$A$1:$BZ$3001,2830,$B$1)),INT(INDEX(貼り付け!$A$1:$BZ$3001,2830,$B$1)),DATE(VALUE(LEFT(I2831,FIND("-",I2831)-1)),VALUE(LEFT(J2831,FIND("-",J2831)-1)),VALUE(MID(J2831,FIND("-",J2831)+1,99)))))),"")</f>
        <v/>
      </c>
      <c r="C2831">
        <f>IF($C$1=0,0,IFERROR(VALUE(SUBSTITUTE(SUBSTITUTE(SUBSTITUTE(INDEX(貼り付け!$A$1:$BZ$3001,2830,$C$1)&amp;"",",",""),"¥",""),"￥","")),0))</f>
        <v/>
      </c>
      <c r="D2831">
        <f>IF($D$1=0,0,IFERROR(VALUE(SUBSTITUTE(SUBSTITUTE(SUBSTITUTE(INDEX(貼り付け!$A$1:$BZ$3001,2830,$D$1)&amp;"",",",""),"¥",""),"￥","")),0))</f>
        <v/>
      </c>
      <c r="E2831">
        <f>IF($E$1=0,0,IFERROR(VALUE(SUBSTITUTE(SUBSTITUTE(SUBSTITUTE(INDEX(貼り付け!$A$1:$BZ$3001,2830,$E$1)&amp;"",",",""),"¥",""),"￥","")),0))</f>
        <v/>
      </c>
      <c r="F2831">
        <f>IF($F$1=0,0,IFERROR(VALUE(SUBSTITUTE(SUBSTITUTE(SUBSTITUTE(INDEX(貼り付け!$A$1:$BZ$3001,2830,$F$1)&amp;"",",",""),"¥",""),"￥","")),0))</f>
        <v/>
      </c>
      <c r="G2831">
        <f>IF(ISNUMBER(B2831),YEAR(B2831),"")</f>
        <v/>
      </c>
      <c r="H2831">
        <f>IF(ISNUMBER(B2831),MONTH(B2831),"")</f>
        <v/>
      </c>
      <c r="I2831">
        <f>IFERROR(IF($B$1=0,"",IF(ISNUMBER(INDEX(貼り付け!$A$1:$BZ$3001,2830,$B$1)),"",SUBSTITUTE(SUBSTITUTE(SUBSTITUTE(SUBSTITUTE(TRIM(LEFT(INDEX(貼り付け!$A$1:$BZ$3001,2830,$B$1)&amp;"",FIND(" ",TRIM(INDEX(貼り付け!$A$1:$BZ$3001,2830,$B$1)&amp;"")&amp;" ")-1)),"/","-"),"年","-"),"月","-"),"日",""))),"")</f>
        <v/>
      </c>
      <c r="J2831">
        <f>IFERROR(MID(I2831,FIND("-",I2831)+1,99),"")</f>
        <v/>
      </c>
    </row>
    <row r="2832">
      <c r="B2832">
        <f>IFERROR(IF($B$1=0,"",IF(INDEX(貼り付け!$A$1:$BZ$3001,2831,$B$1)="","",IF(ISNUMBER(INDEX(貼り付け!$A$1:$BZ$3001,2831,$B$1)),INT(INDEX(貼り付け!$A$1:$BZ$3001,2831,$B$1)),DATE(VALUE(LEFT(I2832,FIND("-",I2832)-1)),VALUE(LEFT(J2832,FIND("-",J2832)-1)),VALUE(MID(J2832,FIND("-",J2832)+1,99)))))),"")</f>
        <v/>
      </c>
      <c r="C2832">
        <f>IF($C$1=0,0,IFERROR(VALUE(SUBSTITUTE(SUBSTITUTE(SUBSTITUTE(INDEX(貼り付け!$A$1:$BZ$3001,2831,$C$1)&amp;"",",",""),"¥",""),"￥","")),0))</f>
        <v/>
      </c>
      <c r="D2832">
        <f>IF($D$1=0,0,IFERROR(VALUE(SUBSTITUTE(SUBSTITUTE(SUBSTITUTE(INDEX(貼り付け!$A$1:$BZ$3001,2831,$D$1)&amp;"",",",""),"¥",""),"￥","")),0))</f>
        <v/>
      </c>
      <c r="E2832">
        <f>IF($E$1=0,0,IFERROR(VALUE(SUBSTITUTE(SUBSTITUTE(SUBSTITUTE(INDEX(貼り付け!$A$1:$BZ$3001,2831,$E$1)&amp;"",",",""),"¥",""),"￥","")),0))</f>
        <v/>
      </c>
      <c r="F2832">
        <f>IF($F$1=0,0,IFERROR(VALUE(SUBSTITUTE(SUBSTITUTE(SUBSTITUTE(INDEX(貼り付け!$A$1:$BZ$3001,2831,$F$1)&amp;"",",",""),"¥",""),"￥","")),0))</f>
        <v/>
      </c>
      <c r="G2832">
        <f>IF(ISNUMBER(B2832),YEAR(B2832),"")</f>
        <v/>
      </c>
      <c r="H2832">
        <f>IF(ISNUMBER(B2832),MONTH(B2832),"")</f>
        <v/>
      </c>
      <c r="I2832">
        <f>IFERROR(IF($B$1=0,"",IF(ISNUMBER(INDEX(貼り付け!$A$1:$BZ$3001,2831,$B$1)),"",SUBSTITUTE(SUBSTITUTE(SUBSTITUTE(SUBSTITUTE(TRIM(LEFT(INDEX(貼り付け!$A$1:$BZ$3001,2831,$B$1)&amp;"",FIND(" ",TRIM(INDEX(貼り付け!$A$1:$BZ$3001,2831,$B$1)&amp;"")&amp;" ")-1)),"/","-"),"年","-"),"月","-"),"日",""))),"")</f>
        <v/>
      </c>
      <c r="J2832">
        <f>IFERROR(MID(I2832,FIND("-",I2832)+1,99),"")</f>
        <v/>
      </c>
    </row>
    <row r="2833">
      <c r="B2833">
        <f>IFERROR(IF($B$1=0,"",IF(INDEX(貼り付け!$A$1:$BZ$3001,2832,$B$1)="","",IF(ISNUMBER(INDEX(貼り付け!$A$1:$BZ$3001,2832,$B$1)),INT(INDEX(貼り付け!$A$1:$BZ$3001,2832,$B$1)),DATE(VALUE(LEFT(I2833,FIND("-",I2833)-1)),VALUE(LEFT(J2833,FIND("-",J2833)-1)),VALUE(MID(J2833,FIND("-",J2833)+1,99)))))),"")</f>
        <v/>
      </c>
      <c r="C2833">
        <f>IF($C$1=0,0,IFERROR(VALUE(SUBSTITUTE(SUBSTITUTE(SUBSTITUTE(INDEX(貼り付け!$A$1:$BZ$3001,2832,$C$1)&amp;"",",",""),"¥",""),"￥","")),0))</f>
        <v/>
      </c>
      <c r="D2833">
        <f>IF($D$1=0,0,IFERROR(VALUE(SUBSTITUTE(SUBSTITUTE(SUBSTITUTE(INDEX(貼り付け!$A$1:$BZ$3001,2832,$D$1)&amp;"",",",""),"¥",""),"￥","")),0))</f>
        <v/>
      </c>
      <c r="E2833">
        <f>IF($E$1=0,0,IFERROR(VALUE(SUBSTITUTE(SUBSTITUTE(SUBSTITUTE(INDEX(貼り付け!$A$1:$BZ$3001,2832,$E$1)&amp;"",",",""),"¥",""),"￥","")),0))</f>
        <v/>
      </c>
      <c r="F2833">
        <f>IF($F$1=0,0,IFERROR(VALUE(SUBSTITUTE(SUBSTITUTE(SUBSTITUTE(INDEX(貼り付け!$A$1:$BZ$3001,2832,$F$1)&amp;"",",",""),"¥",""),"￥","")),0))</f>
        <v/>
      </c>
      <c r="G2833">
        <f>IF(ISNUMBER(B2833),YEAR(B2833),"")</f>
        <v/>
      </c>
      <c r="H2833">
        <f>IF(ISNUMBER(B2833),MONTH(B2833),"")</f>
        <v/>
      </c>
      <c r="I2833">
        <f>IFERROR(IF($B$1=0,"",IF(ISNUMBER(INDEX(貼り付け!$A$1:$BZ$3001,2832,$B$1)),"",SUBSTITUTE(SUBSTITUTE(SUBSTITUTE(SUBSTITUTE(TRIM(LEFT(INDEX(貼り付け!$A$1:$BZ$3001,2832,$B$1)&amp;"",FIND(" ",TRIM(INDEX(貼り付け!$A$1:$BZ$3001,2832,$B$1)&amp;"")&amp;" ")-1)),"/","-"),"年","-"),"月","-"),"日",""))),"")</f>
        <v/>
      </c>
      <c r="J2833">
        <f>IFERROR(MID(I2833,FIND("-",I2833)+1,99),"")</f>
        <v/>
      </c>
    </row>
    <row r="2834">
      <c r="B2834">
        <f>IFERROR(IF($B$1=0,"",IF(INDEX(貼り付け!$A$1:$BZ$3001,2833,$B$1)="","",IF(ISNUMBER(INDEX(貼り付け!$A$1:$BZ$3001,2833,$B$1)),INT(INDEX(貼り付け!$A$1:$BZ$3001,2833,$B$1)),DATE(VALUE(LEFT(I2834,FIND("-",I2834)-1)),VALUE(LEFT(J2834,FIND("-",J2834)-1)),VALUE(MID(J2834,FIND("-",J2834)+1,99)))))),"")</f>
        <v/>
      </c>
      <c r="C2834">
        <f>IF($C$1=0,0,IFERROR(VALUE(SUBSTITUTE(SUBSTITUTE(SUBSTITUTE(INDEX(貼り付け!$A$1:$BZ$3001,2833,$C$1)&amp;"",",",""),"¥",""),"￥","")),0))</f>
        <v/>
      </c>
      <c r="D2834">
        <f>IF($D$1=0,0,IFERROR(VALUE(SUBSTITUTE(SUBSTITUTE(SUBSTITUTE(INDEX(貼り付け!$A$1:$BZ$3001,2833,$D$1)&amp;"",",",""),"¥",""),"￥","")),0))</f>
        <v/>
      </c>
      <c r="E2834">
        <f>IF($E$1=0,0,IFERROR(VALUE(SUBSTITUTE(SUBSTITUTE(SUBSTITUTE(INDEX(貼り付け!$A$1:$BZ$3001,2833,$E$1)&amp;"",",",""),"¥",""),"￥","")),0))</f>
        <v/>
      </c>
      <c r="F2834">
        <f>IF($F$1=0,0,IFERROR(VALUE(SUBSTITUTE(SUBSTITUTE(SUBSTITUTE(INDEX(貼り付け!$A$1:$BZ$3001,2833,$F$1)&amp;"",",",""),"¥",""),"￥","")),0))</f>
        <v/>
      </c>
      <c r="G2834">
        <f>IF(ISNUMBER(B2834),YEAR(B2834),"")</f>
        <v/>
      </c>
      <c r="H2834">
        <f>IF(ISNUMBER(B2834),MONTH(B2834),"")</f>
        <v/>
      </c>
      <c r="I2834">
        <f>IFERROR(IF($B$1=0,"",IF(ISNUMBER(INDEX(貼り付け!$A$1:$BZ$3001,2833,$B$1)),"",SUBSTITUTE(SUBSTITUTE(SUBSTITUTE(SUBSTITUTE(TRIM(LEFT(INDEX(貼り付け!$A$1:$BZ$3001,2833,$B$1)&amp;"",FIND(" ",TRIM(INDEX(貼り付け!$A$1:$BZ$3001,2833,$B$1)&amp;"")&amp;" ")-1)),"/","-"),"年","-"),"月","-"),"日",""))),"")</f>
        <v/>
      </c>
      <c r="J2834">
        <f>IFERROR(MID(I2834,FIND("-",I2834)+1,99),"")</f>
        <v/>
      </c>
    </row>
    <row r="2835">
      <c r="B2835">
        <f>IFERROR(IF($B$1=0,"",IF(INDEX(貼り付け!$A$1:$BZ$3001,2834,$B$1)="","",IF(ISNUMBER(INDEX(貼り付け!$A$1:$BZ$3001,2834,$B$1)),INT(INDEX(貼り付け!$A$1:$BZ$3001,2834,$B$1)),DATE(VALUE(LEFT(I2835,FIND("-",I2835)-1)),VALUE(LEFT(J2835,FIND("-",J2835)-1)),VALUE(MID(J2835,FIND("-",J2835)+1,99)))))),"")</f>
        <v/>
      </c>
      <c r="C2835">
        <f>IF($C$1=0,0,IFERROR(VALUE(SUBSTITUTE(SUBSTITUTE(SUBSTITUTE(INDEX(貼り付け!$A$1:$BZ$3001,2834,$C$1)&amp;"",",",""),"¥",""),"￥","")),0))</f>
        <v/>
      </c>
      <c r="D2835">
        <f>IF($D$1=0,0,IFERROR(VALUE(SUBSTITUTE(SUBSTITUTE(SUBSTITUTE(INDEX(貼り付け!$A$1:$BZ$3001,2834,$D$1)&amp;"",",",""),"¥",""),"￥","")),0))</f>
        <v/>
      </c>
      <c r="E2835">
        <f>IF($E$1=0,0,IFERROR(VALUE(SUBSTITUTE(SUBSTITUTE(SUBSTITUTE(INDEX(貼り付け!$A$1:$BZ$3001,2834,$E$1)&amp;"",",",""),"¥",""),"￥","")),0))</f>
        <v/>
      </c>
      <c r="F2835">
        <f>IF($F$1=0,0,IFERROR(VALUE(SUBSTITUTE(SUBSTITUTE(SUBSTITUTE(INDEX(貼り付け!$A$1:$BZ$3001,2834,$F$1)&amp;"",",",""),"¥",""),"￥","")),0))</f>
        <v/>
      </c>
      <c r="G2835">
        <f>IF(ISNUMBER(B2835),YEAR(B2835),"")</f>
        <v/>
      </c>
      <c r="H2835">
        <f>IF(ISNUMBER(B2835),MONTH(B2835),"")</f>
        <v/>
      </c>
      <c r="I2835">
        <f>IFERROR(IF($B$1=0,"",IF(ISNUMBER(INDEX(貼り付け!$A$1:$BZ$3001,2834,$B$1)),"",SUBSTITUTE(SUBSTITUTE(SUBSTITUTE(SUBSTITUTE(TRIM(LEFT(INDEX(貼り付け!$A$1:$BZ$3001,2834,$B$1)&amp;"",FIND(" ",TRIM(INDEX(貼り付け!$A$1:$BZ$3001,2834,$B$1)&amp;"")&amp;" ")-1)),"/","-"),"年","-"),"月","-"),"日",""))),"")</f>
        <v/>
      </c>
      <c r="J2835">
        <f>IFERROR(MID(I2835,FIND("-",I2835)+1,99),"")</f>
        <v/>
      </c>
    </row>
    <row r="2836">
      <c r="B2836">
        <f>IFERROR(IF($B$1=0,"",IF(INDEX(貼り付け!$A$1:$BZ$3001,2835,$B$1)="","",IF(ISNUMBER(INDEX(貼り付け!$A$1:$BZ$3001,2835,$B$1)),INT(INDEX(貼り付け!$A$1:$BZ$3001,2835,$B$1)),DATE(VALUE(LEFT(I2836,FIND("-",I2836)-1)),VALUE(LEFT(J2836,FIND("-",J2836)-1)),VALUE(MID(J2836,FIND("-",J2836)+1,99)))))),"")</f>
        <v/>
      </c>
      <c r="C2836">
        <f>IF($C$1=0,0,IFERROR(VALUE(SUBSTITUTE(SUBSTITUTE(SUBSTITUTE(INDEX(貼り付け!$A$1:$BZ$3001,2835,$C$1)&amp;"",",",""),"¥",""),"￥","")),0))</f>
        <v/>
      </c>
      <c r="D2836">
        <f>IF($D$1=0,0,IFERROR(VALUE(SUBSTITUTE(SUBSTITUTE(SUBSTITUTE(INDEX(貼り付け!$A$1:$BZ$3001,2835,$D$1)&amp;"",",",""),"¥",""),"￥","")),0))</f>
        <v/>
      </c>
      <c r="E2836">
        <f>IF($E$1=0,0,IFERROR(VALUE(SUBSTITUTE(SUBSTITUTE(SUBSTITUTE(INDEX(貼り付け!$A$1:$BZ$3001,2835,$E$1)&amp;"",",",""),"¥",""),"￥","")),0))</f>
        <v/>
      </c>
      <c r="F2836">
        <f>IF($F$1=0,0,IFERROR(VALUE(SUBSTITUTE(SUBSTITUTE(SUBSTITUTE(INDEX(貼り付け!$A$1:$BZ$3001,2835,$F$1)&amp;"",",",""),"¥",""),"￥","")),0))</f>
        <v/>
      </c>
      <c r="G2836">
        <f>IF(ISNUMBER(B2836),YEAR(B2836),"")</f>
        <v/>
      </c>
      <c r="H2836">
        <f>IF(ISNUMBER(B2836),MONTH(B2836),"")</f>
        <v/>
      </c>
      <c r="I2836">
        <f>IFERROR(IF($B$1=0,"",IF(ISNUMBER(INDEX(貼り付け!$A$1:$BZ$3001,2835,$B$1)),"",SUBSTITUTE(SUBSTITUTE(SUBSTITUTE(SUBSTITUTE(TRIM(LEFT(INDEX(貼り付け!$A$1:$BZ$3001,2835,$B$1)&amp;"",FIND(" ",TRIM(INDEX(貼り付け!$A$1:$BZ$3001,2835,$B$1)&amp;"")&amp;" ")-1)),"/","-"),"年","-"),"月","-"),"日",""))),"")</f>
        <v/>
      </c>
      <c r="J2836">
        <f>IFERROR(MID(I2836,FIND("-",I2836)+1,99),"")</f>
        <v/>
      </c>
    </row>
    <row r="2837">
      <c r="B2837">
        <f>IFERROR(IF($B$1=0,"",IF(INDEX(貼り付け!$A$1:$BZ$3001,2836,$B$1)="","",IF(ISNUMBER(INDEX(貼り付け!$A$1:$BZ$3001,2836,$B$1)),INT(INDEX(貼り付け!$A$1:$BZ$3001,2836,$B$1)),DATE(VALUE(LEFT(I2837,FIND("-",I2837)-1)),VALUE(LEFT(J2837,FIND("-",J2837)-1)),VALUE(MID(J2837,FIND("-",J2837)+1,99)))))),"")</f>
        <v/>
      </c>
      <c r="C2837">
        <f>IF($C$1=0,0,IFERROR(VALUE(SUBSTITUTE(SUBSTITUTE(SUBSTITUTE(INDEX(貼り付け!$A$1:$BZ$3001,2836,$C$1)&amp;"",",",""),"¥",""),"￥","")),0))</f>
        <v/>
      </c>
      <c r="D2837">
        <f>IF($D$1=0,0,IFERROR(VALUE(SUBSTITUTE(SUBSTITUTE(SUBSTITUTE(INDEX(貼り付け!$A$1:$BZ$3001,2836,$D$1)&amp;"",",",""),"¥",""),"￥","")),0))</f>
        <v/>
      </c>
      <c r="E2837">
        <f>IF($E$1=0,0,IFERROR(VALUE(SUBSTITUTE(SUBSTITUTE(SUBSTITUTE(INDEX(貼り付け!$A$1:$BZ$3001,2836,$E$1)&amp;"",",",""),"¥",""),"￥","")),0))</f>
        <v/>
      </c>
      <c r="F2837">
        <f>IF($F$1=0,0,IFERROR(VALUE(SUBSTITUTE(SUBSTITUTE(SUBSTITUTE(INDEX(貼り付け!$A$1:$BZ$3001,2836,$F$1)&amp;"",",",""),"¥",""),"￥","")),0))</f>
        <v/>
      </c>
      <c r="G2837">
        <f>IF(ISNUMBER(B2837),YEAR(B2837),"")</f>
        <v/>
      </c>
      <c r="H2837">
        <f>IF(ISNUMBER(B2837),MONTH(B2837),"")</f>
        <v/>
      </c>
      <c r="I2837">
        <f>IFERROR(IF($B$1=0,"",IF(ISNUMBER(INDEX(貼り付け!$A$1:$BZ$3001,2836,$B$1)),"",SUBSTITUTE(SUBSTITUTE(SUBSTITUTE(SUBSTITUTE(TRIM(LEFT(INDEX(貼り付け!$A$1:$BZ$3001,2836,$B$1)&amp;"",FIND(" ",TRIM(INDEX(貼り付け!$A$1:$BZ$3001,2836,$B$1)&amp;"")&amp;" ")-1)),"/","-"),"年","-"),"月","-"),"日",""))),"")</f>
        <v/>
      </c>
      <c r="J2837">
        <f>IFERROR(MID(I2837,FIND("-",I2837)+1,99),"")</f>
        <v/>
      </c>
    </row>
    <row r="2838">
      <c r="B2838">
        <f>IFERROR(IF($B$1=0,"",IF(INDEX(貼り付け!$A$1:$BZ$3001,2837,$B$1)="","",IF(ISNUMBER(INDEX(貼り付け!$A$1:$BZ$3001,2837,$B$1)),INT(INDEX(貼り付け!$A$1:$BZ$3001,2837,$B$1)),DATE(VALUE(LEFT(I2838,FIND("-",I2838)-1)),VALUE(LEFT(J2838,FIND("-",J2838)-1)),VALUE(MID(J2838,FIND("-",J2838)+1,99)))))),"")</f>
        <v/>
      </c>
      <c r="C2838">
        <f>IF($C$1=0,0,IFERROR(VALUE(SUBSTITUTE(SUBSTITUTE(SUBSTITUTE(INDEX(貼り付け!$A$1:$BZ$3001,2837,$C$1)&amp;"",",",""),"¥",""),"￥","")),0))</f>
        <v/>
      </c>
      <c r="D2838">
        <f>IF($D$1=0,0,IFERROR(VALUE(SUBSTITUTE(SUBSTITUTE(SUBSTITUTE(INDEX(貼り付け!$A$1:$BZ$3001,2837,$D$1)&amp;"",",",""),"¥",""),"￥","")),0))</f>
        <v/>
      </c>
      <c r="E2838">
        <f>IF($E$1=0,0,IFERROR(VALUE(SUBSTITUTE(SUBSTITUTE(SUBSTITUTE(INDEX(貼り付け!$A$1:$BZ$3001,2837,$E$1)&amp;"",",",""),"¥",""),"￥","")),0))</f>
        <v/>
      </c>
      <c r="F2838">
        <f>IF($F$1=0,0,IFERROR(VALUE(SUBSTITUTE(SUBSTITUTE(SUBSTITUTE(INDEX(貼り付け!$A$1:$BZ$3001,2837,$F$1)&amp;"",",",""),"¥",""),"￥","")),0))</f>
        <v/>
      </c>
      <c r="G2838">
        <f>IF(ISNUMBER(B2838),YEAR(B2838),"")</f>
        <v/>
      </c>
      <c r="H2838">
        <f>IF(ISNUMBER(B2838),MONTH(B2838),"")</f>
        <v/>
      </c>
      <c r="I2838">
        <f>IFERROR(IF($B$1=0,"",IF(ISNUMBER(INDEX(貼り付け!$A$1:$BZ$3001,2837,$B$1)),"",SUBSTITUTE(SUBSTITUTE(SUBSTITUTE(SUBSTITUTE(TRIM(LEFT(INDEX(貼り付け!$A$1:$BZ$3001,2837,$B$1)&amp;"",FIND(" ",TRIM(INDEX(貼り付け!$A$1:$BZ$3001,2837,$B$1)&amp;"")&amp;" ")-1)),"/","-"),"年","-"),"月","-"),"日",""))),"")</f>
        <v/>
      </c>
      <c r="J2838">
        <f>IFERROR(MID(I2838,FIND("-",I2838)+1,99),"")</f>
        <v/>
      </c>
    </row>
    <row r="2839">
      <c r="B2839">
        <f>IFERROR(IF($B$1=0,"",IF(INDEX(貼り付け!$A$1:$BZ$3001,2838,$B$1)="","",IF(ISNUMBER(INDEX(貼り付け!$A$1:$BZ$3001,2838,$B$1)),INT(INDEX(貼り付け!$A$1:$BZ$3001,2838,$B$1)),DATE(VALUE(LEFT(I2839,FIND("-",I2839)-1)),VALUE(LEFT(J2839,FIND("-",J2839)-1)),VALUE(MID(J2839,FIND("-",J2839)+1,99)))))),"")</f>
        <v/>
      </c>
      <c r="C2839">
        <f>IF($C$1=0,0,IFERROR(VALUE(SUBSTITUTE(SUBSTITUTE(SUBSTITUTE(INDEX(貼り付け!$A$1:$BZ$3001,2838,$C$1)&amp;"",",",""),"¥",""),"￥","")),0))</f>
        <v/>
      </c>
      <c r="D2839">
        <f>IF($D$1=0,0,IFERROR(VALUE(SUBSTITUTE(SUBSTITUTE(SUBSTITUTE(INDEX(貼り付け!$A$1:$BZ$3001,2838,$D$1)&amp;"",",",""),"¥",""),"￥","")),0))</f>
        <v/>
      </c>
      <c r="E2839">
        <f>IF($E$1=0,0,IFERROR(VALUE(SUBSTITUTE(SUBSTITUTE(SUBSTITUTE(INDEX(貼り付け!$A$1:$BZ$3001,2838,$E$1)&amp;"",",",""),"¥",""),"￥","")),0))</f>
        <v/>
      </c>
      <c r="F2839">
        <f>IF($F$1=0,0,IFERROR(VALUE(SUBSTITUTE(SUBSTITUTE(SUBSTITUTE(INDEX(貼り付け!$A$1:$BZ$3001,2838,$F$1)&amp;"",",",""),"¥",""),"￥","")),0))</f>
        <v/>
      </c>
      <c r="G2839">
        <f>IF(ISNUMBER(B2839),YEAR(B2839),"")</f>
        <v/>
      </c>
      <c r="H2839">
        <f>IF(ISNUMBER(B2839),MONTH(B2839),"")</f>
        <v/>
      </c>
      <c r="I2839">
        <f>IFERROR(IF($B$1=0,"",IF(ISNUMBER(INDEX(貼り付け!$A$1:$BZ$3001,2838,$B$1)),"",SUBSTITUTE(SUBSTITUTE(SUBSTITUTE(SUBSTITUTE(TRIM(LEFT(INDEX(貼り付け!$A$1:$BZ$3001,2838,$B$1)&amp;"",FIND(" ",TRIM(INDEX(貼り付け!$A$1:$BZ$3001,2838,$B$1)&amp;"")&amp;" ")-1)),"/","-"),"年","-"),"月","-"),"日",""))),"")</f>
        <v/>
      </c>
      <c r="J2839">
        <f>IFERROR(MID(I2839,FIND("-",I2839)+1,99),"")</f>
        <v/>
      </c>
    </row>
    <row r="2840">
      <c r="B2840">
        <f>IFERROR(IF($B$1=0,"",IF(INDEX(貼り付け!$A$1:$BZ$3001,2839,$B$1)="","",IF(ISNUMBER(INDEX(貼り付け!$A$1:$BZ$3001,2839,$B$1)),INT(INDEX(貼り付け!$A$1:$BZ$3001,2839,$B$1)),DATE(VALUE(LEFT(I2840,FIND("-",I2840)-1)),VALUE(LEFT(J2840,FIND("-",J2840)-1)),VALUE(MID(J2840,FIND("-",J2840)+1,99)))))),"")</f>
        <v/>
      </c>
      <c r="C2840">
        <f>IF($C$1=0,0,IFERROR(VALUE(SUBSTITUTE(SUBSTITUTE(SUBSTITUTE(INDEX(貼り付け!$A$1:$BZ$3001,2839,$C$1)&amp;"",",",""),"¥",""),"￥","")),0))</f>
        <v/>
      </c>
      <c r="D2840">
        <f>IF($D$1=0,0,IFERROR(VALUE(SUBSTITUTE(SUBSTITUTE(SUBSTITUTE(INDEX(貼り付け!$A$1:$BZ$3001,2839,$D$1)&amp;"",",",""),"¥",""),"￥","")),0))</f>
        <v/>
      </c>
      <c r="E2840">
        <f>IF($E$1=0,0,IFERROR(VALUE(SUBSTITUTE(SUBSTITUTE(SUBSTITUTE(INDEX(貼り付け!$A$1:$BZ$3001,2839,$E$1)&amp;"",",",""),"¥",""),"￥","")),0))</f>
        <v/>
      </c>
      <c r="F2840">
        <f>IF($F$1=0,0,IFERROR(VALUE(SUBSTITUTE(SUBSTITUTE(SUBSTITUTE(INDEX(貼り付け!$A$1:$BZ$3001,2839,$F$1)&amp;"",",",""),"¥",""),"￥","")),0))</f>
        <v/>
      </c>
      <c r="G2840">
        <f>IF(ISNUMBER(B2840),YEAR(B2840),"")</f>
        <v/>
      </c>
      <c r="H2840">
        <f>IF(ISNUMBER(B2840),MONTH(B2840),"")</f>
        <v/>
      </c>
      <c r="I2840">
        <f>IFERROR(IF($B$1=0,"",IF(ISNUMBER(INDEX(貼り付け!$A$1:$BZ$3001,2839,$B$1)),"",SUBSTITUTE(SUBSTITUTE(SUBSTITUTE(SUBSTITUTE(TRIM(LEFT(INDEX(貼り付け!$A$1:$BZ$3001,2839,$B$1)&amp;"",FIND(" ",TRIM(INDEX(貼り付け!$A$1:$BZ$3001,2839,$B$1)&amp;"")&amp;" ")-1)),"/","-"),"年","-"),"月","-"),"日",""))),"")</f>
        <v/>
      </c>
      <c r="J2840">
        <f>IFERROR(MID(I2840,FIND("-",I2840)+1,99),"")</f>
        <v/>
      </c>
    </row>
    <row r="2841">
      <c r="B2841">
        <f>IFERROR(IF($B$1=0,"",IF(INDEX(貼り付け!$A$1:$BZ$3001,2840,$B$1)="","",IF(ISNUMBER(INDEX(貼り付け!$A$1:$BZ$3001,2840,$B$1)),INT(INDEX(貼り付け!$A$1:$BZ$3001,2840,$B$1)),DATE(VALUE(LEFT(I2841,FIND("-",I2841)-1)),VALUE(LEFT(J2841,FIND("-",J2841)-1)),VALUE(MID(J2841,FIND("-",J2841)+1,99)))))),"")</f>
        <v/>
      </c>
      <c r="C2841">
        <f>IF($C$1=0,0,IFERROR(VALUE(SUBSTITUTE(SUBSTITUTE(SUBSTITUTE(INDEX(貼り付け!$A$1:$BZ$3001,2840,$C$1)&amp;"",",",""),"¥",""),"￥","")),0))</f>
        <v/>
      </c>
      <c r="D2841">
        <f>IF($D$1=0,0,IFERROR(VALUE(SUBSTITUTE(SUBSTITUTE(SUBSTITUTE(INDEX(貼り付け!$A$1:$BZ$3001,2840,$D$1)&amp;"",",",""),"¥",""),"￥","")),0))</f>
        <v/>
      </c>
      <c r="E2841">
        <f>IF($E$1=0,0,IFERROR(VALUE(SUBSTITUTE(SUBSTITUTE(SUBSTITUTE(INDEX(貼り付け!$A$1:$BZ$3001,2840,$E$1)&amp;"",",",""),"¥",""),"￥","")),0))</f>
        <v/>
      </c>
      <c r="F2841">
        <f>IF($F$1=0,0,IFERROR(VALUE(SUBSTITUTE(SUBSTITUTE(SUBSTITUTE(INDEX(貼り付け!$A$1:$BZ$3001,2840,$F$1)&amp;"",",",""),"¥",""),"￥","")),0))</f>
        <v/>
      </c>
      <c r="G2841">
        <f>IF(ISNUMBER(B2841),YEAR(B2841),"")</f>
        <v/>
      </c>
      <c r="H2841">
        <f>IF(ISNUMBER(B2841),MONTH(B2841),"")</f>
        <v/>
      </c>
      <c r="I2841">
        <f>IFERROR(IF($B$1=0,"",IF(ISNUMBER(INDEX(貼り付け!$A$1:$BZ$3001,2840,$B$1)),"",SUBSTITUTE(SUBSTITUTE(SUBSTITUTE(SUBSTITUTE(TRIM(LEFT(INDEX(貼り付け!$A$1:$BZ$3001,2840,$B$1)&amp;"",FIND(" ",TRIM(INDEX(貼り付け!$A$1:$BZ$3001,2840,$B$1)&amp;"")&amp;" ")-1)),"/","-"),"年","-"),"月","-"),"日",""))),"")</f>
        <v/>
      </c>
      <c r="J2841">
        <f>IFERROR(MID(I2841,FIND("-",I2841)+1,99),"")</f>
        <v/>
      </c>
    </row>
    <row r="2842">
      <c r="B2842">
        <f>IFERROR(IF($B$1=0,"",IF(INDEX(貼り付け!$A$1:$BZ$3001,2841,$B$1)="","",IF(ISNUMBER(INDEX(貼り付け!$A$1:$BZ$3001,2841,$B$1)),INT(INDEX(貼り付け!$A$1:$BZ$3001,2841,$B$1)),DATE(VALUE(LEFT(I2842,FIND("-",I2842)-1)),VALUE(LEFT(J2842,FIND("-",J2842)-1)),VALUE(MID(J2842,FIND("-",J2842)+1,99)))))),"")</f>
        <v/>
      </c>
      <c r="C2842">
        <f>IF($C$1=0,0,IFERROR(VALUE(SUBSTITUTE(SUBSTITUTE(SUBSTITUTE(INDEX(貼り付け!$A$1:$BZ$3001,2841,$C$1)&amp;"",",",""),"¥",""),"￥","")),0))</f>
        <v/>
      </c>
      <c r="D2842">
        <f>IF($D$1=0,0,IFERROR(VALUE(SUBSTITUTE(SUBSTITUTE(SUBSTITUTE(INDEX(貼り付け!$A$1:$BZ$3001,2841,$D$1)&amp;"",",",""),"¥",""),"￥","")),0))</f>
        <v/>
      </c>
      <c r="E2842">
        <f>IF($E$1=0,0,IFERROR(VALUE(SUBSTITUTE(SUBSTITUTE(SUBSTITUTE(INDEX(貼り付け!$A$1:$BZ$3001,2841,$E$1)&amp;"",",",""),"¥",""),"￥","")),0))</f>
        <v/>
      </c>
      <c r="F2842">
        <f>IF($F$1=0,0,IFERROR(VALUE(SUBSTITUTE(SUBSTITUTE(SUBSTITUTE(INDEX(貼り付け!$A$1:$BZ$3001,2841,$F$1)&amp;"",",",""),"¥",""),"￥","")),0))</f>
        <v/>
      </c>
      <c r="G2842">
        <f>IF(ISNUMBER(B2842),YEAR(B2842),"")</f>
        <v/>
      </c>
      <c r="H2842">
        <f>IF(ISNUMBER(B2842),MONTH(B2842),"")</f>
        <v/>
      </c>
      <c r="I2842">
        <f>IFERROR(IF($B$1=0,"",IF(ISNUMBER(INDEX(貼り付け!$A$1:$BZ$3001,2841,$B$1)),"",SUBSTITUTE(SUBSTITUTE(SUBSTITUTE(SUBSTITUTE(TRIM(LEFT(INDEX(貼り付け!$A$1:$BZ$3001,2841,$B$1)&amp;"",FIND(" ",TRIM(INDEX(貼り付け!$A$1:$BZ$3001,2841,$B$1)&amp;"")&amp;" ")-1)),"/","-"),"年","-"),"月","-"),"日",""))),"")</f>
        <v/>
      </c>
      <c r="J2842">
        <f>IFERROR(MID(I2842,FIND("-",I2842)+1,99),"")</f>
        <v/>
      </c>
    </row>
    <row r="2843">
      <c r="B2843">
        <f>IFERROR(IF($B$1=0,"",IF(INDEX(貼り付け!$A$1:$BZ$3001,2842,$B$1)="","",IF(ISNUMBER(INDEX(貼り付け!$A$1:$BZ$3001,2842,$B$1)),INT(INDEX(貼り付け!$A$1:$BZ$3001,2842,$B$1)),DATE(VALUE(LEFT(I2843,FIND("-",I2843)-1)),VALUE(LEFT(J2843,FIND("-",J2843)-1)),VALUE(MID(J2843,FIND("-",J2843)+1,99)))))),"")</f>
        <v/>
      </c>
      <c r="C2843">
        <f>IF($C$1=0,0,IFERROR(VALUE(SUBSTITUTE(SUBSTITUTE(SUBSTITUTE(INDEX(貼り付け!$A$1:$BZ$3001,2842,$C$1)&amp;"",",",""),"¥",""),"￥","")),0))</f>
        <v/>
      </c>
      <c r="D2843">
        <f>IF($D$1=0,0,IFERROR(VALUE(SUBSTITUTE(SUBSTITUTE(SUBSTITUTE(INDEX(貼り付け!$A$1:$BZ$3001,2842,$D$1)&amp;"",",",""),"¥",""),"￥","")),0))</f>
        <v/>
      </c>
      <c r="E2843">
        <f>IF($E$1=0,0,IFERROR(VALUE(SUBSTITUTE(SUBSTITUTE(SUBSTITUTE(INDEX(貼り付け!$A$1:$BZ$3001,2842,$E$1)&amp;"",",",""),"¥",""),"￥","")),0))</f>
        <v/>
      </c>
      <c r="F2843">
        <f>IF($F$1=0,0,IFERROR(VALUE(SUBSTITUTE(SUBSTITUTE(SUBSTITUTE(INDEX(貼り付け!$A$1:$BZ$3001,2842,$F$1)&amp;"",",",""),"¥",""),"￥","")),0))</f>
        <v/>
      </c>
      <c r="G2843">
        <f>IF(ISNUMBER(B2843),YEAR(B2843),"")</f>
        <v/>
      </c>
      <c r="H2843">
        <f>IF(ISNUMBER(B2843),MONTH(B2843),"")</f>
        <v/>
      </c>
      <c r="I2843">
        <f>IFERROR(IF($B$1=0,"",IF(ISNUMBER(INDEX(貼り付け!$A$1:$BZ$3001,2842,$B$1)),"",SUBSTITUTE(SUBSTITUTE(SUBSTITUTE(SUBSTITUTE(TRIM(LEFT(INDEX(貼り付け!$A$1:$BZ$3001,2842,$B$1)&amp;"",FIND(" ",TRIM(INDEX(貼り付け!$A$1:$BZ$3001,2842,$B$1)&amp;"")&amp;" ")-1)),"/","-"),"年","-"),"月","-"),"日",""))),"")</f>
        <v/>
      </c>
      <c r="J2843">
        <f>IFERROR(MID(I2843,FIND("-",I2843)+1,99),"")</f>
        <v/>
      </c>
    </row>
    <row r="2844">
      <c r="B2844">
        <f>IFERROR(IF($B$1=0,"",IF(INDEX(貼り付け!$A$1:$BZ$3001,2843,$B$1)="","",IF(ISNUMBER(INDEX(貼り付け!$A$1:$BZ$3001,2843,$B$1)),INT(INDEX(貼り付け!$A$1:$BZ$3001,2843,$B$1)),DATE(VALUE(LEFT(I2844,FIND("-",I2844)-1)),VALUE(LEFT(J2844,FIND("-",J2844)-1)),VALUE(MID(J2844,FIND("-",J2844)+1,99)))))),"")</f>
        <v/>
      </c>
      <c r="C2844">
        <f>IF($C$1=0,0,IFERROR(VALUE(SUBSTITUTE(SUBSTITUTE(SUBSTITUTE(INDEX(貼り付け!$A$1:$BZ$3001,2843,$C$1)&amp;"",",",""),"¥",""),"￥","")),0))</f>
        <v/>
      </c>
      <c r="D2844">
        <f>IF($D$1=0,0,IFERROR(VALUE(SUBSTITUTE(SUBSTITUTE(SUBSTITUTE(INDEX(貼り付け!$A$1:$BZ$3001,2843,$D$1)&amp;"",",",""),"¥",""),"￥","")),0))</f>
        <v/>
      </c>
      <c r="E2844">
        <f>IF($E$1=0,0,IFERROR(VALUE(SUBSTITUTE(SUBSTITUTE(SUBSTITUTE(INDEX(貼り付け!$A$1:$BZ$3001,2843,$E$1)&amp;"",",",""),"¥",""),"￥","")),0))</f>
        <v/>
      </c>
      <c r="F2844">
        <f>IF($F$1=0,0,IFERROR(VALUE(SUBSTITUTE(SUBSTITUTE(SUBSTITUTE(INDEX(貼り付け!$A$1:$BZ$3001,2843,$F$1)&amp;"",",",""),"¥",""),"￥","")),0))</f>
        <v/>
      </c>
      <c r="G2844">
        <f>IF(ISNUMBER(B2844),YEAR(B2844),"")</f>
        <v/>
      </c>
      <c r="H2844">
        <f>IF(ISNUMBER(B2844),MONTH(B2844),"")</f>
        <v/>
      </c>
      <c r="I2844">
        <f>IFERROR(IF($B$1=0,"",IF(ISNUMBER(INDEX(貼り付け!$A$1:$BZ$3001,2843,$B$1)),"",SUBSTITUTE(SUBSTITUTE(SUBSTITUTE(SUBSTITUTE(TRIM(LEFT(INDEX(貼り付け!$A$1:$BZ$3001,2843,$B$1)&amp;"",FIND(" ",TRIM(INDEX(貼り付け!$A$1:$BZ$3001,2843,$B$1)&amp;"")&amp;" ")-1)),"/","-"),"年","-"),"月","-"),"日",""))),"")</f>
        <v/>
      </c>
      <c r="J2844">
        <f>IFERROR(MID(I2844,FIND("-",I2844)+1,99),"")</f>
        <v/>
      </c>
    </row>
    <row r="2845">
      <c r="B2845">
        <f>IFERROR(IF($B$1=0,"",IF(INDEX(貼り付け!$A$1:$BZ$3001,2844,$B$1)="","",IF(ISNUMBER(INDEX(貼り付け!$A$1:$BZ$3001,2844,$B$1)),INT(INDEX(貼り付け!$A$1:$BZ$3001,2844,$B$1)),DATE(VALUE(LEFT(I2845,FIND("-",I2845)-1)),VALUE(LEFT(J2845,FIND("-",J2845)-1)),VALUE(MID(J2845,FIND("-",J2845)+1,99)))))),"")</f>
        <v/>
      </c>
      <c r="C2845">
        <f>IF($C$1=0,0,IFERROR(VALUE(SUBSTITUTE(SUBSTITUTE(SUBSTITUTE(INDEX(貼り付け!$A$1:$BZ$3001,2844,$C$1)&amp;"",",",""),"¥",""),"￥","")),0))</f>
        <v/>
      </c>
      <c r="D2845">
        <f>IF($D$1=0,0,IFERROR(VALUE(SUBSTITUTE(SUBSTITUTE(SUBSTITUTE(INDEX(貼り付け!$A$1:$BZ$3001,2844,$D$1)&amp;"",",",""),"¥",""),"￥","")),0))</f>
        <v/>
      </c>
      <c r="E2845">
        <f>IF($E$1=0,0,IFERROR(VALUE(SUBSTITUTE(SUBSTITUTE(SUBSTITUTE(INDEX(貼り付け!$A$1:$BZ$3001,2844,$E$1)&amp;"",",",""),"¥",""),"￥","")),0))</f>
        <v/>
      </c>
      <c r="F2845">
        <f>IF($F$1=0,0,IFERROR(VALUE(SUBSTITUTE(SUBSTITUTE(SUBSTITUTE(INDEX(貼り付け!$A$1:$BZ$3001,2844,$F$1)&amp;"",",",""),"¥",""),"￥","")),0))</f>
        <v/>
      </c>
      <c r="G2845">
        <f>IF(ISNUMBER(B2845),YEAR(B2845),"")</f>
        <v/>
      </c>
      <c r="H2845">
        <f>IF(ISNUMBER(B2845),MONTH(B2845),"")</f>
        <v/>
      </c>
      <c r="I2845">
        <f>IFERROR(IF($B$1=0,"",IF(ISNUMBER(INDEX(貼り付け!$A$1:$BZ$3001,2844,$B$1)),"",SUBSTITUTE(SUBSTITUTE(SUBSTITUTE(SUBSTITUTE(TRIM(LEFT(INDEX(貼り付け!$A$1:$BZ$3001,2844,$B$1)&amp;"",FIND(" ",TRIM(INDEX(貼り付け!$A$1:$BZ$3001,2844,$B$1)&amp;"")&amp;" ")-1)),"/","-"),"年","-"),"月","-"),"日",""))),"")</f>
        <v/>
      </c>
      <c r="J2845">
        <f>IFERROR(MID(I2845,FIND("-",I2845)+1,99),"")</f>
        <v/>
      </c>
    </row>
    <row r="2846">
      <c r="B2846">
        <f>IFERROR(IF($B$1=0,"",IF(INDEX(貼り付け!$A$1:$BZ$3001,2845,$B$1)="","",IF(ISNUMBER(INDEX(貼り付け!$A$1:$BZ$3001,2845,$B$1)),INT(INDEX(貼り付け!$A$1:$BZ$3001,2845,$B$1)),DATE(VALUE(LEFT(I2846,FIND("-",I2846)-1)),VALUE(LEFT(J2846,FIND("-",J2846)-1)),VALUE(MID(J2846,FIND("-",J2846)+1,99)))))),"")</f>
        <v/>
      </c>
      <c r="C2846">
        <f>IF($C$1=0,0,IFERROR(VALUE(SUBSTITUTE(SUBSTITUTE(SUBSTITUTE(INDEX(貼り付け!$A$1:$BZ$3001,2845,$C$1)&amp;"",",",""),"¥",""),"￥","")),0))</f>
        <v/>
      </c>
      <c r="D2846">
        <f>IF($D$1=0,0,IFERROR(VALUE(SUBSTITUTE(SUBSTITUTE(SUBSTITUTE(INDEX(貼り付け!$A$1:$BZ$3001,2845,$D$1)&amp;"",",",""),"¥",""),"￥","")),0))</f>
        <v/>
      </c>
      <c r="E2846">
        <f>IF($E$1=0,0,IFERROR(VALUE(SUBSTITUTE(SUBSTITUTE(SUBSTITUTE(INDEX(貼り付け!$A$1:$BZ$3001,2845,$E$1)&amp;"",",",""),"¥",""),"￥","")),0))</f>
        <v/>
      </c>
      <c r="F2846">
        <f>IF($F$1=0,0,IFERROR(VALUE(SUBSTITUTE(SUBSTITUTE(SUBSTITUTE(INDEX(貼り付け!$A$1:$BZ$3001,2845,$F$1)&amp;"",",",""),"¥",""),"￥","")),0))</f>
        <v/>
      </c>
      <c r="G2846">
        <f>IF(ISNUMBER(B2846),YEAR(B2846),"")</f>
        <v/>
      </c>
      <c r="H2846">
        <f>IF(ISNUMBER(B2846),MONTH(B2846),"")</f>
        <v/>
      </c>
      <c r="I2846">
        <f>IFERROR(IF($B$1=0,"",IF(ISNUMBER(INDEX(貼り付け!$A$1:$BZ$3001,2845,$B$1)),"",SUBSTITUTE(SUBSTITUTE(SUBSTITUTE(SUBSTITUTE(TRIM(LEFT(INDEX(貼り付け!$A$1:$BZ$3001,2845,$B$1)&amp;"",FIND(" ",TRIM(INDEX(貼り付け!$A$1:$BZ$3001,2845,$B$1)&amp;"")&amp;" ")-1)),"/","-"),"年","-"),"月","-"),"日",""))),"")</f>
        <v/>
      </c>
      <c r="J2846">
        <f>IFERROR(MID(I2846,FIND("-",I2846)+1,99),"")</f>
        <v/>
      </c>
    </row>
    <row r="2847">
      <c r="B2847">
        <f>IFERROR(IF($B$1=0,"",IF(INDEX(貼り付け!$A$1:$BZ$3001,2846,$B$1)="","",IF(ISNUMBER(INDEX(貼り付け!$A$1:$BZ$3001,2846,$B$1)),INT(INDEX(貼り付け!$A$1:$BZ$3001,2846,$B$1)),DATE(VALUE(LEFT(I2847,FIND("-",I2847)-1)),VALUE(LEFT(J2847,FIND("-",J2847)-1)),VALUE(MID(J2847,FIND("-",J2847)+1,99)))))),"")</f>
        <v/>
      </c>
      <c r="C2847">
        <f>IF($C$1=0,0,IFERROR(VALUE(SUBSTITUTE(SUBSTITUTE(SUBSTITUTE(INDEX(貼り付け!$A$1:$BZ$3001,2846,$C$1)&amp;"",",",""),"¥",""),"￥","")),0))</f>
        <v/>
      </c>
      <c r="D2847">
        <f>IF($D$1=0,0,IFERROR(VALUE(SUBSTITUTE(SUBSTITUTE(SUBSTITUTE(INDEX(貼り付け!$A$1:$BZ$3001,2846,$D$1)&amp;"",",",""),"¥",""),"￥","")),0))</f>
        <v/>
      </c>
      <c r="E2847">
        <f>IF($E$1=0,0,IFERROR(VALUE(SUBSTITUTE(SUBSTITUTE(SUBSTITUTE(INDEX(貼り付け!$A$1:$BZ$3001,2846,$E$1)&amp;"",",",""),"¥",""),"￥","")),0))</f>
        <v/>
      </c>
      <c r="F2847">
        <f>IF($F$1=0,0,IFERROR(VALUE(SUBSTITUTE(SUBSTITUTE(SUBSTITUTE(INDEX(貼り付け!$A$1:$BZ$3001,2846,$F$1)&amp;"",",",""),"¥",""),"￥","")),0))</f>
        <v/>
      </c>
      <c r="G2847">
        <f>IF(ISNUMBER(B2847),YEAR(B2847),"")</f>
        <v/>
      </c>
      <c r="H2847">
        <f>IF(ISNUMBER(B2847),MONTH(B2847),"")</f>
        <v/>
      </c>
      <c r="I2847">
        <f>IFERROR(IF($B$1=0,"",IF(ISNUMBER(INDEX(貼り付け!$A$1:$BZ$3001,2846,$B$1)),"",SUBSTITUTE(SUBSTITUTE(SUBSTITUTE(SUBSTITUTE(TRIM(LEFT(INDEX(貼り付け!$A$1:$BZ$3001,2846,$B$1)&amp;"",FIND(" ",TRIM(INDEX(貼り付け!$A$1:$BZ$3001,2846,$B$1)&amp;"")&amp;" ")-1)),"/","-"),"年","-"),"月","-"),"日",""))),"")</f>
        <v/>
      </c>
      <c r="J2847">
        <f>IFERROR(MID(I2847,FIND("-",I2847)+1,99),"")</f>
        <v/>
      </c>
    </row>
    <row r="2848">
      <c r="B2848">
        <f>IFERROR(IF($B$1=0,"",IF(INDEX(貼り付け!$A$1:$BZ$3001,2847,$B$1)="","",IF(ISNUMBER(INDEX(貼り付け!$A$1:$BZ$3001,2847,$B$1)),INT(INDEX(貼り付け!$A$1:$BZ$3001,2847,$B$1)),DATE(VALUE(LEFT(I2848,FIND("-",I2848)-1)),VALUE(LEFT(J2848,FIND("-",J2848)-1)),VALUE(MID(J2848,FIND("-",J2848)+1,99)))))),"")</f>
        <v/>
      </c>
      <c r="C2848">
        <f>IF($C$1=0,0,IFERROR(VALUE(SUBSTITUTE(SUBSTITUTE(SUBSTITUTE(INDEX(貼り付け!$A$1:$BZ$3001,2847,$C$1)&amp;"",",",""),"¥",""),"￥","")),0))</f>
        <v/>
      </c>
      <c r="D2848">
        <f>IF($D$1=0,0,IFERROR(VALUE(SUBSTITUTE(SUBSTITUTE(SUBSTITUTE(INDEX(貼り付け!$A$1:$BZ$3001,2847,$D$1)&amp;"",",",""),"¥",""),"￥","")),0))</f>
        <v/>
      </c>
      <c r="E2848">
        <f>IF($E$1=0,0,IFERROR(VALUE(SUBSTITUTE(SUBSTITUTE(SUBSTITUTE(INDEX(貼り付け!$A$1:$BZ$3001,2847,$E$1)&amp;"",",",""),"¥",""),"￥","")),0))</f>
        <v/>
      </c>
      <c r="F2848">
        <f>IF($F$1=0,0,IFERROR(VALUE(SUBSTITUTE(SUBSTITUTE(SUBSTITUTE(INDEX(貼り付け!$A$1:$BZ$3001,2847,$F$1)&amp;"",",",""),"¥",""),"￥","")),0))</f>
        <v/>
      </c>
      <c r="G2848">
        <f>IF(ISNUMBER(B2848),YEAR(B2848),"")</f>
        <v/>
      </c>
      <c r="H2848">
        <f>IF(ISNUMBER(B2848),MONTH(B2848),"")</f>
        <v/>
      </c>
      <c r="I2848">
        <f>IFERROR(IF($B$1=0,"",IF(ISNUMBER(INDEX(貼り付け!$A$1:$BZ$3001,2847,$B$1)),"",SUBSTITUTE(SUBSTITUTE(SUBSTITUTE(SUBSTITUTE(TRIM(LEFT(INDEX(貼り付け!$A$1:$BZ$3001,2847,$B$1)&amp;"",FIND(" ",TRIM(INDEX(貼り付け!$A$1:$BZ$3001,2847,$B$1)&amp;"")&amp;" ")-1)),"/","-"),"年","-"),"月","-"),"日",""))),"")</f>
        <v/>
      </c>
      <c r="J2848">
        <f>IFERROR(MID(I2848,FIND("-",I2848)+1,99),"")</f>
        <v/>
      </c>
    </row>
    <row r="2849">
      <c r="B2849">
        <f>IFERROR(IF($B$1=0,"",IF(INDEX(貼り付け!$A$1:$BZ$3001,2848,$B$1)="","",IF(ISNUMBER(INDEX(貼り付け!$A$1:$BZ$3001,2848,$B$1)),INT(INDEX(貼り付け!$A$1:$BZ$3001,2848,$B$1)),DATE(VALUE(LEFT(I2849,FIND("-",I2849)-1)),VALUE(LEFT(J2849,FIND("-",J2849)-1)),VALUE(MID(J2849,FIND("-",J2849)+1,99)))))),"")</f>
        <v/>
      </c>
      <c r="C2849">
        <f>IF($C$1=0,0,IFERROR(VALUE(SUBSTITUTE(SUBSTITUTE(SUBSTITUTE(INDEX(貼り付け!$A$1:$BZ$3001,2848,$C$1)&amp;"",",",""),"¥",""),"￥","")),0))</f>
        <v/>
      </c>
      <c r="D2849">
        <f>IF($D$1=0,0,IFERROR(VALUE(SUBSTITUTE(SUBSTITUTE(SUBSTITUTE(INDEX(貼り付け!$A$1:$BZ$3001,2848,$D$1)&amp;"",",",""),"¥",""),"￥","")),0))</f>
        <v/>
      </c>
      <c r="E2849">
        <f>IF($E$1=0,0,IFERROR(VALUE(SUBSTITUTE(SUBSTITUTE(SUBSTITUTE(INDEX(貼り付け!$A$1:$BZ$3001,2848,$E$1)&amp;"",",",""),"¥",""),"￥","")),0))</f>
        <v/>
      </c>
      <c r="F2849">
        <f>IF($F$1=0,0,IFERROR(VALUE(SUBSTITUTE(SUBSTITUTE(SUBSTITUTE(INDEX(貼り付け!$A$1:$BZ$3001,2848,$F$1)&amp;"",",",""),"¥",""),"￥","")),0))</f>
        <v/>
      </c>
      <c r="G2849">
        <f>IF(ISNUMBER(B2849),YEAR(B2849),"")</f>
        <v/>
      </c>
      <c r="H2849">
        <f>IF(ISNUMBER(B2849),MONTH(B2849),"")</f>
        <v/>
      </c>
      <c r="I2849">
        <f>IFERROR(IF($B$1=0,"",IF(ISNUMBER(INDEX(貼り付け!$A$1:$BZ$3001,2848,$B$1)),"",SUBSTITUTE(SUBSTITUTE(SUBSTITUTE(SUBSTITUTE(TRIM(LEFT(INDEX(貼り付け!$A$1:$BZ$3001,2848,$B$1)&amp;"",FIND(" ",TRIM(INDEX(貼り付け!$A$1:$BZ$3001,2848,$B$1)&amp;"")&amp;" ")-1)),"/","-"),"年","-"),"月","-"),"日",""))),"")</f>
        <v/>
      </c>
      <c r="J2849">
        <f>IFERROR(MID(I2849,FIND("-",I2849)+1,99),"")</f>
        <v/>
      </c>
    </row>
    <row r="2850">
      <c r="B2850">
        <f>IFERROR(IF($B$1=0,"",IF(INDEX(貼り付け!$A$1:$BZ$3001,2849,$B$1)="","",IF(ISNUMBER(INDEX(貼り付け!$A$1:$BZ$3001,2849,$B$1)),INT(INDEX(貼り付け!$A$1:$BZ$3001,2849,$B$1)),DATE(VALUE(LEFT(I2850,FIND("-",I2850)-1)),VALUE(LEFT(J2850,FIND("-",J2850)-1)),VALUE(MID(J2850,FIND("-",J2850)+1,99)))))),"")</f>
        <v/>
      </c>
      <c r="C2850">
        <f>IF($C$1=0,0,IFERROR(VALUE(SUBSTITUTE(SUBSTITUTE(SUBSTITUTE(INDEX(貼り付け!$A$1:$BZ$3001,2849,$C$1)&amp;"",",",""),"¥",""),"￥","")),0))</f>
        <v/>
      </c>
      <c r="D2850">
        <f>IF($D$1=0,0,IFERROR(VALUE(SUBSTITUTE(SUBSTITUTE(SUBSTITUTE(INDEX(貼り付け!$A$1:$BZ$3001,2849,$D$1)&amp;"",",",""),"¥",""),"￥","")),0))</f>
        <v/>
      </c>
      <c r="E2850">
        <f>IF($E$1=0,0,IFERROR(VALUE(SUBSTITUTE(SUBSTITUTE(SUBSTITUTE(INDEX(貼り付け!$A$1:$BZ$3001,2849,$E$1)&amp;"",",",""),"¥",""),"￥","")),0))</f>
        <v/>
      </c>
      <c r="F2850">
        <f>IF($F$1=0,0,IFERROR(VALUE(SUBSTITUTE(SUBSTITUTE(SUBSTITUTE(INDEX(貼り付け!$A$1:$BZ$3001,2849,$F$1)&amp;"",",",""),"¥",""),"￥","")),0))</f>
        <v/>
      </c>
      <c r="G2850">
        <f>IF(ISNUMBER(B2850),YEAR(B2850),"")</f>
        <v/>
      </c>
      <c r="H2850">
        <f>IF(ISNUMBER(B2850),MONTH(B2850),"")</f>
        <v/>
      </c>
      <c r="I2850">
        <f>IFERROR(IF($B$1=0,"",IF(ISNUMBER(INDEX(貼り付け!$A$1:$BZ$3001,2849,$B$1)),"",SUBSTITUTE(SUBSTITUTE(SUBSTITUTE(SUBSTITUTE(TRIM(LEFT(INDEX(貼り付け!$A$1:$BZ$3001,2849,$B$1)&amp;"",FIND(" ",TRIM(INDEX(貼り付け!$A$1:$BZ$3001,2849,$B$1)&amp;"")&amp;" ")-1)),"/","-"),"年","-"),"月","-"),"日",""))),"")</f>
        <v/>
      </c>
      <c r="J2850">
        <f>IFERROR(MID(I2850,FIND("-",I2850)+1,99),"")</f>
        <v/>
      </c>
    </row>
    <row r="2851">
      <c r="B2851">
        <f>IFERROR(IF($B$1=0,"",IF(INDEX(貼り付け!$A$1:$BZ$3001,2850,$B$1)="","",IF(ISNUMBER(INDEX(貼り付け!$A$1:$BZ$3001,2850,$B$1)),INT(INDEX(貼り付け!$A$1:$BZ$3001,2850,$B$1)),DATE(VALUE(LEFT(I2851,FIND("-",I2851)-1)),VALUE(LEFT(J2851,FIND("-",J2851)-1)),VALUE(MID(J2851,FIND("-",J2851)+1,99)))))),"")</f>
        <v/>
      </c>
      <c r="C2851">
        <f>IF($C$1=0,0,IFERROR(VALUE(SUBSTITUTE(SUBSTITUTE(SUBSTITUTE(INDEX(貼り付け!$A$1:$BZ$3001,2850,$C$1)&amp;"",",",""),"¥",""),"￥","")),0))</f>
        <v/>
      </c>
      <c r="D2851">
        <f>IF($D$1=0,0,IFERROR(VALUE(SUBSTITUTE(SUBSTITUTE(SUBSTITUTE(INDEX(貼り付け!$A$1:$BZ$3001,2850,$D$1)&amp;"",",",""),"¥",""),"￥","")),0))</f>
        <v/>
      </c>
      <c r="E2851">
        <f>IF($E$1=0,0,IFERROR(VALUE(SUBSTITUTE(SUBSTITUTE(SUBSTITUTE(INDEX(貼り付け!$A$1:$BZ$3001,2850,$E$1)&amp;"",",",""),"¥",""),"￥","")),0))</f>
        <v/>
      </c>
      <c r="F2851">
        <f>IF($F$1=0,0,IFERROR(VALUE(SUBSTITUTE(SUBSTITUTE(SUBSTITUTE(INDEX(貼り付け!$A$1:$BZ$3001,2850,$F$1)&amp;"",",",""),"¥",""),"￥","")),0))</f>
        <v/>
      </c>
      <c r="G2851">
        <f>IF(ISNUMBER(B2851),YEAR(B2851),"")</f>
        <v/>
      </c>
      <c r="H2851">
        <f>IF(ISNUMBER(B2851),MONTH(B2851),"")</f>
        <v/>
      </c>
      <c r="I2851">
        <f>IFERROR(IF($B$1=0,"",IF(ISNUMBER(INDEX(貼り付け!$A$1:$BZ$3001,2850,$B$1)),"",SUBSTITUTE(SUBSTITUTE(SUBSTITUTE(SUBSTITUTE(TRIM(LEFT(INDEX(貼り付け!$A$1:$BZ$3001,2850,$B$1)&amp;"",FIND(" ",TRIM(INDEX(貼り付け!$A$1:$BZ$3001,2850,$B$1)&amp;"")&amp;" ")-1)),"/","-"),"年","-"),"月","-"),"日",""))),"")</f>
        <v/>
      </c>
      <c r="J2851">
        <f>IFERROR(MID(I2851,FIND("-",I2851)+1,99),"")</f>
        <v/>
      </c>
    </row>
    <row r="2852">
      <c r="B2852">
        <f>IFERROR(IF($B$1=0,"",IF(INDEX(貼り付け!$A$1:$BZ$3001,2851,$B$1)="","",IF(ISNUMBER(INDEX(貼り付け!$A$1:$BZ$3001,2851,$B$1)),INT(INDEX(貼り付け!$A$1:$BZ$3001,2851,$B$1)),DATE(VALUE(LEFT(I2852,FIND("-",I2852)-1)),VALUE(LEFT(J2852,FIND("-",J2852)-1)),VALUE(MID(J2852,FIND("-",J2852)+1,99)))))),"")</f>
        <v/>
      </c>
      <c r="C2852">
        <f>IF($C$1=0,0,IFERROR(VALUE(SUBSTITUTE(SUBSTITUTE(SUBSTITUTE(INDEX(貼り付け!$A$1:$BZ$3001,2851,$C$1)&amp;"",",",""),"¥",""),"￥","")),0))</f>
        <v/>
      </c>
      <c r="D2852">
        <f>IF($D$1=0,0,IFERROR(VALUE(SUBSTITUTE(SUBSTITUTE(SUBSTITUTE(INDEX(貼り付け!$A$1:$BZ$3001,2851,$D$1)&amp;"",",",""),"¥",""),"￥","")),0))</f>
        <v/>
      </c>
      <c r="E2852">
        <f>IF($E$1=0,0,IFERROR(VALUE(SUBSTITUTE(SUBSTITUTE(SUBSTITUTE(INDEX(貼り付け!$A$1:$BZ$3001,2851,$E$1)&amp;"",",",""),"¥",""),"￥","")),0))</f>
        <v/>
      </c>
      <c r="F2852">
        <f>IF($F$1=0,0,IFERROR(VALUE(SUBSTITUTE(SUBSTITUTE(SUBSTITUTE(INDEX(貼り付け!$A$1:$BZ$3001,2851,$F$1)&amp;"",",",""),"¥",""),"￥","")),0))</f>
        <v/>
      </c>
      <c r="G2852">
        <f>IF(ISNUMBER(B2852),YEAR(B2852),"")</f>
        <v/>
      </c>
      <c r="H2852">
        <f>IF(ISNUMBER(B2852),MONTH(B2852),"")</f>
        <v/>
      </c>
      <c r="I2852">
        <f>IFERROR(IF($B$1=0,"",IF(ISNUMBER(INDEX(貼り付け!$A$1:$BZ$3001,2851,$B$1)),"",SUBSTITUTE(SUBSTITUTE(SUBSTITUTE(SUBSTITUTE(TRIM(LEFT(INDEX(貼り付け!$A$1:$BZ$3001,2851,$B$1)&amp;"",FIND(" ",TRIM(INDEX(貼り付け!$A$1:$BZ$3001,2851,$B$1)&amp;"")&amp;" ")-1)),"/","-"),"年","-"),"月","-"),"日",""))),"")</f>
        <v/>
      </c>
      <c r="J2852">
        <f>IFERROR(MID(I2852,FIND("-",I2852)+1,99),"")</f>
        <v/>
      </c>
    </row>
    <row r="2853">
      <c r="B2853">
        <f>IFERROR(IF($B$1=0,"",IF(INDEX(貼り付け!$A$1:$BZ$3001,2852,$B$1)="","",IF(ISNUMBER(INDEX(貼り付け!$A$1:$BZ$3001,2852,$B$1)),INT(INDEX(貼り付け!$A$1:$BZ$3001,2852,$B$1)),DATE(VALUE(LEFT(I2853,FIND("-",I2853)-1)),VALUE(LEFT(J2853,FIND("-",J2853)-1)),VALUE(MID(J2853,FIND("-",J2853)+1,99)))))),"")</f>
        <v/>
      </c>
      <c r="C2853">
        <f>IF($C$1=0,0,IFERROR(VALUE(SUBSTITUTE(SUBSTITUTE(SUBSTITUTE(INDEX(貼り付け!$A$1:$BZ$3001,2852,$C$1)&amp;"",",",""),"¥",""),"￥","")),0))</f>
        <v/>
      </c>
      <c r="D2853">
        <f>IF($D$1=0,0,IFERROR(VALUE(SUBSTITUTE(SUBSTITUTE(SUBSTITUTE(INDEX(貼り付け!$A$1:$BZ$3001,2852,$D$1)&amp;"",",",""),"¥",""),"￥","")),0))</f>
        <v/>
      </c>
      <c r="E2853">
        <f>IF($E$1=0,0,IFERROR(VALUE(SUBSTITUTE(SUBSTITUTE(SUBSTITUTE(INDEX(貼り付け!$A$1:$BZ$3001,2852,$E$1)&amp;"",",",""),"¥",""),"￥","")),0))</f>
        <v/>
      </c>
      <c r="F2853">
        <f>IF($F$1=0,0,IFERROR(VALUE(SUBSTITUTE(SUBSTITUTE(SUBSTITUTE(INDEX(貼り付け!$A$1:$BZ$3001,2852,$F$1)&amp;"",",",""),"¥",""),"￥","")),0))</f>
        <v/>
      </c>
      <c r="G2853">
        <f>IF(ISNUMBER(B2853),YEAR(B2853),"")</f>
        <v/>
      </c>
      <c r="H2853">
        <f>IF(ISNUMBER(B2853),MONTH(B2853),"")</f>
        <v/>
      </c>
      <c r="I2853">
        <f>IFERROR(IF($B$1=0,"",IF(ISNUMBER(INDEX(貼り付け!$A$1:$BZ$3001,2852,$B$1)),"",SUBSTITUTE(SUBSTITUTE(SUBSTITUTE(SUBSTITUTE(TRIM(LEFT(INDEX(貼り付け!$A$1:$BZ$3001,2852,$B$1)&amp;"",FIND(" ",TRIM(INDEX(貼り付け!$A$1:$BZ$3001,2852,$B$1)&amp;"")&amp;" ")-1)),"/","-"),"年","-"),"月","-"),"日",""))),"")</f>
        <v/>
      </c>
      <c r="J2853">
        <f>IFERROR(MID(I2853,FIND("-",I2853)+1,99),"")</f>
        <v/>
      </c>
    </row>
    <row r="2854">
      <c r="B2854">
        <f>IFERROR(IF($B$1=0,"",IF(INDEX(貼り付け!$A$1:$BZ$3001,2853,$B$1)="","",IF(ISNUMBER(INDEX(貼り付け!$A$1:$BZ$3001,2853,$B$1)),INT(INDEX(貼り付け!$A$1:$BZ$3001,2853,$B$1)),DATE(VALUE(LEFT(I2854,FIND("-",I2854)-1)),VALUE(LEFT(J2854,FIND("-",J2854)-1)),VALUE(MID(J2854,FIND("-",J2854)+1,99)))))),"")</f>
        <v/>
      </c>
      <c r="C2854">
        <f>IF($C$1=0,0,IFERROR(VALUE(SUBSTITUTE(SUBSTITUTE(SUBSTITUTE(INDEX(貼り付け!$A$1:$BZ$3001,2853,$C$1)&amp;"",",",""),"¥",""),"￥","")),0))</f>
        <v/>
      </c>
      <c r="D2854">
        <f>IF($D$1=0,0,IFERROR(VALUE(SUBSTITUTE(SUBSTITUTE(SUBSTITUTE(INDEX(貼り付け!$A$1:$BZ$3001,2853,$D$1)&amp;"",",",""),"¥",""),"￥","")),0))</f>
        <v/>
      </c>
      <c r="E2854">
        <f>IF($E$1=0,0,IFERROR(VALUE(SUBSTITUTE(SUBSTITUTE(SUBSTITUTE(INDEX(貼り付け!$A$1:$BZ$3001,2853,$E$1)&amp;"",",",""),"¥",""),"￥","")),0))</f>
        <v/>
      </c>
      <c r="F2854">
        <f>IF($F$1=0,0,IFERROR(VALUE(SUBSTITUTE(SUBSTITUTE(SUBSTITUTE(INDEX(貼り付け!$A$1:$BZ$3001,2853,$F$1)&amp;"",",",""),"¥",""),"￥","")),0))</f>
        <v/>
      </c>
      <c r="G2854">
        <f>IF(ISNUMBER(B2854),YEAR(B2854),"")</f>
        <v/>
      </c>
      <c r="H2854">
        <f>IF(ISNUMBER(B2854),MONTH(B2854),"")</f>
        <v/>
      </c>
      <c r="I2854">
        <f>IFERROR(IF($B$1=0,"",IF(ISNUMBER(INDEX(貼り付け!$A$1:$BZ$3001,2853,$B$1)),"",SUBSTITUTE(SUBSTITUTE(SUBSTITUTE(SUBSTITUTE(TRIM(LEFT(INDEX(貼り付け!$A$1:$BZ$3001,2853,$B$1)&amp;"",FIND(" ",TRIM(INDEX(貼り付け!$A$1:$BZ$3001,2853,$B$1)&amp;"")&amp;" ")-1)),"/","-"),"年","-"),"月","-"),"日",""))),"")</f>
        <v/>
      </c>
      <c r="J2854">
        <f>IFERROR(MID(I2854,FIND("-",I2854)+1,99),"")</f>
        <v/>
      </c>
    </row>
    <row r="2855">
      <c r="B2855">
        <f>IFERROR(IF($B$1=0,"",IF(INDEX(貼り付け!$A$1:$BZ$3001,2854,$B$1)="","",IF(ISNUMBER(INDEX(貼り付け!$A$1:$BZ$3001,2854,$B$1)),INT(INDEX(貼り付け!$A$1:$BZ$3001,2854,$B$1)),DATE(VALUE(LEFT(I2855,FIND("-",I2855)-1)),VALUE(LEFT(J2855,FIND("-",J2855)-1)),VALUE(MID(J2855,FIND("-",J2855)+1,99)))))),"")</f>
        <v/>
      </c>
      <c r="C2855">
        <f>IF($C$1=0,0,IFERROR(VALUE(SUBSTITUTE(SUBSTITUTE(SUBSTITUTE(INDEX(貼り付け!$A$1:$BZ$3001,2854,$C$1)&amp;"",",",""),"¥",""),"￥","")),0))</f>
        <v/>
      </c>
      <c r="D2855">
        <f>IF($D$1=0,0,IFERROR(VALUE(SUBSTITUTE(SUBSTITUTE(SUBSTITUTE(INDEX(貼り付け!$A$1:$BZ$3001,2854,$D$1)&amp;"",",",""),"¥",""),"￥","")),0))</f>
        <v/>
      </c>
      <c r="E2855">
        <f>IF($E$1=0,0,IFERROR(VALUE(SUBSTITUTE(SUBSTITUTE(SUBSTITUTE(INDEX(貼り付け!$A$1:$BZ$3001,2854,$E$1)&amp;"",",",""),"¥",""),"￥","")),0))</f>
        <v/>
      </c>
      <c r="F2855">
        <f>IF($F$1=0,0,IFERROR(VALUE(SUBSTITUTE(SUBSTITUTE(SUBSTITUTE(INDEX(貼り付け!$A$1:$BZ$3001,2854,$F$1)&amp;"",",",""),"¥",""),"￥","")),0))</f>
        <v/>
      </c>
      <c r="G2855">
        <f>IF(ISNUMBER(B2855),YEAR(B2855),"")</f>
        <v/>
      </c>
      <c r="H2855">
        <f>IF(ISNUMBER(B2855),MONTH(B2855),"")</f>
        <v/>
      </c>
      <c r="I2855">
        <f>IFERROR(IF($B$1=0,"",IF(ISNUMBER(INDEX(貼り付け!$A$1:$BZ$3001,2854,$B$1)),"",SUBSTITUTE(SUBSTITUTE(SUBSTITUTE(SUBSTITUTE(TRIM(LEFT(INDEX(貼り付け!$A$1:$BZ$3001,2854,$B$1)&amp;"",FIND(" ",TRIM(INDEX(貼り付け!$A$1:$BZ$3001,2854,$B$1)&amp;"")&amp;" ")-1)),"/","-"),"年","-"),"月","-"),"日",""))),"")</f>
        <v/>
      </c>
      <c r="J2855">
        <f>IFERROR(MID(I2855,FIND("-",I2855)+1,99),"")</f>
        <v/>
      </c>
    </row>
    <row r="2856">
      <c r="B2856">
        <f>IFERROR(IF($B$1=0,"",IF(INDEX(貼り付け!$A$1:$BZ$3001,2855,$B$1)="","",IF(ISNUMBER(INDEX(貼り付け!$A$1:$BZ$3001,2855,$B$1)),INT(INDEX(貼り付け!$A$1:$BZ$3001,2855,$B$1)),DATE(VALUE(LEFT(I2856,FIND("-",I2856)-1)),VALUE(LEFT(J2856,FIND("-",J2856)-1)),VALUE(MID(J2856,FIND("-",J2856)+1,99)))))),"")</f>
        <v/>
      </c>
      <c r="C2856">
        <f>IF($C$1=0,0,IFERROR(VALUE(SUBSTITUTE(SUBSTITUTE(SUBSTITUTE(INDEX(貼り付け!$A$1:$BZ$3001,2855,$C$1)&amp;"",",",""),"¥",""),"￥","")),0))</f>
        <v/>
      </c>
      <c r="D2856">
        <f>IF($D$1=0,0,IFERROR(VALUE(SUBSTITUTE(SUBSTITUTE(SUBSTITUTE(INDEX(貼り付け!$A$1:$BZ$3001,2855,$D$1)&amp;"",",",""),"¥",""),"￥","")),0))</f>
        <v/>
      </c>
      <c r="E2856">
        <f>IF($E$1=0,0,IFERROR(VALUE(SUBSTITUTE(SUBSTITUTE(SUBSTITUTE(INDEX(貼り付け!$A$1:$BZ$3001,2855,$E$1)&amp;"",",",""),"¥",""),"￥","")),0))</f>
        <v/>
      </c>
      <c r="F2856">
        <f>IF($F$1=0,0,IFERROR(VALUE(SUBSTITUTE(SUBSTITUTE(SUBSTITUTE(INDEX(貼り付け!$A$1:$BZ$3001,2855,$F$1)&amp;"",",",""),"¥",""),"￥","")),0))</f>
        <v/>
      </c>
      <c r="G2856">
        <f>IF(ISNUMBER(B2856),YEAR(B2856),"")</f>
        <v/>
      </c>
      <c r="H2856">
        <f>IF(ISNUMBER(B2856),MONTH(B2856),"")</f>
        <v/>
      </c>
      <c r="I2856">
        <f>IFERROR(IF($B$1=0,"",IF(ISNUMBER(INDEX(貼り付け!$A$1:$BZ$3001,2855,$B$1)),"",SUBSTITUTE(SUBSTITUTE(SUBSTITUTE(SUBSTITUTE(TRIM(LEFT(INDEX(貼り付け!$A$1:$BZ$3001,2855,$B$1)&amp;"",FIND(" ",TRIM(INDEX(貼り付け!$A$1:$BZ$3001,2855,$B$1)&amp;"")&amp;" ")-1)),"/","-"),"年","-"),"月","-"),"日",""))),"")</f>
        <v/>
      </c>
      <c r="J2856">
        <f>IFERROR(MID(I2856,FIND("-",I2856)+1,99),"")</f>
        <v/>
      </c>
    </row>
    <row r="2857">
      <c r="B2857">
        <f>IFERROR(IF($B$1=0,"",IF(INDEX(貼り付け!$A$1:$BZ$3001,2856,$B$1)="","",IF(ISNUMBER(INDEX(貼り付け!$A$1:$BZ$3001,2856,$B$1)),INT(INDEX(貼り付け!$A$1:$BZ$3001,2856,$B$1)),DATE(VALUE(LEFT(I2857,FIND("-",I2857)-1)),VALUE(LEFT(J2857,FIND("-",J2857)-1)),VALUE(MID(J2857,FIND("-",J2857)+1,99)))))),"")</f>
        <v/>
      </c>
      <c r="C2857">
        <f>IF($C$1=0,0,IFERROR(VALUE(SUBSTITUTE(SUBSTITUTE(SUBSTITUTE(INDEX(貼り付け!$A$1:$BZ$3001,2856,$C$1)&amp;"",",",""),"¥",""),"￥","")),0))</f>
        <v/>
      </c>
      <c r="D2857">
        <f>IF($D$1=0,0,IFERROR(VALUE(SUBSTITUTE(SUBSTITUTE(SUBSTITUTE(INDEX(貼り付け!$A$1:$BZ$3001,2856,$D$1)&amp;"",",",""),"¥",""),"￥","")),0))</f>
        <v/>
      </c>
      <c r="E2857">
        <f>IF($E$1=0,0,IFERROR(VALUE(SUBSTITUTE(SUBSTITUTE(SUBSTITUTE(INDEX(貼り付け!$A$1:$BZ$3001,2856,$E$1)&amp;"",",",""),"¥",""),"￥","")),0))</f>
        <v/>
      </c>
      <c r="F2857">
        <f>IF($F$1=0,0,IFERROR(VALUE(SUBSTITUTE(SUBSTITUTE(SUBSTITUTE(INDEX(貼り付け!$A$1:$BZ$3001,2856,$F$1)&amp;"",",",""),"¥",""),"￥","")),0))</f>
        <v/>
      </c>
      <c r="G2857">
        <f>IF(ISNUMBER(B2857),YEAR(B2857),"")</f>
        <v/>
      </c>
      <c r="H2857">
        <f>IF(ISNUMBER(B2857),MONTH(B2857),"")</f>
        <v/>
      </c>
      <c r="I2857">
        <f>IFERROR(IF($B$1=0,"",IF(ISNUMBER(INDEX(貼り付け!$A$1:$BZ$3001,2856,$B$1)),"",SUBSTITUTE(SUBSTITUTE(SUBSTITUTE(SUBSTITUTE(TRIM(LEFT(INDEX(貼り付け!$A$1:$BZ$3001,2856,$B$1)&amp;"",FIND(" ",TRIM(INDEX(貼り付け!$A$1:$BZ$3001,2856,$B$1)&amp;"")&amp;" ")-1)),"/","-"),"年","-"),"月","-"),"日",""))),"")</f>
        <v/>
      </c>
      <c r="J2857">
        <f>IFERROR(MID(I2857,FIND("-",I2857)+1,99),"")</f>
        <v/>
      </c>
    </row>
    <row r="2858">
      <c r="B2858">
        <f>IFERROR(IF($B$1=0,"",IF(INDEX(貼り付け!$A$1:$BZ$3001,2857,$B$1)="","",IF(ISNUMBER(INDEX(貼り付け!$A$1:$BZ$3001,2857,$B$1)),INT(INDEX(貼り付け!$A$1:$BZ$3001,2857,$B$1)),DATE(VALUE(LEFT(I2858,FIND("-",I2858)-1)),VALUE(LEFT(J2858,FIND("-",J2858)-1)),VALUE(MID(J2858,FIND("-",J2858)+1,99)))))),"")</f>
        <v/>
      </c>
      <c r="C2858">
        <f>IF($C$1=0,0,IFERROR(VALUE(SUBSTITUTE(SUBSTITUTE(SUBSTITUTE(INDEX(貼り付け!$A$1:$BZ$3001,2857,$C$1)&amp;"",",",""),"¥",""),"￥","")),0))</f>
        <v/>
      </c>
      <c r="D2858">
        <f>IF($D$1=0,0,IFERROR(VALUE(SUBSTITUTE(SUBSTITUTE(SUBSTITUTE(INDEX(貼り付け!$A$1:$BZ$3001,2857,$D$1)&amp;"",",",""),"¥",""),"￥","")),0))</f>
        <v/>
      </c>
      <c r="E2858">
        <f>IF($E$1=0,0,IFERROR(VALUE(SUBSTITUTE(SUBSTITUTE(SUBSTITUTE(INDEX(貼り付け!$A$1:$BZ$3001,2857,$E$1)&amp;"",",",""),"¥",""),"￥","")),0))</f>
        <v/>
      </c>
      <c r="F2858">
        <f>IF($F$1=0,0,IFERROR(VALUE(SUBSTITUTE(SUBSTITUTE(SUBSTITUTE(INDEX(貼り付け!$A$1:$BZ$3001,2857,$F$1)&amp;"",",",""),"¥",""),"￥","")),0))</f>
        <v/>
      </c>
      <c r="G2858">
        <f>IF(ISNUMBER(B2858),YEAR(B2858),"")</f>
        <v/>
      </c>
      <c r="H2858">
        <f>IF(ISNUMBER(B2858),MONTH(B2858),"")</f>
        <v/>
      </c>
      <c r="I2858">
        <f>IFERROR(IF($B$1=0,"",IF(ISNUMBER(INDEX(貼り付け!$A$1:$BZ$3001,2857,$B$1)),"",SUBSTITUTE(SUBSTITUTE(SUBSTITUTE(SUBSTITUTE(TRIM(LEFT(INDEX(貼り付け!$A$1:$BZ$3001,2857,$B$1)&amp;"",FIND(" ",TRIM(INDEX(貼り付け!$A$1:$BZ$3001,2857,$B$1)&amp;"")&amp;" ")-1)),"/","-"),"年","-"),"月","-"),"日",""))),"")</f>
        <v/>
      </c>
      <c r="J2858">
        <f>IFERROR(MID(I2858,FIND("-",I2858)+1,99),"")</f>
        <v/>
      </c>
    </row>
    <row r="2859">
      <c r="B2859">
        <f>IFERROR(IF($B$1=0,"",IF(INDEX(貼り付け!$A$1:$BZ$3001,2858,$B$1)="","",IF(ISNUMBER(INDEX(貼り付け!$A$1:$BZ$3001,2858,$B$1)),INT(INDEX(貼り付け!$A$1:$BZ$3001,2858,$B$1)),DATE(VALUE(LEFT(I2859,FIND("-",I2859)-1)),VALUE(LEFT(J2859,FIND("-",J2859)-1)),VALUE(MID(J2859,FIND("-",J2859)+1,99)))))),"")</f>
        <v/>
      </c>
      <c r="C2859">
        <f>IF($C$1=0,0,IFERROR(VALUE(SUBSTITUTE(SUBSTITUTE(SUBSTITUTE(INDEX(貼り付け!$A$1:$BZ$3001,2858,$C$1)&amp;"",",",""),"¥",""),"￥","")),0))</f>
        <v/>
      </c>
      <c r="D2859">
        <f>IF($D$1=0,0,IFERROR(VALUE(SUBSTITUTE(SUBSTITUTE(SUBSTITUTE(INDEX(貼り付け!$A$1:$BZ$3001,2858,$D$1)&amp;"",",",""),"¥",""),"￥","")),0))</f>
        <v/>
      </c>
      <c r="E2859">
        <f>IF($E$1=0,0,IFERROR(VALUE(SUBSTITUTE(SUBSTITUTE(SUBSTITUTE(INDEX(貼り付け!$A$1:$BZ$3001,2858,$E$1)&amp;"",",",""),"¥",""),"￥","")),0))</f>
        <v/>
      </c>
      <c r="F2859">
        <f>IF($F$1=0,0,IFERROR(VALUE(SUBSTITUTE(SUBSTITUTE(SUBSTITUTE(INDEX(貼り付け!$A$1:$BZ$3001,2858,$F$1)&amp;"",",",""),"¥",""),"￥","")),0))</f>
        <v/>
      </c>
      <c r="G2859">
        <f>IF(ISNUMBER(B2859),YEAR(B2859),"")</f>
        <v/>
      </c>
      <c r="H2859">
        <f>IF(ISNUMBER(B2859),MONTH(B2859),"")</f>
        <v/>
      </c>
      <c r="I2859">
        <f>IFERROR(IF($B$1=0,"",IF(ISNUMBER(INDEX(貼り付け!$A$1:$BZ$3001,2858,$B$1)),"",SUBSTITUTE(SUBSTITUTE(SUBSTITUTE(SUBSTITUTE(TRIM(LEFT(INDEX(貼り付け!$A$1:$BZ$3001,2858,$B$1)&amp;"",FIND(" ",TRIM(INDEX(貼り付け!$A$1:$BZ$3001,2858,$B$1)&amp;"")&amp;" ")-1)),"/","-"),"年","-"),"月","-"),"日",""))),"")</f>
        <v/>
      </c>
      <c r="J2859">
        <f>IFERROR(MID(I2859,FIND("-",I2859)+1,99),"")</f>
        <v/>
      </c>
    </row>
    <row r="2860">
      <c r="B2860">
        <f>IFERROR(IF($B$1=0,"",IF(INDEX(貼り付け!$A$1:$BZ$3001,2859,$B$1)="","",IF(ISNUMBER(INDEX(貼り付け!$A$1:$BZ$3001,2859,$B$1)),INT(INDEX(貼り付け!$A$1:$BZ$3001,2859,$B$1)),DATE(VALUE(LEFT(I2860,FIND("-",I2860)-1)),VALUE(LEFT(J2860,FIND("-",J2860)-1)),VALUE(MID(J2860,FIND("-",J2860)+1,99)))))),"")</f>
        <v/>
      </c>
      <c r="C2860">
        <f>IF($C$1=0,0,IFERROR(VALUE(SUBSTITUTE(SUBSTITUTE(SUBSTITUTE(INDEX(貼り付け!$A$1:$BZ$3001,2859,$C$1)&amp;"",",",""),"¥",""),"￥","")),0))</f>
        <v/>
      </c>
      <c r="D2860">
        <f>IF($D$1=0,0,IFERROR(VALUE(SUBSTITUTE(SUBSTITUTE(SUBSTITUTE(INDEX(貼り付け!$A$1:$BZ$3001,2859,$D$1)&amp;"",",",""),"¥",""),"￥","")),0))</f>
        <v/>
      </c>
      <c r="E2860">
        <f>IF($E$1=0,0,IFERROR(VALUE(SUBSTITUTE(SUBSTITUTE(SUBSTITUTE(INDEX(貼り付け!$A$1:$BZ$3001,2859,$E$1)&amp;"",",",""),"¥",""),"￥","")),0))</f>
        <v/>
      </c>
      <c r="F2860">
        <f>IF($F$1=0,0,IFERROR(VALUE(SUBSTITUTE(SUBSTITUTE(SUBSTITUTE(INDEX(貼り付け!$A$1:$BZ$3001,2859,$F$1)&amp;"",",",""),"¥",""),"￥","")),0))</f>
        <v/>
      </c>
      <c r="G2860">
        <f>IF(ISNUMBER(B2860),YEAR(B2860),"")</f>
        <v/>
      </c>
      <c r="H2860">
        <f>IF(ISNUMBER(B2860),MONTH(B2860),"")</f>
        <v/>
      </c>
      <c r="I2860">
        <f>IFERROR(IF($B$1=0,"",IF(ISNUMBER(INDEX(貼り付け!$A$1:$BZ$3001,2859,$B$1)),"",SUBSTITUTE(SUBSTITUTE(SUBSTITUTE(SUBSTITUTE(TRIM(LEFT(INDEX(貼り付け!$A$1:$BZ$3001,2859,$B$1)&amp;"",FIND(" ",TRIM(INDEX(貼り付け!$A$1:$BZ$3001,2859,$B$1)&amp;"")&amp;" ")-1)),"/","-"),"年","-"),"月","-"),"日",""))),"")</f>
        <v/>
      </c>
      <c r="J2860">
        <f>IFERROR(MID(I2860,FIND("-",I2860)+1,99),"")</f>
        <v/>
      </c>
    </row>
    <row r="2861">
      <c r="B2861">
        <f>IFERROR(IF($B$1=0,"",IF(INDEX(貼り付け!$A$1:$BZ$3001,2860,$B$1)="","",IF(ISNUMBER(INDEX(貼り付け!$A$1:$BZ$3001,2860,$B$1)),INT(INDEX(貼り付け!$A$1:$BZ$3001,2860,$B$1)),DATE(VALUE(LEFT(I2861,FIND("-",I2861)-1)),VALUE(LEFT(J2861,FIND("-",J2861)-1)),VALUE(MID(J2861,FIND("-",J2861)+1,99)))))),"")</f>
        <v/>
      </c>
      <c r="C2861">
        <f>IF($C$1=0,0,IFERROR(VALUE(SUBSTITUTE(SUBSTITUTE(SUBSTITUTE(INDEX(貼り付け!$A$1:$BZ$3001,2860,$C$1)&amp;"",",",""),"¥",""),"￥","")),0))</f>
        <v/>
      </c>
      <c r="D2861">
        <f>IF($D$1=0,0,IFERROR(VALUE(SUBSTITUTE(SUBSTITUTE(SUBSTITUTE(INDEX(貼り付け!$A$1:$BZ$3001,2860,$D$1)&amp;"",",",""),"¥",""),"￥","")),0))</f>
        <v/>
      </c>
      <c r="E2861">
        <f>IF($E$1=0,0,IFERROR(VALUE(SUBSTITUTE(SUBSTITUTE(SUBSTITUTE(INDEX(貼り付け!$A$1:$BZ$3001,2860,$E$1)&amp;"",",",""),"¥",""),"￥","")),0))</f>
        <v/>
      </c>
      <c r="F2861">
        <f>IF($F$1=0,0,IFERROR(VALUE(SUBSTITUTE(SUBSTITUTE(SUBSTITUTE(INDEX(貼り付け!$A$1:$BZ$3001,2860,$F$1)&amp;"",",",""),"¥",""),"￥","")),0))</f>
        <v/>
      </c>
      <c r="G2861">
        <f>IF(ISNUMBER(B2861),YEAR(B2861),"")</f>
        <v/>
      </c>
      <c r="H2861">
        <f>IF(ISNUMBER(B2861),MONTH(B2861),"")</f>
        <v/>
      </c>
      <c r="I2861">
        <f>IFERROR(IF($B$1=0,"",IF(ISNUMBER(INDEX(貼り付け!$A$1:$BZ$3001,2860,$B$1)),"",SUBSTITUTE(SUBSTITUTE(SUBSTITUTE(SUBSTITUTE(TRIM(LEFT(INDEX(貼り付け!$A$1:$BZ$3001,2860,$B$1)&amp;"",FIND(" ",TRIM(INDEX(貼り付け!$A$1:$BZ$3001,2860,$B$1)&amp;"")&amp;" ")-1)),"/","-"),"年","-"),"月","-"),"日",""))),"")</f>
        <v/>
      </c>
      <c r="J2861">
        <f>IFERROR(MID(I2861,FIND("-",I2861)+1,99),"")</f>
        <v/>
      </c>
    </row>
    <row r="2862">
      <c r="B2862">
        <f>IFERROR(IF($B$1=0,"",IF(INDEX(貼り付け!$A$1:$BZ$3001,2861,$B$1)="","",IF(ISNUMBER(INDEX(貼り付け!$A$1:$BZ$3001,2861,$B$1)),INT(INDEX(貼り付け!$A$1:$BZ$3001,2861,$B$1)),DATE(VALUE(LEFT(I2862,FIND("-",I2862)-1)),VALUE(LEFT(J2862,FIND("-",J2862)-1)),VALUE(MID(J2862,FIND("-",J2862)+1,99)))))),"")</f>
        <v/>
      </c>
      <c r="C2862">
        <f>IF($C$1=0,0,IFERROR(VALUE(SUBSTITUTE(SUBSTITUTE(SUBSTITUTE(INDEX(貼り付け!$A$1:$BZ$3001,2861,$C$1)&amp;"",",",""),"¥",""),"￥","")),0))</f>
        <v/>
      </c>
      <c r="D2862">
        <f>IF($D$1=0,0,IFERROR(VALUE(SUBSTITUTE(SUBSTITUTE(SUBSTITUTE(INDEX(貼り付け!$A$1:$BZ$3001,2861,$D$1)&amp;"",",",""),"¥",""),"￥","")),0))</f>
        <v/>
      </c>
      <c r="E2862">
        <f>IF($E$1=0,0,IFERROR(VALUE(SUBSTITUTE(SUBSTITUTE(SUBSTITUTE(INDEX(貼り付け!$A$1:$BZ$3001,2861,$E$1)&amp;"",",",""),"¥",""),"￥","")),0))</f>
        <v/>
      </c>
      <c r="F2862">
        <f>IF($F$1=0,0,IFERROR(VALUE(SUBSTITUTE(SUBSTITUTE(SUBSTITUTE(INDEX(貼り付け!$A$1:$BZ$3001,2861,$F$1)&amp;"",",",""),"¥",""),"￥","")),0))</f>
        <v/>
      </c>
      <c r="G2862">
        <f>IF(ISNUMBER(B2862),YEAR(B2862),"")</f>
        <v/>
      </c>
      <c r="H2862">
        <f>IF(ISNUMBER(B2862),MONTH(B2862),"")</f>
        <v/>
      </c>
      <c r="I2862">
        <f>IFERROR(IF($B$1=0,"",IF(ISNUMBER(INDEX(貼り付け!$A$1:$BZ$3001,2861,$B$1)),"",SUBSTITUTE(SUBSTITUTE(SUBSTITUTE(SUBSTITUTE(TRIM(LEFT(INDEX(貼り付け!$A$1:$BZ$3001,2861,$B$1)&amp;"",FIND(" ",TRIM(INDEX(貼り付け!$A$1:$BZ$3001,2861,$B$1)&amp;"")&amp;" ")-1)),"/","-"),"年","-"),"月","-"),"日",""))),"")</f>
        <v/>
      </c>
      <c r="J2862">
        <f>IFERROR(MID(I2862,FIND("-",I2862)+1,99),"")</f>
        <v/>
      </c>
    </row>
    <row r="2863">
      <c r="B2863">
        <f>IFERROR(IF($B$1=0,"",IF(INDEX(貼り付け!$A$1:$BZ$3001,2862,$B$1)="","",IF(ISNUMBER(INDEX(貼り付け!$A$1:$BZ$3001,2862,$B$1)),INT(INDEX(貼り付け!$A$1:$BZ$3001,2862,$B$1)),DATE(VALUE(LEFT(I2863,FIND("-",I2863)-1)),VALUE(LEFT(J2863,FIND("-",J2863)-1)),VALUE(MID(J2863,FIND("-",J2863)+1,99)))))),"")</f>
        <v/>
      </c>
      <c r="C2863">
        <f>IF($C$1=0,0,IFERROR(VALUE(SUBSTITUTE(SUBSTITUTE(SUBSTITUTE(INDEX(貼り付け!$A$1:$BZ$3001,2862,$C$1)&amp;"",",",""),"¥",""),"￥","")),0))</f>
        <v/>
      </c>
      <c r="D2863">
        <f>IF($D$1=0,0,IFERROR(VALUE(SUBSTITUTE(SUBSTITUTE(SUBSTITUTE(INDEX(貼り付け!$A$1:$BZ$3001,2862,$D$1)&amp;"",",",""),"¥",""),"￥","")),0))</f>
        <v/>
      </c>
      <c r="E2863">
        <f>IF($E$1=0,0,IFERROR(VALUE(SUBSTITUTE(SUBSTITUTE(SUBSTITUTE(INDEX(貼り付け!$A$1:$BZ$3001,2862,$E$1)&amp;"",",",""),"¥",""),"￥","")),0))</f>
        <v/>
      </c>
      <c r="F2863">
        <f>IF($F$1=0,0,IFERROR(VALUE(SUBSTITUTE(SUBSTITUTE(SUBSTITUTE(INDEX(貼り付け!$A$1:$BZ$3001,2862,$F$1)&amp;"",",",""),"¥",""),"￥","")),0))</f>
        <v/>
      </c>
      <c r="G2863">
        <f>IF(ISNUMBER(B2863),YEAR(B2863),"")</f>
        <v/>
      </c>
      <c r="H2863">
        <f>IF(ISNUMBER(B2863),MONTH(B2863),"")</f>
        <v/>
      </c>
      <c r="I2863">
        <f>IFERROR(IF($B$1=0,"",IF(ISNUMBER(INDEX(貼り付け!$A$1:$BZ$3001,2862,$B$1)),"",SUBSTITUTE(SUBSTITUTE(SUBSTITUTE(SUBSTITUTE(TRIM(LEFT(INDEX(貼り付け!$A$1:$BZ$3001,2862,$B$1)&amp;"",FIND(" ",TRIM(INDEX(貼り付け!$A$1:$BZ$3001,2862,$B$1)&amp;"")&amp;" ")-1)),"/","-"),"年","-"),"月","-"),"日",""))),"")</f>
        <v/>
      </c>
      <c r="J2863">
        <f>IFERROR(MID(I2863,FIND("-",I2863)+1,99),"")</f>
        <v/>
      </c>
    </row>
    <row r="2864">
      <c r="B2864">
        <f>IFERROR(IF($B$1=0,"",IF(INDEX(貼り付け!$A$1:$BZ$3001,2863,$B$1)="","",IF(ISNUMBER(INDEX(貼り付け!$A$1:$BZ$3001,2863,$B$1)),INT(INDEX(貼り付け!$A$1:$BZ$3001,2863,$B$1)),DATE(VALUE(LEFT(I2864,FIND("-",I2864)-1)),VALUE(LEFT(J2864,FIND("-",J2864)-1)),VALUE(MID(J2864,FIND("-",J2864)+1,99)))))),"")</f>
        <v/>
      </c>
      <c r="C2864">
        <f>IF($C$1=0,0,IFERROR(VALUE(SUBSTITUTE(SUBSTITUTE(SUBSTITUTE(INDEX(貼り付け!$A$1:$BZ$3001,2863,$C$1)&amp;"",",",""),"¥",""),"￥","")),0))</f>
        <v/>
      </c>
      <c r="D2864">
        <f>IF($D$1=0,0,IFERROR(VALUE(SUBSTITUTE(SUBSTITUTE(SUBSTITUTE(INDEX(貼り付け!$A$1:$BZ$3001,2863,$D$1)&amp;"",",",""),"¥",""),"￥","")),0))</f>
        <v/>
      </c>
      <c r="E2864">
        <f>IF($E$1=0,0,IFERROR(VALUE(SUBSTITUTE(SUBSTITUTE(SUBSTITUTE(INDEX(貼り付け!$A$1:$BZ$3001,2863,$E$1)&amp;"",",",""),"¥",""),"￥","")),0))</f>
        <v/>
      </c>
      <c r="F2864">
        <f>IF($F$1=0,0,IFERROR(VALUE(SUBSTITUTE(SUBSTITUTE(SUBSTITUTE(INDEX(貼り付け!$A$1:$BZ$3001,2863,$F$1)&amp;"",",",""),"¥",""),"￥","")),0))</f>
        <v/>
      </c>
      <c r="G2864">
        <f>IF(ISNUMBER(B2864),YEAR(B2864),"")</f>
        <v/>
      </c>
      <c r="H2864">
        <f>IF(ISNUMBER(B2864),MONTH(B2864),"")</f>
        <v/>
      </c>
      <c r="I2864">
        <f>IFERROR(IF($B$1=0,"",IF(ISNUMBER(INDEX(貼り付け!$A$1:$BZ$3001,2863,$B$1)),"",SUBSTITUTE(SUBSTITUTE(SUBSTITUTE(SUBSTITUTE(TRIM(LEFT(INDEX(貼り付け!$A$1:$BZ$3001,2863,$B$1)&amp;"",FIND(" ",TRIM(INDEX(貼り付け!$A$1:$BZ$3001,2863,$B$1)&amp;"")&amp;" ")-1)),"/","-"),"年","-"),"月","-"),"日",""))),"")</f>
        <v/>
      </c>
      <c r="J2864">
        <f>IFERROR(MID(I2864,FIND("-",I2864)+1,99),"")</f>
        <v/>
      </c>
    </row>
    <row r="2865">
      <c r="B2865">
        <f>IFERROR(IF($B$1=0,"",IF(INDEX(貼り付け!$A$1:$BZ$3001,2864,$B$1)="","",IF(ISNUMBER(INDEX(貼り付け!$A$1:$BZ$3001,2864,$B$1)),INT(INDEX(貼り付け!$A$1:$BZ$3001,2864,$B$1)),DATE(VALUE(LEFT(I2865,FIND("-",I2865)-1)),VALUE(LEFT(J2865,FIND("-",J2865)-1)),VALUE(MID(J2865,FIND("-",J2865)+1,99)))))),"")</f>
        <v/>
      </c>
      <c r="C2865">
        <f>IF($C$1=0,0,IFERROR(VALUE(SUBSTITUTE(SUBSTITUTE(SUBSTITUTE(INDEX(貼り付け!$A$1:$BZ$3001,2864,$C$1)&amp;"",",",""),"¥",""),"￥","")),0))</f>
        <v/>
      </c>
      <c r="D2865">
        <f>IF($D$1=0,0,IFERROR(VALUE(SUBSTITUTE(SUBSTITUTE(SUBSTITUTE(INDEX(貼り付け!$A$1:$BZ$3001,2864,$D$1)&amp;"",",",""),"¥",""),"￥","")),0))</f>
        <v/>
      </c>
      <c r="E2865">
        <f>IF($E$1=0,0,IFERROR(VALUE(SUBSTITUTE(SUBSTITUTE(SUBSTITUTE(INDEX(貼り付け!$A$1:$BZ$3001,2864,$E$1)&amp;"",",",""),"¥",""),"￥","")),0))</f>
        <v/>
      </c>
      <c r="F2865">
        <f>IF($F$1=0,0,IFERROR(VALUE(SUBSTITUTE(SUBSTITUTE(SUBSTITUTE(INDEX(貼り付け!$A$1:$BZ$3001,2864,$F$1)&amp;"",",",""),"¥",""),"￥","")),0))</f>
        <v/>
      </c>
      <c r="G2865">
        <f>IF(ISNUMBER(B2865),YEAR(B2865),"")</f>
        <v/>
      </c>
      <c r="H2865">
        <f>IF(ISNUMBER(B2865),MONTH(B2865),"")</f>
        <v/>
      </c>
      <c r="I2865">
        <f>IFERROR(IF($B$1=0,"",IF(ISNUMBER(INDEX(貼り付け!$A$1:$BZ$3001,2864,$B$1)),"",SUBSTITUTE(SUBSTITUTE(SUBSTITUTE(SUBSTITUTE(TRIM(LEFT(INDEX(貼り付け!$A$1:$BZ$3001,2864,$B$1)&amp;"",FIND(" ",TRIM(INDEX(貼り付け!$A$1:$BZ$3001,2864,$B$1)&amp;"")&amp;" ")-1)),"/","-"),"年","-"),"月","-"),"日",""))),"")</f>
        <v/>
      </c>
      <c r="J2865">
        <f>IFERROR(MID(I2865,FIND("-",I2865)+1,99),"")</f>
        <v/>
      </c>
    </row>
    <row r="2866">
      <c r="B2866">
        <f>IFERROR(IF($B$1=0,"",IF(INDEX(貼り付け!$A$1:$BZ$3001,2865,$B$1)="","",IF(ISNUMBER(INDEX(貼り付け!$A$1:$BZ$3001,2865,$B$1)),INT(INDEX(貼り付け!$A$1:$BZ$3001,2865,$B$1)),DATE(VALUE(LEFT(I2866,FIND("-",I2866)-1)),VALUE(LEFT(J2866,FIND("-",J2866)-1)),VALUE(MID(J2866,FIND("-",J2866)+1,99)))))),"")</f>
        <v/>
      </c>
      <c r="C2866">
        <f>IF($C$1=0,0,IFERROR(VALUE(SUBSTITUTE(SUBSTITUTE(SUBSTITUTE(INDEX(貼り付け!$A$1:$BZ$3001,2865,$C$1)&amp;"",",",""),"¥",""),"￥","")),0))</f>
        <v/>
      </c>
      <c r="D2866">
        <f>IF($D$1=0,0,IFERROR(VALUE(SUBSTITUTE(SUBSTITUTE(SUBSTITUTE(INDEX(貼り付け!$A$1:$BZ$3001,2865,$D$1)&amp;"",",",""),"¥",""),"￥","")),0))</f>
        <v/>
      </c>
      <c r="E2866">
        <f>IF($E$1=0,0,IFERROR(VALUE(SUBSTITUTE(SUBSTITUTE(SUBSTITUTE(INDEX(貼り付け!$A$1:$BZ$3001,2865,$E$1)&amp;"",",",""),"¥",""),"￥","")),0))</f>
        <v/>
      </c>
      <c r="F2866">
        <f>IF($F$1=0,0,IFERROR(VALUE(SUBSTITUTE(SUBSTITUTE(SUBSTITUTE(INDEX(貼り付け!$A$1:$BZ$3001,2865,$F$1)&amp;"",",",""),"¥",""),"￥","")),0))</f>
        <v/>
      </c>
      <c r="G2866">
        <f>IF(ISNUMBER(B2866),YEAR(B2866),"")</f>
        <v/>
      </c>
      <c r="H2866">
        <f>IF(ISNUMBER(B2866),MONTH(B2866),"")</f>
        <v/>
      </c>
      <c r="I2866">
        <f>IFERROR(IF($B$1=0,"",IF(ISNUMBER(INDEX(貼り付け!$A$1:$BZ$3001,2865,$B$1)),"",SUBSTITUTE(SUBSTITUTE(SUBSTITUTE(SUBSTITUTE(TRIM(LEFT(INDEX(貼り付け!$A$1:$BZ$3001,2865,$B$1)&amp;"",FIND(" ",TRIM(INDEX(貼り付け!$A$1:$BZ$3001,2865,$B$1)&amp;"")&amp;" ")-1)),"/","-"),"年","-"),"月","-"),"日",""))),"")</f>
        <v/>
      </c>
      <c r="J2866">
        <f>IFERROR(MID(I2866,FIND("-",I2866)+1,99),"")</f>
        <v/>
      </c>
    </row>
    <row r="2867">
      <c r="B2867">
        <f>IFERROR(IF($B$1=0,"",IF(INDEX(貼り付け!$A$1:$BZ$3001,2866,$B$1)="","",IF(ISNUMBER(INDEX(貼り付け!$A$1:$BZ$3001,2866,$B$1)),INT(INDEX(貼り付け!$A$1:$BZ$3001,2866,$B$1)),DATE(VALUE(LEFT(I2867,FIND("-",I2867)-1)),VALUE(LEFT(J2867,FIND("-",J2867)-1)),VALUE(MID(J2867,FIND("-",J2867)+1,99)))))),"")</f>
        <v/>
      </c>
      <c r="C2867">
        <f>IF($C$1=0,0,IFERROR(VALUE(SUBSTITUTE(SUBSTITUTE(SUBSTITUTE(INDEX(貼り付け!$A$1:$BZ$3001,2866,$C$1)&amp;"",",",""),"¥",""),"￥","")),0))</f>
        <v/>
      </c>
      <c r="D2867">
        <f>IF($D$1=0,0,IFERROR(VALUE(SUBSTITUTE(SUBSTITUTE(SUBSTITUTE(INDEX(貼り付け!$A$1:$BZ$3001,2866,$D$1)&amp;"",",",""),"¥",""),"￥","")),0))</f>
        <v/>
      </c>
      <c r="E2867">
        <f>IF($E$1=0,0,IFERROR(VALUE(SUBSTITUTE(SUBSTITUTE(SUBSTITUTE(INDEX(貼り付け!$A$1:$BZ$3001,2866,$E$1)&amp;"",",",""),"¥",""),"￥","")),0))</f>
        <v/>
      </c>
      <c r="F2867">
        <f>IF($F$1=0,0,IFERROR(VALUE(SUBSTITUTE(SUBSTITUTE(SUBSTITUTE(INDEX(貼り付け!$A$1:$BZ$3001,2866,$F$1)&amp;"",",",""),"¥",""),"￥","")),0))</f>
        <v/>
      </c>
      <c r="G2867">
        <f>IF(ISNUMBER(B2867),YEAR(B2867),"")</f>
        <v/>
      </c>
      <c r="H2867">
        <f>IF(ISNUMBER(B2867),MONTH(B2867),"")</f>
        <v/>
      </c>
      <c r="I2867">
        <f>IFERROR(IF($B$1=0,"",IF(ISNUMBER(INDEX(貼り付け!$A$1:$BZ$3001,2866,$B$1)),"",SUBSTITUTE(SUBSTITUTE(SUBSTITUTE(SUBSTITUTE(TRIM(LEFT(INDEX(貼り付け!$A$1:$BZ$3001,2866,$B$1)&amp;"",FIND(" ",TRIM(INDEX(貼り付け!$A$1:$BZ$3001,2866,$B$1)&amp;"")&amp;" ")-1)),"/","-"),"年","-"),"月","-"),"日",""))),"")</f>
        <v/>
      </c>
      <c r="J2867">
        <f>IFERROR(MID(I2867,FIND("-",I2867)+1,99),"")</f>
        <v/>
      </c>
    </row>
    <row r="2868">
      <c r="B2868">
        <f>IFERROR(IF($B$1=0,"",IF(INDEX(貼り付け!$A$1:$BZ$3001,2867,$B$1)="","",IF(ISNUMBER(INDEX(貼り付け!$A$1:$BZ$3001,2867,$B$1)),INT(INDEX(貼り付け!$A$1:$BZ$3001,2867,$B$1)),DATE(VALUE(LEFT(I2868,FIND("-",I2868)-1)),VALUE(LEFT(J2868,FIND("-",J2868)-1)),VALUE(MID(J2868,FIND("-",J2868)+1,99)))))),"")</f>
        <v/>
      </c>
      <c r="C2868">
        <f>IF($C$1=0,0,IFERROR(VALUE(SUBSTITUTE(SUBSTITUTE(SUBSTITUTE(INDEX(貼り付け!$A$1:$BZ$3001,2867,$C$1)&amp;"",",",""),"¥",""),"￥","")),0))</f>
        <v/>
      </c>
      <c r="D2868">
        <f>IF($D$1=0,0,IFERROR(VALUE(SUBSTITUTE(SUBSTITUTE(SUBSTITUTE(INDEX(貼り付け!$A$1:$BZ$3001,2867,$D$1)&amp;"",",",""),"¥",""),"￥","")),0))</f>
        <v/>
      </c>
      <c r="E2868">
        <f>IF($E$1=0,0,IFERROR(VALUE(SUBSTITUTE(SUBSTITUTE(SUBSTITUTE(INDEX(貼り付け!$A$1:$BZ$3001,2867,$E$1)&amp;"",",",""),"¥",""),"￥","")),0))</f>
        <v/>
      </c>
      <c r="F2868">
        <f>IF($F$1=0,0,IFERROR(VALUE(SUBSTITUTE(SUBSTITUTE(SUBSTITUTE(INDEX(貼り付け!$A$1:$BZ$3001,2867,$F$1)&amp;"",",",""),"¥",""),"￥","")),0))</f>
        <v/>
      </c>
      <c r="G2868">
        <f>IF(ISNUMBER(B2868),YEAR(B2868),"")</f>
        <v/>
      </c>
      <c r="H2868">
        <f>IF(ISNUMBER(B2868),MONTH(B2868),"")</f>
        <v/>
      </c>
      <c r="I2868">
        <f>IFERROR(IF($B$1=0,"",IF(ISNUMBER(INDEX(貼り付け!$A$1:$BZ$3001,2867,$B$1)),"",SUBSTITUTE(SUBSTITUTE(SUBSTITUTE(SUBSTITUTE(TRIM(LEFT(INDEX(貼り付け!$A$1:$BZ$3001,2867,$B$1)&amp;"",FIND(" ",TRIM(INDEX(貼り付け!$A$1:$BZ$3001,2867,$B$1)&amp;"")&amp;" ")-1)),"/","-"),"年","-"),"月","-"),"日",""))),"")</f>
        <v/>
      </c>
      <c r="J2868">
        <f>IFERROR(MID(I2868,FIND("-",I2868)+1,99),"")</f>
        <v/>
      </c>
    </row>
    <row r="2869">
      <c r="B2869">
        <f>IFERROR(IF($B$1=0,"",IF(INDEX(貼り付け!$A$1:$BZ$3001,2868,$B$1)="","",IF(ISNUMBER(INDEX(貼り付け!$A$1:$BZ$3001,2868,$B$1)),INT(INDEX(貼り付け!$A$1:$BZ$3001,2868,$B$1)),DATE(VALUE(LEFT(I2869,FIND("-",I2869)-1)),VALUE(LEFT(J2869,FIND("-",J2869)-1)),VALUE(MID(J2869,FIND("-",J2869)+1,99)))))),"")</f>
        <v/>
      </c>
      <c r="C2869">
        <f>IF($C$1=0,0,IFERROR(VALUE(SUBSTITUTE(SUBSTITUTE(SUBSTITUTE(INDEX(貼り付け!$A$1:$BZ$3001,2868,$C$1)&amp;"",",",""),"¥",""),"￥","")),0))</f>
        <v/>
      </c>
      <c r="D2869">
        <f>IF($D$1=0,0,IFERROR(VALUE(SUBSTITUTE(SUBSTITUTE(SUBSTITUTE(INDEX(貼り付け!$A$1:$BZ$3001,2868,$D$1)&amp;"",",",""),"¥",""),"￥","")),0))</f>
        <v/>
      </c>
      <c r="E2869">
        <f>IF($E$1=0,0,IFERROR(VALUE(SUBSTITUTE(SUBSTITUTE(SUBSTITUTE(INDEX(貼り付け!$A$1:$BZ$3001,2868,$E$1)&amp;"",",",""),"¥",""),"￥","")),0))</f>
        <v/>
      </c>
      <c r="F2869">
        <f>IF($F$1=0,0,IFERROR(VALUE(SUBSTITUTE(SUBSTITUTE(SUBSTITUTE(INDEX(貼り付け!$A$1:$BZ$3001,2868,$F$1)&amp;"",",",""),"¥",""),"￥","")),0))</f>
        <v/>
      </c>
      <c r="G2869">
        <f>IF(ISNUMBER(B2869),YEAR(B2869),"")</f>
        <v/>
      </c>
      <c r="H2869">
        <f>IF(ISNUMBER(B2869),MONTH(B2869),"")</f>
        <v/>
      </c>
      <c r="I2869">
        <f>IFERROR(IF($B$1=0,"",IF(ISNUMBER(INDEX(貼り付け!$A$1:$BZ$3001,2868,$B$1)),"",SUBSTITUTE(SUBSTITUTE(SUBSTITUTE(SUBSTITUTE(TRIM(LEFT(INDEX(貼り付け!$A$1:$BZ$3001,2868,$B$1)&amp;"",FIND(" ",TRIM(INDEX(貼り付け!$A$1:$BZ$3001,2868,$B$1)&amp;"")&amp;" ")-1)),"/","-"),"年","-"),"月","-"),"日",""))),"")</f>
        <v/>
      </c>
      <c r="J2869">
        <f>IFERROR(MID(I2869,FIND("-",I2869)+1,99),"")</f>
        <v/>
      </c>
    </row>
    <row r="2870">
      <c r="B2870">
        <f>IFERROR(IF($B$1=0,"",IF(INDEX(貼り付け!$A$1:$BZ$3001,2869,$B$1)="","",IF(ISNUMBER(INDEX(貼り付け!$A$1:$BZ$3001,2869,$B$1)),INT(INDEX(貼り付け!$A$1:$BZ$3001,2869,$B$1)),DATE(VALUE(LEFT(I2870,FIND("-",I2870)-1)),VALUE(LEFT(J2870,FIND("-",J2870)-1)),VALUE(MID(J2870,FIND("-",J2870)+1,99)))))),"")</f>
        <v/>
      </c>
      <c r="C2870">
        <f>IF($C$1=0,0,IFERROR(VALUE(SUBSTITUTE(SUBSTITUTE(SUBSTITUTE(INDEX(貼り付け!$A$1:$BZ$3001,2869,$C$1)&amp;"",",",""),"¥",""),"￥","")),0))</f>
        <v/>
      </c>
      <c r="D2870">
        <f>IF($D$1=0,0,IFERROR(VALUE(SUBSTITUTE(SUBSTITUTE(SUBSTITUTE(INDEX(貼り付け!$A$1:$BZ$3001,2869,$D$1)&amp;"",",",""),"¥",""),"￥","")),0))</f>
        <v/>
      </c>
      <c r="E2870">
        <f>IF($E$1=0,0,IFERROR(VALUE(SUBSTITUTE(SUBSTITUTE(SUBSTITUTE(INDEX(貼り付け!$A$1:$BZ$3001,2869,$E$1)&amp;"",",",""),"¥",""),"￥","")),0))</f>
        <v/>
      </c>
      <c r="F2870">
        <f>IF($F$1=0,0,IFERROR(VALUE(SUBSTITUTE(SUBSTITUTE(SUBSTITUTE(INDEX(貼り付け!$A$1:$BZ$3001,2869,$F$1)&amp;"",",",""),"¥",""),"￥","")),0))</f>
        <v/>
      </c>
      <c r="G2870">
        <f>IF(ISNUMBER(B2870),YEAR(B2870),"")</f>
        <v/>
      </c>
      <c r="H2870">
        <f>IF(ISNUMBER(B2870),MONTH(B2870),"")</f>
        <v/>
      </c>
      <c r="I2870">
        <f>IFERROR(IF($B$1=0,"",IF(ISNUMBER(INDEX(貼り付け!$A$1:$BZ$3001,2869,$B$1)),"",SUBSTITUTE(SUBSTITUTE(SUBSTITUTE(SUBSTITUTE(TRIM(LEFT(INDEX(貼り付け!$A$1:$BZ$3001,2869,$B$1)&amp;"",FIND(" ",TRIM(INDEX(貼り付け!$A$1:$BZ$3001,2869,$B$1)&amp;"")&amp;" ")-1)),"/","-"),"年","-"),"月","-"),"日",""))),"")</f>
        <v/>
      </c>
      <c r="J2870">
        <f>IFERROR(MID(I2870,FIND("-",I2870)+1,99),"")</f>
        <v/>
      </c>
    </row>
    <row r="2871">
      <c r="B2871">
        <f>IFERROR(IF($B$1=0,"",IF(INDEX(貼り付け!$A$1:$BZ$3001,2870,$B$1)="","",IF(ISNUMBER(INDEX(貼り付け!$A$1:$BZ$3001,2870,$B$1)),INT(INDEX(貼り付け!$A$1:$BZ$3001,2870,$B$1)),DATE(VALUE(LEFT(I2871,FIND("-",I2871)-1)),VALUE(LEFT(J2871,FIND("-",J2871)-1)),VALUE(MID(J2871,FIND("-",J2871)+1,99)))))),"")</f>
        <v/>
      </c>
      <c r="C2871">
        <f>IF($C$1=0,0,IFERROR(VALUE(SUBSTITUTE(SUBSTITUTE(SUBSTITUTE(INDEX(貼り付け!$A$1:$BZ$3001,2870,$C$1)&amp;"",",",""),"¥",""),"￥","")),0))</f>
        <v/>
      </c>
      <c r="D2871">
        <f>IF($D$1=0,0,IFERROR(VALUE(SUBSTITUTE(SUBSTITUTE(SUBSTITUTE(INDEX(貼り付け!$A$1:$BZ$3001,2870,$D$1)&amp;"",",",""),"¥",""),"￥","")),0))</f>
        <v/>
      </c>
      <c r="E2871">
        <f>IF($E$1=0,0,IFERROR(VALUE(SUBSTITUTE(SUBSTITUTE(SUBSTITUTE(INDEX(貼り付け!$A$1:$BZ$3001,2870,$E$1)&amp;"",",",""),"¥",""),"￥","")),0))</f>
        <v/>
      </c>
      <c r="F2871">
        <f>IF($F$1=0,0,IFERROR(VALUE(SUBSTITUTE(SUBSTITUTE(SUBSTITUTE(INDEX(貼り付け!$A$1:$BZ$3001,2870,$F$1)&amp;"",",",""),"¥",""),"￥","")),0))</f>
        <v/>
      </c>
      <c r="G2871">
        <f>IF(ISNUMBER(B2871),YEAR(B2871),"")</f>
        <v/>
      </c>
      <c r="H2871">
        <f>IF(ISNUMBER(B2871),MONTH(B2871),"")</f>
        <v/>
      </c>
      <c r="I2871">
        <f>IFERROR(IF($B$1=0,"",IF(ISNUMBER(INDEX(貼り付け!$A$1:$BZ$3001,2870,$B$1)),"",SUBSTITUTE(SUBSTITUTE(SUBSTITUTE(SUBSTITUTE(TRIM(LEFT(INDEX(貼り付け!$A$1:$BZ$3001,2870,$B$1)&amp;"",FIND(" ",TRIM(INDEX(貼り付け!$A$1:$BZ$3001,2870,$B$1)&amp;"")&amp;" ")-1)),"/","-"),"年","-"),"月","-"),"日",""))),"")</f>
        <v/>
      </c>
      <c r="J2871">
        <f>IFERROR(MID(I2871,FIND("-",I2871)+1,99),"")</f>
        <v/>
      </c>
    </row>
    <row r="2872">
      <c r="B2872">
        <f>IFERROR(IF($B$1=0,"",IF(INDEX(貼り付け!$A$1:$BZ$3001,2871,$B$1)="","",IF(ISNUMBER(INDEX(貼り付け!$A$1:$BZ$3001,2871,$B$1)),INT(INDEX(貼り付け!$A$1:$BZ$3001,2871,$B$1)),DATE(VALUE(LEFT(I2872,FIND("-",I2872)-1)),VALUE(LEFT(J2872,FIND("-",J2872)-1)),VALUE(MID(J2872,FIND("-",J2872)+1,99)))))),"")</f>
        <v/>
      </c>
      <c r="C2872">
        <f>IF($C$1=0,0,IFERROR(VALUE(SUBSTITUTE(SUBSTITUTE(SUBSTITUTE(INDEX(貼り付け!$A$1:$BZ$3001,2871,$C$1)&amp;"",",",""),"¥",""),"￥","")),0))</f>
        <v/>
      </c>
      <c r="D2872">
        <f>IF($D$1=0,0,IFERROR(VALUE(SUBSTITUTE(SUBSTITUTE(SUBSTITUTE(INDEX(貼り付け!$A$1:$BZ$3001,2871,$D$1)&amp;"",",",""),"¥",""),"￥","")),0))</f>
        <v/>
      </c>
      <c r="E2872">
        <f>IF($E$1=0,0,IFERROR(VALUE(SUBSTITUTE(SUBSTITUTE(SUBSTITUTE(INDEX(貼り付け!$A$1:$BZ$3001,2871,$E$1)&amp;"",",",""),"¥",""),"￥","")),0))</f>
        <v/>
      </c>
      <c r="F2872">
        <f>IF($F$1=0,0,IFERROR(VALUE(SUBSTITUTE(SUBSTITUTE(SUBSTITUTE(INDEX(貼り付け!$A$1:$BZ$3001,2871,$F$1)&amp;"",",",""),"¥",""),"￥","")),0))</f>
        <v/>
      </c>
      <c r="G2872">
        <f>IF(ISNUMBER(B2872),YEAR(B2872),"")</f>
        <v/>
      </c>
      <c r="H2872">
        <f>IF(ISNUMBER(B2872),MONTH(B2872),"")</f>
        <v/>
      </c>
      <c r="I2872">
        <f>IFERROR(IF($B$1=0,"",IF(ISNUMBER(INDEX(貼り付け!$A$1:$BZ$3001,2871,$B$1)),"",SUBSTITUTE(SUBSTITUTE(SUBSTITUTE(SUBSTITUTE(TRIM(LEFT(INDEX(貼り付け!$A$1:$BZ$3001,2871,$B$1)&amp;"",FIND(" ",TRIM(INDEX(貼り付け!$A$1:$BZ$3001,2871,$B$1)&amp;"")&amp;" ")-1)),"/","-"),"年","-"),"月","-"),"日",""))),"")</f>
        <v/>
      </c>
      <c r="J2872">
        <f>IFERROR(MID(I2872,FIND("-",I2872)+1,99),"")</f>
        <v/>
      </c>
    </row>
    <row r="2873">
      <c r="B2873">
        <f>IFERROR(IF($B$1=0,"",IF(INDEX(貼り付け!$A$1:$BZ$3001,2872,$B$1)="","",IF(ISNUMBER(INDEX(貼り付け!$A$1:$BZ$3001,2872,$B$1)),INT(INDEX(貼り付け!$A$1:$BZ$3001,2872,$B$1)),DATE(VALUE(LEFT(I2873,FIND("-",I2873)-1)),VALUE(LEFT(J2873,FIND("-",J2873)-1)),VALUE(MID(J2873,FIND("-",J2873)+1,99)))))),"")</f>
        <v/>
      </c>
      <c r="C2873">
        <f>IF($C$1=0,0,IFERROR(VALUE(SUBSTITUTE(SUBSTITUTE(SUBSTITUTE(INDEX(貼り付け!$A$1:$BZ$3001,2872,$C$1)&amp;"",",",""),"¥",""),"￥","")),0))</f>
        <v/>
      </c>
      <c r="D2873">
        <f>IF($D$1=0,0,IFERROR(VALUE(SUBSTITUTE(SUBSTITUTE(SUBSTITUTE(INDEX(貼り付け!$A$1:$BZ$3001,2872,$D$1)&amp;"",",",""),"¥",""),"￥","")),0))</f>
        <v/>
      </c>
      <c r="E2873">
        <f>IF($E$1=0,0,IFERROR(VALUE(SUBSTITUTE(SUBSTITUTE(SUBSTITUTE(INDEX(貼り付け!$A$1:$BZ$3001,2872,$E$1)&amp;"",",",""),"¥",""),"￥","")),0))</f>
        <v/>
      </c>
      <c r="F2873">
        <f>IF($F$1=0,0,IFERROR(VALUE(SUBSTITUTE(SUBSTITUTE(SUBSTITUTE(INDEX(貼り付け!$A$1:$BZ$3001,2872,$F$1)&amp;"",",",""),"¥",""),"￥","")),0))</f>
        <v/>
      </c>
      <c r="G2873">
        <f>IF(ISNUMBER(B2873),YEAR(B2873),"")</f>
        <v/>
      </c>
      <c r="H2873">
        <f>IF(ISNUMBER(B2873),MONTH(B2873),"")</f>
        <v/>
      </c>
      <c r="I2873">
        <f>IFERROR(IF($B$1=0,"",IF(ISNUMBER(INDEX(貼り付け!$A$1:$BZ$3001,2872,$B$1)),"",SUBSTITUTE(SUBSTITUTE(SUBSTITUTE(SUBSTITUTE(TRIM(LEFT(INDEX(貼り付け!$A$1:$BZ$3001,2872,$B$1)&amp;"",FIND(" ",TRIM(INDEX(貼り付け!$A$1:$BZ$3001,2872,$B$1)&amp;"")&amp;" ")-1)),"/","-"),"年","-"),"月","-"),"日",""))),"")</f>
        <v/>
      </c>
      <c r="J2873">
        <f>IFERROR(MID(I2873,FIND("-",I2873)+1,99),"")</f>
        <v/>
      </c>
    </row>
    <row r="2874">
      <c r="B2874">
        <f>IFERROR(IF($B$1=0,"",IF(INDEX(貼り付け!$A$1:$BZ$3001,2873,$B$1)="","",IF(ISNUMBER(INDEX(貼り付け!$A$1:$BZ$3001,2873,$B$1)),INT(INDEX(貼り付け!$A$1:$BZ$3001,2873,$B$1)),DATE(VALUE(LEFT(I2874,FIND("-",I2874)-1)),VALUE(LEFT(J2874,FIND("-",J2874)-1)),VALUE(MID(J2874,FIND("-",J2874)+1,99)))))),"")</f>
        <v/>
      </c>
      <c r="C2874">
        <f>IF($C$1=0,0,IFERROR(VALUE(SUBSTITUTE(SUBSTITUTE(SUBSTITUTE(INDEX(貼り付け!$A$1:$BZ$3001,2873,$C$1)&amp;"",",",""),"¥",""),"￥","")),0))</f>
        <v/>
      </c>
      <c r="D2874">
        <f>IF($D$1=0,0,IFERROR(VALUE(SUBSTITUTE(SUBSTITUTE(SUBSTITUTE(INDEX(貼り付け!$A$1:$BZ$3001,2873,$D$1)&amp;"",",",""),"¥",""),"￥","")),0))</f>
        <v/>
      </c>
      <c r="E2874">
        <f>IF($E$1=0,0,IFERROR(VALUE(SUBSTITUTE(SUBSTITUTE(SUBSTITUTE(INDEX(貼り付け!$A$1:$BZ$3001,2873,$E$1)&amp;"",",",""),"¥",""),"￥","")),0))</f>
        <v/>
      </c>
      <c r="F2874">
        <f>IF($F$1=0,0,IFERROR(VALUE(SUBSTITUTE(SUBSTITUTE(SUBSTITUTE(INDEX(貼り付け!$A$1:$BZ$3001,2873,$F$1)&amp;"",",",""),"¥",""),"￥","")),0))</f>
        <v/>
      </c>
      <c r="G2874">
        <f>IF(ISNUMBER(B2874),YEAR(B2874),"")</f>
        <v/>
      </c>
      <c r="H2874">
        <f>IF(ISNUMBER(B2874),MONTH(B2874),"")</f>
        <v/>
      </c>
      <c r="I2874">
        <f>IFERROR(IF($B$1=0,"",IF(ISNUMBER(INDEX(貼り付け!$A$1:$BZ$3001,2873,$B$1)),"",SUBSTITUTE(SUBSTITUTE(SUBSTITUTE(SUBSTITUTE(TRIM(LEFT(INDEX(貼り付け!$A$1:$BZ$3001,2873,$B$1)&amp;"",FIND(" ",TRIM(INDEX(貼り付け!$A$1:$BZ$3001,2873,$B$1)&amp;"")&amp;" ")-1)),"/","-"),"年","-"),"月","-"),"日",""))),"")</f>
        <v/>
      </c>
      <c r="J2874">
        <f>IFERROR(MID(I2874,FIND("-",I2874)+1,99),"")</f>
        <v/>
      </c>
    </row>
    <row r="2875">
      <c r="B2875">
        <f>IFERROR(IF($B$1=0,"",IF(INDEX(貼り付け!$A$1:$BZ$3001,2874,$B$1)="","",IF(ISNUMBER(INDEX(貼り付け!$A$1:$BZ$3001,2874,$B$1)),INT(INDEX(貼り付け!$A$1:$BZ$3001,2874,$B$1)),DATE(VALUE(LEFT(I2875,FIND("-",I2875)-1)),VALUE(LEFT(J2875,FIND("-",J2875)-1)),VALUE(MID(J2875,FIND("-",J2875)+1,99)))))),"")</f>
        <v/>
      </c>
      <c r="C2875">
        <f>IF($C$1=0,0,IFERROR(VALUE(SUBSTITUTE(SUBSTITUTE(SUBSTITUTE(INDEX(貼り付け!$A$1:$BZ$3001,2874,$C$1)&amp;"",",",""),"¥",""),"￥","")),0))</f>
        <v/>
      </c>
      <c r="D2875">
        <f>IF($D$1=0,0,IFERROR(VALUE(SUBSTITUTE(SUBSTITUTE(SUBSTITUTE(INDEX(貼り付け!$A$1:$BZ$3001,2874,$D$1)&amp;"",",",""),"¥",""),"￥","")),0))</f>
        <v/>
      </c>
      <c r="E2875">
        <f>IF($E$1=0,0,IFERROR(VALUE(SUBSTITUTE(SUBSTITUTE(SUBSTITUTE(INDEX(貼り付け!$A$1:$BZ$3001,2874,$E$1)&amp;"",",",""),"¥",""),"￥","")),0))</f>
        <v/>
      </c>
      <c r="F2875">
        <f>IF($F$1=0,0,IFERROR(VALUE(SUBSTITUTE(SUBSTITUTE(SUBSTITUTE(INDEX(貼り付け!$A$1:$BZ$3001,2874,$F$1)&amp;"",",",""),"¥",""),"￥","")),0))</f>
        <v/>
      </c>
      <c r="G2875">
        <f>IF(ISNUMBER(B2875),YEAR(B2875),"")</f>
        <v/>
      </c>
      <c r="H2875">
        <f>IF(ISNUMBER(B2875),MONTH(B2875),"")</f>
        <v/>
      </c>
      <c r="I2875">
        <f>IFERROR(IF($B$1=0,"",IF(ISNUMBER(INDEX(貼り付け!$A$1:$BZ$3001,2874,$B$1)),"",SUBSTITUTE(SUBSTITUTE(SUBSTITUTE(SUBSTITUTE(TRIM(LEFT(INDEX(貼り付け!$A$1:$BZ$3001,2874,$B$1)&amp;"",FIND(" ",TRIM(INDEX(貼り付け!$A$1:$BZ$3001,2874,$B$1)&amp;"")&amp;" ")-1)),"/","-"),"年","-"),"月","-"),"日",""))),"")</f>
        <v/>
      </c>
      <c r="J2875">
        <f>IFERROR(MID(I2875,FIND("-",I2875)+1,99),"")</f>
        <v/>
      </c>
    </row>
    <row r="2876">
      <c r="B2876">
        <f>IFERROR(IF($B$1=0,"",IF(INDEX(貼り付け!$A$1:$BZ$3001,2875,$B$1)="","",IF(ISNUMBER(INDEX(貼り付け!$A$1:$BZ$3001,2875,$B$1)),INT(INDEX(貼り付け!$A$1:$BZ$3001,2875,$B$1)),DATE(VALUE(LEFT(I2876,FIND("-",I2876)-1)),VALUE(LEFT(J2876,FIND("-",J2876)-1)),VALUE(MID(J2876,FIND("-",J2876)+1,99)))))),"")</f>
        <v/>
      </c>
      <c r="C2876">
        <f>IF($C$1=0,0,IFERROR(VALUE(SUBSTITUTE(SUBSTITUTE(SUBSTITUTE(INDEX(貼り付け!$A$1:$BZ$3001,2875,$C$1)&amp;"",",",""),"¥",""),"￥","")),0))</f>
        <v/>
      </c>
      <c r="D2876">
        <f>IF($D$1=0,0,IFERROR(VALUE(SUBSTITUTE(SUBSTITUTE(SUBSTITUTE(INDEX(貼り付け!$A$1:$BZ$3001,2875,$D$1)&amp;"",",",""),"¥",""),"￥","")),0))</f>
        <v/>
      </c>
      <c r="E2876">
        <f>IF($E$1=0,0,IFERROR(VALUE(SUBSTITUTE(SUBSTITUTE(SUBSTITUTE(INDEX(貼り付け!$A$1:$BZ$3001,2875,$E$1)&amp;"",",",""),"¥",""),"￥","")),0))</f>
        <v/>
      </c>
      <c r="F2876">
        <f>IF($F$1=0,0,IFERROR(VALUE(SUBSTITUTE(SUBSTITUTE(SUBSTITUTE(INDEX(貼り付け!$A$1:$BZ$3001,2875,$F$1)&amp;"",",",""),"¥",""),"￥","")),0))</f>
        <v/>
      </c>
      <c r="G2876">
        <f>IF(ISNUMBER(B2876),YEAR(B2876),"")</f>
        <v/>
      </c>
      <c r="H2876">
        <f>IF(ISNUMBER(B2876),MONTH(B2876),"")</f>
        <v/>
      </c>
      <c r="I2876">
        <f>IFERROR(IF($B$1=0,"",IF(ISNUMBER(INDEX(貼り付け!$A$1:$BZ$3001,2875,$B$1)),"",SUBSTITUTE(SUBSTITUTE(SUBSTITUTE(SUBSTITUTE(TRIM(LEFT(INDEX(貼り付け!$A$1:$BZ$3001,2875,$B$1)&amp;"",FIND(" ",TRIM(INDEX(貼り付け!$A$1:$BZ$3001,2875,$B$1)&amp;"")&amp;" ")-1)),"/","-"),"年","-"),"月","-"),"日",""))),"")</f>
        <v/>
      </c>
      <c r="J2876">
        <f>IFERROR(MID(I2876,FIND("-",I2876)+1,99),"")</f>
        <v/>
      </c>
    </row>
    <row r="2877">
      <c r="B2877">
        <f>IFERROR(IF($B$1=0,"",IF(INDEX(貼り付け!$A$1:$BZ$3001,2876,$B$1)="","",IF(ISNUMBER(INDEX(貼り付け!$A$1:$BZ$3001,2876,$B$1)),INT(INDEX(貼り付け!$A$1:$BZ$3001,2876,$B$1)),DATE(VALUE(LEFT(I2877,FIND("-",I2877)-1)),VALUE(LEFT(J2877,FIND("-",J2877)-1)),VALUE(MID(J2877,FIND("-",J2877)+1,99)))))),"")</f>
        <v/>
      </c>
      <c r="C2877">
        <f>IF($C$1=0,0,IFERROR(VALUE(SUBSTITUTE(SUBSTITUTE(SUBSTITUTE(INDEX(貼り付け!$A$1:$BZ$3001,2876,$C$1)&amp;"",",",""),"¥",""),"￥","")),0))</f>
        <v/>
      </c>
      <c r="D2877">
        <f>IF($D$1=0,0,IFERROR(VALUE(SUBSTITUTE(SUBSTITUTE(SUBSTITUTE(INDEX(貼り付け!$A$1:$BZ$3001,2876,$D$1)&amp;"",",",""),"¥",""),"￥","")),0))</f>
        <v/>
      </c>
      <c r="E2877">
        <f>IF($E$1=0,0,IFERROR(VALUE(SUBSTITUTE(SUBSTITUTE(SUBSTITUTE(INDEX(貼り付け!$A$1:$BZ$3001,2876,$E$1)&amp;"",",",""),"¥",""),"￥","")),0))</f>
        <v/>
      </c>
      <c r="F2877">
        <f>IF($F$1=0,0,IFERROR(VALUE(SUBSTITUTE(SUBSTITUTE(SUBSTITUTE(INDEX(貼り付け!$A$1:$BZ$3001,2876,$F$1)&amp;"",",",""),"¥",""),"￥","")),0))</f>
        <v/>
      </c>
      <c r="G2877">
        <f>IF(ISNUMBER(B2877),YEAR(B2877),"")</f>
        <v/>
      </c>
      <c r="H2877">
        <f>IF(ISNUMBER(B2877),MONTH(B2877),"")</f>
        <v/>
      </c>
      <c r="I2877">
        <f>IFERROR(IF($B$1=0,"",IF(ISNUMBER(INDEX(貼り付け!$A$1:$BZ$3001,2876,$B$1)),"",SUBSTITUTE(SUBSTITUTE(SUBSTITUTE(SUBSTITUTE(TRIM(LEFT(INDEX(貼り付け!$A$1:$BZ$3001,2876,$B$1)&amp;"",FIND(" ",TRIM(INDEX(貼り付け!$A$1:$BZ$3001,2876,$B$1)&amp;"")&amp;" ")-1)),"/","-"),"年","-"),"月","-"),"日",""))),"")</f>
        <v/>
      </c>
      <c r="J2877">
        <f>IFERROR(MID(I2877,FIND("-",I2877)+1,99),"")</f>
        <v/>
      </c>
    </row>
    <row r="2878">
      <c r="B2878">
        <f>IFERROR(IF($B$1=0,"",IF(INDEX(貼り付け!$A$1:$BZ$3001,2877,$B$1)="","",IF(ISNUMBER(INDEX(貼り付け!$A$1:$BZ$3001,2877,$B$1)),INT(INDEX(貼り付け!$A$1:$BZ$3001,2877,$B$1)),DATE(VALUE(LEFT(I2878,FIND("-",I2878)-1)),VALUE(LEFT(J2878,FIND("-",J2878)-1)),VALUE(MID(J2878,FIND("-",J2878)+1,99)))))),"")</f>
        <v/>
      </c>
      <c r="C2878">
        <f>IF($C$1=0,0,IFERROR(VALUE(SUBSTITUTE(SUBSTITUTE(SUBSTITUTE(INDEX(貼り付け!$A$1:$BZ$3001,2877,$C$1)&amp;"",",",""),"¥",""),"￥","")),0))</f>
        <v/>
      </c>
      <c r="D2878">
        <f>IF($D$1=0,0,IFERROR(VALUE(SUBSTITUTE(SUBSTITUTE(SUBSTITUTE(INDEX(貼り付け!$A$1:$BZ$3001,2877,$D$1)&amp;"",",",""),"¥",""),"￥","")),0))</f>
        <v/>
      </c>
      <c r="E2878">
        <f>IF($E$1=0,0,IFERROR(VALUE(SUBSTITUTE(SUBSTITUTE(SUBSTITUTE(INDEX(貼り付け!$A$1:$BZ$3001,2877,$E$1)&amp;"",",",""),"¥",""),"￥","")),0))</f>
        <v/>
      </c>
      <c r="F2878">
        <f>IF($F$1=0,0,IFERROR(VALUE(SUBSTITUTE(SUBSTITUTE(SUBSTITUTE(INDEX(貼り付け!$A$1:$BZ$3001,2877,$F$1)&amp;"",",",""),"¥",""),"￥","")),0))</f>
        <v/>
      </c>
      <c r="G2878">
        <f>IF(ISNUMBER(B2878),YEAR(B2878),"")</f>
        <v/>
      </c>
      <c r="H2878">
        <f>IF(ISNUMBER(B2878),MONTH(B2878),"")</f>
        <v/>
      </c>
      <c r="I2878">
        <f>IFERROR(IF($B$1=0,"",IF(ISNUMBER(INDEX(貼り付け!$A$1:$BZ$3001,2877,$B$1)),"",SUBSTITUTE(SUBSTITUTE(SUBSTITUTE(SUBSTITUTE(TRIM(LEFT(INDEX(貼り付け!$A$1:$BZ$3001,2877,$B$1)&amp;"",FIND(" ",TRIM(INDEX(貼り付け!$A$1:$BZ$3001,2877,$B$1)&amp;"")&amp;" ")-1)),"/","-"),"年","-"),"月","-"),"日",""))),"")</f>
        <v/>
      </c>
      <c r="J2878">
        <f>IFERROR(MID(I2878,FIND("-",I2878)+1,99),"")</f>
        <v/>
      </c>
    </row>
    <row r="2879">
      <c r="B2879">
        <f>IFERROR(IF($B$1=0,"",IF(INDEX(貼り付け!$A$1:$BZ$3001,2878,$B$1)="","",IF(ISNUMBER(INDEX(貼り付け!$A$1:$BZ$3001,2878,$B$1)),INT(INDEX(貼り付け!$A$1:$BZ$3001,2878,$B$1)),DATE(VALUE(LEFT(I2879,FIND("-",I2879)-1)),VALUE(LEFT(J2879,FIND("-",J2879)-1)),VALUE(MID(J2879,FIND("-",J2879)+1,99)))))),"")</f>
        <v/>
      </c>
      <c r="C2879">
        <f>IF($C$1=0,0,IFERROR(VALUE(SUBSTITUTE(SUBSTITUTE(SUBSTITUTE(INDEX(貼り付け!$A$1:$BZ$3001,2878,$C$1)&amp;"",",",""),"¥",""),"￥","")),0))</f>
        <v/>
      </c>
      <c r="D2879">
        <f>IF($D$1=0,0,IFERROR(VALUE(SUBSTITUTE(SUBSTITUTE(SUBSTITUTE(INDEX(貼り付け!$A$1:$BZ$3001,2878,$D$1)&amp;"",",",""),"¥",""),"￥","")),0))</f>
        <v/>
      </c>
      <c r="E2879">
        <f>IF($E$1=0,0,IFERROR(VALUE(SUBSTITUTE(SUBSTITUTE(SUBSTITUTE(INDEX(貼り付け!$A$1:$BZ$3001,2878,$E$1)&amp;"",",",""),"¥",""),"￥","")),0))</f>
        <v/>
      </c>
      <c r="F2879">
        <f>IF($F$1=0,0,IFERROR(VALUE(SUBSTITUTE(SUBSTITUTE(SUBSTITUTE(INDEX(貼り付け!$A$1:$BZ$3001,2878,$F$1)&amp;"",",",""),"¥",""),"￥","")),0))</f>
        <v/>
      </c>
      <c r="G2879">
        <f>IF(ISNUMBER(B2879),YEAR(B2879),"")</f>
        <v/>
      </c>
      <c r="H2879">
        <f>IF(ISNUMBER(B2879),MONTH(B2879),"")</f>
        <v/>
      </c>
      <c r="I2879">
        <f>IFERROR(IF($B$1=0,"",IF(ISNUMBER(INDEX(貼り付け!$A$1:$BZ$3001,2878,$B$1)),"",SUBSTITUTE(SUBSTITUTE(SUBSTITUTE(SUBSTITUTE(TRIM(LEFT(INDEX(貼り付け!$A$1:$BZ$3001,2878,$B$1)&amp;"",FIND(" ",TRIM(INDEX(貼り付け!$A$1:$BZ$3001,2878,$B$1)&amp;"")&amp;" ")-1)),"/","-"),"年","-"),"月","-"),"日",""))),"")</f>
        <v/>
      </c>
      <c r="J2879">
        <f>IFERROR(MID(I2879,FIND("-",I2879)+1,99),"")</f>
        <v/>
      </c>
    </row>
    <row r="2880">
      <c r="B2880">
        <f>IFERROR(IF($B$1=0,"",IF(INDEX(貼り付け!$A$1:$BZ$3001,2879,$B$1)="","",IF(ISNUMBER(INDEX(貼り付け!$A$1:$BZ$3001,2879,$B$1)),INT(INDEX(貼り付け!$A$1:$BZ$3001,2879,$B$1)),DATE(VALUE(LEFT(I2880,FIND("-",I2880)-1)),VALUE(LEFT(J2880,FIND("-",J2880)-1)),VALUE(MID(J2880,FIND("-",J2880)+1,99)))))),"")</f>
        <v/>
      </c>
      <c r="C2880">
        <f>IF($C$1=0,0,IFERROR(VALUE(SUBSTITUTE(SUBSTITUTE(SUBSTITUTE(INDEX(貼り付け!$A$1:$BZ$3001,2879,$C$1)&amp;"",",",""),"¥",""),"￥","")),0))</f>
        <v/>
      </c>
      <c r="D2880">
        <f>IF($D$1=0,0,IFERROR(VALUE(SUBSTITUTE(SUBSTITUTE(SUBSTITUTE(INDEX(貼り付け!$A$1:$BZ$3001,2879,$D$1)&amp;"",",",""),"¥",""),"￥","")),0))</f>
        <v/>
      </c>
      <c r="E2880">
        <f>IF($E$1=0,0,IFERROR(VALUE(SUBSTITUTE(SUBSTITUTE(SUBSTITUTE(INDEX(貼り付け!$A$1:$BZ$3001,2879,$E$1)&amp;"",",",""),"¥",""),"￥","")),0))</f>
        <v/>
      </c>
      <c r="F2880">
        <f>IF($F$1=0,0,IFERROR(VALUE(SUBSTITUTE(SUBSTITUTE(SUBSTITUTE(INDEX(貼り付け!$A$1:$BZ$3001,2879,$F$1)&amp;"",",",""),"¥",""),"￥","")),0))</f>
        <v/>
      </c>
      <c r="G2880">
        <f>IF(ISNUMBER(B2880),YEAR(B2880),"")</f>
        <v/>
      </c>
      <c r="H2880">
        <f>IF(ISNUMBER(B2880),MONTH(B2880),"")</f>
        <v/>
      </c>
      <c r="I2880">
        <f>IFERROR(IF($B$1=0,"",IF(ISNUMBER(INDEX(貼り付け!$A$1:$BZ$3001,2879,$B$1)),"",SUBSTITUTE(SUBSTITUTE(SUBSTITUTE(SUBSTITUTE(TRIM(LEFT(INDEX(貼り付け!$A$1:$BZ$3001,2879,$B$1)&amp;"",FIND(" ",TRIM(INDEX(貼り付け!$A$1:$BZ$3001,2879,$B$1)&amp;"")&amp;" ")-1)),"/","-"),"年","-"),"月","-"),"日",""))),"")</f>
        <v/>
      </c>
      <c r="J2880">
        <f>IFERROR(MID(I2880,FIND("-",I2880)+1,99),"")</f>
        <v/>
      </c>
    </row>
    <row r="2881">
      <c r="B2881">
        <f>IFERROR(IF($B$1=0,"",IF(INDEX(貼り付け!$A$1:$BZ$3001,2880,$B$1)="","",IF(ISNUMBER(INDEX(貼り付け!$A$1:$BZ$3001,2880,$B$1)),INT(INDEX(貼り付け!$A$1:$BZ$3001,2880,$B$1)),DATE(VALUE(LEFT(I2881,FIND("-",I2881)-1)),VALUE(LEFT(J2881,FIND("-",J2881)-1)),VALUE(MID(J2881,FIND("-",J2881)+1,99)))))),"")</f>
        <v/>
      </c>
      <c r="C2881">
        <f>IF($C$1=0,0,IFERROR(VALUE(SUBSTITUTE(SUBSTITUTE(SUBSTITUTE(INDEX(貼り付け!$A$1:$BZ$3001,2880,$C$1)&amp;"",",",""),"¥",""),"￥","")),0))</f>
        <v/>
      </c>
      <c r="D2881">
        <f>IF($D$1=0,0,IFERROR(VALUE(SUBSTITUTE(SUBSTITUTE(SUBSTITUTE(INDEX(貼り付け!$A$1:$BZ$3001,2880,$D$1)&amp;"",",",""),"¥",""),"￥","")),0))</f>
        <v/>
      </c>
      <c r="E2881">
        <f>IF($E$1=0,0,IFERROR(VALUE(SUBSTITUTE(SUBSTITUTE(SUBSTITUTE(INDEX(貼り付け!$A$1:$BZ$3001,2880,$E$1)&amp;"",",",""),"¥",""),"￥","")),0))</f>
        <v/>
      </c>
      <c r="F2881">
        <f>IF($F$1=0,0,IFERROR(VALUE(SUBSTITUTE(SUBSTITUTE(SUBSTITUTE(INDEX(貼り付け!$A$1:$BZ$3001,2880,$F$1)&amp;"",",",""),"¥",""),"￥","")),0))</f>
        <v/>
      </c>
      <c r="G2881">
        <f>IF(ISNUMBER(B2881),YEAR(B2881),"")</f>
        <v/>
      </c>
      <c r="H2881">
        <f>IF(ISNUMBER(B2881),MONTH(B2881),"")</f>
        <v/>
      </c>
      <c r="I2881">
        <f>IFERROR(IF($B$1=0,"",IF(ISNUMBER(INDEX(貼り付け!$A$1:$BZ$3001,2880,$B$1)),"",SUBSTITUTE(SUBSTITUTE(SUBSTITUTE(SUBSTITUTE(TRIM(LEFT(INDEX(貼り付け!$A$1:$BZ$3001,2880,$B$1)&amp;"",FIND(" ",TRIM(INDEX(貼り付け!$A$1:$BZ$3001,2880,$B$1)&amp;"")&amp;" ")-1)),"/","-"),"年","-"),"月","-"),"日",""))),"")</f>
        <v/>
      </c>
      <c r="J2881">
        <f>IFERROR(MID(I2881,FIND("-",I2881)+1,99),"")</f>
        <v/>
      </c>
    </row>
    <row r="2882">
      <c r="B2882">
        <f>IFERROR(IF($B$1=0,"",IF(INDEX(貼り付け!$A$1:$BZ$3001,2881,$B$1)="","",IF(ISNUMBER(INDEX(貼り付け!$A$1:$BZ$3001,2881,$B$1)),INT(INDEX(貼り付け!$A$1:$BZ$3001,2881,$B$1)),DATE(VALUE(LEFT(I2882,FIND("-",I2882)-1)),VALUE(LEFT(J2882,FIND("-",J2882)-1)),VALUE(MID(J2882,FIND("-",J2882)+1,99)))))),"")</f>
        <v/>
      </c>
      <c r="C2882">
        <f>IF($C$1=0,0,IFERROR(VALUE(SUBSTITUTE(SUBSTITUTE(SUBSTITUTE(INDEX(貼り付け!$A$1:$BZ$3001,2881,$C$1)&amp;"",",",""),"¥",""),"￥","")),0))</f>
        <v/>
      </c>
      <c r="D2882">
        <f>IF($D$1=0,0,IFERROR(VALUE(SUBSTITUTE(SUBSTITUTE(SUBSTITUTE(INDEX(貼り付け!$A$1:$BZ$3001,2881,$D$1)&amp;"",",",""),"¥",""),"￥","")),0))</f>
        <v/>
      </c>
      <c r="E2882">
        <f>IF($E$1=0,0,IFERROR(VALUE(SUBSTITUTE(SUBSTITUTE(SUBSTITUTE(INDEX(貼り付け!$A$1:$BZ$3001,2881,$E$1)&amp;"",",",""),"¥",""),"￥","")),0))</f>
        <v/>
      </c>
      <c r="F2882">
        <f>IF($F$1=0,0,IFERROR(VALUE(SUBSTITUTE(SUBSTITUTE(SUBSTITUTE(INDEX(貼り付け!$A$1:$BZ$3001,2881,$F$1)&amp;"",",",""),"¥",""),"￥","")),0))</f>
        <v/>
      </c>
      <c r="G2882">
        <f>IF(ISNUMBER(B2882),YEAR(B2882),"")</f>
        <v/>
      </c>
      <c r="H2882">
        <f>IF(ISNUMBER(B2882),MONTH(B2882),"")</f>
        <v/>
      </c>
      <c r="I2882">
        <f>IFERROR(IF($B$1=0,"",IF(ISNUMBER(INDEX(貼り付け!$A$1:$BZ$3001,2881,$B$1)),"",SUBSTITUTE(SUBSTITUTE(SUBSTITUTE(SUBSTITUTE(TRIM(LEFT(INDEX(貼り付け!$A$1:$BZ$3001,2881,$B$1)&amp;"",FIND(" ",TRIM(INDEX(貼り付け!$A$1:$BZ$3001,2881,$B$1)&amp;"")&amp;" ")-1)),"/","-"),"年","-"),"月","-"),"日",""))),"")</f>
        <v/>
      </c>
      <c r="J2882">
        <f>IFERROR(MID(I2882,FIND("-",I2882)+1,99),"")</f>
        <v/>
      </c>
    </row>
    <row r="2883">
      <c r="B2883">
        <f>IFERROR(IF($B$1=0,"",IF(INDEX(貼り付け!$A$1:$BZ$3001,2882,$B$1)="","",IF(ISNUMBER(INDEX(貼り付け!$A$1:$BZ$3001,2882,$B$1)),INT(INDEX(貼り付け!$A$1:$BZ$3001,2882,$B$1)),DATE(VALUE(LEFT(I2883,FIND("-",I2883)-1)),VALUE(LEFT(J2883,FIND("-",J2883)-1)),VALUE(MID(J2883,FIND("-",J2883)+1,99)))))),"")</f>
        <v/>
      </c>
      <c r="C2883">
        <f>IF($C$1=0,0,IFERROR(VALUE(SUBSTITUTE(SUBSTITUTE(SUBSTITUTE(INDEX(貼り付け!$A$1:$BZ$3001,2882,$C$1)&amp;"",",",""),"¥",""),"￥","")),0))</f>
        <v/>
      </c>
      <c r="D2883">
        <f>IF($D$1=0,0,IFERROR(VALUE(SUBSTITUTE(SUBSTITUTE(SUBSTITUTE(INDEX(貼り付け!$A$1:$BZ$3001,2882,$D$1)&amp;"",",",""),"¥",""),"￥","")),0))</f>
        <v/>
      </c>
      <c r="E2883">
        <f>IF($E$1=0,0,IFERROR(VALUE(SUBSTITUTE(SUBSTITUTE(SUBSTITUTE(INDEX(貼り付け!$A$1:$BZ$3001,2882,$E$1)&amp;"",",",""),"¥",""),"￥","")),0))</f>
        <v/>
      </c>
      <c r="F2883">
        <f>IF($F$1=0,0,IFERROR(VALUE(SUBSTITUTE(SUBSTITUTE(SUBSTITUTE(INDEX(貼り付け!$A$1:$BZ$3001,2882,$F$1)&amp;"",",",""),"¥",""),"￥","")),0))</f>
        <v/>
      </c>
      <c r="G2883">
        <f>IF(ISNUMBER(B2883),YEAR(B2883),"")</f>
        <v/>
      </c>
      <c r="H2883">
        <f>IF(ISNUMBER(B2883),MONTH(B2883),"")</f>
        <v/>
      </c>
      <c r="I2883">
        <f>IFERROR(IF($B$1=0,"",IF(ISNUMBER(INDEX(貼り付け!$A$1:$BZ$3001,2882,$B$1)),"",SUBSTITUTE(SUBSTITUTE(SUBSTITUTE(SUBSTITUTE(TRIM(LEFT(INDEX(貼り付け!$A$1:$BZ$3001,2882,$B$1)&amp;"",FIND(" ",TRIM(INDEX(貼り付け!$A$1:$BZ$3001,2882,$B$1)&amp;"")&amp;" ")-1)),"/","-"),"年","-"),"月","-"),"日",""))),"")</f>
        <v/>
      </c>
      <c r="J2883">
        <f>IFERROR(MID(I2883,FIND("-",I2883)+1,99),"")</f>
        <v/>
      </c>
    </row>
    <row r="2884">
      <c r="B2884">
        <f>IFERROR(IF($B$1=0,"",IF(INDEX(貼り付け!$A$1:$BZ$3001,2883,$B$1)="","",IF(ISNUMBER(INDEX(貼り付け!$A$1:$BZ$3001,2883,$B$1)),INT(INDEX(貼り付け!$A$1:$BZ$3001,2883,$B$1)),DATE(VALUE(LEFT(I2884,FIND("-",I2884)-1)),VALUE(LEFT(J2884,FIND("-",J2884)-1)),VALUE(MID(J2884,FIND("-",J2884)+1,99)))))),"")</f>
        <v/>
      </c>
      <c r="C2884">
        <f>IF($C$1=0,0,IFERROR(VALUE(SUBSTITUTE(SUBSTITUTE(SUBSTITUTE(INDEX(貼り付け!$A$1:$BZ$3001,2883,$C$1)&amp;"",",",""),"¥",""),"￥","")),0))</f>
        <v/>
      </c>
      <c r="D2884">
        <f>IF($D$1=0,0,IFERROR(VALUE(SUBSTITUTE(SUBSTITUTE(SUBSTITUTE(INDEX(貼り付け!$A$1:$BZ$3001,2883,$D$1)&amp;"",",",""),"¥",""),"￥","")),0))</f>
        <v/>
      </c>
      <c r="E2884">
        <f>IF($E$1=0,0,IFERROR(VALUE(SUBSTITUTE(SUBSTITUTE(SUBSTITUTE(INDEX(貼り付け!$A$1:$BZ$3001,2883,$E$1)&amp;"",",",""),"¥",""),"￥","")),0))</f>
        <v/>
      </c>
      <c r="F2884">
        <f>IF($F$1=0,0,IFERROR(VALUE(SUBSTITUTE(SUBSTITUTE(SUBSTITUTE(INDEX(貼り付け!$A$1:$BZ$3001,2883,$F$1)&amp;"",",",""),"¥",""),"￥","")),0))</f>
        <v/>
      </c>
      <c r="G2884">
        <f>IF(ISNUMBER(B2884),YEAR(B2884),"")</f>
        <v/>
      </c>
      <c r="H2884">
        <f>IF(ISNUMBER(B2884),MONTH(B2884),"")</f>
        <v/>
      </c>
      <c r="I2884">
        <f>IFERROR(IF($B$1=0,"",IF(ISNUMBER(INDEX(貼り付け!$A$1:$BZ$3001,2883,$B$1)),"",SUBSTITUTE(SUBSTITUTE(SUBSTITUTE(SUBSTITUTE(TRIM(LEFT(INDEX(貼り付け!$A$1:$BZ$3001,2883,$B$1)&amp;"",FIND(" ",TRIM(INDEX(貼り付け!$A$1:$BZ$3001,2883,$B$1)&amp;"")&amp;" ")-1)),"/","-"),"年","-"),"月","-"),"日",""))),"")</f>
        <v/>
      </c>
      <c r="J2884">
        <f>IFERROR(MID(I2884,FIND("-",I2884)+1,99),"")</f>
        <v/>
      </c>
    </row>
    <row r="2885">
      <c r="B2885">
        <f>IFERROR(IF($B$1=0,"",IF(INDEX(貼り付け!$A$1:$BZ$3001,2884,$B$1)="","",IF(ISNUMBER(INDEX(貼り付け!$A$1:$BZ$3001,2884,$B$1)),INT(INDEX(貼り付け!$A$1:$BZ$3001,2884,$B$1)),DATE(VALUE(LEFT(I2885,FIND("-",I2885)-1)),VALUE(LEFT(J2885,FIND("-",J2885)-1)),VALUE(MID(J2885,FIND("-",J2885)+1,99)))))),"")</f>
        <v/>
      </c>
      <c r="C2885">
        <f>IF($C$1=0,0,IFERROR(VALUE(SUBSTITUTE(SUBSTITUTE(SUBSTITUTE(INDEX(貼り付け!$A$1:$BZ$3001,2884,$C$1)&amp;"",",",""),"¥",""),"￥","")),0))</f>
        <v/>
      </c>
      <c r="D2885">
        <f>IF($D$1=0,0,IFERROR(VALUE(SUBSTITUTE(SUBSTITUTE(SUBSTITUTE(INDEX(貼り付け!$A$1:$BZ$3001,2884,$D$1)&amp;"",",",""),"¥",""),"￥","")),0))</f>
        <v/>
      </c>
      <c r="E2885">
        <f>IF($E$1=0,0,IFERROR(VALUE(SUBSTITUTE(SUBSTITUTE(SUBSTITUTE(INDEX(貼り付け!$A$1:$BZ$3001,2884,$E$1)&amp;"",",",""),"¥",""),"￥","")),0))</f>
        <v/>
      </c>
      <c r="F2885">
        <f>IF($F$1=0,0,IFERROR(VALUE(SUBSTITUTE(SUBSTITUTE(SUBSTITUTE(INDEX(貼り付け!$A$1:$BZ$3001,2884,$F$1)&amp;"",",",""),"¥",""),"￥","")),0))</f>
        <v/>
      </c>
      <c r="G2885">
        <f>IF(ISNUMBER(B2885),YEAR(B2885),"")</f>
        <v/>
      </c>
      <c r="H2885">
        <f>IF(ISNUMBER(B2885),MONTH(B2885),"")</f>
        <v/>
      </c>
      <c r="I2885">
        <f>IFERROR(IF($B$1=0,"",IF(ISNUMBER(INDEX(貼り付け!$A$1:$BZ$3001,2884,$B$1)),"",SUBSTITUTE(SUBSTITUTE(SUBSTITUTE(SUBSTITUTE(TRIM(LEFT(INDEX(貼り付け!$A$1:$BZ$3001,2884,$B$1)&amp;"",FIND(" ",TRIM(INDEX(貼り付け!$A$1:$BZ$3001,2884,$B$1)&amp;"")&amp;" ")-1)),"/","-"),"年","-"),"月","-"),"日",""))),"")</f>
        <v/>
      </c>
      <c r="J2885">
        <f>IFERROR(MID(I2885,FIND("-",I2885)+1,99),"")</f>
        <v/>
      </c>
    </row>
    <row r="2886">
      <c r="B2886">
        <f>IFERROR(IF($B$1=0,"",IF(INDEX(貼り付け!$A$1:$BZ$3001,2885,$B$1)="","",IF(ISNUMBER(INDEX(貼り付け!$A$1:$BZ$3001,2885,$B$1)),INT(INDEX(貼り付け!$A$1:$BZ$3001,2885,$B$1)),DATE(VALUE(LEFT(I2886,FIND("-",I2886)-1)),VALUE(LEFT(J2886,FIND("-",J2886)-1)),VALUE(MID(J2886,FIND("-",J2886)+1,99)))))),"")</f>
        <v/>
      </c>
      <c r="C2886">
        <f>IF($C$1=0,0,IFERROR(VALUE(SUBSTITUTE(SUBSTITUTE(SUBSTITUTE(INDEX(貼り付け!$A$1:$BZ$3001,2885,$C$1)&amp;"",",",""),"¥",""),"￥","")),0))</f>
        <v/>
      </c>
      <c r="D2886">
        <f>IF($D$1=0,0,IFERROR(VALUE(SUBSTITUTE(SUBSTITUTE(SUBSTITUTE(INDEX(貼り付け!$A$1:$BZ$3001,2885,$D$1)&amp;"",",",""),"¥",""),"￥","")),0))</f>
        <v/>
      </c>
      <c r="E2886">
        <f>IF($E$1=0,0,IFERROR(VALUE(SUBSTITUTE(SUBSTITUTE(SUBSTITUTE(INDEX(貼り付け!$A$1:$BZ$3001,2885,$E$1)&amp;"",",",""),"¥",""),"￥","")),0))</f>
        <v/>
      </c>
      <c r="F2886">
        <f>IF($F$1=0,0,IFERROR(VALUE(SUBSTITUTE(SUBSTITUTE(SUBSTITUTE(INDEX(貼り付け!$A$1:$BZ$3001,2885,$F$1)&amp;"",",",""),"¥",""),"￥","")),0))</f>
        <v/>
      </c>
      <c r="G2886">
        <f>IF(ISNUMBER(B2886),YEAR(B2886),"")</f>
        <v/>
      </c>
      <c r="H2886">
        <f>IF(ISNUMBER(B2886),MONTH(B2886),"")</f>
        <v/>
      </c>
      <c r="I2886">
        <f>IFERROR(IF($B$1=0,"",IF(ISNUMBER(INDEX(貼り付け!$A$1:$BZ$3001,2885,$B$1)),"",SUBSTITUTE(SUBSTITUTE(SUBSTITUTE(SUBSTITUTE(TRIM(LEFT(INDEX(貼り付け!$A$1:$BZ$3001,2885,$B$1)&amp;"",FIND(" ",TRIM(INDEX(貼り付け!$A$1:$BZ$3001,2885,$B$1)&amp;"")&amp;" ")-1)),"/","-"),"年","-"),"月","-"),"日",""))),"")</f>
        <v/>
      </c>
      <c r="J2886">
        <f>IFERROR(MID(I2886,FIND("-",I2886)+1,99),"")</f>
        <v/>
      </c>
    </row>
    <row r="2887">
      <c r="B2887">
        <f>IFERROR(IF($B$1=0,"",IF(INDEX(貼り付け!$A$1:$BZ$3001,2886,$B$1)="","",IF(ISNUMBER(INDEX(貼り付け!$A$1:$BZ$3001,2886,$B$1)),INT(INDEX(貼り付け!$A$1:$BZ$3001,2886,$B$1)),DATE(VALUE(LEFT(I2887,FIND("-",I2887)-1)),VALUE(LEFT(J2887,FIND("-",J2887)-1)),VALUE(MID(J2887,FIND("-",J2887)+1,99)))))),"")</f>
        <v/>
      </c>
      <c r="C2887">
        <f>IF($C$1=0,0,IFERROR(VALUE(SUBSTITUTE(SUBSTITUTE(SUBSTITUTE(INDEX(貼り付け!$A$1:$BZ$3001,2886,$C$1)&amp;"",",",""),"¥",""),"￥","")),0))</f>
        <v/>
      </c>
      <c r="D2887">
        <f>IF($D$1=0,0,IFERROR(VALUE(SUBSTITUTE(SUBSTITUTE(SUBSTITUTE(INDEX(貼り付け!$A$1:$BZ$3001,2886,$D$1)&amp;"",",",""),"¥",""),"￥","")),0))</f>
        <v/>
      </c>
      <c r="E2887">
        <f>IF($E$1=0,0,IFERROR(VALUE(SUBSTITUTE(SUBSTITUTE(SUBSTITUTE(INDEX(貼り付け!$A$1:$BZ$3001,2886,$E$1)&amp;"",",",""),"¥",""),"￥","")),0))</f>
        <v/>
      </c>
      <c r="F2887">
        <f>IF($F$1=0,0,IFERROR(VALUE(SUBSTITUTE(SUBSTITUTE(SUBSTITUTE(INDEX(貼り付け!$A$1:$BZ$3001,2886,$F$1)&amp;"",",",""),"¥",""),"￥","")),0))</f>
        <v/>
      </c>
      <c r="G2887">
        <f>IF(ISNUMBER(B2887),YEAR(B2887),"")</f>
        <v/>
      </c>
      <c r="H2887">
        <f>IF(ISNUMBER(B2887),MONTH(B2887),"")</f>
        <v/>
      </c>
      <c r="I2887">
        <f>IFERROR(IF($B$1=0,"",IF(ISNUMBER(INDEX(貼り付け!$A$1:$BZ$3001,2886,$B$1)),"",SUBSTITUTE(SUBSTITUTE(SUBSTITUTE(SUBSTITUTE(TRIM(LEFT(INDEX(貼り付け!$A$1:$BZ$3001,2886,$B$1)&amp;"",FIND(" ",TRIM(INDEX(貼り付け!$A$1:$BZ$3001,2886,$B$1)&amp;"")&amp;" ")-1)),"/","-"),"年","-"),"月","-"),"日",""))),"")</f>
        <v/>
      </c>
      <c r="J2887">
        <f>IFERROR(MID(I2887,FIND("-",I2887)+1,99),"")</f>
        <v/>
      </c>
    </row>
    <row r="2888">
      <c r="B2888">
        <f>IFERROR(IF($B$1=0,"",IF(INDEX(貼り付け!$A$1:$BZ$3001,2887,$B$1)="","",IF(ISNUMBER(INDEX(貼り付け!$A$1:$BZ$3001,2887,$B$1)),INT(INDEX(貼り付け!$A$1:$BZ$3001,2887,$B$1)),DATE(VALUE(LEFT(I2888,FIND("-",I2888)-1)),VALUE(LEFT(J2888,FIND("-",J2888)-1)),VALUE(MID(J2888,FIND("-",J2888)+1,99)))))),"")</f>
        <v/>
      </c>
      <c r="C2888">
        <f>IF($C$1=0,0,IFERROR(VALUE(SUBSTITUTE(SUBSTITUTE(SUBSTITUTE(INDEX(貼り付け!$A$1:$BZ$3001,2887,$C$1)&amp;"",",",""),"¥",""),"￥","")),0))</f>
        <v/>
      </c>
      <c r="D2888">
        <f>IF($D$1=0,0,IFERROR(VALUE(SUBSTITUTE(SUBSTITUTE(SUBSTITUTE(INDEX(貼り付け!$A$1:$BZ$3001,2887,$D$1)&amp;"",",",""),"¥",""),"￥","")),0))</f>
        <v/>
      </c>
      <c r="E2888">
        <f>IF($E$1=0,0,IFERROR(VALUE(SUBSTITUTE(SUBSTITUTE(SUBSTITUTE(INDEX(貼り付け!$A$1:$BZ$3001,2887,$E$1)&amp;"",",",""),"¥",""),"￥","")),0))</f>
        <v/>
      </c>
      <c r="F2888">
        <f>IF($F$1=0,0,IFERROR(VALUE(SUBSTITUTE(SUBSTITUTE(SUBSTITUTE(INDEX(貼り付け!$A$1:$BZ$3001,2887,$F$1)&amp;"",",",""),"¥",""),"￥","")),0))</f>
        <v/>
      </c>
      <c r="G2888">
        <f>IF(ISNUMBER(B2888),YEAR(B2888),"")</f>
        <v/>
      </c>
      <c r="H2888">
        <f>IF(ISNUMBER(B2888),MONTH(B2888),"")</f>
        <v/>
      </c>
      <c r="I2888">
        <f>IFERROR(IF($B$1=0,"",IF(ISNUMBER(INDEX(貼り付け!$A$1:$BZ$3001,2887,$B$1)),"",SUBSTITUTE(SUBSTITUTE(SUBSTITUTE(SUBSTITUTE(TRIM(LEFT(INDEX(貼り付け!$A$1:$BZ$3001,2887,$B$1)&amp;"",FIND(" ",TRIM(INDEX(貼り付け!$A$1:$BZ$3001,2887,$B$1)&amp;"")&amp;" ")-1)),"/","-"),"年","-"),"月","-"),"日",""))),"")</f>
        <v/>
      </c>
      <c r="J2888">
        <f>IFERROR(MID(I2888,FIND("-",I2888)+1,99),"")</f>
        <v/>
      </c>
    </row>
    <row r="2889">
      <c r="B2889">
        <f>IFERROR(IF($B$1=0,"",IF(INDEX(貼り付け!$A$1:$BZ$3001,2888,$B$1)="","",IF(ISNUMBER(INDEX(貼り付け!$A$1:$BZ$3001,2888,$B$1)),INT(INDEX(貼り付け!$A$1:$BZ$3001,2888,$B$1)),DATE(VALUE(LEFT(I2889,FIND("-",I2889)-1)),VALUE(LEFT(J2889,FIND("-",J2889)-1)),VALUE(MID(J2889,FIND("-",J2889)+1,99)))))),"")</f>
        <v/>
      </c>
      <c r="C2889">
        <f>IF($C$1=0,0,IFERROR(VALUE(SUBSTITUTE(SUBSTITUTE(SUBSTITUTE(INDEX(貼り付け!$A$1:$BZ$3001,2888,$C$1)&amp;"",",",""),"¥",""),"￥","")),0))</f>
        <v/>
      </c>
      <c r="D2889">
        <f>IF($D$1=0,0,IFERROR(VALUE(SUBSTITUTE(SUBSTITUTE(SUBSTITUTE(INDEX(貼り付け!$A$1:$BZ$3001,2888,$D$1)&amp;"",",",""),"¥",""),"￥","")),0))</f>
        <v/>
      </c>
      <c r="E2889">
        <f>IF($E$1=0,0,IFERROR(VALUE(SUBSTITUTE(SUBSTITUTE(SUBSTITUTE(INDEX(貼り付け!$A$1:$BZ$3001,2888,$E$1)&amp;"",",",""),"¥",""),"￥","")),0))</f>
        <v/>
      </c>
      <c r="F2889">
        <f>IF($F$1=0,0,IFERROR(VALUE(SUBSTITUTE(SUBSTITUTE(SUBSTITUTE(INDEX(貼り付け!$A$1:$BZ$3001,2888,$F$1)&amp;"",",",""),"¥",""),"￥","")),0))</f>
        <v/>
      </c>
      <c r="G2889">
        <f>IF(ISNUMBER(B2889),YEAR(B2889),"")</f>
        <v/>
      </c>
      <c r="H2889">
        <f>IF(ISNUMBER(B2889),MONTH(B2889),"")</f>
        <v/>
      </c>
      <c r="I2889">
        <f>IFERROR(IF($B$1=0,"",IF(ISNUMBER(INDEX(貼り付け!$A$1:$BZ$3001,2888,$B$1)),"",SUBSTITUTE(SUBSTITUTE(SUBSTITUTE(SUBSTITUTE(TRIM(LEFT(INDEX(貼り付け!$A$1:$BZ$3001,2888,$B$1)&amp;"",FIND(" ",TRIM(INDEX(貼り付け!$A$1:$BZ$3001,2888,$B$1)&amp;"")&amp;" ")-1)),"/","-"),"年","-"),"月","-"),"日",""))),"")</f>
        <v/>
      </c>
      <c r="J2889">
        <f>IFERROR(MID(I2889,FIND("-",I2889)+1,99),"")</f>
        <v/>
      </c>
    </row>
    <row r="2890">
      <c r="B2890">
        <f>IFERROR(IF($B$1=0,"",IF(INDEX(貼り付け!$A$1:$BZ$3001,2889,$B$1)="","",IF(ISNUMBER(INDEX(貼り付け!$A$1:$BZ$3001,2889,$B$1)),INT(INDEX(貼り付け!$A$1:$BZ$3001,2889,$B$1)),DATE(VALUE(LEFT(I2890,FIND("-",I2890)-1)),VALUE(LEFT(J2890,FIND("-",J2890)-1)),VALUE(MID(J2890,FIND("-",J2890)+1,99)))))),"")</f>
        <v/>
      </c>
      <c r="C2890">
        <f>IF($C$1=0,0,IFERROR(VALUE(SUBSTITUTE(SUBSTITUTE(SUBSTITUTE(INDEX(貼り付け!$A$1:$BZ$3001,2889,$C$1)&amp;"",",",""),"¥",""),"￥","")),0))</f>
        <v/>
      </c>
      <c r="D2890">
        <f>IF($D$1=0,0,IFERROR(VALUE(SUBSTITUTE(SUBSTITUTE(SUBSTITUTE(INDEX(貼り付け!$A$1:$BZ$3001,2889,$D$1)&amp;"",",",""),"¥",""),"￥","")),0))</f>
        <v/>
      </c>
      <c r="E2890">
        <f>IF($E$1=0,0,IFERROR(VALUE(SUBSTITUTE(SUBSTITUTE(SUBSTITUTE(INDEX(貼り付け!$A$1:$BZ$3001,2889,$E$1)&amp;"",",",""),"¥",""),"￥","")),0))</f>
        <v/>
      </c>
      <c r="F2890">
        <f>IF($F$1=0,0,IFERROR(VALUE(SUBSTITUTE(SUBSTITUTE(SUBSTITUTE(INDEX(貼り付け!$A$1:$BZ$3001,2889,$F$1)&amp;"",",",""),"¥",""),"￥","")),0))</f>
        <v/>
      </c>
      <c r="G2890">
        <f>IF(ISNUMBER(B2890),YEAR(B2890),"")</f>
        <v/>
      </c>
      <c r="H2890">
        <f>IF(ISNUMBER(B2890),MONTH(B2890),"")</f>
        <v/>
      </c>
      <c r="I2890">
        <f>IFERROR(IF($B$1=0,"",IF(ISNUMBER(INDEX(貼り付け!$A$1:$BZ$3001,2889,$B$1)),"",SUBSTITUTE(SUBSTITUTE(SUBSTITUTE(SUBSTITUTE(TRIM(LEFT(INDEX(貼り付け!$A$1:$BZ$3001,2889,$B$1)&amp;"",FIND(" ",TRIM(INDEX(貼り付け!$A$1:$BZ$3001,2889,$B$1)&amp;"")&amp;" ")-1)),"/","-"),"年","-"),"月","-"),"日",""))),"")</f>
        <v/>
      </c>
      <c r="J2890">
        <f>IFERROR(MID(I2890,FIND("-",I2890)+1,99),"")</f>
        <v/>
      </c>
    </row>
    <row r="2891">
      <c r="B2891">
        <f>IFERROR(IF($B$1=0,"",IF(INDEX(貼り付け!$A$1:$BZ$3001,2890,$B$1)="","",IF(ISNUMBER(INDEX(貼り付け!$A$1:$BZ$3001,2890,$B$1)),INT(INDEX(貼り付け!$A$1:$BZ$3001,2890,$B$1)),DATE(VALUE(LEFT(I2891,FIND("-",I2891)-1)),VALUE(LEFT(J2891,FIND("-",J2891)-1)),VALUE(MID(J2891,FIND("-",J2891)+1,99)))))),"")</f>
        <v/>
      </c>
      <c r="C2891">
        <f>IF($C$1=0,0,IFERROR(VALUE(SUBSTITUTE(SUBSTITUTE(SUBSTITUTE(INDEX(貼り付け!$A$1:$BZ$3001,2890,$C$1)&amp;"",",",""),"¥",""),"￥","")),0))</f>
        <v/>
      </c>
      <c r="D2891">
        <f>IF($D$1=0,0,IFERROR(VALUE(SUBSTITUTE(SUBSTITUTE(SUBSTITUTE(INDEX(貼り付け!$A$1:$BZ$3001,2890,$D$1)&amp;"",",",""),"¥",""),"￥","")),0))</f>
        <v/>
      </c>
      <c r="E2891">
        <f>IF($E$1=0,0,IFERROR(VALUE(SUBSTITUTE(SUBSTITUTE(SUBSTITUTE(INDEX(貼り付け!$A$1:$BZ$3001,2890,$E$1)&amp;"",",",""),"¥",""),"￥","")),0))</f>
        <v/>
      </c>
      <c r="F2891">
        <f>IF($F$1=0,0,IFERROR(VALUE(SUBSTITUTE(SUBSTITUTE(SUBSTITUTE(INDEX(貼り付け!$A$1:$BZ$3001,2890,$F$1)&amp;"",",",""),"¥",""),"￥","")),0))</f>
        <v/>
      </c>
      <c r="G2891">
        <f>IF(ISNUMBER(B2891),YEAR(B2891),"")</f>
        <v/>
      </c>
      <c r="H2891">
        <f>IF(ISNUMBER(B2891),MONTH(B2891),"")</f>
        <v/>
      </c>
      <c r="I2891">
        <f>IFERROR(IF($B$1=0,"",IF(ISNUMBER(INDEX(貼り付け!$A$1:$BZ$3001,2890,$B$1)),"",SUBSTITUTE(SUBSTITUTE(SUBSTITUTE(SUBSTITUTE(TRIM(LEFT(INDEX(貼り付け!$A$1:$BZ$3001,2890,$B$1)&amp;"",FIND(" ",TRIM(INDEX(貼り付け!$A$1:$BZ$3001,2890,$B$1)&amp;"")&amp;" ")-1)),"/","-"),"年","-"),"月","-"),"日",""))),"")</f>
        <v/>
      </c>
      <c r="J2891">
        <f>IFERROR(MID(I2891,FIND("-",I2891)+1,99),"")</f>
        <v/>
      </c>
    </row>
    <row r="2892">
      <c r="B2892">
        <f>IFERROR(IF($B$1=0,"",IF(INDEX(貼り付け!$A$1:$BZ$3001,2891,$B$1)="","",IF(ISNUMBER(INDEX(貼り付け!$A$1:$BZ$3001,2891,$B$1)),INT(INDEX(貼り付け!$A$1:$BZ$3001,2891,$B$1)),DATE(VALUE(LEFT(I2892,FIND("-",I2892)-1)),VALUE(LEFT(J2892,FIND("-",J2892)-1)),VALUE(MID(J2892,FIND("-",J2892)+1,99)))))),"")</f>
        <v/>
      </c>
      <c r="C2892">
        <f>IF($C$1=0,0,IFERROR(VALUE(SUBSTITUTE(SUBSTITUTE(SUBSTITUTE(INDEX(貼り付け!$A$1:$BZ$3001,2891,$C$1)&amp;"",",",""),"¥",""),"￥","")),0))</f>
        <v/>
      </c>
      <c r="D2892">
        <f>IF($D$1=0,0,IFERROR(VALUE(SUBSTITUTE(SUBSTITUTE(SUBSTITUTE(INDEX(貼り付け!$A$1:$BZ$3001,2891,$D$1)&amp;"",",",""),"¥",""),"￥","")),0))</f>
        <v/>
      </c>
      <c r="E2892">
        <f>IF($E$1=0,0,IFERROR(VALUE(SUBSTITUTE(SUBSTITUTE(SUBSTITUTE(INDEX(貼り付け!$A$1:$BZ$3001,2891,$E$1)&amp;"",",",""),"¥",""),"￥","")),0))</f>
        <v/>
      </c>
      <c r="F2892">
        <f>IF($F$1=0,0,IFERROR(VALUE(SUBSTITUTE(SUBSTITUTE(SUBSTITUTE(INDEX(貼り付け!$A$1:$BZ$3001,2891,$F$1)&amp;"",",",""),"¥",""),"￥","")),0))</f>
        <v/>
      </c>
      <c r="G2892">
        <f>IF(ISNUMBER(B2892),YEAR(B2892),"")</f>
        <v/>
      </c>
      <c r="H2892">
        <f>IF(ISNUMBER(B2892),MONTH(B2892),"")</f>
        <v/>
      </c>
      <c r="I2892">
        <f>IFERROR(IF($B$1=0,"",IF(ISNUMBER(INDEX(貼り付け!$A$1:$BZ$3001,2891,$B$1)),"",SUBSTITUTE(SUBSTITUTE(SUBSTITUTE(SUBSTITUTE(TRIM(LEFT(INDEX(貼り付け!$A$1:$BZ$3001,2891,$B$1)&amp;"",FIND(" ",TRIM(INDEX(貼り付け!$A$1:$BZ$3001,2891,$B$1)&amp;"")&amp;" ")-1)),"/","-"),"年","-"),"月","-"),"日",""))),"")</f>
        <v/>
      </c>
      <c r="J2892">
        <f>IFERROR(MID(I2892,FIND("-",I2892)+1,99),"")</f>
        <v/>
      </c>
    </row>
    <row r="2893">
      <c r="B2893">
        <f>IFERROR(IF($B$1=0,"",IF(INDEX(貼り付け!$A$1:$BZ$3001,2892,$B$1)="","",IF(ISNUMBER(INDEX(貼り付け!$A$1:$BZ$3001,2892,$B$1)),INT(INDEX(貼り付け!$A$1:$BZ$3001,2892,$B$1)),DATE(VALUE(LEFT(I2893,FIND("-",I2893)-1)),VALUE(LEFT(J2893,FIND("-",J2893)-1)),VALUE(MID(J2893,FIND("-",J2893)+1,99)))))),"")</f>
        <v/>
      </c>
      <c r="C2893">
        <f>IF($C$1=0,0,IFERROR(VALUE(SUBSTITUTE(SUBSTITUTE(SUBSTITUTE(INDEX(貼り付け!$A$1:$BZ$3001,2892,$C$1)&amp;"",",",""),"¥",""),"￥","")),0))</f>
        <v/>
      </c>
      <c r="D2893">
        <f>IF($D$1=0,0,IFERROR(VALUE(SUBSTITUTE(SUBSTITUTE(SUBSTITUTE(INDEX(貼り付け!$A$1:$BZ$3001,2892,$D$1)&amp;"",",",""),"¥",""),"￥","")),0))</f>
        <v/>
      </c>
      <c r="E2893">
        <f>IF($E$1=0,0,IFERROR(VALUE(SUBSTITUTE(SUBSTITUTE(SUBSTITUTE(INDEX(貼り付け!$A$1:$BZ$3001,2892,$E$1)&amp;"",",",""),"¥",""),"￥","")),0))</f>
        <v/>
      </c>
      <c r="F2893">
        <f>IF($F$1=0,0,IFERROR(VALUE(SUBSTITUTE(SUBSTITUTE(SUBSTITUTE(INDEX(貼り付け!$A$1:$BZ$3001,2892,$F$1)&amp;"",",",""),"¥",""),"￥","")),0))</f>
        <v/>
      </c>
      <c r="G2893">
        <f>IF(ISNUMBER(B2893),YEAR(B2893),"")</f>
        <v/>
      </c>
      <c r="H2893">
        <f>IF(ISNUMBER(B2893),MONTH(B2893),"")</f>
        <v/>
      </c>
      <c r="I2893">
        <f>IFERROR(IF($B$1=0,"",IF(ISNUMBER(INDEX(貼り付け!$A$1:$BZ$3001,2892,$B$1)),"",SUBSTITUTE(SUBSTITUTE(SUBSTITUTE(SUBSTITUTE(TRIM(LEFT(INDEX(貼り付け!$A$1:$BZ$3001,2892,$B$1)&amp;"",FIND(" ",TRIM(INDEX(貼り付け!$A$1:$BZ$3001,2892,$B$1)&amp;"")&amp;" ")-1)),"/","-"),"年","-"),"月","-"),"日",""))),"")</f>
        <v/>
      </c>
      <c r="J2893">
        <f>IFERROR(MID(I2893,FIND("-",I2893)+1,99),"")</f>
        <v/>
      </c>
    </row>
    <row r="2894">
      <c r="B2894">
        <f>IFERROR(IF($B$1=0,"",IF(INDEX(貼り付け!$A$1:$BZ$3001,2893,$B$1)="","",IF(ISNUMBER(INDEX(貼り付け!$A$1:$BZ$3001,2893,$B$1)),INT(INDEX(貼り付け!$A$1:$BZ$3001,2893,$B$1)),DATE(VALUE(LEFT(I2894,FIND("-",I2894)-1)),VALUE(LEFT(J2894,FIND("-",J2894)-1)),VALUE(MID(J2894,FIND("-",J2894)+1,99)))))),"")</f>
        <v/>
      </c>
      <c r="C2894">
        <f>IF($C$1=0,0,IFERROR(VALUE(SUBSTITUTE(SUBSTITUTE(SUBSTITUTE(INDEX(貼り付け!$A$1:$BZ$3001,2893,$C$1)&amp;"",",",""),"¥",""),"￥","")),0))</f>
        <v/>
      </c>
      <c r="D2894">
        <f>IF($D$1=0,0,IFERROR(VALUE(SUBSTITUTE(SUBSTITUTE(SUBSTITUTE(INDEX(貼り付け!$A$1:$BZ$3001,2893,$D$1)&amp;"",",",""),"¥",""),"￥","")),0))</f>
        <v/>
      </c>
      <c r="E2894">
        <f>IF($E$1=0,0,IFERROR(VALUE(SUBSTITUTE(SUBSTITUTE(SUBSTITUTE(INDEX(貼り付け!$A$1:$BZ$3001,2893,$E$1)&amp;"",",",""),"¥",""),"￥","")),0))</f>
        <v/>
      </c>
      <c r="F2894">
        <f>IF($F$1=0,0,IFERROR(VALUE(SUBSTITUTE(SUBSTITUTE(SUBSTITUTE(INDEX(貼り付け!$A$1:$BZ$3001,2893,$F$1)&amp;"",",",""),"¥",""),"￥","")),0))</f>
        <v/>
      </c>
      <c r="G2894">
        <f>IF(ISNUMBER(B2894),YEAR(B2894),"")</f>
        <v/>
      </c>
      <c r="H2894">
        <f>IF(ISNUMBER(B2894),MONTH(B2894),"")</f>
        <v/>
      </c>
      <c r="I2894">
        <f>IFERROR(IF($B$1=0,"",IF(ISNUMBER(INDEX(貼り付け!$A$1:$BZ$3001,2893,$B$1)),"",SUBSTITUTE(SUBSTITUTE(SUBSTITUTE(SUBSTITUTE(TRIM(LEFT(INDEX(貼り付け!$A$1:$BZ$3001,2893,$B$1)&amp;"",FIND(" ",TRIM(INDEX(貼り付け!$A$1:$BZ$3001,2893,$B$1)&amp;"")&amp;" ")-1)),"/","-"),"年","-"),"月","-"),"日",""))),"")</f>
        <v/>
      </c>
      <c r="J2894">
        <f>IFERROR(MID(I2894,FIND("-",I2894)+1,99),"")</f>
        <v/>
      </c>
    </row>
    <row r="2895">
      <c r="B2895">
        <f>IFERROR(IF($B$1=0,"",IF(INDEX(貼り付け!$A$1:$BZ$3001,2894,$B$1)="","",IF(ISNUMBER(INDEX(貼り付け!$A$1:$BZ$3001,2894,$B$1)),INT(INDEX(貼り付け!$A$1:$BZ$3001,2894,$B$1)),DATE(VALUE(LEFT(I2895,FIND("-",I2895)-1)),VALUE(LEFT(J2895,FIND("-",J2895)-1)),VALUE(MID(J2895,FIND("-",J2895)+1,99)))))),"")</f>
        <v/>
      </c>
      <c r="C2895">
        <f>IF($C$1=0,0,IFERROR(VALUE(SUBSTITUTE(SUBSTITUTE(SUBSTITUTE(INDEX(貼り付け!$A$1:$BZ$3001,2894,$C$1)&amp;"",",",""),"¥",""),"￥","")),0))</f>
        <v/>
      </c>
      <c r="D2895">
        <f>IF($D$1=0,0,IFERROR(VALUE(SUBSTITUTE(SUBSTITUTE(SUBSTITUTE(INDEX(貼り付け!$A$1:$BZ$3001,2894,$D$1)&amp;"",",",""),"¥",""),"￥","")),0))</f>
        <v/>
      </c>
      <c r="E2895">
        <f>IF($E$1=0,0,IFERROR(VALUE(SUBSTITUTE(SUBSTITUTE(SUBSTITUTE(INDEX(貼り付け!$A$1:$BZ$3001,2894,$E$1)&amp;"",",",""),"¥",""),"￥","")),0))</f>
        <v/>
      </c>
      <c r="F2895">
        <f>IF($F$1=0,0,IFERROR(VALUE(SUBSTITUTE(SUBSTITUTE(SUBSTITUTE(INDEX(貼り付け!$A$1:$BZ$3001,2894,$F$1)&amp;"",",",""),"¥",""),"￥","")),0))</f>
        <v/>
      </c>
      <c r="G2895">
        <f>IF(ISNUMBER(B2895),YEAR(B2895),"")</f>
        <v/>
      </c>
      <c r="H2895">
        <f>IF(ISNUMBER(B2895),MONTH(B2895),"")</f>
        <v/>
      </c>
      <c r="I2895">
        <f>IFERROR(IF($B$1=0,"",IF(ISNUMBER(INDEX(貼り付け!$A$1:$BZ$3001,2894,$B$1)),"",SUBSTITUTE(SUBSTITUTE(SUBSTITUTE(SUBSTITUTE(TRIM(LEFT(INDEX(貼り付け!$A$1:$BZ$3001,2894,$B$1)&amp;"",FIND(" ",TRIM(INDEX(貼り付け!$A$1:$BZ$3001,2894,$B$1)&amp;"")&amp;" ")-1)),"/","-"),"年","-"),"月","-"),"日",""))),"")</f>
        <v/>
      </c>
      <c r="J2895">
        <f>IFERROR(MID(I2895,FIND("-",I2895)+1,99),"")</f>
        <v/>
      </c>
    </row>
    <row r="2896">
      <c r="B2896">
        <f>IFERROR(IF($B$1=0,"",IF(INDEX(貼り付け!$A$1:$BZ$3001,2895,$B$1)="","",IF(ISNUMBER(INDEX(貼り付け!$A$1:$BZ$3001,2895,$B$1)),INT(INDEX(貼り付け!$A$1:$BZ$3001,2895,$B$1)),DATE(VALUE(LEFT(I2896,FIND("-",I2896)-1)),VALUE(LEFT(J2896,FIND("-",J2896)-1)),VALUE(MID(J2896,FIND("-",J2896)+1,99)))))),"")</f>
        <v/>
      </c>
      <c r="C2896">
        <f>IF($C$1=0,0,IFERROR(VALUE(SUBSTITUTE(SUBSTITUTE(SUBSTITUTE(INDEX(貼り付け!$A$1:$BZ$3001,2895,$C$1)&amp;"",",",""),"¥",""),"￥","")),0))</f>
        <v/>
      </c>
      <c r="D2896">
        <f>IF($D$1=0,0,IFERROR(VALUE(SUBSTITUTE(SUBSTITUTE(SUBSTITUTE(INDEX(貼り付け!$A$1:$BZ$3001,2895,$D$1)&amp;"",",",""),"¥",""),"￥","")),0))</f>
        <v/>
      </c>
      <c r="E2896">
        <f>IF($E$1=0,0,IFERROR(VALUE(SUBSTITUTE(SUBSTITUTE(SUBSTITUTE(INDEX(貼り付け!$A$1:$BZ$3001,2895,$E$1)&amp;"",",",""),"¥",""),"￥","")),0))</f>
        <v/>
      </c>
      <c r="F2896">
        <f>IF($F$1=0,0,IFERROR(VALUE(SUBSTITUTE(SUBSTITUTE(SUBSTITUTE(INDEX(貼り付け!$A$1:$BZ$3001,2895,$F$1)&amp;"",",",""),"¥",""),"￥","")),0))</f>
        <v/>
      </c>
      <c r="G2896">
        <f>IF(ISNUMBER(B2896),YEAR(B2896),"")</f>
        <v/>
      </c>
      <c r="H2896">
        <f>IF(ISNUMBER(B2896),MONTH(B2896),"")</f>
        <v/>
      </c>
      <c r="I2896">
        <f>IFERROR(IF($B$1=0,"",IF(ISNUMBER(INDEX(貼り付け!$A$1:$BZ$3001,2895,$B$1)),"",SUBSTITUTE(SUBSTITUTE(SUBSTITUTE(SUBSTITUTE(TRIM(LEFT(INDEX(貼り付け!$A$1:$BZ$3001,2895,$B$1)&amp;"",FIND(" ",TRIM(INDEX(貼り付け!$A$1:$BZ$3001,2895,$B$1)&amp;"")&amp;" ")-1)),"/","-"),"年","-"),"月","-"),"日",""))),"")</f>
        <v/>
      </c>
      <c r="J2896">
        <f>IFERROR(MID(I2896,FIND("-",I2896)+1,99),"")</f>
        <v/>
      </c>
    </row>
    <row r="2897">
      <c r="B2897">
        <f>IFERROR(IF($B$1=0,"",IF(INDEX(貼り付け!$A$1:$BZ$3001,2896,$B$1)="","",IF(ISNUMBER(INDEX(貼り付け!$A$1:$BZ$3001,2896,$B$1)),INT(INDEX(貼り付け!$A$1:$BZ$3001,2896,$B$1)),DATE(VALUE(LEFT(I2897,FIND("-",I2897)-1)),VALUE(LEFT(J2897,FIND("-",J2897)-1)),VALUE(MID(J2897,FIND("-",J2897)+1,99)))))),"")</f>
        <v/>
      </c>
      <c r="C2897">
        <f>IF($C$1=0,0,IFERROR(VALUE(SUBSTITUTE(SUBSTITUTE(SUBSTITUTE(INDEX(貼り付け!$A$1:$BZ$3001,2896,$C$1)&amp;"",",",""),"¥",""),"￥","")),0))</f>
        <v/>
      </c>
      <c r="D2897">
        <f>IF($D$1=0,0,IFERROR(VALUE(SUBSTITUTE(SUBSTITUTE(SUBSTITUTE(INDEX(貼り付け!$A$1:$BZ$3001,2896,$D$1)&amp;"",",",""),"¥",""),"￥","")),0))</f>
        <v/>
      </c>
      <c r="E2897">
        <f>IF($E$1=0,0,IFERROR(VALUE(SUBSTITUTE(SUBSTITUTE(SUBSTITUTE(INDEX(貼り付け!$A$1:$BZ$3001,2896,$E$1)&amp;"",",",""),"¥",""),"￥","")),0))</f>
        <v/>
      </c>
      <c r="F2897">
        <f>IF($F$1=0,0,IFERROR(VALUE(SUBSTITUTE(SUBSTITUTE(SUBSTITUTE(INDEX(貼り付け!$A$1:$BZ$3001,2896,$F$1)&amp;"",",",""),"¥",""),"￥","")),0))</f>
        <v/>
      </c>
      <c r="G2897">
        <f>IF(ISNUMBER(B2897),YEAR(B2897),"")</f>
        <v/>
      </c>
      <c r="H2897">
        <f>IF(ISNUMBER(B2897),MONTH(B2897),"")</f>
        <v/>
      </c>
      <c r="I2897">
        <f>IFERROR(IF($B$1=0,"",IF(ISNUMBER(INDEX(貼り付け!$A$1:$BZ$3001,2896,$B$1)),"",SUBSTITUTE(SUBSTITUTE(SUBSTITUTE(SUBSTITUTE(TRIM(LEFT(INDEX(貼り付け!$A$1:$BZ$3001,2896,$B$1)&amp;"",FIND(" ",TRIM(INDEX(貼り付け!$A$1:$BZ$3001,2896,$B$1)&amp;"")&amp;" ")-1)),"/","-"),"年","-"),"月","-"),"日",""))),"")</f>
        <v/>
      </c>
      <c r="J2897">
        <f>IFERROR(MID(I2897,FIND("-",I2897)+1,99),"")</f>
        <v/>
      </c>
    </row>
    <row r="2898">
      <c r="B2898">
        <f>IFERROR(IF($B$1=0,"",IF(INDEX(貼り付け!$A$1:$BZ$3001,2897,$B$1)="","",IF(ISNUMBER(INDEX(貼り付け!$A$1:$BZ$3001,2897,$B$1)),INT(INDEX(貼り付け!$A$1:$BZ$3001,2897,$B$1)),DATE(VALUE(LEFT(I2898,FIND("-",I2898)-1)),VALUE(LEFT(J2898,FIND("-",J2898)-1)),VALUE(MID(J2898,FIND("-",J2898)+1,99)))))),"")</f>
        <v/>
      </c>
      <c r="C2898">
        <f>IF($C$1=0,0,IFERROR(VALUE(SUBSTITUTE(SUBSTITUTE(SUBSTITUTE(INDEX(貼り付け!$A$1:$BZ$3001,2897,$C$1)&amp;"",",",""),"¥",""),"￥","")),0))</f>
        <v/>
      </c>
      <c r="D2898">
        <f>IF($D$1=0,0,IFERROR(VALUE(SUBSTITUTE(SUBSTITUTE(SUBSTITUTE(INDEX(貼り付け!$A$1:$BZ$3001,2897,$D$1)&amp;"",",",""),"¥",""),"￥","")),0))</f>
        <v/>
      </c>
      <c r="E2898">
        <f>IF($E$1=0,0,IFERROR(VALUE(SUBSTITUTE(SUBSTITUTE(SUBSTITUTE(INDEX(貼り付け!$A$1:$BZ$3001,2897,$E$1)&amp;"",",",""),"¥",""),"￥","")),0))</f>
        <v/>
      </c>
      <c r="F2898">
        <f>IF($F$1=0,0,IFERROR(VALUE(SUBSTITUTE(SUBSTITUTE(SUBSTITUTE(INDEX(貼り付け!$A$1:$BZ$3001,2897,$F$1)&amp;"",",",""),"¥",""),"￥","")),0))</f>
        <v/>
      </c>
      <c r="G2898">
        <f>IF(ISNUMBER(B2898),YEAR(B2898),"")</f>
        <v/>
      </c>
      <c r="H2898">
        <f>IF(ISNUMBER(B2898),MONTH(B2898),"")</f>
        <v/>
      </c>
      <c r="I2898">
        <f>IFERROR(IF($B$1=0,"",IF(ISNUMBER(INDEX(貼り付け!$A$1:$BZ$3001,2897,$B$1)),"",SUBSTITUTE(SUBSTITUTE(SUBSTITUTE(SUBSTITUTE(TRIM(LEFT(INDEX(貼り付け!$A$1:$BZ$3001,2897,$B$1)&amp;"",FIND(" ",TRIM(INDEX(貼り付け!$A$1:$BZ$3001,2897,$B$1)&amp;"")&amp;" ")-1)),"/","-"),"年","-"),"月","-"),"日",""))),"")</f>
        <v/>
      </c>
      <c r="J2898">
        <f>IFERROR(MID(I2898,FIND("-",I2898)+1,99),"")</f>
        <v/>
      </c>
    </row>
    <row r="2899">
      <c r="B2899">
        <f>IFERROR(IF($B$1=0,"",IF(INDEX(貼り付け!$A$1:$BZ$3001,2898,$B$1)="","",IF(ISNUMBER(INDEX(貼り付け!$A$1:$BZ$3001,2898,$B$1)),INT(INDEX(貼り付け!$A$1:$BZ$3001,2898,$B$1)),DATE(VALUE(LEFT(I2899,FIND("-",I2899)-1)),VALUE(LEFT(J2899,FIND("-",J2899)-1)),VALUE(MID(J2899,FIND("-",J2899)+1,99)))))),"")</f>
        <v/>
      </c>
      <c r="C2899">
        <f>IF($C$1=0,0,IFERROR(VALUE(SUBSTITUTE(SUBSTITUTE(SUBSTITUTE(INDEX(貼り付け!$A$1:$BZ$3001,2898,$C$1)&amp;"",",",""),"¥",""),"￥","")),0))</f>
        <v/>
      </c>
      <c r="D2899">
        <f>IF($D$1=0,0,IFERROR(VALUE(SUBSTITUTE(SUBSTITUTE(SUBSTITUTE(INDEX(貼り付け!$A$1:$BZ$3001,2898,$D$1)&amp;"",",",""),"¥",""),"￥","")),0))</f>
        <v/>
      </c>
      <c r="E2899">
        <f>IF($E$1=0,0,IFERROR(VALUE(SUBSTITUTE(SUBSTITUTE(SUBSTITUTE(INDEX(貼り付け!$A$1:$BZ$3001,2898,$E$1)&amp;"",",",""),"¥",""),"￥","")),0))</f>
        <v/>
      </c>
      <c r="F2899">
        <f>IF($F$1=0,0,IFERROR(VALUE(SUBSTITUTE(SUBSTITUTE(SUBSTITUTE(INDEX(貼り付け!$A$1:$BZ$3001,2898,$F$1)&amp;"",",",""),"¥",""),"￥","")),0))</f>
        <v/>
      </c>
      <c r="G2899">
        <f>IF(ISNUMBER(B2899),YEAR(B2899),"")</f>
        <v/>
      </c>
      <c r="H2899">
        <f>IF(ISNUMBER(B2899),MONTH(B2899),"")</f>
        <v/>
      </c>
      <c r="I2899">
        <f>IFERROR(IF($B$1=0,"",IF(ISNUMBER(INDEX(貼り付け!$A$1:$BZ$3001,2898,$B$1)),"",SUBSTITUTE(SUBSTITUTE(SUBSTITUTE(SUBSTITUTE(TRIM(LEFT(INDEX(貼り付け!$A$1:$BZ$3001,2898,$B$1)&amp;"",FIND(" ",TRIM(INDEX(貼り付け!$A$1:$BZ$3001,2898,$B$1)&amp;"")&amp;" ")-1)),"/","-"),"年","-"),"月","-"),"日",""))),"")</f>
        <v/>
      </c>
      <c r="J2899">
        <f>IFERROR(MID(I2899,FIND("-",I2899)+1,99),"")</f>
        <v/>
      </c>
    </row>
    <row r="2900">
      <c r="B2900">
        <f>IFERROR(IF($B$1=0,"",IF(INDEX(貼り付け!$A$1:$BZ$3001,2899,$B$1)="","",IF(ISNUMBER(INDEX(貼り付け!$A$1:$BZ$3001,2899,$B$1)),INT(INDEX(貼り付け!$A$1:$BZ$3001,2899,$B$1)),DATE(VALUE(LEFT(I2900,FIND("-",I2900)-1)),VALUE(LEFT(J2900,FIND("-",J2900)-1)),VALUE(MID(J2900,FIND("-",J2900)+1,99)))))),"")</f>
        <v/>
      </c>
      <c r="C2900">
        <f>IF($C$1=0,0,IFERROR(VALUE(SUBSTITUTE(SUBSTITUTE(SUBSTITUTE(INDEX(貼り付け!$A$1:$BZ$3001,2899,$C$1)&amp;"",",",""),"¥",""),"￥","")),0))</f>
        <v/>
      </c>
      <c r="D2900">
        <f>IF($D$1=0,0,IFERROR(VALUE(SUBSTITUTE(SUBSTITUTE(SUBSTITUTE(INDEX(貼り付け!$A$1:$BZ$3001,2899,$D$1)&amp;"",",",""),"¥",""),"￥","")),0))</f>
        <v/>
      </c>
      <c r="E2900">
        <f>IF($E$1=0,0,IFERROR(VALUE(SUBSTITUTE(SUBSTITUTE(SUBSTITUTE(INDEX(貼り付け!$A$1:$BZ$3001,2899,$E$1)&amp;"",",",""),"¥",""),"￥","")),0))</f>
        <v/>
      </c>
      <c r="F2900">
        <f>IF($F$1=0,0,IFERROR(VALUE(SUBSTITUTE(SUBSTITUTE(SUBSTITUTE(INDEX(貼り付け!$A$1:$BZ$3001,2899,$F$1)&amp;"",",",""),"¥",""),"￥","")),0))</f>
        <v/>
      </c>
      <c r="G2900">
        <f>IF(ISNUMBER(B2900),YEAR(B2900),"")</f>
        <v/>
      </c>
      <c r="H2900">
        <f>IF(ISNUMBER(B2900),MONTH(B2900),"")</f>
        <v/>
      </c>
      <c r="I2900">
        <f>IFERROR(IF($B$1=0,"",IF(ISNUMBER(INDEX(貼り付け!$A$1:$BZ$3001,2899,$B$1)),"",SUBSTITUTE(SUBSTITUTE(SUBSTITUTE(SUBSTITUTE(TRIM(LEFT(INDEX(貼り付け!$A$1:$BZ$3001,2899,$B$1)&amp;"",FIND(" ",TRIM(INDEX(貼り付け!$A$1:$BZ$3001,2899,$B$1)&amp;"")&amp;" ")-1)),"/","-"),"年","-"),"月","-"),"日",""))),"")</f>
        <v/>
      </c>
      <c r="J2900">
        <f>IFERROR(MID(I2900,FIND("-",I2900)+1,99),"")</f>
        <v/>
      </c>
    </row>
    <row r="2901">
      <c r="B2901">
        <f>IFERROR(IF($B$1=0,"",IF(INDEX(貼り付け!$A$1:$BZ$3001,2900,$B$1)="","",IF(ISNUMBER(INDEX(貼り付け!$A$1:$BZ$3001,2900,$B$1)),INT(INDEX(貼り付け!$A$1:$BZ$3001,2900,$B$1)),DATE(VALUE(LEFT(I2901,FIND("-",I2901)-1)),VALUE(LEFT(J2901,FIND("-",J2901)-1)),VALUE(MID(J2901,FIND("-",J2901)+1,99)))))),"")</f>
        <v/>
      </c>
      <c r="C2901">
        <f>IF($C$1=0,0,IFERROR(VALUE(SUBSTITUTE(SUBSTITUTE(SUBSTITUTE(INDEX(貼り付け!$A$1:$BZ$3001,2900,$C$1)&amp;"",",",""),"¥",""),"￥","")),0))</f>
        <v/>
      </c>
      <c r="D2901">
        <f>IF($D$1=0,0,IFERROR(VALUE(SUBSTITUTE(SUBSTITUTE(SUBSTITUTE(INDEX(貼り付け!$A$1:$BZ$3001,2900,$D$1)&amp;"",",",""),"¥",""),"￥","")),0))</f>
        <v/>
      </c>
      <c r="E2901">
        <f>IF($E$1=0,0,IFERROR(VALUE(SUBSTITUTE(SUBSTITUTE(SUBSTITUTE(INDEX(貼り付け!$A$1:$BZ$3001,2900,$E$1)&amp;"",",",""),"¥",""),"￥","")),0))</f>
        <v/>
      </c>
      <c r="F2901">
        <f>IF($F$1=0,0,IFERROR(VALUE(SUBSTITUTE(SUBSTITUTE(SUBSTITUTE(INDEX(貼り付け!$A$1:$BZ$3001,2900,$F$1)&amp;"",",",""),"¥",""),"￥","")),0))</f>
        <v/>
      </c>
      <c r="G2901">
        <f>IF(ISNUMBER(B2901),YEAR(B2901),"")</f>
        <v/>
      </c>
      <c r="H2901">
        <f>IF(ISNUMBER(B2901),MONTH(B2901),"")</f>
        <v/>
      </c>
      <c r="I2901">
        <f>IFERROR(IF($B$1=0,"",IF(ISNUMBER(INDEX(貼り付け!$A$1:$BZ$3001,2900,$B$1)),"",SUBSTITUTE(SUBSTITUTE(SUBSTITUTE(SUBSTITUTE(TRIM(LEFT(INDEX(貼り付け!$A$1:$BZ$3001,2900,$B$1)&amp;"",FIND(" ",TRIM(INDEX(貼り付け!$A$1:$BZ$3001,2900,$B$1)&amp;"")&amp;" ")-1)),"/","-"),"年","-"),"月","-"),"日",""))),"")</f>
        <v/>
      </c>
      <c r="J2901">
        <f>IFERROR(MID(I2901,FIND("-",I2901)+1,99),"")</f>
        <v/>
      </c>
    </row>
    <row r="2902">
      <c r="B2902">
        <f>IFERROR(IF($B$1=0,"",IF(INDEX(貼り付け!$A$1:$BZ$3001,2901,$B$1)="","",IF(ISNUMBER(INDEX(貼り付け!$A$1:$BZ$3001,2901,$B$1)),INT(INDEX(貼り付け!$A$1:$BZ$3001,2901,$B$1)),DATE(VALUE(LEFT(I2902,FIND("-",I2902)-1)),VALUE(LEFT(J2902,FIND("-",J2902)-1)),VALUE(MID(J2902,FIND("-",J2902)+1,99)))))),"")</f>
        <v/>
      </c>
      <c r="C2902">
        <f>IF($C$1=0,0,IFERROR(VALUE(SUBSTITUTE(SUBSTITUTE(SUBSTITUTE(INDEX(貼り付け!$A$1:$BZ$3001,2901,$C$1)&amp;"",",",""),"¥",""),"￥","")),0))</f>
        <v/>
      </c>
      <c r="D2902">
        <f>IF($D$1=0,0,IFERROR(VALUE(SUBSTITUTE(SUBSTITUTE(SUBSTITUTE(INDEX(貼り付け!$A$1:$BZ$3001,2901,$D$1)&amp;"",",",""),"¥",""),"￥","")),0))</f>
        <v/>
      </c>
      <c r="E2902">
        <f>IF($E$1=0,0,IFERROR(VALUE(SUBSTITUTE(SUBSTITUTE(SUBSTITUTE(INDEX(貼り付け!$A$1:$BZ$3001,2901,$E$1)&amp;"",",",""),"¥",""),"￥","")),0))</f>
        <v/>
      </c>
      <c r="F2902">
        <f>IF($F$1=0,0,IFERROR(VALUE(SUBSTITUTE(SUBSTITUTE(SUBSTITUTE(INDEX(貼り付け!$A$1:$BZ$3001,2901,$F$1)&amp;"",",",""),"¥",""),"￥","")),0))</f>
        <v/>
      </c>
      <c r="G2902">
        <f>IF(ISNUMBER(B2902),YEAR(B2902),"")</f>
        <v/>
      </c>
      <c r="H2902">
        <f>IF(ISNUMBER(B2902),MONTH(B2902),"")</f>
        <v/>
      </c>
      <c r="I2902">
        <f>IFERROR(IF($B$1=0,"",IF(ISNUMBER(INDEX(貼り付け!$A$1:$BZ$3001,2901,$B$1)),"",SUBSTITUTE(SUBSTITUTE(SUBSTITUTE(SUBSTITUTE(TRIM(LEFT(INDEX(貼り付け!$A$1:$BZ$3001,2901,$B$1)&amp;"",FIND(" ",TRIM(INDEX(貼り付け!$A$1:$BZ$3001,2901,$B$1)&amp;"")&amp;" ")-1)),"/","-"),"年","-"),"月","-"),"日",""))),"")</f>
        <v/>
      </c>
      <c r="J2902">
        <f>IFERROR(MID(I2902,FIND("-",I2902)+1,99),"")</f>
        <v/>
      </c>
    </row>
    <row r="2903">
      <c r="B2903">
        <f>IFERROR(IF($B$1=0,"",IF(INDEX(貼り付け!$A$1:$BZ$3001,2902,$B$1)="","",IF(ISNUMBER(INDEX(貼り付け!$A$1:$BZ$3001,2902,$B$1)),INT(INDEX(貼り付け!$A$1:$BZ$3001,2902,$B$1)),DATE(VALUE(LEFT(I2903,FIND("-",I2903)-1)),VALUE(LEFT(J2903,FIND("-",J2903)-1)),VALUE(MID(J2903,FIND("-",J2903)+1,99)))))),"")</f>
        <v/>
      </c>
      <c r="C2903">
        <f>IF($C$1=0,0,IFERROR(VALUE(SUBSTITUTE(SUBSTITUTE(SUBSTITUTE(INDEX(貼り付け!$A$1:$BZ$3001,2902,$C$1)&amp;"",",",""),"¥",""),"￥","")),0))</f>
        <v/>
      </c>
      <c r="D2903">
        <f>IF($D$1=0,0,IFERROR(VALUE(SUBSTITUTE(SUBSTITUTE(SUBSTITUTE(INDEX(貼り付け!$A$1:$BZ$3001,2902,$D$1)&amp;"",",",""),"¥",""),"￥","")),0))</f>
        <v/>
      </c>
      <c r="E2903">
        <f>IF($E$1=0,0,IFERROR(VALUE(SUBSTITUTE(SUBSTITUTE(SUBSTITUTE(INDEX(貼り付け!$A$1:$BZ$3001,2902,$E$1)&amp;"",",",""),"¥",""),"￥","")),0))</f>
        <v/>
      </c>
      <c r="F2903">
        <f>IF($F$1=0,0,IFERROR(VALUE(SUBSTITUTE(SUBSTITUTE(SUBSTITUTE(INDEX(貼り付け!$A$1:$BZ$3001,2902,$F$1)&amp;"",",",""),"¥",""),"￥","")),0))</f>
        <v/>
      </c>
      <c r="G2903">
        <f>IF(ISNUMBER(B2903),YEAR(B2903),"")</f>
        <v/>
      </c>
      <c r="H2903">
        <f>IF(ISNUMBER(B2903),MONTH(B2903),"")</f>
        <v/>
      </c>
      <c r="I2903">
        <f>IFERROR(IF($B$1=0,"",IF(ISNUMBER(INDEX(貼り付け!$A$1:$BZ$3001,2902,$B$1)),"",SUBSTITUTE(SUBSTITUTE(SUBSTITUTE(SUBSTITUTE(TRIM(LEFT(INDEX(貼り付け!$A$1:$BZ$3001,2902,$B$1)&amp;"",FIND(" ",TRIM(INDEX(貼り付け!$A$1:$BZ$3001,2902,$B$1)&amp;"")&amp;" ")-1)),"/","-"),"年","-"),"月","-"),"日",""))),"")</f>
        <v/>
      </c>
      <c r="J2903">
        <f>IFERROR(MID(I2903,FIND("-",I2903)+1,99),"")</f>
        <v/>
      </c>
    </row>
    <row r="2904">
      <c r="B2904">
        <f>IFERROR(IF($B$1=0,"",IF(INDEX(貼り付け!$A$1:$BZ$3001,2903,$B$1)="","",IF(ISNUMBER(INDEX(貼り付け!$A$1:$BZ$3001,2903,$B$1)),INT(INDEX(貼り付け!$A$1:$BZ$3001,2903,$B$1)),DATE(VALUE(LEFT(I2904,FIND("-",I2904)-1)),VALUE(LEFT(J2904,FIND("-",J2904)-1)),VALUE(MID(J2904,FIND("-",J2904)+1,99)))))),"")</f>
        <v/>
      </c>
      <c r="C2904">
        <f>IF($C$1=0,0,IFERROR(VALUE(SUBSTITUTE(SUBSTITUTE(SUBSTITUTE(INDEX(貼り付け!$A$1:$BZ$3001,2903,$C$1)&amp;"",",",""),"¥",""),"￥","")),0))</f>
        <v/>
      </c>
      <c r="D2904">
        <f>IF($D$1=0,0,IFERROR(VALUE(SUBSTITUTE(SUBSTITUTE(SUBSTITUTE(INDEX(貼り付け!$A$1:$BZ$3001,2903,$D$1)&amp;"",",",""),"¥",""),"￥","")),0))</f>
        <v/>
      </c>
      <c r="E2904">
        <f>IF($E$1=0,0,IFERROR(VALUE(SUBSTITUTE(SUBSTITUTE(SUBSTITUTE(INDEX(貼り付け!$A$1:$BZ$3001,2903,$E$1)&amp;"",",",""),"¥",""),"￥","")),0))</f>
        <v/>
      </c>
      <c r="F2904">
        <f>IF($F$1=0,0,IFERROR(VALUE(SUBSTITUTE(SUBSTITUTE(SUBSTITUTE(INDEX(貼り付け!$A$1:$BZ$3001,2903,$F$1)&amp;"",",",""),"¥",""),"￥","")),0))</f>
        <v/>
      </c>
      <c r="G2904">
        <f>IF(ISNUMBER(B2904),YEAR(B2904),"")</f>
        <v/>
      </c>
      <c r="H2904">
        <f>IF(ISNUMBER(B2904),MONTH(B2904),"")</f>
        <v/>
      </c>
      <c r="I2904">
        <f>IFERROR(IF($B$1=0,"",IF(ISNUMBER(INDEX(貼り付け!$A$1:$BZ$3001,2903,$B$1)),"",SUBSTITUTE(SUBSTITUTE(SUBSTITUTE(SUBSTITUTE(TRIM(LEFT(INDEX(貼り付け!$A$1:$BZ$3001,2903,$B$1)&amp;"",FIND(" ",TRIM(INDEX(貼り付け!$A$1:$BZ$3001,2903,$B$1)&amp;"")&amp;" ")-1)),"/","-"),"年","-"),"月","-"),"日",""))),"")</f>
        <v/>
      </c>
      <c r="J2904">
        <f>IFERROR(MID(I2904,FIND("-",I2904)+1,99),"")</f>
        <v/>
      </c>
    </row>
    <row r="2905">
      <c r="B2905">
        <f>IFERROR(IF($B$1=0,"",IF(INDEX(貼り付け!$A$1:$BZ$3001,2904,$B$1)="","",IF(ISNUMBER(INDEX(貼り付け!$A$1:$BZ$3001,2904,$B$1)),INT(INDEX(貼り付け!$A$1:$BZ$3001,2904,$B$1)),DATE(VALUE(LEFT(I2905,FIND("-",I2905)-1)),VALUE(LEFT(J2905,FIND("-",J2905)-1)),VALUE(MID(J2905,FIND("-",J2905)+1,99)))))),"")</f>
        <v/>
      </c>
      <c r="C2905">
        <f>IF($C$1=0,0,IFERROR(VALUE(SUBSTITUTE(SUBSTITUTE(SUBSTITUTE(INDEX(貼り付け!$A$1:$BZ$3001,2904,$C$1)&amp;"",",",""),"¥",""),"￥","")),0))</f>
        <v/>
      </c>
      <c r="D2905">
        <f>IF($D$1=0,0,IFERROR(VALUE(SUBSTITUTE(SUBSTITUTE(SUBSTITUTE(INDEX(貼り付け!$A$1:$BZ$3001,2904,$D$1)&amp;"",",",""),"¥",""),"￥","")),0))</f>
        <v/>
      </c>
      <c r="E2905">
        <f>IF($E$1=0,0,IFERROR(VALUE(SUBSTITUTE(SUBSTITUTE(SUBSTITUTE(INDEX(貼り付け!$A$1:$BZ$3001,2904,$E$1)&amp;"",",",""),"¥",""),"￥","")),0))</f>
        <v/>
      </c>
      <c r="F2905">
        <f>IF($F$1=0,0,IFERROR(VALUE(SUBSTITUTE(SUBSTITUTE(SUBSTITUTE(INDEX(貼り付け!$A$1:$BZ$3001,2904,$F$1)&amp;"",",",""),"¥",""),"￥","")),0))</f>
        <v/>
      </c>
      <c r="G2905">
        <f>IF(ISNUMBER(B2905),YEAR(B2905),"")</f>
        <v/>
      </c>
      <c r="H2905">
        <f>IF(ISNUMBER(B2905),MONTH(B2905),"")</f>
        <v/>
      </c>
      <c r="I2905">
        <f>IFERROR(IF($B$1=0,"",IF(ISNUMBER(INDEX(貼り付け!$A$1:$BZ$3001,2904,$B$1)),"",SUBSTITUTE(SUBSTITUTE(SUBSTITUTE(SUBSTITUTE(TRIM(LEFT(INDEX(貼り付け!$A$1:$BZ$3001,2904,$B$1)&amp;"",FIND(" ",TRIM(INDEX(貼り付け!$A$1:$BZ$3001,2904,$B$1)&amp;"")&amp;" ")-1)),"/","-"),"年","-"),"月","-"),"日",""))),"")</f>
        <v/>
      </c>
      <c r="J2905">
        <f>IFERROR(MID(I2905,FIND("-",I2905)+1,99),"")</f>
        <v/>
      </c>
    </row>
    <row r="2906">
      <c r="B2906">
        <f>IFERROR(IF($B$1=0,"",IF(INDEX(貼り付け!$A$1:$BZ$3001,2905,$B$1)="","",IF(ISNUMBER(INDEX(貼り付け!$A$1:$BZ$3001,2905,$B$1)),INT(INDEX(貼り付け!$A$1:$BZ$3001,2905,$B$1)),DATE(VALUE(LEFT(I2906,FIND("-",I2906)-1)),VALUE(LEFT(J2906,FIND("-",J2906)-1)),VALUE(MID(J2906,FIND("-",J2906)+1,99)))))),"")</f>
        <v/>
      </c>
      <c r="C2906">
        <f>IF($C$1=0,0,IFERROR(VALUE(SUBSTITUTE(SUBSTITUTE(SUBSTITUTE(INDEX(貼り付け!$A$1:$BZ$3001,2905,$C$1)&amp;"",",",""),"¥",""),"￥","")),0))</f>
        <v/>
      </c>
      <c r="D2906">
        <f>IF($D$1=0,0,IFERROR(VALUE(SUBSTITUTE(SUBSTITUTE(SUBSTITUTE(INDEX(貼り付け!$A$1:$BZ$3001,2905,$D$1)&amp;"",",",""),"¥",""),"￥","")),0))</f>
        <v/>
      </c>
      <c r="E2906">
        <f>IF($E$1=0,0,IFERROR(VALUE(SUBSTITUTE(SUBSTITUTE(SUBSTITUTE(INDEX(貼り付け!$A$1:$BZ$3001,2905,$E$1)&amp;"",",",""),"¥",""),"￥","")),0))</f>
        <v/>
      </c>
      <c r="F2906">
        <f>IF($F$1=0,0,IFERROR(VALUE(SUBSTITUTE(SUBSTITUTE(SUBSTITUTE(INDEX(貼り付け!$A$1:$BZ$3001,2905,$F$1)&amp;"",",",""),"¥",""),"￥","")),0))</f>
        <v/>
      </c>
      <c r="G2906">
        <f>IF(ISNUMBER(B2906),YEAR(B2906),"")</f>
        <v/>
      </c>
      <c r="H2906">
        <f>IF(ISNUMBER(B2906),MONTH(B2906),"")</f>
        <v/>
      </c>
      <c r="I2906">
        <f>IFERROR(IF($B$1=0,"",IF(ISNUMBER(INDEX(貼り付け!$A$1:$BZ$3001,2905,$B$1)),"",SUBSTITUTE(SUBSTITUTE(SUBSTITUTE(SUBSTITUTE(TRIM(LEFT(INDEX(貼り付け!$A$1:$BZ$3001,2905,$B$1)&amp;"",FIND(" ",TRIM(INDEX(貼り付け!$A$1:$BZ$3001,2905,$B$1)&amp;"")&amp;" ")-1)),"/","-"),"年","-"),"月","-"),"日",""))),"")</f>
        <v/>
      </c>
      <c r="J2906">
        <f>IFERROR(MID(I2906,FIND("-",I2906)+1,99),"")</f>
        <v/>
      </c>
    </row>
    <row r="2907">
      <c r="B2907">
        <f>IFERROR(IF($B$1=0,"",IF(INDEX(貼り付け!$A$1:$BZ$3001,2906,$B$1)="","",IF(ISNUMBER(INDEX(貼り付け!$A$1:$BZ$3001,2906,$B$1)),INT(INDEX(貼り付け!$A$1:$BZ$3001,2906,$B$1)),DATE(VALUE(LEFT(I2907,FIND("-",I2907)-1)),VALUE(LEFT(J2907,FIND("-",J2907)-1)),VALUE(MID(J2907,FIND("-",J2907)+1,99)))))),"")</f>
        <v/>
      </c>
      <c r="C2907">
        <f>IF($C$1=0,0,IFERROR(VALUE(SUBSTITUTE(SUBSTITUTE(SUBSTITUTE(INDEX(貼り付け!$A$1:$BZ$3001,2906,$C$1)&amp;"",",",""),"¥",""),"￥","")),0))</f>
        <v/>
      </c>
      <c r="D2907">
        <f>IF($D$1=0,0,IFERROR(VALUE(SUBSTITUTE(SUBSTITUTE(SUBSTITUTE(INDEX(貼り付け!$A$1:$BZ$3001,2906,$D$1)&amp;"",",",""),"¥",""),"￥","")),0))</f>
        <v/>
      </c>
      <c r="E2907">
        <f>IF($E$1=0,0,IFERROR(VALUE(SUBSTITUTE(SUBSTITUTE(SUBSTITUTE(INDEX(貼り付け!$A$1:$BZ$3001,2906,$E$1)&amp;"",",",""),"¥",""),"￥","")),0))</f>
        <v/>
      </c>
      <c r="F2907">
        <f>IF($F$1=0,0,IFERROR(VALUE(SUBSTITUTE(SUBSTITUTE(SUBSTITUTE(INDEX(貼り付け!$A$1:$BZ$3001,2906,$F$1)&amp;"",",",""),"¥",""),"￥","")),0))</f>
        <v/>
      </c>
      <c r="G2907">
        <f>IF(ISNUMBER(B2907),YEAR(B2907),"")</f>
        <v/>
      </c>
      <c r="H2907">
        <f>IF(ISNUMBER(B2907),MONTH(B2907),"")</f>
        <v/>
      </c>
      <c r="I2907">
        <f>IFERROR(IF($B$1=0,"",IF(ISNUMBER(INDEX(貼り付け!$A$1:$BZ$3001,2906,$B$1)),"",SUBSTITUTE(SUBSTITUTE(SUBSTITUTE(SUBSTITUTE(TRIM(LEFT(INDEX(貼り付け!$A$1:$BZ$3001,2906,$B$1)&amp;"",FIND(" ",TRIM(INDEX(貼り付け!$A$1:$BZ$3001,2906,$B$1)&amp;"")&amp;" ")-1)),"/","-"),"年","-"),"月","-"),"日",""))),"")</f>
        <v/>
      </c>
      <c r="J2907">
        <f>IFERROR(MID(I2907,FIND("-",I2907)+1,99),"")</f>
        <v/>
      </c>
    </row>
    <row r="2908">
      <c r="B2908">
        <f>IFERROR(IF($B$1=0,"",IF(INDEX(貼り付け!$A$1:$BZ$3001,2907,$B$1)="","",IF(ISNUMBER(INDEX(貼り付け!$A$1:$BZ$3001,2907,$B$1)),INT(INDEX(貼り付け!$A$1:$BZ$3001,2907,$B$1)),DATE(VALUE(LEFT(I2908,FIND("-",I2908)-1)),VALUE(LEFT(J2908,FIND("-",J2908)-1)),VALUE(MID(J2908,FIND("-",J2908)+1,99)))))),"")</f>
        <v/>
      </c>
      <c r="C2908">
        <f>IF($C$1=0,0,IFERROR(VALUE(SUBSTITUTE(SUBSTITUTE(SUBSTITUTE(INDEX(貼り付け!$A$1:$BZ$3001,2907,$C$1)&amp;"",",",""),"¥",""),"￥","")),0))</f>
        <v/>
      </c>
      <c r="D2908">
        <f>IF($D$1=0,0,IFERROR(VALUE(SUBSTITUTE(SUBSTITUTE(SUBSTITUTE(INDEX(貼り付け!$A$1:$BZ$3001,2907,$D$1)&amp;"",",",""),"¥",""),"￥","")),0))</f>
        <v/>
      </c>
      <c r="E2908">
        <f>IF($E$1=0,0,IFERROR(VALUE(SUBSTITUTE(SUBSTITUTE(SUBSTITUTE(INDEX(貼り付け!$A$1:$BZ$3001,2907,$E$1)&amp;"",",",""),"¥",""),"￥","")),0))</f>
        <v/>
      </c>
      <c r="F2908">
        <f>IF($F$1=0,0,IFERROR(VALUE(SUBSTITUTE(SUBSTITUTE(SUBSTITUTE(INDEX(貼り付け!$A$1:$BZ$3001,2907,$F$1)&amp;"",",",""),"¥",""),"￥","")),0))</f>
        <v/>
      </c>
      <c r="G2908">
        <f>IF(ISNUMBER(B2908),YEAR(B2908),"")</f>
        <v/>
      </c>
      <c r="H2908">
        <f>IF(ISNUMBER(B2908),MONTH(B2908),"")</f>
        <v/>
      </c>
      <c r="I2908">
        <f>IFERROR(IF($B$1=0,"",IF(ISNUMBER(INDEX(貼り付け!$A$1:$BZ$3001,2907,$B$1)),"",SUBSTITUTE(SUBSTITUTE(SUBSTITUTE(SUBSTITUTE(TRIM(LEFT(INDEX(貼り付け!$A$1:$BZ$3001,2907,$B$1)&amp;"",FIND(" ",TRIM(INDEX(貼り付け!$A$1:$BZ$3001,2907,$B$1)&amp;"")&amp;" ")-1)),"/","-"),"年","-"),"月","-"),"日",""))),"")</f>
        <v/>
      </c>
      <c r="J2908">
        <f>IFERROR(MID(I2908,FIND("-",I2908)+1,99),"")</f>
        <v/>
      </c>
    </row>
    <row r="2909">
      <c r="B2909">
        <f>IFERROR(IF($B$1=0,"",IF(INDEX(貼り付け!$A$1:$BZ$3001,2908,$B$1)="","",IF(ISNUMBER(INDEX(貼り付け!$A$1:$BZ$3001,2908,$B$1)),INT(INDEX(貼り付け!$A$1:$BZ$3001,2908,$B$1)),DATE(VALUE(LEFT(I2909,FIND("-",I2909)-1)),VALUE(LEFT(J2909,FIND("-",J2909)-1)),VALUE(MID(J2909,FIND("-",J2909)+1,99)))))),"")</f>
        <v/>
      </c>
      <c r="C2909">
        <f>IF($C$1=0,0,IFERROR(VALUE(SUBSTITUTE(SUBSTITUTE(SUBSTITUTE(INDEX(貼り付け!$A$1:$BZ$3001,2908,$C$1)&amp;"",",",""),"¥",""),"￥","")),0))</f>
        <v/>
      </c>
      <c r="D2909">
        <f>IF($D$1=0,0,IFERROR(VALUE(SUBSTITUTE(SUBSTITUTE(SUBSTITUTE(INDEX(貼り付け!$A$1:$BZ$3001,2908,$D$1)&amp;"",",",""),"¥",""),"￥","")),0))</f>
        <v/>
      </c>
      <c r="E2909">
        <f>IF($E$1=0,0,IFERROR(VALUE(SUBSTITUTE(SUBSTITUTE(SUBSTITUTE(INDEX(貼り付け!$A$1:$BZ$3001,2908,$E$1)&amp;"",",",""),"¥",""),"￥","")),0))</f>
        <v/>
      </c>
      <c r="F2909">
        <f>IF($F$1=0,0,IFERROR(VALUE(SUBSTITUTE(SUBSTITUTE(SUBSTITUTE(INDEX(貼り付け!$A$1:$BZ$3001,2908,$F$1)&amp;"",",",""),"¥",""),"￥","")),0))</f>
        <v/>
      </c>
      <c r="G2909">
        <f>IF(ISNUMBER(B2909),YEAR(B2909),"")</f>
        <v/>
      </c>
      <c r="H2909">
        <f>IF(ISNUMBER(B2909),MONTH(B2909),"")</f>
        <v/>
      </c>
      <c r="I2909">
        <f>IFERROR(IF($B$1=0,"",IF(ISNUMBER(INDEX(貼り付け!$A$1:$BZ$3001,2908,$B$1)),"",SUBSTITUTE(SUBSTITUTE(SUBSTITUTE(SUBSTITUTE(TRIM(LEFT(INDEX(貼り付け!$A$1:$BZ$3001,2908,$B$1)&amp;"",FIND(" ",TRIM(INDEX(貼り付け!$A$1:$BZ$3001,2908,$B$1)&amp;"")&amp;" ")-1)),"/","-"),"年","-"),"月","-"),"日",""))),"")</f>
        <v/>
      </c>
      <c r="J2909">
        <f>IFERROR(MID(I2909,FIND("-",I2909)+1,99),"")</f>
        <v/>
      </c>
    </row>
    <row r="2910">
      <c r="B2910">
        <f>IFERROR(IF($B$1=0,"",IF(INDEX(貼り付け!$A$1:$BZ$3001,2909,$B$1)="","",IF(ISNUMBER(INDEX(貼り付け!$A$1:$BZ$3001,2909,$B$1)),INT(INDEX(貼り付け!$A$1:$BZ$3001,2909,$B$1)),DATE(VALUE(LEFT(I2910,FIND("-",I2910)-1)),VALUE(LEFT(J2910,FIND("-",J2910)-1)),VALUE(MID(J2910,FIND("-",J2910)+1,99)))))),"")</f>
        <v/>
      </c>
      <c r="C2910">
        <f>IF($C$1=0,0,IFERROR(VALUE(SUBSTITUTE(SUBSTITUTE(SUBSTITUTE(INDEX(貼り付け!$A$1:$BZ$3001,2909,$C$1)&amp;"",",",""),"¥",""),"￥","")),0))</f>
        <v/>
      </c>
      <c r="D2910">
        <f>IF($D$1=0,0,IFERROR(VALUE(SUBSTITUTE(SUBSTITUTE(SUBSTITUTE(INDEX(貼り付け!$A$1:$BZ$3001,2909,$D$1)&amp;"",",",""),"¥",""),"￥","")),0))</f>
        <v/>
      </c>
      <c r="E2910">
        <f>IF($E$1=0,0,IFERROR(VALUE(SUBSTITUTE(SUBSTITUTE(SUBSTITUTE(INDEX(貼り付け!$A$1:$BZ$3001,2909,$E$1)&amp;"",",",""),"¥",""),"￥","")),0))</f>
        <v/>
      </c>
      <c r="F2910">
        <f>IF($F$1=0,0,IFERROR(VALUE(SUBSTITUTE(SUBSTITUTE(SUBSTITUTE(INDEX(貼り付け!$A$1:$BZ$3001,2909,$F$1)&amp;"",",",""),"¥",""),"￥","")),0))</f>
        <v/>
      </c>
      <c r="G2910">
        <f>IF(ISNUMBER(B2910),YEAR(B2910),"")</f>
        <v/>
      </c>
      <c r="H2910">
        <f>IF(ISNUMBER(B2910),MONTH(B2910),"")</f>
        <v/>
      </c>
      <c r="I2910">
        <f>IFERROR(IF($B$1=0,"",IF(ISNUMBER(INDEX(貼り付け!$A$1:$BZ$3001,2909,$B$1)),"",SUBSTITUTE(SUBSTITUTE(SUBSTITUTE(SUBSTITUTE(TRIM(LEFT(INDEX(貼り付け!$A$1:$BZ$3001,2909,$B$1)&amp;"",FIND(" ",TRIM(INDEX(貼り付け!$A$1:$BZ$3001,2909,$B$1)&amp;"")&amp;" ")-1)),"/","-"),"年","-"),"月","-"),"日",""))),"")</f>
        <v/>
      </c>
      <c r="J2910">
        <f>IFERROR(MID(I2910,FIND("-",I2910)+1,99),"")</f>
        <v/>
      </c>
    </row>
    <row r="2911">
      <c r="B2911">
        <f>IFERROR(IF($B$1=0,"",IF(INDEX(貼り付け!$A$1:$BZ$3001,2910,$B$1)="","",IF(ISNUMBER(INDEX(貼り付け!$A$1:$BZ$3001,2910,$B$1)),INT(INDEX(貼り付け!$A$1:$BZ$3001,2910,$B$1)),DATE(VALUE(LEFT(I2911,FIND("-",I2911)-1)),VALUE(LEFT(J2911,FIND("-",J2911)-1)),VALUE(MID(J2911,FIND("-",J2911)+1,99)))))),"")</f>
        <v/>
      </c>
      <c r="C2911">
        <f>IF($C$1=0,0,IFERROR(VALUE(SUBSTITUTE(SUBSTITUTE(SUBSTITUTE(INDEX(貼り付け!$A$1:$BZ$3001,2910,$C$1)&amp;"",",",""),"¥",""),"￥","")),0))</f>
        <v/>
      </c>
      <c r="D2911">
        <f>IF($D$1=0,0,IFERROR(VALUE(SUBSTITUTE(SUBSTITUTE(SUBSTITUTE(INDEX(貼り付け!$A$1:$BZ$3001,2910,$D$1)&amp;"",",",""),"¥",""),"￥","")),0))</f>
        <v/>
      </c>
      <c r="E2911">
        <f>IF($E$1=0,0,IFERROR(VALUE(SUBSTITUTE(SUBSTITUTE(SUBSTITUTE(INDEX(貼り付け!$A$1:$BZ$3001,2910,$E$1)&amp;"",",",""),"¥",""),"￥","")),0))</f>
        <v/>
      </c>
      <c r="F2911">
        <f>IF($F$1=0,0,IFERROR(VALUE(SUBSTITUTE(SUBSTITUTE(SUBSTITUTE(INDEX(貼り付け!$A$1:$BZ$3001,2910,$F$1)&amp;"",",",""),"¥",""),"￥","")),0))</f>
        <v/>
      </c>
      <c r="G2911">
        <f>IF(ISNUMBER(B2911),YEAR(B2911),"")</f>
        <v/>
      </c>
      <c r="H2911">
        <f>IF(ISNUMBER(B2911),MONTH(B2911),"")</f>
        <v/>
      </c>
      <c r="I2911">
        <f>IFERROR(IF($B$1=0,"",IF(ISNUMBER(INDEX(貼り付け!$A$1:$BZ$3001,2910,$B$1)),"",SUBSTITUTE(SUBSTITUTE(SUBSTITUTE(SUBSTITUTE(TRIM(LEFT(INDEX(貼り付け!$A$1:$BZ$3001,2910,$B$1)&amp;"",FIND(" ",TRIM(INDEX(貼り付け!$A$1:$BZ$3001,2910,$B$1)&amp;"")&amp;" ")-1)),"/","-"),"年","-"),"月","-"),"日",""))),"")</f>
        <v/>
      </c>
      <c r="J2911">
        <f>IFERROR(MID(I2911,FIND("-",I2911)+1,99),"")</f>
        <v/>
      </c>
    </row>
    <row r="2912">
      <c r="B2912">
        <f>IFERROR(IF($B$1=0,"",IF(INDEX(貼り付け!$A$1:$BZ$3001,2911,$B$1)="","",IF(ISNUMBER(INDEX(貼り付け!$A$1:$BZ$3001,2911,$B$1)),INT(INDEX(貼り付け!$A$1:$BZ$3001,2911,$B$1)),DATE(VALUE(LEFT(I2912,FIND("-",I2912)-1)),VALUE(LEFT(J2912,FIND("-",J2912)-1)),VALUE(MID(J2912,FIND("-",J2912)+1,99)))))),"")</f>
        <v/>
      </c>
      <c r="C2912">
        <f>IF($C$1=0,0,IFERROR(VALUE(SUBSTITUTE(SUBSTITUTE(SUBSTITUTE(INDEX(貼り付け!$A$1:$BZ$3001,2911,$C$1)&amp;"",",",""),"¥",""),"￥","")),0))</f>
        <v/>
      </c>
      <c r="D2912">
        <f>IF($D$1=0,0,IFERROR(VALUE(SUBSTITUTE(SUBSTITUTE(SUBSTITUTE(INDEX(貼り付け!$A$1:$BZ$3001,2911,$D$1)&amp;"",",",""),"¥",""),"￥","")),0))</f>
        <v/>
      </c>
      <c r="E2912">
        <f>IF($E$1=0,0,IFERROR(VALUE(SUBSTITUTE(SUBSTITUTE(SUBSTITUTE(INDEX(貼り付け!$A$1:$BZ$3001,2911,$E$1)&amp;"",",",""),"¥",""),"￥","")),0))</f>
        <v/>
      </c>
      <c r="F2912">
        <f>IF($F$1=0,0,IFERROR(VALUE(SUBSTITUTE(SUBSTITUTE(SUBSTITUTE(INDEX(貼り付け!$A$1:$BZ$3001,2911,$F$1)&amp;"",",",""),"¥",""),"￥","")),0))</f>
        <v/>
      </c>
      <c r="G2912">
        <f>IF(ISNUMBER(B2912),YEAR(B2912),"")</f>
        <v/>
      </c>
      <c r="H2912">
        <f>IF(ISNUMBER(B2912),MONTH(B2912),"")</f>
        <v/>
      </c>
      <c r="I2912">
        <f>IFERROR(IF($B$1=0,"",IF(ISNUMBER(INDEX(貼り付け!$A$1:$BZ$3001,2911,$B$1)),"",SUBSTITUTE(SUBSTITUTE(SUBSTITUTE(SUBSTITUTE(TRIM(LEFT(INDEX(貼り付け!$A$1:$BZ$3001,2911,$B$1)&amp;"",FIND(" ",TRIM(INDEX(貼り付け!$A$1:$BZ$3001,2911,$B$1)&amp;"")&amp;" ")-1)),"/","-"),"年","-"),"月","-"),"日",""))),"")</f>
        <v/>
      </c>
      <c r="J2912">
        <f>IFERROR(MID(I2912,FIND("-",I2912)+1,99),"")</f>
        <v/>
      </c>
    </row>
    <row r="2913">
      <c r="B2913">
        <f>IFERROR(IF($B$1=0,"",IF(INDEX(貼り付け!$A$1:$BZ$3001,2912,$B$1)="","",IF(ISNUMBER(INDEX(貼り付け!$A$1:$BZ$3001,2912,$B$1)),INT(INDEX(貼り付け!$A$1:$BZ$3001,2912,$B$1)),DATE(VALUE(LEFT(I2913,FIND("-",I2913)-1)),VALUE(LEFT(J2913,FIND("-",J2913)-1)),VALUE(MID(J2913,FIND("-",J2913)+1,99)))))),"")</f>
        <v/>
      </c>
      <c r="C2913">
        <f>IF($C$1=0,0,IFERROR(VALUE(SUBSTITUTE(SUBSTITUTE(SUBSTITUTE(INDEX(貼り付け!$A$1:$BZ$3001,2912,$C$1)&amp;"",",",""),"¥",""),"￥","")),0))</f>
        <v/>
      </c>
      <c r="D2913">
        <f>IF($D$1=0,0,IFERROR(VALUE(SUBSTITUTE(SUBSTITUTE(SUBSTITUTE(INDEX(貼り付け!$A$1:$BZ$3001,2912,$D$1)&amp;"",",",""),"¥",""),"￥","")),0))</f>
        <v/>
      </c>
      <c r="E2913">
        <f>IF($E$1=0,0,IFERROR(VALUE(SUBSTITUTE(SUBSTITUTE(SUBSTITUTE(INDEX(貼り付け!$A$1:$BZ$3001,2912,$E$1)&amp;"",",",""),"¥",""),"￥","")),0))</f>
        <v/>
      </c>
      <c r="F2913">
        <f>IF($F$1=0,0,IFERROR(VALUE(SUBSTITUTE(SUBSTITUTE(SUBSTITUTE(INDEX(貼り付け!$A$1:$BZ$3001,2912,$F$1)&amp;"",",",""),"¥",""),"￥","")),0))</f>
        <v/>
      </c>
      <c r="G2913">
        <f>IF(ISNUMBER(B2913),YEAR(B2913),"")</f>
        <v/>
      </c>
      <c r="H2913">
        <f>IF(ISNUMBER(B2913),MONTH(B2913),"")</f>
        <v/>
      </c>
      <c r="I2913">
        <f>IFERROR(IF($B$1=0,"",IF(ISNUMBER(INDEX(貼り付け!$A$1:$BZ$3001,2912,$B$1)),"",SUBSTITUTE(SUBSTITUTE(SUBSTITUTE(SUBSTITUTE(TRIM(LEFT(INDEX(貼り付け!$A$1:$BZ$3001,2912,$B$1)&amp;"",FIND(" ",TRIM(INDEX(貼り付け!$A$1:$BZ$3001,2912,$B$1)&amp;"")&amp;" ")-1)),"/","-"),"年","-"),"月","-"),"日",""))),"")</f>
        <v/>
      </c>
      <c r="J2913">
        <f>IFERROR(MID(I2913,FIND("-",I2913)+1,99),"")</f>
        <v/>
      </c>
    </row>
    <row r="2914">
      <c r="B2914">
        <f>IFERROR(IF($B$1=0,"",IF(INDEX(貼り付け!$A$1:$BZ$3001,2913,$B$1)="","",IF(ISNUMBER(INDEX(貼り付け!$A$1:$BZ$3001,2913,$B$1)),INT(INDEX(貼り付け!$A$1:$BZ$3001,2913,$B$1)),DATE(VALUE(LEFT(I2914,FIND("-",I2914)-1)),VALUE(LEFT(J2914,FIND("-",J2914)-1)),VALUE(MID(J2914,FIND("-",J2914)+1,99)))))),"")</f>
        <v/>
      </c>
      <c r="C2914">
        <f>IF($C$1=0,0,IFERROR(VALUE(SUBSTITUTE(SUBSTITUTE(SUBSTITUTE(INDEX(貼り付け!$A$1:$BZ$3001,2913,$C$1)&amp;"",",",""),"¥",""),"￥","")),0))</f>
        <v/>
      </c>
      <c r="D2914">
        <f>IF($D$1=0,0,IFERROR(VALUE(SUBSTITUTE(SUBSTITUTE(SUBSTITUTE(INDEX(貼り付け!$A$1:$BZ$3001,2913,$D$1)&amp;"",",",""),"¥",""),"￥","")),0))</f>
        <v/>
      </c>
      <c r="E2914">
        <f>IF($E$1=0,0,IFERROR(VALUE(SUBSTITUTE(SUBSTITUTE(SUBSTITUTE(INDEX(貼り付け!$A$1:$BZ$3001,2913,$E$1)&amp;"",",",""),"¥",""),"￥","")),0))</f>
        <v/>
      </c>
      <c r="F2914">
        <f>IF($F$1=0,0,IFERROR(VALUE(SUBSTITUTE(SUBSTITUTE(SUBSTITUTE(INDEX(貼り付け!$A$1:$BZ$3001,2913,$F$1)&amp;"",",",""),"¥",""),"￥","")),0))</f>
        <v/>
      </c>
      <c r="G2914">
        <f>IF(ISNUMBER(B2914),YEAR(B2914),"")</f>
        <v/>
      </c>
      <c r="H2914">
        <f>IF(ISNUMBER(B2914),MONTH(B2914),"")</f>
        <v/>
      </c>
      <c r="I2914">
        <f>IFERROR(IF($B$1=0,"",IF(ISNUMBER(INDEX(貼り付け!$A$1:$BZ$3001,2913,$B$1)),"",SUBSTITUTE(SUBSTITUTE(SUBSTITUTE(SUBSTITUTE(TRIM(LEFT(INDEX(貼り付け!$A$1:$BZ$3001,2913,$B$1)&amp;"",FIND(" ",TRIM(INDEX(貼り付け!$A$1:$BZ$3001,2913,$B$1)&amp;"")&amp;" ")-1)),"/","-"),"年","-"),"月","-"),"日",""))),"")</f>
        <v/>
      </c>
      <c r="J2914">
        <f>IFERROR(MID(I2914,FIND("-",I2914)+1,99),"")</f>
        <v/>
      </c>
    </row>
    <row r="2915">
      <c r="B2915">
        <f>IFERROR(IF($B$1=0,"",IF(INDEX(貼り付け!$A$1:$BZ$3001,2914,$B$1)="","",IF(ISNUMBER(INDEX(貼り付け!$A$1:$BZ$3001,2914,$B$1)),INT(INDEX(貼り付け!$A$1:$BZ$3001,2914,$B$1)),DATE(VALUE(LEFT(I2915,FIND("-",I2915)-1)),VALUE(LEFT(J2915,FIND("-",J2915)-1)),VALUE(MID(J2915,FIND("-",J2915)+1,99)))))),"")</f>
        <v/>
      </c>
      <c r="C2915">
        <f>IF($C$1=0,0,IFERROR(VALUE(SUBSTITUTE(SUBSTITUTE(SUBSTITUTE(INDEX(貼り付け!$A$1:$BZ$3001,2914,$C$1)&amp;"",",",""),"¥",""),"￥","")),0))</f>
        <v/>
      </c>
      <c r="D2915">
        <f>IF($D$1=0,0,IFERROR(VALUE(SUBSTITUTE(SUBSTITUTE(SUBSTITUTE(INDEX(貼り付け!$A$1:$BZ$3001,2914,$D$1)&amp;"",",",""),"¥",""),"￥","")),0))</f>
        <v/>
      </c>
      <c r="E2915">
        <f>IF($E$1=0,0,IFERROR(VALUE(SUBSTITUTE(SUBSTITUTE(SUBSTITUTE(INDEX(貼り付け!$A$1:$BZ$3001,2914,$E$1)&amp;"",",",""),"¥",""),"￥","")),0))</f>
        <v/>
      </c>
      <c r="F2915">
        <f>IF($F$1=0,0,IFERROR(VALUE(SUBSTITUTE(SUBSTITUTE(SUBSTITUTE(INDEX(貼り付け!$A$1:$BZ$3001,2914,$F$1)&amp;"",",",""),"¥",""),"￥","")),0))</f>
        <v/>
      </c>
      <c r="G2915">
        <f>IF(ISNUMBER(B2915),YEAR(B2915),"")</f>
        <v/>
      </c>
      <c r="H2915">
        <f>IF(ISNUMBER(B2915),MONTH(B2915),"")</f>
        <v/>
      </c>
      <c r="I2915">
        <f>IFERROR(IF($B$1=0,"",IF(ISNUMBER(INDEX(貼り付け!$A$1:$BZ$3001,2914,$B$1)),"",SUBSTITUTE(SUBSTITUTE(SUBSTITUTE(SUBSTITUTE(TRIM(LEFT(INDEX(貼り付け!$A$1:$BZ$3001,2914,$B$1)&amp;"",FIND(" ",TRIM(INDEX(貼り付け!$A$1:$BZ$3001,2914,$B$1)&amp;"")&amp;" ")-1)),"/","-"),"年","-"),"月","-"),"日",""))),"")</f>
        <v/>
      </c>
      <c r="J2915">
        <f>IFERROR(MID(I2915,FIND("-",I2915)+1,99),"")</f>
        <v/>
      </c>
    </row>
    <row r="2916">
      <c r="B2916">
        <f>IFERROR(IF($B$1=0,"",IF(INDEX(貼り付け!$A$1:$BZ$3001,2915,$B$1)="","",IF(ISNUMBER(INDEX(貼り付け!$A$1:$BZ$3001,2915,$B$1)),INT(INDEX(貼り付け!$A$1:$BZ$3001,2915,$B$1)),DATE(VALUE(LEFT(I2916,FIND("-",I2916)-1)),VALUE(LEFT(J2916,FIND("-",J2916)-1)),VALUE(MID(J2916,FIND("-",J2916)+1,99)))))),"")</f>
        <v/>
      </c>
      <c r="C2916">
        <f>IF($C$1=0,0,IFERROR(VALUE(SUBSTITUTE(SUBSTITUTE(SUBSTITUTE(INDEX(貼り付け!$A$1:$BZ$3001,2915,$C$1)&amp;"",",",""),"¥",""),"￥","")),0))</f>
        <v/>
      </c>
      <c r="D2916">
        <f>IF($D$1=0,0,IFERROR(VALUE(SUBSTITUTE(SUBSTITUTE(SUBSTITUTE(INDEX(貼り付け!$A$1:$BZ$3001,2915,$D$1)&amp;"",",",""),"¥",""),"￥","")),0))</f>
        <v/>
      </c>
      <c r="E2916">
        <f>IF($E$1=0,0,IFERROR(VALUE(SUBSTITUTE(SUBSTITUTE(SUBSTITUTE(INDEX(貼り付け!$A$1:$BZ$3001,2915,$E$1)&amp;"",",",""),"¥",""),"￥","")),0))</f>
        <v/>
      </c>
      <c r="F2916">
        <f>IF($F$1=0,0,IFERROR(VALUE(SUBSTITUTE(SUBSTITUTE(SUBSTITUTE(INDEX(貼り付け!$A$1:$BZ$3001,2915,$F$1)&amp;"",",",""),"¥",""),"￥","")),0))</f>
        <v/>
      </c>
      <c r="G2916">
        <f>IF(ISNUMBER(B2916),YEAR(B2916),"")</f>
        <v/>
      </c>
      <c r="H2916">
        <f>IF(ISNUMBER(B2916),MONTH(B2916),"")</f>
        <v/>
      </c>
      <c r="I2916">
        <f>IFERROR(IF($B$1=0,"",IF(ISNUMBER(INDEX(貼り付け!$A$1:$BZ$3001,2915,$B$1)),"",SUBSTITUTE(SUBSTITUTE(SUBSTITUTE(SUBSTITUTE(TRIM(LEFT(INDEX(貼り付け!$A$1:$BZ$3001,2915,$B$1)&amp;"",FIND(" ",TRIM(INDEX(貼り付け!$A$1:$BZ$3001,2915,$B$1)&amp;"")&amp;" ")-1)),"/","-"),"年","-"),"月","-"),"日",""))),"")</f>
        <v/>
      </c>
      <c r="J2916">
        <f>IFERROR(MID(I2916,FIND("-",I2916)+1,99),"")</f>
        <v/>
      </c>
    </row>
    <row r="2917">
      <c r="B2917">
        <f>IFERROR(IF($B$1=0,"",IF(INDEX(貼り付け!$A$1:$BZ$3001,2916,$B$1)="","",IF(ISNUMBER(INDEX(貼り付け!$A$1:$BZ$3001,2916,$B$1)),INT(INDEX(貼り付け!$A$1:$BZ$3001,2916,$B$1)),DATE(VALUE(LEFT(I2917,FIND("-",I2917)-1)),VALUE(LEFT(J2917,FIND("-",J2917)-1)),VALUE(MID(J2917,FIND("-",J2917)+1,99)))))),"")</f>
        <v/>
      </c>
      <c r="C2917">
        <f>IF($C$1=0,0,IFERROR(VALUE(SUBSTITUTE(SUBSTITUTE(SUBSTITUTE(INDEX(貼り付け!$A$1:$BZ$3001,2916,$C$1)&amp;"",",",""),"¥",""),"￥","")),0))</f>
        <v/>
      </c>
      <c r="D2917">
        <f>IF($D$1=0,0,IFERROR(VALUE(SUBSTITUTE(SUBSTITUTE(SUBSTITUTE(INDEX(貼り付け!$A$1:$BZ$3001,2916,$D$1)&amp;"",",",""),"¥",""),"￥","")),0))</f>
        <v/>
      </c>
      <c r="E2917">
        <f>IF($E$1=0,0,IFERROR(VALUE(SUBSTITUTE(SUBSTITUTE(SUBSTITUTE(INDEX(貼り付け!$A$1:$BZ$3001,2916,$E$1)&amp;"",",",""),"¥",""),"￥","")),0))</f>
        <v/>
      </c>
      <c r="F2917">
        <f>IF($F$1=0,0,IFERROR(VALUE(SUBSTITUTE(SUBSTITUTE(SUBSTITUTE(INDEX(貼り付け!$A$1:$BZ$3001,2916,$F$1)&amp;"",",",""),"¥",""),"￥","")),0))</f>
        <v/>
      </c>
      <c r="G2917">
        <f>IF(ISNUMBER(B2917),YEAR(B2917),"")</f>
        <v/>
      </c>
      <c r="H2917">
        <f>IF(ISNUMBER(B2917),MONTH(B2917),"")</f>
        <v/>
      </c>
      <c r="I2917">
        <f>IFERROR(IF($B$1=0,"",IF(ISNUMBER(INDEX(貼り付け!$A$1:$BZ$3001,2916,$B$1)),"",SUBSTITUTE(SUBSTITUTE(SUBSTITUTE(SUBSTITUTE(TRIM(LEFT(INDEX(貼り付け!$A$1:$BZ$3001,2916,$B$1)&amp;"",FIND(" ",TRIM(INDEX(貼り付け!$A$1:$BZ$3001,2916,$B$1)&amp;"")&amp;" ")-1)),"/","-"),"年","-"),"月","-"),"日",""))),"")</f>
        <v/>
      </c>
      <c r="J2917">
        <f>IFERROR(MID(I2917,FIND("-",I2917)+1,99),"")</f>
        <v/>
      </c>
    </row>
    <row r="2918">
      <c r="B2918">
        <f>IFERROR(IF($B$1=0,"",IF(INDEX(貼り付け!$A$1:$BZ$3001,2917,$B$1)="","",IF(ISNUMBER(INDEX(貼り付け!$A$1:$BZ$3001,2917,$B$1)),INT(INDEX(貼り付け!$A$1:$BZ$3001,2917,$B$1)),DATE(VALUE(LEFT(I2918,FIND("-",I2918)-1)),VALUE(LEFT(J2918,FIND("-",J2918)-1)),VALUE(MID(J2918,FIND("-",J2918)+1,99)))))),"")</f>
        <v/>
      </c>
      <c r="C2918">
        <f>IF($C$1=0,0,IFERROR(VALUE(SUBSTITUTE(SUBSTITUTE(SUBSTITUTE(INDEX(貼り付け!$A$1:$BZ$3001,2917,$C$1)&amp;"",",",""),"¥",""),"￥","")),0))</f>
        <v/>
      </c>
      <c r="D2918">
        <f>IF($D$1=0,0,IFERROR(VALUE(SUBSTITUTE(SUBSTITUTE(SUBSTITUTE(INDEX(貼り付け!$A$1:$BZ$3001,2917,$D$1)&amp;"",",",""),"¥",""),"￥","")),0))</f>
        <v/>
      </c>
      <c r="E2918">
        <f>IF($E$1=0,0,IFERROR(VALUE(SUBSTITUTE(SUBSTITUTE(SUBSTITUTE(INDEX(貼り付け!$A$1:$BZ$3001,2917,$E$1)&amp;"",",",""),"¥",""),"￥","")),0))</f>
        <v/>
      </c>
      <c r="F2918">
        <f>IF($F$1=0,0,IFERROR(VALUE(SUBSTITUTE(SUBSTITUTE(SUBSTITUTE(INDEX(貼り付け!$A$1:$BZ$3001,2917,$F$1)&amp;"",",",""),"¥",""),"￥","")),0))</f>
        <v/>
      </c>
      <c r="G2918">
        <f>IF(ISNUMBER(B2918),YEAR(B2918),"")</f>
        <v/>
      </c>
      <c r="H2918">
        <f>IF(ISNUMBER(B2918),MONTH(B2918),"")</f>
        <v/>
      </c>
      <c r="I2918">
        <f>IFERROR(IF($B$1=0,"",IF(ISNUMBER(INDEX(貼り付け!$A$1:$BZ$3001,2917,$B$1)),"",SUBSTITUTE(SUBSTITUTE(SUBSTITUTE(SUBSTITUTE(TRIM(LEFT(INDEX(貼り付け!$A$1:$BZ$3001,2917,$B$1)&amp;"",FIND(" ",TRIM(INDEX(貼り付け!$A$1:$BZ$3001,2917,$B$1)&amp;"")&amp;" ")-1)),"/","-"),"年","-"),"月","-"),"日",""))),"")</f>
        <v/>
      </c>
      <c r="J2918">
        <f>IFERROR(MID(I2918,FIND("-",I2918)+1,99),"")</f>
        <v/>
      </c>
    </row>
    <row r="2919">
      <c r="B2919">
        <f>IFERROR(IF($B$1=0,"",IF(INDEX(貼り付け!$A$1:$BZ$3001,2918,$B$1)="","",IF(ISNUMBER(INDEX(貼り付け!$A$1:$BZ$3001,2918,$B$1)),INT(INDEX(貼り付け!$A$1:$BZ$3001,2918,$B$1)),DATE(VALUE(LEFT(I2919,FIND("-",I2919)-1)),VALUE(LEFT(J2919,FIND("-",J2919)-1)),VALUE(MID(J2919,FIND("-",J2919)+1,99)))))),"")</f>
        <v/>
      </c>
      <c r="C2919">
        <f>IF($C$1=0,0,IFERROR(VALUE(SUBSTITUTE(SUBSTITUTE(SUBSTITUTE(INDEX(貼り付け!$A$1:$BZ$3001,2918,$C$1)&amp;"",",",""),"¥",""),"￥","")),0))</f>
        <v/>
      </c>
      <c r="D2919">
        <f>IF($D$1=0,0,IFERROR(VALUE(SUBSTITUTE(SUBSTITUTE(SUBSTITUTE(INDEX(貼り付け!$A$1:$BZ$3001,2918,$D$1)&amp;"",",",""),"¥",""),"￥","")),0))</f>
        <v/>
      </c>
      <c r="E2919">
        <f>IF($E$1=0,0,IFERROR(VALUE(SUBSTITUTE(SUBSTITUTE(SUBSTITUTE(INDEX(貼り付け!$A$1:$BZ$3001,2918,$E$1)&amp;"",",",""),"¥",""),"￥","")),0))</f>
        <v/>
      </c>
      <c r="F2919">
        <f>IF($F$1=0,0,IFERROR(VALUE(SUBSTITUTE(SUBSTITUTE(SUBSTITUTE(INDEX(貼り付け!$A$1:$BZ$3001,2918,$F$1)&amp;"",",",""),"¥",""),"￥","")),0))</f>
        <v/>
      </c>
      <c r="G2919">
        <f>IF(ISNUMBER(B2919),YEAR(B2919),"")</f>
        <v/>
      </c>
      <c r="H2919">
        <f>IF(ISNUMBER(B2919),MONTH(B2919),"")</f>
        <v/>
      </c>
      <c r="I2919">
        <f>IFERROR(IF($B$1=0,"",IF(ISNUMBER(INDEX(貼り付け!$A$1:$BZ$3001,2918,$B$1)),"",SUBSTITUTE(SUBSTITUTE(SUBSTITUTE(SUBSTITUTE(TRIM(LEFT(INDEX(貼り付け!$A$1:$BZ$3001,2918,$B$1)&amp;"",FIND(" ",TRIM(INDEX(貼り付け!$A$1:$BZ$3001,2918,$B$1)&amp;"")&amp;" ")-1)),"/","-"),"年","-"),"月","-"),"日",""))),"")</f>
        <v/>
      </c>
      <c r="J2919">
        <f>IFERROR(MID(I2919,FIND("-",I2919)+1,99),"")</f>
        <v/>
      </c>
    </row>
    <row r="2920">
      <c r="B2920">
        <f>IFERROR(IF($B$1=0,"",IF(INDEX(貼り付け!$A$1:$BZ$3001,2919,$B$1)="","",IF(ISNUMBER(INDEX(貼り付け!$A$1:$BZ$3001,2919,$B$1)),INT(INDEX(貼り付け!$A$1:$BZ$3001,2919,$B$1)),DATE(VALUE(LEFT(I2920,FIND("-",I2920)-1)),VALUE(LEFT(J2920,FIND("-",J2920)-1)),VALUE(MID(J2920,FIND("-",J2920)+1,99)))))),"")</f>
        <v/>
      </c>
      <c r="C2920">
        <f>IF($C$1=0,0,IFERROR(VALUE(SUBSTITUTE(SUBSTITUTE(SUBSTITUTE(INDEX(貼り付け!$A$1:$BZ$3001,2919,$C$1)&amp;"",",",""),"¥",""),"￥","")),0))</f>
        <v/>
      </c>
      <c r="D2920">
        <f>IF($D$1=0,0,IFERROR(VALUE(SUBSTITUTE(SUBSTITUTE(SUBSTITUTE(INDEX(貼り付け!$A$1:$BZ$3001,2919,$D$1)&amp;"",",",""),"¥",""),"￥","")),0))</f>
        <v/>
      </c>
      <c r="E2920">
        <f>IF($E$1=0,0,IFERROR(VALUE(SUBSTITUTE(SUBSTITUTE(SUBSTITUTE(INDEX(貼り付け!$A$1:$BZ$3001,2919,$E$1)&amp;"",",",""),"¥",""),"￥","")),0))</f>
        <v/>
      </c>
      <c r="F2920">
        <f>IF($F$1=0,0,IFERROR(VALUE(SUBSTITUTE(SUBSTITUTE(SUBSTITUTE(INDEX(貼り付け!$A$1:$BZ$3001,2919,$F$1)&amp;"",",",""),"¥",""),"￥","")),0))</f>
        <v/>
      </c>
      <c r="G2920">
        <f>IF(ISNUMBER(B2920),YEAR(B2920),"")</f>
        <v/>
      </c>
      <c r="H2920">
        <f>IF(ISNUMBER(B2920),MONTH(B2920),"")</f>
        <v/>
      </c>
      <c r="I2920">
        <f>IFERROR(IF($B$1=0,"",IF(ISNUMBER(INDEX(貼り付け!$A$1:$BZ$3001,2919,$B$1)),"",SUBSTITUTE(SUBSTITUTE(SUBSTITUTE(SUBSTITUTE(TRIM(LEFT(INDEX(貼り付け!$A$1:$BZ$3001,2919,$B$1)&amp;"",FIND(" ",TRIM(INDEX(貼り付け!$A$1:$BZ$3001,2919,$B$1)&amp;"")&amp;" ")-1)),"/","-"),"年","-"),"月","-"),"日",""))),"")</f>
        <v/>
      </c>
      <c r="J2920">
        <f>IFERROR(MID(I2920,FIND("-",I2920)+1,99),"")</f>
        <v/>
      </c>
    </row>
    <row r="2921">
      <c r="B2921">
        <f>IFERROR(IF($B$1=0,"",IF(INDEX(貼り付け!$A$1:$BZ$3001,2920,$B$1)="","",IF(ISNUMBER(INDEX(貼り付け!$A$1:$BZ$3001,2920,$B$1)),INT(INDEX(貼り付け!$A$1:$BZ$3001,2920,$B$1)),DATE(VALUE(LEFT(I2921,FIND("-",I2921)-1)),VALUE(LEFT(J2921,FIND("-",J2921)-1)),VALUE(MID(J2921,FIND("-",J2921)+1,99)))))),"")</f>
        <v/>
      </c>
      <c r="C2921">
        <f>IF($C$1=0,0,IFERROR(VALUE(SUBSTITUTE(SUBSTITUTE(SUBSTITUTE(INDEX(貼り付け!$A$1:$BZ$3001,2920,$C$1)&amp;"",",",""),"¥",""),"￥","")),0))</f>
        <v/>
      </c>
      <c r="D2921">
        <f>IF($D$1=0,0,IFERROR(VALUE(SUBSTITUTE(SUBSTITUTE(SUBSTITUTE(INDEX(貼り付け!$A$1:$BZ$3001,2920,$D$1)&amp;"",",",""),"¥",""),"￥","")),0))</f>
        <v/>
      </c>
      <c r="E2921">
        <f>IF($E$1=0,0,IFERROR(VALUE(SUBSTITUTE(SUBSTITUTE(SUBSTITUTE(INDEX(貼り付け!$A$1:$BZ$3001,2920,$E$1)&amp;"",",",""),"¥",""),"￥","")),0))</f>
        <v/>
      </c>
      <c r="F2921">
        <f>IF($F$1=0,0,IFERROR(VALUE(SUBSTITUTE(SUBSTITUTE(SUBSTITUTE(INDEX(貼り付け!$A$1:$BZ$3001,2920,$F$1)&amp;"",",",""),"¥",""),"￥","")),0))</f>
        <v/>
      </c>
      <c r="G2921">
        <f>IF(ISNUMBER(B2921),YEAR(B2921),"")</f>
        <v/>
      </c>
      <c r="H2921">
        <f>IF(ISNUMBER(B2921),MONTH(B2921),"")</f>
        <v/>
      </c>
      <c r="I2921">
        <f>IFERROR(IF($B$1=0,"",IF(ISNUMBER(INDEX(貼り付け!$A$1:$BZ$3001,2920,$B$1)),"",SUBSTITUTE(SUBSTITUTE(SUBSTITUTE(SUBSTITUTE(TRIM(LEFT(INDEX(貼り付け!$A$1:$BZ$3001,2920,$B$1)&amp;"",FIND(" ",TRIM(INDEX(貼り付け!$A$1:$BZ$3001,2920,$B$1)&amp;"")&amp;" ")-1)),"/","-"),"年","-"),"月","-"),"日",""))),"")</f>
        <v/>
      </c>
      <c r="J2921">
        <f>IFERROR(MID(I2921,FIND("-",I2921)+1,99),"")</f>
        <v/>
      </c>
    </row>
    <row r="2922">
      <c r="B2922">
        <f>IFERROR(IF($B$1=0,"",IF(INDEX(貼り付け!$A$1:$BZ$3001,2921,$B$1)="","",IF(ISNUMBER(INDEX(貼り付け!$A$1:$BZ$3001,2921,$B$1)),INT(INDEX(貼り付け!$A$1:$BZ$3001,2921,$B$1)),DATE(VALUE(LEFT(I2922,FIND("-",I2922)-1)),VALUE(LEFT(J2922,FIND("-",J2922)-1)),VALUE(MID(J2922,FIND("-",J2922)+1,99)))))),"")</f>
        <v/>
      </c>
      <c r="C2922">
        <f>IF($C$1=0,0,IFERROR(VALUE(SUBSTITUTE(SUBSTITUTE(SUBSTITUTE(INDEX(貼り付け!$A$1:$BZ$3001,2921,$C$1)&amp;"",",",""),"¥",""),"￥","")),0))</f>
        <v/>
      </c>
      <c r="D2922">
        <f>IF($D$1=0,0,IFERROR(VALUE(SUBSTITUTE(SUBSTITUTE(SUBSTITUTE(INDEX(貼り付け!$A$1:$BZ$3001,2921,$D$1)&amp;"",",",""),"¥",""),"￥","")),0))</f>
        <v/>
      </c>
      <c r="E2922">
        <f>IF($E$1=0,0,IFERROR(VALUE(SUBSTITUTE(SUBSTITUTE(SUBSTITUTE(INDEX(貼り付け!$A$1:$BZ$3001,2921,$E$1)&amp;"",",",""),"¥",""),"￥","")),0))</f>
        <v/>
      </c>
      <c r="F2922">
        <f>IF($F$1=0,0,IFERROR(VALUE(SUBSTITUTE(SUBSTITUTE(SUBSTITUTE(INDEX(貼り付け!$A$1:$BZ$3001,2921,$F$1)&amp;"",",",""),"¥",""),"￥","")),0))</f>
        <v/>
      </c>
      <c r="G2922">
        <f>IF(ISNUMBER(B2922),YEAR(B2922),"")</f>
        <v/>
      </c>
      <c r="H2922">
        <f>IF(ISNUMBER(B2922),MONTH(B2922),"")</f>
        <v/>
      </c>
      <c r="I2922">
        <f>IFERROR(IF($B$1=0,"",IF(ISNUMBER(INDEX(貼り付け!$A$1:$BZ$3001,2921,$B$1)),"",SUBSTITUTE(SUBSTITUTE(SUBSTITUTE(SUBSTITUTE(TRIM(LEFT(INDEX(貼り付け!$A$1:$BZ$3001,2921,$B$1)&amp;"",FIND(" ",TRIM(INDEX(貼り付け!$A$1:$BZ$3001,2921,$B$1)&amp;"")&amp;" ")-1)),"/","-"),"年","-"),"月","-"),"日",""))),"")</f>
        <v/>
      </c>
      <c r="J2922">
        <f>IFERROR(MID(I2922,FIND("-",I2922)+1,99),"")</f>
        <v/>
      </c>
    </row>
    <row r="2923">
      <c r="B2923">
        <f>IFERROR(IF($B$1=0,"",IF(INDEX(貼り付け!$A$1:$BZ$3001,2922,$B$1)="","",IF(ISNUMBER(INDEX(貼り付け!$A$1:$BZ$3001,2922,$B$1)),INT(INDEX(貼り付け!$A$1:$BZ$3001,2922,$B$1)),DATE(VALUE(LEFT(I2923,FIND("-",I2923)-1)),VALUE(LEFT(J2923,FIND("-",J2923)-1)),VALUE(MID(J2923,FIND("-",J2923)+1,99)))))),"")</f>
        <v/>
      </c>
      <c r="C2923">
        <f>IF($C$1=0,0,IFERROR(VALUE(SUBSTITUTE(SUBSTITUTE(SUBSTITUTE(INDEX(貼り付け!$A$1:$BZ$3001,2922,$C$1)&amp;"",",",""),"¥",""),"￥","")),0))</f>
        <v/>
      </c>
      <c r="D2923">
        <f>IF($D$1=0,0,IFERROR(VALUE(SUBSTITUTE(SUBSTITUTE(SUBSTITUTE(INDEX(貼り付け!$A$1:$BZ$3001,2922,$D$1)&amp;"",",",""),"¥",""),"￥","")),0))</f>
        <v/>
      </c>
      <c r="E2923">
        <f>IF($E$1=0,0,IFERROR(VALUE(SUBSTITUTE(SUBSTITUTE(SUBSTITUTE(INDEX(貼り付け!$A$1:$BZ$3001,2922,$E$1)&amp;"",",",""),"¥",""),"￥","")),0))</f>
        <v/>
      </c>
      <c r="F2923">
        <f>IF($F$1=0,0,IFERROR(VALUE(SUBSTITUTE(SUBSTITUTE(SUBSTITUTE(INDEX(貼り付け!$A$1:$BZ$3001,2922,$F$1)&amp;"",",",""),"¥",""),"￥","")),0))</f>
        <v/>
      </c>
      <c r="G2923">
        <f>IF(ISNUMBER(B2923),YEAR(B2923),"")</f>
        <v/>
      </c>
      <c r="H2923">
        <f>IF(ISNUMBER(B2923),MONTH(B2923),"")</f>
        <v/>
      </c>
      <c r="I2923">
        <f>IFERROR(IF($B$1=0,"",IF(ISNUMBER(INDEX(貼り付け!$A$1:$BZ$3001,2922,$B$1)),"",SUBSTITUTE(SUBSTITUTE(SUBSTITUTE(SUBSTITUTE(TRIM(LEFT(INDEX(貼り付け!$A$1:$BZ$3001,2922,$B$1)&amp;"",FIND(" ",TRIM(INDEX(貼り付け!$A$1:$BZ$3001,2922,$B$1)&amp;"")&amp;" ")-1)),"/","-"),"年","-"),"月","-"),"日",""))),"")</f>
        <v/>
      </c>
      <c r="J2923">
        <f>IFERROR(MID(I2923,FIND("-",I2923)+1,99),"")</f>
        <v/>
      </c>
    </row>
    <row r="2924">
      <c r="B2924">
        <f>IFERROR(IF($B$1=0,"",IF(INDEX(貼り付け!$A$1:$BZ$3001,2923,$B$1)="","",IF(ISNUMBER(INDEX(貼り付け!$A$1:$BZ$3001,2923,$B$1)),INT(INDEX(貼り付け!$A$1:$BZ$3001,2923,$B$1)),DATE(VALUE(LEFT(I2924,FIND("-",I2924)-1)),VALUE(LEFT(J2924,FIND("-",J2924)-1)),VALUE(MID(J2924,FIND("-",J2924)+1,99)))))),"")</f>
        <v/>
      </c>
      <c r="C2924">
        <f>IF($C$1=0,0,IFERROR(VALUE(SUBSTITUTE(SUBSTITUTE(SUBSTITUTE(INDEX(貼り付け!$A$1:$BZ$3001,2923,$C$1)&amp;"",",",""),"¥",""),"￥","")),0))</f>
        <v/>
      </c>
      <c r="D2924">
        <f>IF($D$1=0,0,IFERROR(VALUE(SUBSTITUTE(SUBSTITUTE(SUBSTITUTE(INDEX(貼り付け!$A$1:$BZ$3001,2923,$D$1)&amp;"",",",""),"¥",""),"￥","")),0))</f>
        <v/>
      </c>
      <c r="E2924">
        <f>IF($E$1=0,0,IFERROR(VALUE(SUBSTITUTE(SUBSTITUTE(SUBSTITUTE(INDEX(貼り付け!$A$1:$BZ$3001,2923,$E$1)&amp;"",",",""),"¥",""),"￥","")),0))</f>
        <v/>
      </c>
      <c r="F2924">
        <f>IF($F$1=0,0,IFERROR(VALUE(SUBSTITUTE(SUBSTITUTE(SUBSTITUTE(INDEX(貼り付け!$A$1:$BZ$3001,2923,$F$1)&amp;"",",",""),"¥",""),"￥","")),0))</f>
        <v/>
      </c>
      <c r="G2924">
        <f>IF(ISNUMBER(B2924),YEAR(B2924),"")</f>
        <v/>
      </c>
      <c r="H2924">
        <f>IF(ISNUMBER(B2924),MONTH(B2924),"")</f>
        <v/>
      </c>
      <c r="I2924">
        <f>IFERROR(IF($B$1=0,"",IF(ISNUMBER(INDEX(貼り付け!$A$1:$BZ$3001,2923,$B$1)),"",SUBSTITUTE(SUBSTITUTE(SUBSTITUTE(SUBSTITUTE(TRIM(LEFT(INDEX(貼り付け!$A$1:$BZ$3001,2923,$B$1)&amp;"",FIND(" ",TRIM(INDEX(貼り付け!$A$1:$BZ$3001,2923,$B$1)&amp;"")&amp;" ")-1)),"/","-"),"年","-"),"月","-"),"日",""))),"")</f>
        <v/>
      </c>
      <c r="J2924">
        <f>IFERROR(MID(I2924,FIND("-",I2924)+1,99),"")</f>
        <v/>
      </c>
    </row>
    <row r="2925">
      <c r="B2925">
        <f>IFERROR(IF($B$1=0,"",IF(INDEX(貼り付け!$A$1:$BZ$3001,2924,$B$1)="","",IF(ISNUMBER(INDEX(貼り付け!$A$1:$BZ$3001,2924,$B$1)),INT(INDEX(貼り付け!$A$1:$BZ$3001,2924,$B$1)),DATE(VALUE(LEFT(I2925,FIND("-",I2925)-1)),VALUE(LEFT(J2925,FIND("-",J2925)-1)),VALUE(MID(J2925,FIND("-",J2925)+1,99)))))),"")</f>
        <v/>
      </c>
      <c r="C2925">
        <f>IF($C$1=0,0,IFERROR(VALUE(SUBSTITUTE(SUBSTITUTE(SUBSTITUTE(INDEX(貼り付け!$A$1:$BZ$3001,2924,$C$1)&amp;"",",",""),"¥",""),"￥","")),0))</f>
        <v/>
      </c>
      <c r="D2925">
        <f>IF($D$1=0,0,IFERROR(VALUE(SUBSTITUTE(SUBSTITUTE(SUBSTITUTE(INDEX(貼り付け!$A$1:$BZ$3001,2924,$D$1)&amp;"",",",""),"¥",""),"￥","")),0))</f>
        <v/>
      </c>
      <c r="E2925">
        <f>IF($E$1=0,0,IFERROR(VALUE(SUBSTITUTE(SUBSTITUTE(SUBSTITUTE(INDEX(貼り付け!$A$1:$BZ$3001,2924,$E$1)&amp;"",",",""),"¥",""),"￥","")),0))</f>
        <v/>
      </c>
      <c r="F2925">
        <f>IF($F$1=0,0,IFERROR(VALUE(SUBSTITUTE(SUBSTITUTE(SUBSTITUTE(INDEX(貼り付け!$A$1:$BZ$3001,2924,$F$1)&amp;"",",",""),"¥",""),"￥","")),0))</f>
        <v/>
      </c>
      <c r="G2925">
        <f>IF(ISNUMBER(B2925),YEAR(B2925),"")</f>
        <v/>
      </c>
      <c r="H2925">
        <f>IF(ISNUMBER(B2925),MONTH(B2925),"")</f>
        <v/>
      </c>
      <c r="I2925">
        <f>IFERROR(IF($B$1=0,"",IF(ISNUMBER(INDEX(貼り付け!$A$1:$BZ$3001,2924,$B$1)),"",SUBSTITUTE(SUBSTITUTE(SUBSTITUTE(SUBSTITUTE(TRIM(LEFT(INDEX(貼り付け!$A$1:$BZ$3001,2924,$B$1)&amp;"",FIND(" ",TRIM(INDEX(貼り付け!$A$1:$BZ$3001,2924,$B$1)&amp;"")&amp;" ")-1)),"/","-"),"年","-"),"月","-"),"日",""))),"")</f>
        <v/>
      </c>
      <c r="J2925">
        <f>IFERROR(MID(I2925,FIND("-",I2925)+1,99),"")</f>
        <v/>
      </c>
    </row>
    <row r="2926">
      <c r="B2926">
        <f>IFERROR(IF($B$1=0,"",IF(INDEX(貼り付け!$A$1:$BZ$3001,2925,$B$1)="","",IF(ISNUMBER(INDEX(貼り付け!$A$1:$BZ$3001,2925,$B$1)),INT(INDEX(貼り付け!$A$1:$BZ$3001,2925,$B$1)),DATE(VALUE(LEFT(I2926,FIND("-",I2926)-1)),VALUE(LEFT(J2926,FIND("-",J2926)-1)),VALUE(MID(J2926,FIND("-",J2926)+1,99)))))),"")</f>
        <v/>
      </c>
      <c r="C2926">
        <f>IF($C$1=0,0,IFERROR(VALUE(SUBSTITUTE(SUBSTITUTE(SUBSTITUTE(INDEX(貼り付け!$A$1:$BZ$3001,2925,$C$1)&amp;"",",",""),"¥",""),"￥","")),0))</f>
        <v/>
      </c>
      <c r="D2926">
        <f>IF($D$1=0,0,IFERROR(VALUE(SUBSTITUTE(SUBSTITUTE(SUBSTITUTE(INDEX(貼り付け!$A$1:$BZ$3001,2925,$D$1)&amp;"",",",""),"¥",""),"￥","")),0))</f>
        <v/>
      </c>
      <c r="E2926">
        <f>IF($E$1=0,0,IFERROR(VALUE(SUBSTITUTE(SUBSTITUTE(SUBSTITUTE(INDEX(貼り付け!$A$1:$BZ$3001,2925,$E$1)&amp;"",",",""),"¥",""),"￥","")),0))</f>
        <v/>
      </c>
      <c r="F2926">
        <f>IF($F$1=0,0,IFERROR(VALUE(SUBSTITUTE(SUBSTITUTE(SUBSTITUTE(INDEX(貼り付け!$A$1:$BZ$3001,2925,$F$1)&amp;"",",",""),"¥",""),"￥","")),0))</f>
        <v/>
      </c>
      <c r="G2926">
        <f>IF(ISNUMBER(B2926),YEAR(B2926),"")</f>
        <v/>
      </c>
      <c r="H2926">
        <f>IF(ISNUMBER(B2926),MONTH(B2926),"")</f>
        <v/>
      </c>
      <c r="I2926">
        <f>IFERROR(IF($B$1=0,"",IF(ISNUMBER(INDEX(貼り付け!$A$1:$BZ$3001,2925,$B$1)),"",SUBSTITUTE(SUBSTITUTE(SUBSTITUTE(SUBSTITUTE(TRIM(LEFT(INDEX(貼り付け!$A$1:$BZ$3001,2925,$B$1)&amp;"",FIND(" ",TRIM(INDEX(貼り付け!$A$1:$BZ$3001,2925,$B$1)&amp;"")&amp;" ")-1)),"/","-"),"年","-"),"月","-"),"日",""))),"")</f>
        <v/>
      </c>
      <c r="J2926">
        <f>IFERROR(MID(I2926,FIND("-",I2926)+1,99),"")</f>
        <v/>
      </c>
    </row>
    <row r="2927">
      <c r="B2927">
        <f>IFERROR(IF($B$1=0,"",IF(INDEX(貼り付け!$A$1:$BZ$3001,2926,$B$1)="","",IF(ISNUMBER(INDEX(貼り付け!$A$1:$BZ$3001,2926,$B$1)),INT(INDEX(貼り付け!$A$1:$BZ$3001,2926,$B$1)),DATE(VALUE(LEFT(I2927,FIND("-",I2927)-1)),VALUE(LEFT(J2927,FIND("-",J2927)-1)),VALUE(MID(J2927,FIND("-",J2927)+1,99)))))),"")</f>
        <v/>
      </c>
      <c r="C2927">
        <f>IF($C$1=0,0,IFERROR(VALUE(SUBSTITUTE(SUBSTITUTE(SUBSTITUTE(INDEX(貼り付け!$A$1:$BZ$3001,2926,$C$1)&amp;"",",",""),"¥",""),"￥","")),0))</f>
        <v/>
      </c>
      <c r="D2927">
        <f>IF($D$1=0,0,IFERROR(VALUE(SUBSTITUTE(SUBSTITUTE(SUBSTITUTE(INDEX(貼り付け!$A$1:$BZ$3001,2926,$D$1)&amp;"",",",""),"¥",""),"￥","")),0))</f>
        <v/>
      </c>
      <c r="E2927">
        <f>IF($E$1=0,0,IFERROR(VALUE(SUBSTITUTE(SUBSTITUTE(SUBSTITUTE(INDEX(貼り付け!$A$1:$BZ$3001,2926,$E$1)&amp;"",",",""),"¥",""),"￥","")),0))</f>
        <v/>
      </c>
      <c r="F2927">
        <f>IF($F$1=0,0,IFERROR(VALUE(SUBSTITUTE(SUBSTITUTE(SUBSTITUTE(INDEX(貼り付け!$A$1:$BZ$3001,2926,$F$1)&amp;"",",",""),"¥",""),"￥","")),0))</f>
        <v/>
      </c>
      <c r="G2927">
        <f>IF(ISNUMBER(B2927),YEAR(B2927),"")</f>
        <v/>
      </c>
      <c r="H2927">
        <f>IF(ISNUMBER(B2927),MONTH(B2927),"")</f>
        <v/>
      </c>
      <c r="I2927">
        <f>IFERROR(IF($B$1=0,"",IF(ISNUMBER(INDEX(貼り付け!$A$1:$BZ$3001,2926,$B$1)),"",SUBSTITUTE(SUBSTITUTE(SUBSTITUTE(SUBSTITUTE(TRIM(LEFT(INDEX(貼り付け!$A$1:$BZ$3001,2926,$B$1)&amp;"",FIND(" ",TRIM(INDEX(貼り付け!$A$1:$BZ$3001,2926,$B$1)&amp;"")&amp;" ")-1)),"/","-"),"年","-"),"月","-"),"日",""))),"")</f>
        <v/>
      </c>
      <c r="J2927">
        <f>IFERROR(MID(I2927,FIND("-",I2927)+1,99),"")</f>
        <v/>
      </c>
    </row>
    <row r="2928">
      <c r="B2928">
        <f>IFERROR(IF($B$1=0,"",IF(INDEX(貼り付け!$A$1:$BZ$3001,2927,$B$1)="","",IF(ISNUMBER(INDEX(貼り付け!$A$1:$BZ$3001,2927,$B$1)),INT(INDEX(貼り付け!$A$1:$BZ$3001,2927,$B$1)),DATE(VALUE(LEFT(I2928,FIND("-",I2928)-1)),VALUE(LEFT(J2928,FIND("-",J2928)-1)),VALUE(MID(J2928,FIND("-",J2928)+1,99)))))),"")</f>
        <v/>
      </c>
      <c r="C2928">
        <f>IF($C$1=0,0,IFERROR(VALUE(SUBSTITUTE(SUBSTITUTE(SUBSTITUTE(INDEX(貼り付け!$A$1:$BZ$3001,2927,$C$1)&amp;"",",",""),"¥",""),"￥","")),0))</f>
        <v/>
      </c>
      <c r="D2928">
        <f>IF($D$1=0,0,IFERROR(VALUE(SUBSTITUTE(SUBSTITUTE(SUBSTITUTE(INDEX(貼り付け!$A$1:$BZ$3001,2927,$D$1)&amp;"",",",""),"¥",""),"￥","")),0))</f>
        <v/>
      </c>
      <c r="E2928">
        <f>IF($E$1=0,0,IFERROR(VALUE(SUBSTITUTE(SUBSTITUTE(SUBSTITUTE(INDEX(貼り付け!$A$1:$BZ$3001,2927,$E$1)&amp;"",",",""),"¥",""),"￥","")),0))</f>
        <v/>
      </c>
      <c r="F2928">
        <f>IF($F$1=0,0,IFERROR(VALUE(SUBSTITUTE(SUBSTITUTE(SUBSTITUTE(INDEX(貼り付け!$A$1:$BZ$3001,2927,$F$1)&amp;"",",",""),"¥",""),"￥","")),0))</f>
        <v/>
      </c>
      <c r="G2928">
        <f>IF(ISNUMBER(B2928),YEAR(B2928),"")</f>
        <v/>
      </c>
      <c r="H2928">
        <f>IF(ISNUMBER(B2928),MONTH(B2928),"")</f>
        <v/>
      </c>
      <c r="I2928">
        <f>IFERROR(IF($B$1=0,"",IF(ISNUMBER(INDEX(貼り付け!$A$1:$BZ$3001,2927,$B$1)),"",SUBSTITUTE(SUBSTITUTE(SUBSTITUTE(SUBSTITUTE(TRIM(LEFT(INDEX(貼り付け!$A$1:$BZ$3001,2927,$B$1)&amp;"",FIND(" ",TRIM(INDEX(貼り付け!$A$1:$BZ$3001,2927,$B$1)&amp;"")&amp;" ")-1)),"/","-"),"年","-"),"月","-"),"日",""))),"")</f>
        <v/>
      </c>
      <c r="J2928">
        <f>IFERROR(MID(I2928,FIND("-",I2928)+1,99),"")</f>
        <v/>
      </c>
    </row>
    <row r="2929">
      <c r="B2929">
        <f>IFERROR(IF($B$1=0,"",IF(INDEX(貼り付け!$A$1:$BZ$3001,2928,$B$1)="","",IF(ISNUMBER(INDEX(貼り付け!$A$1:$BZ$3001,2928,$B$1)),INT(INDEX(貼り付け!$A$1:$BZ$3001,2928,$B$1)),DATE(VALUE(LEFT(I2929,FIND("-",I2929)-1)),VALUE(LEFT(J2929,FIND("-",J2929)-1)),VALUE(MID(J2929,FIND("-",J2929)+1,99)))))),"")</f>
        <v/>
      </c>
      <c r="C2929">
        <f>IF($C$1=0,0,IFERROR(VALUE(SUBSTITUTE(SUBSTITUTE(SUBSTITUTE(INDEX(貼り付け!$A$1:$BZ$3001,2928,$C$1)&amp;"",",",""),"¥",""),"￥","")),0))</f>
        <v/>
      </c>
      <c r="D2929">
        <f>IF($D$1=0,0,IFERROR(VALUE(SUBSTITUTE(SUBSTITUTE(SUBSTITUTE(INDEX(貼り付け!$A$1:$BZ$3001,2928,$D$1)&amp;"",",",""),"¥",""),"￥","")),0))</f>
        <v/>
      </c>
      <c r="E2929">
        <f>IF($E$1=0,0,IFERROR(VALUE(SUBSTITUTE(SUBSTITUTE(SUBSTITUTE(INDEX(貼り付け!$A$1:$BZ$3001,2928,$E$1)&amp;"",",",""),"¥",""),"￥","")),0))</f>
        <v/>
      </c>
      <c r="F2929">
        <f>IF($F$1=0,0,IFERROR(VALUE(SUBSTITUTE(SUBSTITUTE(SUBSTITUTE(INDEX(貼り付け!$A$1:$BZ$3001,2928,$F$1)&amp;"",",",""),"¥",""),"￥","")),0))</f>
        <v/>
      </c>
      <c r="G2929">
        <f>IF(ISNUMBER(B2929),YEAR(B2929),"")</f>
        <v/>
      </c>
      <c r="H2929">
        <f>IF(ISNUMBER(B2929),MONTH(B2929),"")</f>
        <v/>
      </c>
      <c r="I2929">
        <f>IFERROR(IF($B$1=0,"",IF(ISNUMBER(INDEX(貼り付け!$A$1:$BZ$3001,2928,$B$1)),"",SUBSTITUTE(SUBSTITUTE(SUBSTITUTE(SUBSTITUTE(TRIM(LEFT(INDEX(貼り付け!$A$1:$BZ$3001,2928,$B$1)&amp;"",FIND(" ",TRIM(INDEX(貼り付け!$A$1:$BZ$3001,2928,$B$1)&amp;"")&amp;" ")-1)),"/","-"),"年","-"),"月","-"),"日",""))),"")</f>
        <v/>
      </c>
      <c r="J2929">
        <f>IFERROR(MID(I2929,FIND("-",I2929)+1,99),"")</f>
        <v/>
      </c>
    </row>
    <row r="2930">
      <c r="B2930">
        <f>IFERROR(IF($B$1=0,"",IF(INDEX(貼り付け!$A$1:$BZ$3001,2929,$B$1)="","",IF(ISNUMBER(INDEX(貼り付け!$A$1:$BZ$3001,2929,$B$1)),INT(INDEX(貼り付け!$A$1:$BZ$3001,2929,$B$1)),DATE(VALUE(LEFT(I2930,FIND("-",I2930)-1)),VALUE(LEFT(J2930,FIND("-",J2930)-1)),VALUE(MID(J2930,FIND("-",J2930)+1,99)))))),"")</f>
        <v/>
      </c>
      <c r="C2930">
        <f>IF($C$1=0,0,IFERROR(VALUE(SUBSTITUTE(SUBSTITUTE(SUBSTITUTE(INDEX(貼り付け!$A$1:$BZ$3001,2929,$C$1)&amp;"",",",""),"¥",""),"￥","")),0))</f>
        <v/>
      </c>
      <c r="D2930">
        <f>IF($D$1=0,0,IFERROR(VALUE(SUBSTITUTE(SUBSTITUTE(SUBSTITUTE(INDEX(貼り付け!$A$1:$BZ$3001,2929,$D$1)&amp;"",",",""),"¥",""),"￥","")),0))</f>
        <v/>
      </c>
      <c r="E2930">
        <f>IF($E$1=0,0,IFERROR(VALUE(SUBSTITUTE(SUBSTITUTE(SUBSTITUTE(INDEX(貼り付け!$A$1:$BZ$3001,2929,$E$1)&amp;"",",",""),"¥",""),"￥","")),0))</f>
        <v/>
      </c>
      <c r="F2930">
        <f>IF($F$1=0,0,IFERROR(VALUE(SUBSTITUTE(SUBSTITUTE(SUBSTITUTE(INDEX(貼り付け!$A$1:$BZ$3001,2929,$F$1)&amp;"",",",""),"¥",""),"￥","")),0))</f>
        <v/>
      </c>
      <c r="G2930">
        <f>IF(ISNUMBER(B2930),YEAR(B2930),"")</f>
        <v/>
      </c>
      <c r="H2930">
        <f>IF(ISNUMBER(B2930),MONTH(B2930),"")</f>
        <v/>
      </c>
      <c r="I2930">
        <f>IFERROR(IF($B$1=0,"",IF(ISNUMBER(INDEX(貼り付け!$A$1:$BZ$3001,2929,$B$1)),"",SUBSTITUTE(SUBSTITUTE(SUBSTITUTE(SUBSTITUTE(TRIM(LEFT(INDEX(貼り付け!$A$1:$BZ$3001,2929,$B$1)&amp;"",FIND(" ",TRIM(INDEX(貼り付け!$A$1:$BZ$3001,2929,$B$1)&amp;"")&amp;" ")-1)),"/","-"),"年","-"),"月","-"),"日",""))),"")</f>
        <v/>
      </c>
      <c r="J2930">
        <f>IFERROR(MID(I2930,FIND("-",I2930)+1,99),"")</f>
        <v/>
      </c>
    </row>
    <row r="2931">
      <c r="B2931">
        <f>IFERROR(IF($B$1=0,"",IF(INDEX(貼り付け!$A$1:$BZ$3001,2930,$B$1)="","",IF(ISNUMBER(INDEX(貼り付け!$A$1:$BZ$3001,2930,$B$1)),INT(INDEX(貼り付け!$A$1:$BZ$3001,2930,$B$1)),DATE(VALUE(LEFT(I2931,FIND("-",I2931)-1)),VALUE(LEFT(J2931,FIND("-",J2931)-1)),VALUE(MID(J2931,FIND("-",J2931)+1,99)))))),"")</f>
        <v/>
      </c>
      <c r="C2931">
        <f>IF($C$1=0,0,IFERROR(VALUE(SUBSTITUTE(SUBSTITUTE(SUBSTITUTE(INDEX(貼り付け!$A$1:$BZ$3001,2930,$C$1)&amp;"",",",""),"¥",""),"￥","")),0))</f>
        <v/>
      </c>
      <c r="D2931">
        <f>IF($D$1=0,0,IFERROR(VALUE(SUBSTITUTE(SUBSTITUTE(SUBSTITUTE(INDEX(貼り付け!$A$1:$BZ$3001,2930,$D$1)&amp;"",",",""),"¥",""),"￥","")),0))</f>
        <v/>
      </c>
      <c r="E2931">
        <f>IF($E$1=0,0,IFERROR(VALUE(SUBSTITUTE(SUBSTITUTE(SUBSTITUTE(INDEX(貼り付け!$A$1:$BZ$3001,2930,$E$1)&amp;"",",",""),"¥",""),"￥","")),0))</f>
        <v/>
      </c>
      <c r="F2931">
        <f>IF($F$1=0,0,IFERROR(VALUE(SUBSTITUTE(SUBSTITUTE(SUBSTITUTE(INDEX(貼り付け!$A$1:$BZ$3001,2930,$F$1)&amp;"",",",""),"¥",""),"￥","")),0))</f>
        <v/>
      </c>
      <c r="G2931">
        <f>IF(ISNUMBER(B2931),YEAR(B2931),"")</f>
        <v/>
      </c>
      <c r="H2931">
        <f>IF(ISNUMBER(B2931),MONTH(B2931),"")</f>
        <v/>
      </c>
      <c r="I2931">
        <f>IFERROR(IF($B$1=0,"",IF(ISNUMBER(INDEX(貼り付け!$A$1:$BZ$3001,2930,$B$1)),"",SUBSTITUTE(SUBSTITUTE(SUBSTITUTE(SUBSTITUTE(TRIM(LEFT(INDEX(貼り付け!$A$1:$BZ$3001,2930,$B$1)&amp;"",FIND(" ",TRIM(INDEX(貼り付け!$A$1:$BZ$3001,2930,$B$1)&amp;"")&amp;" ")-1)),"/","-"),"年","-"),"月","-"),"日",""))),"")</f>
        <v/>
      </c>
      <c r="J2931">
        <f>IFERROR(MID(I2931,FIND("-",I2931)+1,99),"")</f>
        <v/>
      </c>
    </row>
    <row r="2932">
      <c r="B2932">
        <f>IFERROR(IF($B$1=0,"",IF(INDEX(貼り付け!$A$1:$BZ$3001,2931,$B$1)="","",IF(ISNUMBER(INDEX(貼り付け!$A$1:$BZ$3001,2931,$B$1)),INT(INDEX(貼り付け!$A$1:$BZ$3001,2931,$B$1)),DATE(VALUE(LEFT(I2932,FIND("-",I2932)-1)),VALUE(LEFT(J2932,FIND("-",J2932)-1)),VALUE(MID(J2932,FIND("-",J2932)+1,99)))))),"")</f>
        <v/>
      </c>
      <c r="C2932">
        <f>IF($C$1=0,0,IFERROR(VALUE(SUBSTITUTE(SUBSTITUTE(SUBSTITUTE(INDEX(貼り付け!$A$1:$BZ$3001,2931,$C$1)&amp;"",",",""),"¥",""),"￥","")),0))</f>
        <v/>
      </c>
      <c r="D2932">
        <f>IF($D$1=0,0,IFERROR(VALUE(SUBSTITUTE(SUBSTITUTE(SUBSTITUTE(INDEX(貼り付け!$A$1:$BZ$3001,2931,$D$1)&amp;"",",",""),"¥",""),"￥","")),0))</f>
        <v/>
      </c>
      <c r="E2932">
        <f>IF($E$1=0,0,IFERROR(VALUE(SUBSTITUTE(SUBSTITUTE(SUBSTITUTE(INDEX(貼り付け!$A$1:$BZ$3001,2931,$E$1)&amp;"",",",""),"¥",""),"￥","")),0))</f>
        <v/>
      </c>
      <c r="F2932">
        <f>IF($F$1=0,0,IFERROR(VALUE(SUBSTITUTE(SUBSTITUTE(SUBSTITUTE(INDEX(貼り付け!$A$1:$BZ$3001,2931,$F$1)&amp;"",",",""),"¥",""),"￥","")),0))</f>
        <v/>
      </c>
      <c r="G2932">
        <f>IF(ISNUMBER(B2932),YEAR(B2932),"")</f>
        <v/>
      </c>
      <c r="H2932">
        <f>IF(ISNUMBER(B2932),MONTH(B2932),"")</f>
        <v/>
      </c>
      <c r="I2932">
        <f>IFERROR(IF($B$1=0,"",IF(ISNUMBER(INDEX(貼り付け!$A$1:$BZ$3001,2931,$B$1)),"",SUBSTITUTE(SUBSTITUTE(SUBSTITUTE(SUBSTITUTE(TRIM(LEFT(INDEX(貼り付け!$A$1:$BZ$3001,2931,$B$1)&amp;"",FIND(" ",TRIM(INDEX(貼り付け!$A$1:$BZ$3001,2931,$B$1)&amp;"")&amp;" ")-1)),"/","-"),"年","-"),"月","-"),"日",""))),"")</f>
        <v/>
      </c>
      <c r="J2932">
        <f>IFERROR(MID(I2932,FIND("-",I2932)+1,99),"")</f>
        <v/>
      </c>
    </row>
    <row r="2933">
      <c r="B2933">
        <f>IFERROR(IF($B$1=0,"",IF(INDEX(貼り付け!$A$1:$BZ$3001,2932,$B$1)="","",IF(ISNUMBER(INDEX(貼り付け!$A$1:$BZ$3001,2932,$B$1)),INT(INDEX(貼り付け!$A$1:$BZ$3001,2932,$B$1)),DATE(VALUE(LEFT(I2933,FIND("-",I2933)-1)),VALUE(LEFT(J2933,FIND("-",J2933)-1)),VALUE(MID(J2933,FIND("-",J2933)+1,99)))))),"")</f>
        <v/>
      </c>
      <c r="C2933">
        <f>IF($C$1=0,0,IFERROR(VALUE(SUBSTITUTE(SUBSTITUTE(SUBSTITUTE(INDEX(貼り付け!$A$1:$BZ$3001,2932,$C$1)&amp;"",",",""),"¥",""),"￥","")),0))</f>
        <v/>
      </c>
      <c r="D2933">
        <f>IF($D$1=0,0,IFERROR(VALUE(SUBSTITUTE(SUBSTITUTE(SUBSTITUTE(INDEX(貼り付け!$A$1:$BZ$3001,2932,$D$1)&amp;"",",",""),"¥",""),"￥","")),0))</f>
        <v/>
      </c>
      <c r="E2933">
        <f>IF($E$1=0,0,IFERROR(VALUE(SUBSTITUTE(SUBSTITUTE(SUBSTITUTE(INDEX(貼り付け!$A$1:$BZ$3001,2932,$E$1)&amp;"",",",""),"¥",""),"￥","")),0))</f>
        <v/>
      </c>
      <c r="F2933">
        <f>IF($F$1=0,0,IFERROR(VALUE(SUBSTITUTE(SUBSTITUTE(SUBSTITUTE(INDEX(貼り付け!$A$1:$BZ$3001,2932,$F$1)&amp;"",",",""),"¥",""),"￥","")),0))</f>
        <v/>
      </c>
      <c r="G2933">
        <f>IF(ISNUMBER(B2933),YEAR(B2933),"")</f>
        <v/>
      </c>
      <c r="H2933">
        <f>IF(ISNUMBER(B2933),MONTH(B2933),"")</f>
        <v/>
      </c>
      <c r="I2933">
        <f>IFERROR(IF($B$1=0,"",IF(ISNUMBER(INDEX(貼り付け!$A$1:$BZ$3001,2932,$B$1)),"",SUBSTITUTE(SUBSTITUTE(SUBSTITUTE(SUBSTITUTE(TRIM(LEFT(INDEX(貼り付け!$A$1:$BZ$3001,2932,$B$1)&amp;"",FIND(" ",TRIM(INDEX(貼り付け!$A$1:$BZ$3001,2932,$B$1)&amp;"")&amp;" ")-1)),"/","-"),"年","-"),"月","-"),"日",""))),"")</f>
        <v/>
      </c>
      <c r="J2933">
        <f>IFERROR(MID(I2933,FIND("-",I2933)+1,99),"")</f>
        <v/>
      </c>
    </row>
    <row r="2934">
      <c r="B2934">
        <f>IFERROR(IF($B$1=0,"",IF(INDEX(貼り付け!$A$1:$BZ$3001,2933,$B$1)="","",IF(ISNUMBER(INDEX(貼り付け!$A$1:$BZ$3001,2933,$B$1)),INT(INDEX(貼り付け!$A$1:$BZ$3001,2933,$B$1)),DATE(VALUE(LEFT(I2934,FIND("-",I2934)-1)),VALUE(LEFT(J2934,FIND("-",J2934)-1)),VALUE(MID(J2934,FIND("-",J2934)+1,99)))))),"")</f>
        <v/>
      </c>
      <c r="C2934">
        <f>IF($C$1=0,0,IFERROR(VALUE(SUBSTITUTE(SUBSTITUTE(SUBSTITUTE(INDEX(貼り付け!$A$1:$BZ$3001,2933,$C$1)&amp;"",",",""),"¥",""),"￥","")),0))</f>
        <v/>
      </c>
      <c r="D2934">
        <f>IF($D$1=0,0,IFERROR(VALUE(SUBSTITUTE(SUBSTITUTE(SUBSTITUTE(INDEX(貼り付け!$A$1:$BZ$3001,2933,$D$1)&amp;"",",",""),"¥",""),"￥","")),0))</f>
        <v/>
      </c>
      <c r="E2934">
        <f>IF($E$1=0,0,IFERROR(VALUE(SUBSTITUTE(SUBSTITUTE(SUBSTITUTE(INDEX(貼り付け!$A$1:$BZ$3001,2933,$E$1)&amp;"",",",""),"¥",""),"￥","")),0))</f>
        <v/>
      </c>
      <c r="F2934">
        <f>IF($F$1=0,0,IFERROR(VALUE(SUBSTITUTE(SUBSTITUTE(SUBSTITUTE(INDEX(貼り付け!$A$1:$BZ$3001,2933,$F$1)&amp;"",",",""),"¥",""),"￥","")),0))</f>
        <v/>
      </c>
      <c r="G2934">
        <f>IF(ISNUMBER(B2934),YEAR(B2934),"")</f>
        <v/>
      </c>
      <c r="H2934">
        <f>IF(ISNUMBER(B2934),MONTH(B2934),"")</f>
        <v/>
      </c>
      <c r="I2934">
        <f>IFERROR(IF($B$1=0,"",IF(ISNUMBER(INDEX(貼り付け!$A$1:$BZ$3001,2933,$B$1)),"",SUBSTITUTE(SUBSTITUTE(SUBSTITUTE(SUBSTITUTE(TRIM(LEFT(INDEX(貼り付け!$A$1:$BZ$3001,2933,$B$1)&amp;"",FIND(" ",TRIM(INDEX(貼り付け!$A$1:$BZ$3001,2933,$B$1)&amp;"")&amp;" ")-1)),"/","-"),"年","-"),"月","-"),"日",""))),"")</f>
        <v/>
      </c>
      <c r="J2934">
        <f>IFERROR(MID(I2934,FIND("-",I2934)+1,99),"")</f>
        <v/>
      </c>
    </row>
    <row r="2935">
      <c r="B2935">
        <f>IFERROR(IF($B$1=0,"",IF(INDEX(貼り付け!$A$1:$BZ$3001,2934,$B$1)="","",IF(ISNUMBER(INDEX(貼り付け!$A$1:$BZ$3001,2934,$B$1)),INT(INDEX(貼り付け!$A$1:$BZ$3001,2934,$B$1)),DATE(VALUE(LEFT(I2935,FIND("-",I2935)-1)),VALUE(LEFT(J2935,FIND("-",J2935)-1)),VALUE(MID(J2935,FIND("-",J2935)+1,99)))))),"")</f>
        <v/>
      </c>
      <c r="C2935">
        <f>IF($C$1=0,0,IFERROR(VALUE(SUBSTITUTE(SUBSTITUTE(SUBSTITUTE(INDEX(貼り付け!$A$1:$BZ$3001,2934,$C$1)&amp;"",",",""),"¥",""),"￥","")),0))</f>
        <v/>
      </c>
      <c r="D2935">
        <f>IF($D$1=0,0,IFERROR(VALUE(SUBSTITUTE(SUBSTITUTE(SUBSTITUTE(INDEX(貼り付け!$A$1:$BZ$3001,2934,$D$1)&amp;"",",",""),"¥",""),"￥","")),0))</f>
        <v/>
      </c>
      <c r="E2935">
        <f>IF($E$1=0,0,IFERROR(VALUE(SUBSTITUTE(SUBSTITUTE(SUBSTITUTE(INDEX(貼り付け!$A$1:$BZ$3001,2934,$E$1)&amp;"",",",""),"¥",""),"￥","")),0))</f>
        <v/>
      </c>
      <c r="F2935">
        <f>IF($F$1=0,0,IFERROR(VALUE(SUBSTITUTE(SUBSTITUTE(SUBSTITUTE(INDEX(貼り付け!$A$1:$BZ$3001,2934,$F$1)&amp;"",",",""),"¥",""),"￥","")),0))</f>
        <v/>
      </c>
      <c r="G2935">
        <f>IF(ISNUMBER(B2935),YEAR(B2935),"")</f>
        <v/>
      </c>
      <c r="H2935">
        <f>IF(ISNUMBER(B2935),MONTH(B2935),"")</f>
        <v/>
      </c>
      <c r="I2935">
        <f>IFERROR(IF($B$1=0,"",IF(ISNUMBER(INDEX(貼り付け!$A$1:$BZ$3001,2934,$B$1)),"",SUBSTITUTE(SUBSTITUTE(SUBSTITUTE(SUBSTITUTE(TRIM(LEFT(INDEX(貼り付け!$A$1:$BZ$3001,2934,$B$1)&amp;"",FIND(" ",TRIM(INDEX(貼り付け!$A$1:$BZ$3001,2934,$B$1)&amp;"")&amp;" ")-1)),"/","-"),"年","-"),"月","-"),"日",""))),"")</f>
        <v/>
      </c>
      <c r="J2935">
        <f>IFERROR(MID(I2935,FIND("-",I2935)+1,99),"")</f>
        <v/>
      </c>
    </row>
    <row r="2936">
      <c r="B2936">
        <f>IFERROR(IF($B$1=0,"",IF(INDEX(貼り付け!$A$1:$BZ$3001,2935,$B$1)="","",IF(ISNUMBER(INDEX(貼り付け!$A$1:$BZ$3001,2935,$B$1)),INT(INDEX(貼り付け!$A$1:$BZ$3001,2935,$B$1)),DATE(VALUE(LEFT(I2936,FIND("-",I2936)-1)),VALUE(LEFT(J2936,FIND("-",J2936)-1)),VALUE(MID(J2936,FIND("-",J2936)+1,99)))))),"")</f>
        <v/>
      </c>
      <c r="C2936">
        <f>IF($C$1=0,0,IFERROR(VALUE(SUBSTITUTE(SUBSTITUTE(SUBSTITUTE(INDEX(貼り付け!$A$1:$BZ$3001,2935,$C$1)&amp;"",",",""),"¥",""),"￥","")),0))</f>
        <v/>
      </c>
      <c r="D2936">
        <f>IF($D$1=0,0,IFERROR(VALUE(SUBSTITUTE(SUBSTITUTE(SUBSTITUTE(INDEX(貼り付け!$A$1:$BZ$3001,2935,$D$1)&amp;"",",",""),"¥",""),"￥","")),0))</f>
        <v/>
      </c>
      <c r="E2936">
        <f>IF($E$1=0,0,IFERROR(VALUE(SUBSTITUTE(SUBSTITUTE(SUBSTITUTE(INDEX(貼り付け!$A$1:$BZ$3001,2935,$E$1)&amp;"",",",""),"¥",""),"￥","")),0))</f>
        <v/>
      </c>
      <c r="F2936">
        <f>IF($F$1=0,0,IFERROR(VALUE(SUBSTITUTE(SUBSTITUTE(SUBSTITUTE(INDEX(貼り付け!$A$1:$BZ$3001,2935,$F$1)&amp;"",",",""),"¥",""),"￥","")),0))</f>
        <v/>
      </c>
      <c r="G2936">
        <f>IF(ISNUMBER(B2936),YEAR(B2936),"")</f>
        <v/>
      </c>
      <c r="H2936">
        <f>IF(ISNUMBER(B2936),MONTH(B2936),"")</f>
        <v/>
      </c>
      <c r="I2936">
        <f>IFERROR(IF($B$1=0,"",IF(ISNUMBER(INDEX(貼り付け!$A$1:$BZ$3001,2935,$B$1)),"",SUBSTITUTE(SUBSTITUTE(SUBSTITUTE(SUBSTITUTE(TRIM(LEFT(INDEX(貼り付け!$A$1:$BZ$3001,2935,$B$1)&amp;"",FIND(" ",TRIM(INDEX(貼り付け!$A$1:$BZ$3001,2935,$B$1)&amp;"")&amp;" ")-1)),"/","-"),"年","-"),"月","-"),"日",""))),"")</f>
        <v/>
      </c>
      <c r="J2936">
        <f>IFERROR(MID(I2936,FIND("-",I2936)+1,99),"")</f>
        <v/>
      </c>
    </row>
    <row r="2937">
      <c r="B2937">
        <f>IFERROR(IF($B$1=0,"",IF(INDEX(貼り付け!$A$1:$BZ$3001,2936,$B$1)="","",IF(ISNUMBER(INDEX(貼り付け!$A$1:$BZ$3001,2936,$B$1)),INT(INDEX(貼り付け!$A$1:$BZ$3001,2936,$B$1)),DATE(VALUE(LEFT(I2937,FIND("-",I2937)-1)),VALUE(LEFT(J2937,FIND("-",J2937)-1)),VALUE(MID(J2937,FIND("-",J2937)+1,99)))))),"")</f>
        <v/>
      </c>
      <c r="C2937">
        <f>IF($C$1=0,0,IFERROR(VALUE(SUBSTITUTE(SUBSTITUTE(SUBSTITUTE(INDEX(貼り付け!$A$1:$BZ$3001,2936,$C$1)&amp;"",",",""),"¥",""),"￥","")),0))</f>
        <v/>
      </c>
      <c r="D2937">
        <f>IF($D$1=0,0,IFERROR(VALUE(SUBSTITUTE(SUBSTITUTE(SUBSTITUTE(INDEX(貼り付け!$A$1:$BZ$3001,2936,$D$1)&amp;"",",",""),"¥",""),"￥","")),0))</f>
        <v/>
      </c>
      <c r="E2937">
        <f>IF($E$1=0,0,IFERROR(VALUE(SUBSTITUTE(SUBSTITUTE(SUBSTITUTE(INDEX(貼り付け!$A$1:$BZ$3001,2936,$E$1)&amp;"",",",""),"¥",""),"￥","")),0))</f>
        <v/>
      </c>
      <c r="F2937">
        <f>IF($F$1=0,0,IFERROR(VALUE(SUBSTITUTE(SUBSTITUTE(SUBSTITUTE(INDEX(貼り付け!$A$1:$BZ$3001,2936,$F$1)&amp;"",",",""),"¥",""),"￥","")),0))</f>
        <v/>
      </c>
      <c r="G2937">
        <f>IF(ISNUMBER(B2937),YEAR(B2937),"")</f>
        <v/>
      </c>
      <c r="H2937">
        <f>IF(ISNUMBER(B2937),MONTH(B2937),"")</f>
        <v/>
      </c>
      <c r="I2937">
        <f>IFERROR(IF($B$1=0,"",IF(ISNUMBER(INDEX(貼り付け!$A$1:$BZ$3001,2936,$B$1)),"",SUBSTITUTE(SUBSTITUTE(SUBSTITUTE(SUBSTITUTE(TRIM(LEFT(INDEX(貼り付け!$A$1:$BZ$3001,2936,$B$1)&amp;"",FIND(" ",TRIM(INDEX(貼り付け!$A$1:$BZ$3001,2936,$B$1)&amp;"")&amp;" ")-1)),"/","-"),"年","-"),"月","-"),"日",""))),"")</f>
        <v/>
      </c>
      <c r="J2937">
        <f>IFERROR(MID(I2937,FIND("-",I2937)+1,99),"")</f>
        <v/>
      </c>
    </row>
    <row r="2938">
      <c r="B2938">
        <f>IFERROR(IF($B$1=0,"",IF(INDEX(貼り付け!$A$1:$BZ$3001,2937,$B$1)="","",IF(ISNUMBER(INDEX(貼り付け!$A$1:$BZ$3001,2937,$B$1)),INT(INDEX(貼り付け!$A$1:$BZ$3001,2937,$B$1)),DATE(VALUE(LEFT(I2938,FIND("-",I2938)-1)),VALUE(LEFT(J2938,FIND("-",J2938)-1)),VALUE(MID(J2938,FIND("-",J2938)+1,99)))))),"")</f>
        <v/>
      </c>
      <c r="C2938">
        <f>IF($C$1=0,0,IFERROR(VALUE(SUBSTITUTE(SUBSTITUTE(SUBSTITUTE(INDEX(貼り付け!$A$1:$BZ$3001,2937,$C$1)&amp;"",",",""),"¥",""),"￥","")),0))</f>
        <v/>
      </c>
      <c r="D2938">
        <f>IF($D$1=0,0,IFERROR(VALUE(SUBSTITUTE(SUBSTITUTE(SUBSTITUTE(INDEX(貼り付け!$A$1:$BZ$3001,2937,$D$1)&amp;"",",",""),"¥",""),"￥","")),0))</f>
        <v/>
      </c>
      <c r="E2938">
        <f>IF($E$1=0,0,IFERROR(VALUE(SUBSTITUTE(SUBSTITUTE(SUBSTITUTE(INDEX(貼り付け!$A$1:$BZ$3001,2937,$E$1)&amp;"",",",""),"¥",""),"￥","")),0))</f>
        <v/>
      </c>
      <c r="F2938">
        <f>IF($F$1=0,0,IFERROR(VALUE(SUBSTITUTE(SUBSTITUTE(SUBSTITUTE(INDEX(貼り付け!$A$1:$BZ$3001,2937,$F$1)&amp;"",",",""),"¥",""),"￥","")),0))</f>
        <v/>
      </c>
      <c r="G2938">
        <f>IF(ISNUMBER(B2938),YEAR(B2938),"")</f>
        <v/>
      </c>
      <c r="H2938">
        <f>IF(ISNUMBER(B2938),MONTH(B2938),"")</f>
        <v/>
      </c>
      <c r="I2938">
        <f>IFERROR(IF($B$1=0,"",IF(ISNUMBER(INDEX(貼り付け!$A$1:$BZ$3001,2937,$B$1)),"",SUBSTITUTE(SUBSTITUTE(SUBSTITUTE(SUBSTITUTE(TRIM(LEFT(INDEX(貼り付け!$A$1:$BZ$3001,2937,$B$1)&amp;"",FIND(" ",TRIM(INDEX(貼り付け!$A$1:$BZ$3001,2937,$B$1)&amp;"")&amp;" ")-1)),"/","-"),"年","-"),"月","-"),"日",""))),"")</f>
        <v/>
      </c>
      <c r="J2938">
        <f>IFERROR(MID(I2938,FIND("-",I2938)+1,99),"")</f>
        <v/>
      </c>
    </row>
    <row r="2939">
      <c r="B2939">
        <f>IFERROR(IF($B$1=0,"",IF(INDEX(貼り付け!$A$1:$BZ$3001,2938,$B$1)="","",IF(ISNUMBER(INDEX(貼り付け!$A$1:$BZ$3001,2938,$B$1)),INT(INDEX(貼り付け!$A$1:$BZ$3001,2938,$B$1)),DATE(VALUE(LEFT(I2939,FIND("-",I2939)-1)),VALUE(LEFT(J2939,FIND("-",J2939)-1)),VALUE(MID(J2939,FIND("-",J2939)+1,99)))))),"")</f>
        <v/>
      </c>
      <c r="C2939">
        <f>IF($C$1=0,0,IFERROR(VALUE(SUBSTITUTE(SUBSTITUTE(SUBSTITUTE(INDEX(貼り付け!$A$1:$BZ$3001,2938,$C$1)&amp;"",",",""),"¥",""),"￥","")),0))</f>
        <v/>
      </c>
      <c r="D2939">
        <f>IF($D$1=0,0,IFERROR(VALUE(SUBSTITUTE(SUBSTITUTE(SUBSTITUTE(INDEX(貼り付け!$A$1:$BZ$3001,2938,$D$1)&amp;"",",",""),"¥",""),"￥","")),0))</f>
        <v/>
      </c>
      <c r="E2939">
        <f>IF($E$1=0,0,IFERROR(VALUE(SUBSTITUTE(SUBSTITUTE(SUBSTITUTE(INDEX(貼り付け!$A$1:$BZ$3001,2938,$E$1)&amp;"",",",""),"¥",""),"￥","")),0))</f>
        <v/>
      </c>
      <c r="F2939">
        <f>IF($F$1=0,0,IFERROR(VALUE(SUBSTITUTE(SUBSTITUTE(SUBSTITUTE(INDEX(貼り付け!$A$1:$BZ$3001,2938,$F$1)&amp;"",",",""),"¥",""),"￥","")),0))</f>
        <v/>
      </c>
      <c r="G2939">
        <f>IF(ISNUMBER(B2939),YEAR(B2939),"")</f>
        <v/>
      </c>
      <c r="H2939">
        <f>IF(ISNUMBER(B2939),MONTH(B2939),"")</f>
        <v/>
      </c>
      <c r="I2939">
        <f>IFERROR(IF($B$1=0,"",IF(ISNUMBER(INDEX(貼り付け!$A$1:$BZ$3001,2938,$B$1)),"",SUBSTITUTE(SUBSTITUTE(SUBSTITUTE(SUBSTITUTE(TRIM(LEFT(INDEX(貼り付け!$A$1:$BZ$3001,2938,$B$1)&amp;"",FIND(" ",TRIM(INDEX(貼り付け!$A$1:$BZ$3001,2938,$B$1)&amp;"")&amp;" ")-1)),"/","-"),"年","-"),"月","-"),"日",""))),"")</f>
        <v/>
      </c>
      <c r="J2939">
        <f>IFERROR(MID(I2939,FIND("-",I2939)+1,99),"")</f>
        <v/>
      </c>
    </row>
    <row r="2940">
      <c r="B2940">
        <f>IFERROR(IF($B$1=0,"",IF(INDEX(貼り付け!$A$1:$BZ$3001,2939,$B$1)="","",IF(ISNUMBER(INDEX(貼り付け!$A$1:$BZ$3001,2939,$B$1)),INT(INDEX(貼り付け!$A$1:$BZ$3001,2939,$B$1)),DATE(VALUE(LEFT(I2940,FIND("-",I2940)-1)),VALUE(LEFT(J2940,FIND("-",J2940)-1)),VALUE(MID(J2940,FIND("-",J2940)+1,99)))))),"")</f>
        <v/>
      </c>
      <c r="C2940">
        <f>IF($C$1=0,0,IFERROR(VALUE(SUBSTITUTE(SUBSTITUTE(SUBSTITUTE(INDEX(貼り付け!$A$1:$BZ$3001,2939,$C$1)&amp;"",",",""),"¥",""),"￥","")),0))</f>
        <v/>
      </c>
      <c r="D2940">
        <f>IF($D$1=0,0,IFERROR(VALUE(SUBSTITUTE(SUBSTITUTE(SUBSTITUTE(INDEX(貼り付け!$A$1:$BZ$3001,2939,$D$1)&amp;"",",",""),"¥",""),"￥","")),0))</f>
        <v/>
      </c>
      <c r="E2940">
        <f>IF($E$1=0,0,IFERROR(VALUE(SUBSTITUTE(SUBSTITUTE(SUBSTITUTE(INDEX(貼り付け!$A$1:$BZ$3001,2939,$E$1)&amp;"",",",""),"¥",""),"￥","")),0))</f>
        <v/>
      </c>
      <c r="F2940">
        <f>IF($F$1=0,0,IFERROR(VALUE(SUBSTITUTE(SUBSTITUTE(SUBSTITUTE(INDEX(貼り付け!$A$1:$BZ$3001,2939,$F$1)&amp;"",",",""),"¥",""),"￥","")),0))</f>
        <v/>
      </c>
      <c r="G2940">
        <f>IF(ISNUMBER(B2940),YEAR(B2940),"")</f>
        <v/>
      </c>
      <c r="H2940">
        <f>IF(ISNUMBER(B2940),MONTH(B2940),"")</f>
        <v/>
      </c>
      <c r="I2940">
        <f>IFERROR(IF($B$1=0,"",IF(ISNUMBER(INDEX(貼り付け!$A$1:$BZ$3001,2939,$B$1)),"",SUBSTITUTE(SUBSTITUTE(SUBSTITUTE(SUBSTITUTE(TRIM(LEFT(INDEX(貼り付け!$A$1:$BZ$3001,2939,$B$1)&amp;"",FIND(" ",TRIM(INDEX(貼り付け!$A$1:$BZ$3001,2939,$B$1)&amp;"")&amp;" ")-1)),"/","-"),"年","-"),"月","-"),"日",""))),"")</f>
        <v/>
      </c>
      <c r="J2940">
        <f>IFERROR(MID(I2940,FIND("-",I2940)+1,99),"")</f>
        <v/>
      </c>
    </row>
    <row r="2941">
      <c r="B2941">
        <f>IFERROR(IF($B$1=0,"",IF(INDEX(貼り付け!$A$1:$BZ$3001,2940,$B$1)="","",IF(ISNUMBER(INDEX(貼り付け!$A$1:$BZ$3001,2940,$B$1)),INT(INDEX(貼り付け!$A$1:$BZ$3001,2940,$B$1)),DATE(VALUE(LEFT(I2941,FIND("-",I2941)-1)),VALUE(LEFT(J2941,FIND("-",J2941)-1)),VALUE(MID(J2941,FIND("-",J2941)+1,99)))))),"")</f>
        <v/>
      </c>
      <c r="C2941">
        <f>IF($C$1=0,0,IFERROR(VALUE(SUBSTITUTE(SUBSTITUTE(SUBSTITUTE(INDEX(貼り付け!$A$1:$BZ$3001,2940,$C$1)&amp;"",",",""),"¥",""),"￥","")),0))</f>
        <v/>
      </c>
      <c r="D2941">
        <f>IF($D$1=0,0,IFERROR(VALUE(SUBSTITUTE(SUBSTITUTE(SUBSTITUTE(INDEX(貼り付け!$A$1:$BZ$3001,2940,$D$1)&amp;"",",",""),"¥",""),"￥","")),0))</f>
        <v/>
      </c>
      <c r="E2941">
        <f>IF($E$1=0,0,IFERROR(VALUE(SUBSTITUTE(SUBSTITUTE(SUBSTITUTE(INDEX(貼り付け!$A$1:$BZ$3001,2940,$E$1)&amp;"",",",""),"¥",""),"￥","")),0))</f>
        <v/>
      </c>
      <c r="F2941">
        <f>IF($F$1=0,0,IFERROR(VALUE(SUBSTITUTE(SUBSTITUTE(SUBSTITUTE(INDEX(貼り付け!$A$1:$BZ$3001,2940,$F$1)&amp;"",",",""),"¥",""),"￥","")),0))</f>
        <v/>
      </c>
      <c r="G2941">
        <f>IF(ISNUMBER(B2941),YEAR(B2941),"")</f>
        <v/>
      </c>
      <c r="H2941">
        <f>IF(ISNUMBER(B2941),MONTH(B2941),"")</f>
        <v/>
      </c>
      <c r="I2941">
        <f>IFERROR(IF($B$1=0,"",IF(ISNUMBER(INDEX(貼り付け!$A$1:$BZ$3001,2940,$B$1)),"",SUBSTITUTE(SUBSTITUTE(SUBSTITUTE(SUBSTITUTE(TRIM(LEFT(INDEX(貼り付け!$A$1:$BZ$3001,2940,$B$1)&amp;"",FIND(" ",TRIM(INDEX(貼り付け!$A$1:$BZ$3001,2940,$B$1)&amp;"")&amp;" ")-1)),"/","-"),"年","-"),"月","-"),"日",""))),"")</f>
        <v/>
      </c>
      <c r="J2941">
        <f>IFERROR(MID(I2941,FIND("-",I2941)+1,99),"")</f>
        <v/>
      </c>
    </row>
    <row r="2942">
      <c r="B2942">
        <f>IFERROR(IF($B$1=0,"",IF(INDEX(貼り付け!$A$1:$BZ$3001,2941,$B$1)="","",IF(ISNUMBER(INDEX(貼り付け!$A$1:$BZ$3001,2941,$B$1)),INT(INDEX(貼り付け!$A$1:$BZ$3001,2941,$B$1)),DATE(VALUE(LEFT(I2942,FIND("-",I2942)-1)),VALUE(LEFT(J2942,FIND("-",J2942)-1)),VALUE(MID(J2942,FIND("-",J2942)+1,99)))))),"")</f>
        <v/>
      </c>
      <c r="C2942">
        <f>IF($C$1=0,0,IFERROR(VALUE(SUBSTITUTE(SUBSTITUTE(SUBSTITUTE(INDEX(貼り付け!$A$1:$BZ$3001,2941,$C$1)&amp;"",",",""),"¥",""),"￥","")),0))</f>
        <v/>
      </c>
      <c r="D2942">
        <f>IF($D$1=0,0,IFERROR(VALUE(SUBSTITUTE(SUBSTITUTE(SUBSTITUTE(INDEX(貼り付け!$A$1:$BZ$3001,2941,$D$1)&amp;"",",",""),"¥",""),"￥","")),0))</f>
        <v/>
      </c>
      <c r="E2942">
        <f>IF($E$1=0,0,IFERROR(VALUE(SUBSTITUTE(SUBSTITUTE(SUBSTITUTE(INDEX(貼り付け!$A$1:$BZ$3001,2941,$E$1)&amp;"",",",""),"¥",""),"￥","")),0))</f>
        <v/>
      </c>
      <c r="F2942">
        <f>IF($F$1=0,0,IFERROR(VALUE(SUBSTITUTE(SUBSTITUTE(SUBSTITUTE(INDEX(貼り付け!$A$1:$BZ$3001,2941,$F$1)&amp;"",",",""),"¥",""),"￥","")),0))</f>
        <v/>
      </c>
      <c r="G2942">
        <f>IF(ISNUMBER(B2942),YEAR(B2942),"")</f>
        <v/>
      </c>
      <c r="H2942">
        <f>IF(ISNUMBER(B2942),MONTH(B2942),"")</f>
        <v/>
      </c>
      <c r="I2942">
        <f>IFERROR(IF($B$1=0,"",IF(ISNUMBER(INDEX(貼り付け!$A$1:$BZ$3001,2941,$B$1)),"",SUBSTITUTE(SUBSTITUTE(SUBSTITUTE(SUBSTITUTE(TRIM(LEFT(INDEX(貼り付け!$A$1:$BZ$3001,2941,$B$1)&amp;"",FIND(" ",TRIM(INDEX(貼り付け!$A$1:$BZ$3001,2941,$B$1)&amp;"")&amp;" ")-1)),"/","-"),"年","-"),"月","-"),"日",""))),"")</f>
        <v/>
      </c>
      <c r="J2942">
        <f>IFERROR(MID(I2942,FIND("-",I2942)+1,99),"")</f>
        <v/>
      </c>
    </row>
    <row r="2943">
      <c r="B2943">
        <f>IFERROR(IF($B$1=0,"",IF(INDEX(貼り付け!$A$1:$BZ$3001,2942,$B$1)="","",IF(ISNUMBER(INDEX(貼り付け!$A$1:$BZ$3001,2942,$B$1)),INT(INDEX(貼り付け!$A$1:$BZ$3001,2942,$B$1)),DATE(VALUE(LEFT(I2943,FIND("-",I2943)-1)),VALUE(LEFT(J2943,FIND("-",J2943)-1)),VALUE(MID(J2943,FIND("-",J2943)+1,99)))))),"")</f>
        <v/>
      </c>
      <c r="C2943">
        <f>IF($C$1=0,0,IFERROR(VALUE(SUBSTITUTE(SUBSTITUTE(SUBSTITUTE(INDEX(貼り付け!$A$1:$BZ$3001,2942,$C$1)&amp;"",",",""),"¥",""),"￥","")),0))</f>
        <v/>
      </c>
      <c r="D2943">
        <f>IF($D$1=0,0,IFERROR(VALUE(SUBSTITUTE(SUBSTITUTE(SUBSTITUTE(INDEX(貼り付け!$A$1:$BZ$3001,2942,$D$1)&amp;"",",",""),"¥",""),"￥","")),0))</f>
        <v/>
      </c>
      <c r="E2943">
        <f>IF($E$1=0,0,IFERROR(VALUE(SUBSTITUTE(SUBSTITUTE(SUBSTITUTE(INDEX(貼り付け!$A$1:$BZ$3001,2942,$E$1)&amp;"",",",""),"¥",""),"￥","")),0))</f>
        <v/>
      </c>
      <c r="F2943">
        <f>IF($F$1=0,0,IFERROR(VALUE(SUBSTITUTE(SUBSTITUTE(SUBSTITUTE(INDEX(貼り付け!$A$1:$BZ$3001,2942,$F$1)&amp;"",",",""),"¥",""),"￥","")),0))</f>
        <v/>
      </c>
      <c r="G2943">
        <f>IF(ISNUMBER(B2943),YEAR(B2943),"")</f>
        <v/>
      </c>
      <c r="H2943">
        <f>IF(ISNUMBER(B2943),MONTH(B2943),"")</f>
        <v/>
      </c>
      <c r="I2943">
        <f>IFERROR(IF($B$1=0,"",IF(ISNUMBER(INDEX(貼り付け!$A$1:$BZ$3001,2942,$B$1)),"",SUBSTITUTE(SUBSTITUTE(SUBSTITUTE(SUBSTITUTE(TRIM(LEFT(INDEX(貼り付け!$A$1:$BZ$3001,2942,$B$1)&amp;"",FIND(" ",TRIM(INDEX(貼り付け!$A$1:$BZ$3001,2942,$B$1)&amp;"")&amp;" ")-1)),"/","-"),"年","-"),"月","-"),"日",""))),"")</f>
        <v/>
      </c>
      <c r="J2943">
        <f>IFERROR(MID(I2943,FIND("-",I2943)+1,99),"")</f>
        <v/>
      </c>
    </row>
    <row r="2944">
      <c r="B2944">
        <f>IFERROR(IF($B$1=0,"",IF(INDEX(貼り付け!$A$1:$BZ$3001,2943,$B$1)="","",IF(ISNUMBER(INDEX(貼り付け!$A$1:$BZ$3001,2943,$B$1)),INT(INDEX(貼り付け!$A$1:$BZ$3001,2943,$B$1)),DATE(VALUE(LEFT(I2944,FIND("-",I2944)-1)),VALUE(LEFT(J2944,FIND("-",J2944)-1)),VALUE(MID(J2944,FIND("-",J2944)+1,99)))))),"")</f>
        <v/>
      </c>
      <c r="C2944">
        <f>IF($C$1=0,0,IFERROR(VALUE(SUBSTITUTE(SUBSTITUTE(SUBSTITUTE(INDEX(貼り付け!$A$1:$BZ$3001,2943,$C$1)&amp;"",",",""),"¥",""),"￥","")),0))</f>
        <v/>
      </c>
      <c r="D2944">
        <f>IF($D$1=0,0,IFERROR(VALUE(SUBSTITUTE(SUBSTITUTE(SUBSTITUTE(INDEX(貼り付け!$A$1:$BZ$3001,2943,$D$1)&amp;"",",",""),"¥",""),"￥","")),0))</f>
        <v/>
      </c>
      <c r="E2944">
        <f>IF($E$1=0,0,IFERROR(VALUE(SUBSTITUTE(SUBSTITUTE(SUBSTITUTE(INDEX(貼り付け!$A$1:$BZ$3001,2943,$E$1)&amp;"",",",""),"¥",""),"￥","")),0))</f>
        <v/>
      </c>
      <c r="F2944">
        <f>IF($F$1=0,0,IFERROR(VALUE(SUBSTITUTE(SUBSTITUTE(SUBSTITUTE(INDEX(貼り付け!$A$1:$BZ$3001,2943,$F$1)&amp;"",",",""),"¥",""),"￥","")),0))</f>
        <v/>
      </c>
      <c r="G2944">
        <f>IF(ISNUMBER(B2944),YEAR(B2944),"")</f>
        <v/>
      </c>
      <c r="H2944">
        <f>IF(ISNUMBER(B2944),MONTH(B2944),"")</f>
        <v/>
      </c>
      <c r="I2944">
        <f>IFERROR(IF($B$1=0,"",IF(ISNUMBER(INDEX(貼り付け!$A$1:$BZ$3001,2943,$B$1)),"",SUBSTITUTE(SUBSTITUTE(SUBSTITUTE(SUBSTITUTE(TRIM(LEFT(INDEX(貼り付け!$A$1:$BZ$3001,2943,$B$1)&amp;"",FIND(" ",TRIM(INDEX(貼り付け!$A$1:$BZ$3001,2943,$B$1)&amp;"")&amp;" ")-1)),"/","-"),"年","-"),"月","-"),"日",""))),"")</f>
        <v/>
      </c>
      <c r="J2944">
        <f>IFERROR(MID(I2944,FIND("-",I2944)+1,99),"")</f>
        <v/>
      </c>
    </row>
    <row r="2945">
      <c r="B2945">
        <f>IFERROR(IF($B$1=0,"",IF(INDEX(貼り付け!$A$1:$BZ$3001,2944,$B$1)="","",IF(ISNUMBER(INDEX(貼り付け!$A$1:$BZ$3001,2944,$B$1)),INT(INDEX(貼り付け!$A$1:$BZ$3001,2944,$B$1)),DATE(VALUE(LEFT(I2945,FIND("-",I2945)-1)),VALUE(LEFT(J2945,FIND("-",J2945)-1)),VALUE(MID(J2945,FIND("-",J2945)+1,99)))))),"")</f>
        <v/>
      </c>
      <c r="C2945">
        <f>IF($C$1=0,0,IFERROR(VALUE(SUBSTITUTE(SUBSTITUTE(SUBSTITUTE(INDEX(貼り付け!$A$1:$BZ$3001,2944,$C$1)&amp;"",",",""),"¥",""),"￥","")),0))</f>
        <v/>
      </c>
      <c r="D2945">
        <f>IF($D$1=0,0,IFERROR(VALUE(SUBSTITUTE(SUBSTITUTE(SUBSTITUTE(INDEX(貼り付け!$A$1:$BZ$3001,2944,$D$1)&amp;"",",",""),"¥",""),"￥","")),0))</f>
        <v/>
      </c>
      <c r="E2945">
        <f>IF($E$1=0,0,IFERROR(VALUE(SUBSTITUTE(SUBSTITUTE(SUBSTITUTE(INDEX(貼り付け!$A$1:$BZ$3001,2944,$E$1)&amp;"",",",""),"¥",""),"￥","")),0))</f>
        <v/>
      </c>
      <c r="F2945">
        <f>IF($F$1=0,0,IFERROR(VALUE(SUBSTITUTE(SUBSTITUTE(SUBSTITUTE(INDEX(貼り付け!$A$1:$BZ$3001,2944,$F$1)&amp;"",",",""),"¥",""),"￥","")),0))</f>
        <v/>
      </c>
      <c r="G2945">
        <f>IF(ISNUMBER(B2945),YEAR(B2945),"")</f>
        <v/>
      </c>
      <c r="H2945">
        <f>IF(ISNUMBER(B2945),MONTH(B2945),"")</f>
        <v/>
      </c>
      <c r="I2945">
        <f>IFERROR(IF($B$1=0,"",IF(ISNUMBER(INDEX(貼り付け!$A$1:$BZ$3001,2944,$B$1)),"",SUBSTITUTE(SUBSTITUTE(SUBSTITUTE(SUBSTITUTE(TRIM(LEFT(INDEX(貼り付け!$A$1:$BZ$3001,2944,$B$1)&amp;"",FIND(" ",TRIM(INDEX(貼り付け!$A$1:$BZ$3001,2944,$B$1)&amp;"")&amp;" ")-1)),"/","-"),"年","-"),"月","-"),"日",""))),"")</f>
        <v/>
      </c>
      <c r="J2945">
        <f>IFERROR(MID(I2945,FIND("-",I2945)+1,99),"")</f>
        <v/>
      </c>
    </row>
    <row r="2946">
      <c r="B2946">
        <f>IFERROR(IF($B$1=0,"",IF(INDEX(貼り付け!$A$1:$BZ$3001,2945,$B$1)="","",IF(ISNUMBER(INDEX(貼り付け!$A$1:$BZ$3001,2945,$B$1)),INT(INDEX(貼り付け!$A$1:$BZ$3001,2945,$B$1)),DATE(VALUE(LEFT(I2946,FIND("-",I2946)-1)),VALUE(LEFT(J2946,FIND("-",J2946)-1)),VALUE(MID(J2946,FIND("-",J2946)+1,99)))))),"")</f>
        <v/>
      </c>
      <c r="C2946">
        <f>IF($C$1=0,0,IFERROR(VALUE(SUBSTITUTE(SUBSTITUTE(SUBSTITUTE(INDEX(貼り付け!$A$1:$BZ$3001,2945,$C$1)&amp;"",",",""),"¥",""),"￥","")),0))</f>
        <v/>
      </c>
      <c r="D2946">
        <f>IF($D$1=0,0,IFERROR(VALUE(SUBSTITUTE(SUBSTITUTE(SUBSTITUTE(INDEX(貼り付け!$A$1:$BZ$3001,2945,$D$1)&amp;"",",",""),"¥",""),"￥","")),0))</f>
        <v/>
      </c>
      <c r="E2946">
        <f>IF($E$1=0,0,IFERROR(VALUE(SUBSTITUTE(SUBSTITUTE(SUBSTITUTE(INDEX(貼り付け!$A$1:$BZ$3001,2945,$E$1)&amp;"",",",""),"¥",""),"￥","")),0))</f>
        <v/>
      </c>
      <c r="F2946">
        <f>IF($F$1=0,0,IFERROR(VALUE(SUBSTITUTE(SUBSTITUTE(SUBSTITUTE(INDEX(貼り付け!$A$1:$BZ$3001,2945,$F$1)&amp;"",",",""),"¥",""),"￥","")),0))</f>
        <v/>
      </c>
      <c r="G2946">
        <f>IF(ISNUMBER(B2946),YEAR(B2946),"")</f>
        <v/>
      </c>
      <c r="H2946">
        <f>IF(ISNUMBER(B2946),MONTH(B2946),"")</f>
        <v/>
      </c>
      <c r="I2946">
        <f>IFERROR(IF($B$1=0,"",IF(ISNUMBER(INDEX(貼り付け!$A$1:$BZ$3001,2945,$B$1)),"",SUBSTITUTE(SUBSTITUTE(SUBSTITUTE(SUBSTITUTE(TRIM(LEFT(INDEX(貼り付け!$A$1:$BZ$3001,2945,$B$1)&amp;"",FIND(" ",TRIM(INDEX(貼り付け!$A$1:$BZ$3001,2945,$B$1)&amp;"")&amp;" ")-1)),"/","-"),"年","-"),"月","-"),"日",""))),"")</f>
        <v/>
      </c>
      <c r="J2946">
        <f>IFERROR(MID(I2946,FIND("-",I2946)+1,99),"")</f>
        <v/>
      </c>
    </row>
    <row r="2947">
      <c r="B2947">
        <f>IFERROR(IF($B$1=0,"",IF(INDEX(貼り付け!$A$1:$BZ$3001,2946,$B$1)="","",IF(ISNUMBER(INDEX(貼り付け!$A$1:$BZ$3001,2946,$B$1)),INT(INDEX(貼り付け!$A$1:$BZ$3001,2946,$B$1)),DATE(VALUE(LEFT(I2947,FIND("-",I2947)-1)),VALUE(LEFT(J2947,FIND("-",J2947)-1)),VALUE(MID(J2947,FIND("-",J2947)+1,99)))))),"")</f>
        <v/>
      </c>
      <c r="C2947">
        <f>IF($C$1=0,0,IFERROR(VALUE(SUBSTITUTE(SUBSTITUTE(SUBSTITUTE(INDEX(貼り付け!$A$1:$BZ$3001,2946,$C$1)&amp;"",",",""),"¥",""),"￥","")),0))</f>
        <v/>
      </c>
      <c r="D2947">
        <f>IF($D$1=0,0,IFERROR(VALUE(SUBSTITUTE(SUBSTITUTE(SUBSTITUTE(INDEX(貼り付け!$A$1:$BZ$3001,2946,$D$1)&amp;"",",",""),"¥",""),"￥","")),0))</f>
        <v/>
      </c>
      <c r="E2947">
        <f>IF($E$1=0,0,IFERROR(VALUE(SUBSTITUTE(SUBSTITUTE(SUBSTITUTE(INDEX(貼り付け!$A$1:$BZ$3001,2946,$E$1)&amp;"",",",""),"¥",""),"￥","")),0))</f>
        <v/>
      </c>
      <c r="F2947">
        <f>IF($F$1=0,0,IFERROR(VALUE(SUBSTITUTE(SUBSTITUTE(SUBSTITUTE(INDEX(貼り付け!$A$1:$BZ$3001,2946,$F$1)&amp;"",",",""),"¥",""),"￥","")),0))</f>
        <v/>
      </c>
      <c r="G2947">
        <f>IF(ISNUMBER(B2947),YEAR(B2947),"")</f>
        <v/>
      </c>
      <c r="H2947">
        <f>IF(ISNUMBER(B2947),MONTH(B2947),"")</f>
        <v/>
      </c>
      <c r="I2947">
        <f>IFERROR(IF($B$1=0,"",IF(ISNUMBER(INDEX(貼り付け!$A$1:$BZ$3001,2946,$B$1)),"",SUBSTITUTE(SUBSTITUTE(SUBSTITUTE(SUBSTITUTE(TRIM(LEFT(INDEX(貼り付け!$A$1:$BZ$3001,2946,$B$1)&amp;"",FIND(" ",TRIM(INDEX(貼り付け!$A$1:$BZ$3001,2946,$B$1)&amp;"")&amp;" ")-1)),"/","-"),"年","-"),"月","-"),"日",""))),"")</f>
        <v/>
      </c>
      <c r="J2947">
        <f>IFERROR(MID(I2947,FIND("-",I2947)+1,99),"")</f>
        <v/>
      </c>
    </row>
    <row r="2948">
      <c r="B2948">
        <f>IFERROR(IF($B$1=0,"",IF(INDEX(貼り付け!$A$1:$BZ$3001,2947,$B$1)="","",IF(ISNUMBER(INDEX(貼り付け!$A$1:$BZ$3001,2947,$B$1)),INT(INDEX(貼り付け!$A$1:$BZ$3001,2947,$B$1)),DATE(VALUE(LEFT(I2948,FIND("-",I2948)-1)),VALUE(LEFT(J2948,FIND("-",J2948)-1)),VALUE(MID(J2948,FIND("-",J2948)+1,99)))))),"")</f>
        <v/>
      </c>
      <c r="C2948">
        <f>IF($C$1=0,0,IFERROR(VALUE(SUBSTITUTE(SUBSTITUTE(SUBSTITUTE(INDEX(貼り付け!$A$1:$BZ$3001,2947,$C$1)&amp;"",",",""),"¥",""),"￥","")),0))</f>
        <v/>
      </c>
      <c r="D2948">
        <f>IF($D$1=0,0,IFERROR(VALUE(SUBSTITUTE(SUBSTITUTE(SUBSTITUTE(INDEX(貼り付け!$A$1:$BZ$3001,2947,$D$1)&amp;"",",",""),"¥",""),"￥","")),0))</f>
        <v/>
      </c>
      <c r="E2948">
        <f>IF($E$1=0,0,IFERROR(VALUE(SUBSTITUTE(SUBSTITUTE(SUBSTITUTE(INDEX(貼り付け!$A$1:$BZ$3001,2947,$E$1)&amp;"",",",""),"¥",""),"￥","")),0))</f>
        <v/>
      </c>
      <c r="F2948">
        <f>IF($F$1=0,0,IFERROR(VALUE(SUBSTITUTE(SUBSTITUTE(SUBSTITUTE(INDEX(貼り付け!$A$1:$BZ$3001,2947,$F$1)&amp;"",",",""),"¥",""),"￥","")),0))</f>
        <v/>
      </c>
      <c r="G2948">
        <f>IF(ISNUMBER(B2948),YEAR(B2948),"")</f>
        <v/>
      </c>
      <c r="H2948">
        <f>IF(ISNUMBER(B2948),MONTH(B2948),"")</f>
        <v/>
      </c>
      <c r="I2948">
        <f>IFERROR(IF($B$1=0,"",IF(ISNUMBER(INDEX(貼り付け!$A$1:$BZ$3001,2947,$B$1)),"",SUBSTITUTE(SUBSTITUTE(SUBSTITUTE(SUBSTITUTE(TRIM(LEFT(INDEX(貼り付け!$A$1:$BZ$3001,2947,$B$1)&amp;"",FIND(" ",TRIM(INDEX(貼り付け!$A$1:$BZ$3001,2947,$B$1)&amp;"")&amp;" ")-1)),"/","-"),"年","-"),"月","-"),"日",""))),"")</f>
        <v/>
      </c>
      <c r="J2948">
        <f>IFERROR(MID(I2948,FIND("-",I2948)+1,99),"")</f>
        <v/>
      </c>
    </row>
    <row r="2949">
      <c r="B2949">
        <f>IFERROR(IF($B$1=0,"",IF(INDEX(貼り付け!$A$1:$BZ$3001,2948,$B$1)="","",IF(ISNUMBER(INDEX(貼り付け!$A$1:$BZ$3001,2948,$B$1)),INT(INDEX(貼り付け!$A$1:$BZ$3001,2948,$B$1)),DATE(VALUE(LEFT(I2949,FIND("-",I2949)-1)),VALUE(LEFT(J2949,FIND("-",J2949)-1)),VALUE(MID(J2949,FIND("-",J2949)+1,99)))))),"")</f>
        <v/>
      </c>
      <c r="C2949">
        <f>IF($C$1=0,0,IFERROR(VALUE(SUBSTITUTE(SUBSTITUTE(SUBSTITUTE(INDEX(貼り付け!$A$1:$BZ$3001,2948,$C$1)&amp;"",",",""),"¥",""),"￥","")),0))</f>
        <v/>
      </c>
      <c r="D2949">
        <f>IF($D$1=0,0,IFERROR(VALUE(SUBSTITUTE(SUBSTITUTE(SUBSTITUTE(INDEX(貼り付け!$A$1:$BZ$3001,2948,$D$1)&amp;"",",",""),"¥",""),"￥","")),0))</f>
        <v/>
      </c>
      <c r="E2949">
        <f>IF($E$1=0,0,IFERROR(VALUE(SUBSTITUTE(SUBSTITUTE(SUBSTITUTE(INDEX(貼り付け!$A$1:$BZ$3001,2948,$E$1)&amp;"",",",""),"¥",""),"￥","")),0))</f>
        <v/>
      </c>
      <c r="F2949">
        <f>IF($F$1=0,0,IFERROR(VALUE(SUBSTITUTE(SUBSTITUTE(SUBSTITUTE(INDEX(貼り付け!$A$1:$BZ$3001,2948,$F$1)&amp;"",",",""),"¥",""),"￥","")),0))</f>
        <v/>
      </c>
      <c r="G2949">
        <f>IF(ISNUMBER(B2949),YEAR(B2949),"")</f>
        <v/>
      </c>
      <c r="H2949">
        <f>IF(ISNUMBER(B2949),MONTH(B2949),"")</f>
        <v/>
      </c>
      <c r="I2949">
        <f>IFERROR(IF($B$1=0,"",IF(ISNUMBER(INDEX(貼り付け!$A$1:$BZ$3001,2948,$B$1)),"",SUBSTITUTE(SUBSTITUTE(SUBSTITUTE(SUBSTITUTE(TRIM(LEFT(INDEX(貼り付け!$A$1:$BZ$3001,2948,$B$1)&amp;"",FIND(" ",TRIM(INDEX(貼り付け!$A$1:$BZ$3001,2948,$B$1)&amp;"")&amp;" ")-1)),"/","-"),"年","-"),"月","-"),"日",""))),"")</f>
        <v/>
      </c>
      <c r="J2949">
        <f>IFERROR(MID(I2949,FIND("-",I2949)+1,99),"")</f>
        <v/>
      </c>
    </row>
    <row r="2950">
      <c r="B2950">
        <f>IFERROR(IF($B$1=0,"",IF(INDEX(貼り付け!$A$1:$BZ$3001,2949,$B$1)="","",IF(ISNUMBER(INDEX(貼り付け!$A$1:$BZ$3001,2949,$B$1)),INT(INDEX(貼り付け!$A$1:$BZ$3001,2949,$B$1)),DATE(VALUE(LEFT(I2950,FIND("-",I2950)-1)),VALUE(LEFT(J2950,FIND("-",J2950)-1)),VALUE(MID(J2950,FIND("-",J2950)+1,99)))))),"")</f>
        <v/>
      </c>
      <c r="C2950">
        <f>IF($C$1=0,0,IFERROR(VALUE(SUBSTITUTE(SUBSTITUTE(SUBSTITUTE(INDEX(貼り付け!$A$1:$BZ$3001,2949,$C$1)&amp;"",",",""),"¥",""),"￥","")),0))</f>
        <v/>
      </c>
      <c r="D2950">
        <f>IF($D$1=0,0,IFERROR(VALUE(SUBSTITUTE(SUBSTITUTE(SUBSTITUTE(INDEX(貼り付け!$A$1:$BZ$3001,2949,$D$1)&amp;"",",",""),"¥",""),"￥","")),0))</f>
        <v/>
      </c>
      <c r="E2950">
        <f>IF($E$1=0,0,IFERROR(VALUE(SUBSTITUTE(SUBSTITUTE(SUBSTITUTE(INDEX(貼り付け!$A$1:$BZ$3001,2949,$E$1)&amp;"",",",""),"¥",""),"￥","")),0))</f>
        <v/>
      </c>
      <c r="F2950">
        <f>IF($F$1=0,0,IFERROR(VALUE(SUBSTITUTE(SUBSTITUTE(SUBSTITUTE(INDEX(貼り付け!$A$1:$BZ$3001,2949,$F$1)&amp;"",",",""),"¥",""),"￥","")),0))</f>
        <v/>
      </c>
      <c r="G2950">
        <f>IF(ISNUMBER(B2950),YEAR(B2950),"")</f>
        <v/>
      </c>
      <c r="H2950">
        <f>IF(ISNUMBER(B2950),MONTH(B2950),"")</f>
        <v/>
      </c>
      <c r="I2950">
        <f>IFERROR(IF($B$1=0,"",IF(ISNUMBER(INDEX(貼り付け!$A$1:$BZ$3001,2949,$B$1)),"",SUBSTITUTE(SUBSTITUTE(SUBSTITUTE(SUBSTITUTE(TRIM(LEFT(INDEX(貼り付け!$A$1:$BZ$3001,2949,$B$1)&amp;"",FIND(" ",TRIM(INDEX(貼り付け!$A$1:$BZ$3001,2949,$B$1)&amp;"")&amp;" ")-1)),"/","-"),"年","-"),"月","-"),"日",""))),"")</f>
        <v/>
      </c>
      <c r="J2950">
        <f>IFERROR(MID(I2950,FIND("-",I2950)+1,99),"")</f>
        <v/>
      </c>
    </row>
    <row r="2951">
      <c r="B2951">
        <f>IFERROR(IF($B$1=0,"",IF(INDEX(貼り付け!$A$1:$BZ$3001,2950,$B$1)="","",IF(ISNUMBER(INDEX(貼り付け!$A$1:$BZ$3001,2950,$B$1)),INT(INDEX(貼り付け!$A$1:$BZ$3001,2950,$B$1)),DATE(VALUE(LEFT(I2951,FIND("-",I2951)-1)),VALUE(LEFT(J2951,FIND("-",J2951)-1)),VALUE(MID(J2951,FIND("-",J2951)+1,99)))))),"")</f>
        <v/>
      </c>
      <c r="C2951">
        <f>IF($C$1=0,0,IFERROR(VALUE(SUBSTITUTE(SUBSTITUTE(SUBSTITUTE(INDEX(貼り付け!$A$1:$BZ$3001,2950,$C$1)&amp;"",",",""),"¥",""),"￥","")),0))</f>
        <v/>
      </c>
      <c r="D2951">
        <f>IF($D$1=0,0,IFERROR(VALUE(SUBSTITUTE(SUBSTITUTE(SUBSTITUTE(INDEX(貼り付け!$A$1:$BZ$3001,2950,$D$1)&amp;"",",",""),"¥",""),"￥","")),0))</f>
        <v/>
      </c>
      <c r="E2951">
        <f>IF($E$1=0,0,IFERROR(VALUE(SUBSTITUTE(SUBSTITUTE(SUBSTITUTE(INDEX(貼り付け!$A$1:$BZ$3001,2950,$E$1)&amp;"",",",""),"¥",""),"￥","")),0))</f>
        <v/>
      </c>
      <c r="F2951">
        <f>IF($F$1=0,0,IFERROR(VALUE(SUBSTITUTE(SUBSTITUTE(SUBSTITUTE(INDEX(貼り付け!$A$1:$BZ$3001,2950,$F$1)&amp;"",",",""),"¥",""),"￥","")),0))</f>
        <v/>
      </c>
      <c r="G2951">
        <f>IF(ISNUMBER(B2951),YEAR(B2951),"")</f>
        <v/>
      </c>
      <c r="H2951">
        <f>IF(ISNUMBER(B2951),MONTH(B2951),"")</f>
        <v/>
      </c>
      <c r="I2951">
        <f>IFERROR(IF($B$1=0,"",IF(ISNUMBER(INDEX(貼り付け!$A$1:$BZ$3001,2950,$B$1)),"",SUBSTITUTE(SUBSTITUTE(SUBSTITUTE(SUBSTITUTE(TRIM(LEFT(INDEX(貼り付け!$A$1:$BZ$3001,2950,$B$1)&amp;"",FIND(" ",TRIM(INDEX(貼り付け!$A$1:$BZ$3001,2950,$B$1)&amp;"")&amp;" ")-1)),"/","-"),"年","-"),"月","-"),"日",""))),"")</f>
        <v/>
      </c>
      <c r="J2951">
        <f>IFERROR(MID(I2951,FIND("-",I2951)+1,99),"")</f>
        <v/>
      </c>
    </row>
    <row r="2952">
      <c r="B2952">
        <f>IFERROR(IF($B$1=0,"",IF(INDEX(貼り付け!$A$1:$BZ$3001,2951,$B$1)="","",IF(ISNUMBER(INDEX(貼り付け!$A$1:$BZ$3001,2951,$B$1)),INT(INDEX(貼り付け!$A$1:$BZ$3001,2951,$B$1)),DATE(VALUE(LEFT(I2952,FIND("-",I2952)-1)),VALUE(LEFT(J2952,FIND("-",J2952)-1)),VALUE(MID(J2952,FIND("-",J2952)+1,99)))))),"")</f>
        <v/>
      </c>
      <c r="C2952">
        <f>IF($C$1=0,0,IFERROR(VALUE(SUBSTITUTE(SUBSTITUTE(SUBSTITUTE(INDEX(貼り付け!$A$1:$BZ$3001,2951,$C$1)&amp;"",",",""),"¥",""),"￥","")),0))</f>
        <v/>
      </c>
      <c r="D2952">
        <f>IF($D$1=0,0,IFERROR(VALUE(SUBSTITUTE(SUBSTITUTE(SUBSTITUTE(INDEX(貼り付け!$A$1:$BZ$3001,2951,$D$1)&amp;"",",",""),"¥",""),"￥","")),0))</f>
        <v/>
      </c>
      <c r="E2952">
        <f>IF($E$1=0,0,IFERROR(VALUE(SUBSTITUTE(SUBSTITUTE(SUBSTITUTE(INDEX(貼り付け!$A$1:$BZ$3001,2951,$E$1)&amp;"",",",""),"¥",""),"￥","")),0))</f>
        <v/>
      </c>
      <c r="F2952">
        <f>IF($F$1=0,0,IFERROR(VALUE(SUBSTITUTE(SUBSTITUTE(SUBSTITUTE(INDEX(貼り付け!$A$1:$BZ$3001,2951,$F$1)&amp;"",",",""),"¥",""),"￥","")),0))</f>
        <v/>
      </c>
      <c r="G2952">
        <f>IF(ISNUMBER(B2952),YEAR(B2952),"")</f>
        <v/>
      </c>
      <c r="H2952">
        <f>IF(ISNUMBER(B2952),MONTH(B2952),"")</f>
        <v/>
      </c>
      <c r="I2952">
        <f>IFERROR(IF($B$1=0,"",IF(ISNUMBER(INDEX(貼り付け!$A$1:$BZ$3001,2951,$B$1)),"",SUBSTITUTE(SUBSTITUTE(SUBSTITUTE(SUBSTITUTE(TRIM(LEFT(INDEX(貼り付け!$A$1:$BZ$3001,2951,$B$1)&amp;"",FIND(" ",TRIM(INDEX(貼り付け!$A$1:$BZ$3001,2951,$B$1)&amp;"")&amp;" ")-1)),"/","-"),"年","-"),"月","-"),"日",""))),"")</f>
        <v/>
      </c>
      <c r="J2952">
        <f>IFERROR(MID(I2952,FIND("-",I2952)+1,99),"")</f>
        <v/>
      </c>
    </row>
    <row r="2953">
      <c r="B2953">
        <f>IFERROR(IF($B$1=0,"",IF(INDEX(貼り付け!$A$1:$BZ$3001,2952,$B$1)="","",IF(ISNUMBER(INDEX(貼り付け!$A$1:$BZ$3001,2952,$B$1)),INT(INDEX(貼り付け!$A$1:$BZ$3001,2952,$B$1)),DATE(VALUE(LEFT(I2953,FIND("-",I2953)-1)),VALUE(LEFT(J2953,FIND("-",J2953)-1)),VALUE(MID(J2953,FIND("-",J2953)+1,99)))))),"")</f>
        <v/>
      </c>
      <c r="C2953">
        <f>IF($C$1=0,0,IFERROR(VALUE(SUBSTITUTE(SUBSTITUTE(SUBSTITUTE(INDEX(貼り付け!$A$1:$BZ$3001,2952,$C$1)&amp;"",",",""),"¥",""),"￥","")),0))</f>
        <v/>
      </c>
      <c r="D2953">
        <f>IF($D$1=0,0,IFERROR(VALUE(SUBSTITUTE(SUBSTITUTE(SUBSTITUTE(INDEX(貼り付け!$A$1:$BZ$3001,2952,$D$1)&amp;"",",",""),"¥",""),"￥","")),0))</f>
        <v/>
      </c>
      <c r="E2953">
        <f>IF($E$1=0,0,IFERROR(VALUE(SUBSTITUTE(SUBSTITUTE(SUBSTITUTE(INDEX(貼り付け!$A$1:$BZ$3001,2952,$E$1)&amp;"",",",""),"¥",""),"￥","")),0))</f>
        <v/>
      </c>
      <c r="F2953">
        <f>IF($F$1=0,0,IFERROR(VALUE(SUBSTITUTE(SUBSTITUTE(SUBSTITUTE(INDEX(貼り付け!$A$1:$BZ$3001,2952,$F$1)&amp;"",",",""),"¥",""),"￥","")),0))</f>
        <v/>
      </c>
      <c r="G2953">
        <f>IF(ISNUMBER(B2953),YEAR(B2953),"")</f>
        <v/>
      </c>
      <c r="H2953">
        <f>IF(ISNUMBER(B2953),MONTH(B2953),"")</f>
        <v/>
      </c>
      <c r="I2953">
        <f>IFERROR(IF($B$1=0,"",IF(ISNUMBER(INDEX(貼り付け!$A$1:$BZ$3001,2952,$B$1)),"",SUBSTITUTE(SUBSTITUTE(SUBSTITUTE(SUBSTITUTE(TRIM(LEFT(INDEX(貼り付け!$A$1:$BZ$3001,2952,$B$1)&amp;"",FIND(" ",TRIM(INDEX(貼り付け!$A$1:$BZ$3001,2952,$B$1)&amp;"")&amp;" ")-1)),"/","-"),"年","-"),"月","-"),"日",""))),"")</f>
        <v/>
      </c>
      <c r="J2953">
        <f>IFERROR(MID(I2953,FIND("-",I2953)+1,99),"")</f>
        <v/>
      </c>
    </row>
    <row r="2954">
      <c r="B2954">
        <f>IFERROR(IF($B$1=0,"",IF(INDEX(貼り付け!$A$1:$BZ$3001,2953,$B$1)="","",IF(ISNUMBER(INDEX(貼り付け!$A$1:$BZ$3001,2953,$B$1)),INT(INDEX(貼り付け!$A$1:$BZ$3001,2953,$B$1)),DATE(VALUE(LEFT(I2954,FIND("-",I2954)-1)),VALUE(LEFT(J2954,FIND("-",J2954)-1)),VALUE(MID(J2954,FIND("-",J2954)+1,99)))))),"")</f>
        <v/>
      </c>
      <c r="C2954">
        <f>IF($C$1=0,0,IFERROR(VALUE(SUBSTITUTE(SUBSTITUTE(SUBSTITUTE(INDEX(貼り付け!$A$1:$BZ$3001,2953,$C$1)&amp;"",",",""),"¥",""),"￥","")),0))</f>
        <v/>
      </c>
      <c r="D2954">
        <f>IF($D$1=0,0,IFERROR(VALUE(SUBSTITUTE(SUBSTITUTE(SUBSTITUTE(INDEX(貼り付け!$A$1:$BZ$3001,2953,$D$1)&amp;"",",",""),"¥",""),"￥","")),0))</f>
        <v/>
      </c>
      <c r="E2954">
        <f>IF($E$1=0,0,IFERROR(VALUE(SUBSTITUTE(SUBSTITUTE(SUBSTITUTE(INDEX(貼り付け!$A$1:$BZ$3001,2953,$E$1)&amp;"",",",""),"¥",""),"￥","")),0))</f>
        <v/>
      </c>
      <c r="F2954">
        <f>IF($F$1=0,0,IFERROR(VALUE(SUBSTITUTE(SUBSTITUTE(SUBSTITUTE(INDEX(貼り付け!$A$1:$BZ$3001,2953,$F$1)&amp;"",",",""),"¥",""),"￥","")),0))</f>
        <v/>
      </c>
      <c r="G2954">
        <f>IF(ISNUMBER(B2954),YEAR(B2954),"")</f>
        <v/>
      </c>
      <c r="H2954">
        <f>IF(ISNUMBER(B2954),MONTH(B2954),"")</f>
        <v/>
      </c>
      <c r="I2954">
        <f>IFERROR(IF($B$1=0,"",IF(ISNUMBER(INDEX(貼り付け!$A$1:$BZ$3001,2953,$B$1)),"",SUBSTITUTE(SUBSTITUTE(SUBSTITUTE(SUBSTITUTE(TRIM(LEFT(INDEX(貼り付け!$A$1:$BZ$3001,2953,$B$1)&amp;"",FIND(" ",TRIM(INDEX(貼り付け!$A$1:$BZ$3001,2953,$B$1)&amp;"")&amp;" ")-1)),"/","-"),"年","-"),"月","-"),"日",""))),"")</f>
        <v/>
      </c>
      <c r="J2954">
        <f>IFERROR(MID(I2954,FIND("-",I2954)+1,99),"")</f>
        <v/>
      </c>
    </row>
    <row r="2955">
      <c r="B2955">
        <f>IFERROR(IF($B$1=0,"",IF(INDEX(貼り付け!$A$1:$BZ$3001,2954,$B$1)="","",IF(ISNUMBER(INDEX(貼り付け!$A$1:$BZ$3001,2954,$B$1)),INT(INDEX(貼り付け!$A$1:$BZ$3001,2954,$B$1)),DATE(VALUE(LEFT(I2955,FIND("-",I2955)-1)),VALUE(LEFT(J2955,FIND("-",J2955)-1)),VALUE(MID(J2955,FIND("-",J2955)+1,99)))))),"")</f>
        <v/>
      </c>
      <c r="C2955">
        <f>IF($C$1=0,0,IFERROR(VALUE(SUBSTITUTE(SUBSTITUTE(SUBSTITUTE(INDEX(貼り付け!$A$1:$BZ$3001,2954,$C$1)&amp;"",",",""),"¥",""),"￥","")),0))</f>
        <v/>
      </c>
      <c r="D2955">
        <f>IF($D$1=0,0,IFERROR(VALUE(SUBSTITUTE(SUBSTITUTE(SUBSTITUTE(INDEX(貼り付け!$A$1:$BZ$3001,2954,$D$1)&amp;"",",",""),"¥",""),"￥","")),0))</f>
        <v/>
      </c>
      <c r="E2955">
        <f>IF($E$1=0,0,IFERROR(VALUE(SUBSTITUTE(SUBSTITUTE(SUBSTITUTE(INDEX(貼り付け!$A$1:$BZ$3001,2954,$E$1)&amp;"",",",""),"¥",""),"￥","")),0))</f>
        <v/>
      </c>
      <c r="F2955">
        <f>IF($F$1=0,0,IFERROR(VALUE(SUBSTITUTE(SUBSTITUTE(SUBSTITUTE(INDEX(貼り付け!$A$1:$BZ$3001,2954,$F$1)&amp;"",",",""),"¥",""),"￥","")),0))</f>
        <v/>
      </c>
      <c r="G2955">
        <f>IF(ISNUMBER(B2955),YEAR(B2955),"")</f>
        <v/>
      </c>
      <c r="H2955">
        <f>IF(ISNUMBER(B2955),MONTH(B2955),"")</f>
        <v/>
      </c>
      <c r="I2955">
        <f>IFERROR(IF($B$1=0,"",IF(ISNUMBER(INDEX(貼り付け!$A$1:$BZ$3001,2954,$B$1)),"",SUBSTITUTE(SUBSTITUTE(SUBSTITUTE(SUBSTITUTE(TRIM(LEFT(INDEX(貼り付け!$A$1:$BZ$3001,2954,$B$1)&amp;"",FIND(" ",TRIM(INDEX(貼り付け!$A$1:$BZ$3001,2954,$B$1)&amp;"")&amp;" ")-1)),"/","-"),"年","-"),"月","-"),"日",""))),"")</f>
        <v/>
      </c>
      <c r="J2955">
        <f>IFERROR(MID(I2955,FIND("-",I2955)+1,99),"")</f>
        <v/>
      </c>
    </row>
    <row r="2956">
      <c r="B2956">
        <f>IFERROR(IF($B$1=0,"",IF(INDEX(貼り付け!$A$1:$BZ$3001,2955,$B$1)="","",IF(ISNUMBER(INDEX(貼り付け!$A$1:$BZ$3001,2955,$B$1)),INT(INDEX(貼り付け!$A$1:$BZ$3001,2955,$B$1)),DATE(VALUE(LEFT(I2956,FIND("-",I2956)-1)),VALUE(LEFT(J2956,FIND("-",J2956)-1)),VALUE(MID(J2956,FIND("-",J2956)+1,99)))))),"")</f>
        <v/>
      </c>
      <c r="C2956">
        <f>IF($C$1=0,0,IFERROR(VALUE(SUBSTITUTE(SUBSTITUTE(SUBSTITUTE(INDEX(貼り付け!$A$1:$BZ$3001,2955,$C$1)&amp;"",",",""),"¥",""),"￥","")),0))</f>
        <v/>
      </c>
      <c r="D2956">
        <f>IF($D$1=0,0,IFERROR(VALUE(SUBSTITUTE(SUBSTITUTE(SUBSTITUTE(INDEX(貼り付け!$A$1:$BZ$3001,2955,$D$1)&amp;"",",",""),"¥",""),"￥","")),0))</f>
        <v/>
      </c>
      <c r="E2956">
        <f>IF($E$1=0,0,IFERROR(VALUE(SUBSTITUTE(SUBSTITUTE(SUBSTITUTE(INDEX(貼り付け!$A$1:$BZ$3001,2955,$E$1)&amp;"",",",""),"¥",""),"￥","")),0))</f>
        <v/>
      </c>
      <c r="F2956">
        <f>IF($F$1=0,0,IFERROR(VALUE(SUBSTITUTE(SUBSTITUTE(SUBSTITUTE(INDEX(貼り付け!$A$1:$BZ$3001,2955,$F$1)&amp;"",",",""),"¥",""),"￥","")),0))</f>
        <v/>
      </c>
      <c r="G2956">
        <f>IF(ISNUMBER(B2956),YEAR(B2956),"")</f>
        <v/>
      </c>
      <c r="H2956">
        <f>IF(ISNUMBER(B2956),MONTH(B2956),"")</f>
        <v/>
      </c>
      <c r="I2956">
        <f>IFERROR(IF($B$1=0,"",IF(ISNUMBER(INDEX(貼り付け!$A$1:$BZ$3001,2955,$B$1)),"",SUBSTITUTE(SUBSTITUTE(SUBSTITUTE(SUBSTITUTE(TRIM(LEFT(INDEX(貼り付け!$A$1:$BZ$3001,2955,$B$1)&amp;"",FIND(" ",TRIM(INDEX(貼り付け!$A$1:$BZ$3001,2955,$B$1)&amp;"")&amp;" ")-1)),"/","-"),"年","-"),"月","-"),"日",""))),"")</f>
        <v/>
      </c>
      <c r="J2956">
        <f>IFERROR(MID(I2956,FIND("-",I2956)+1,99),"")</f>
        <v/>
      </c>
    </row>
    <row r="2957">
      <c r="B2957">
        <f>IFERROR(IF($B$1=0,"",IF(INDEX(貼り付け!$A$1:$BZ$3001,2956,$B$1)="","",IF(ISNUMBER(INDEX(貼り付け!$A$1:$BZ$3001,2956,$B$1)),INT(INDEX(貼り付け!$A$1:$BZ$3001,2956,$B$1)),DATE(VALUE(LEFT(I2957,FIND("-",I2957)-1)),VALUE(LEFT(J2957,FIND("-",J2957)-1)),VALUE(MID(J2957,FIND("-",J2957)+1,99)))))),"")</f>
        <v/>
      </c>
      <c r="C2957">
        <f>IF($C$1=0,0,IFERROR(VALUE(SUBSTITUTE(SUBSTITUTE(SUBSTITUTE(INDEX(貼り付け!$A$1:$BZ$3001,2956,$C$1)&amp;"",",",""),"¥",""),"￥","")),0))</f>
        <v/>
      </c>
      <c r="D2957">
        <f>IF($D$1=0,0,IFERROR(VALUE(SUBSTITUTE(SUBSTITUTE(SUBSTITUTE(INDEX(貼り付け!$A$1:$BZ$3001,2956,$D$1)&amp;"",",",""),"¥",""),"￥","")),0))</f>
        <v/>
      </c>
      <c r="E2957">
        <f>IF($E$1=0,0,IFERROR(VALUE(SUBSTITUTE(SUBSTITUTE(SUBSTITUTE(INDEX(貼り付け!$A$1:$BZ$3001,2956,$E$1)&amp;"",",",""),"¥",""),"￥","")),0))</f>
        <v/>
      </c>
      <c r="F2957">
        <f>IF($F$1=0,0,IFERROR(VALUE(SUBSTITUTE(SUBSTITUTE(SUBSTITUTE(INDEX(貼り付け!$A$1:$BZ$3001,2956,$F$1)&amp;"",",",""),"¥",""),"￥","")),0))</f>
        <v/>
      </c>
      <c r="G2957">
        <f>IF(ISNUMBER(B2957),YEAR(B2957),"")</f>
        <v/>
      </c>
      <c r="H2957">
        <f>IF(ISNUMBER(B2957),MONTH(B2957),"")</f>
        <v/>
      </c>
      <c r="I2957">
        <f>IFERROR(IF($B$1=0,"",IF(ISNUMBER(INDEX(貼り付け!$A$1:$BZ$3001,2956,$B$1)),"",SUBSTITUTE(SUBSTITUTE(SUBSTITUTE(SUBSTITUTE(TRIM(LEFT(INDEX(貼り付け!$A$1:$BZ$3001,2956,$B$1)&amp;"",FIND(" ",TRIM(INDEX(貼り付け!$A$1:$BZ$3001,2956,$B$1)&amp;"")&amp;" ")-1)),"/","-"),"年","-"),"月","-"),"日",""))),"")</f>
        <v/>
      </c>
      <c r="J2957">
        <f>IFERROR(MID(I2957,FIND("-",I2957)+1,99),"")</f>
        <v/>
      </c>
    </row>
    <row r="2958">
      <c r="B2958">
        <f>IFERROR(IF($B$1=0,"",IF(INDEX(貼り付け!$A$1:$BZ$3001,2957,$B$1)="","",IF(ISNUMBER(INDEX(貼り付け!$A$1:$BZ$3001,2957,$B$1)),INT(INDEX(貼り付け!$A$1:$BZ$3001,2957,$B$1)),DATE(VALUE(LEFT(I2958,FIND("-",I2958)-1)),VALUE(LEFT(J2958,FIND("-",J2958)-1)),VALUE(MID(J2958,FIND("-",J2958)+1,99)))))),"")</f>
        <v/>
      </c>
      <c r="C2958">
        <f>IF($C$1=0,0,IFERROR(VALUE(SUBSTITUTE(SUBSTITUTE(SUBSTITUTE(INDEX(貼り付け!$A$1:$BZ$3001,2957,$C$1)&amp;"",",",""),"¥",""),"￥","")),0))</f>
        <v/>
      </c>
      <c r="D2958">
        <f>IF($D$1=0,0,IFERROR(VALUE(SUBSTITUTE(SUBSTITUTE(SUBSTITUTE(INDEX(貼り付け!$A$1:$BZ$3001,2957,$D$1)&amp;"",",",""),"¥",""),"￥","")),0))</f>
        <v/>
      </c>
      <c r="E2958">
        <f>IF($E$1=0,0,IFERROR(VALUE(SUBSTITUTE(SUBSTITUTE(SUBSTITUTE(INDEX(貼り付け!$A$1:$BZ$3001,2957,$E$1)&amp;"",",",""),"¥",""),"￥","")),0))</f>
        <v/>
      </c>
      <c r="F2958">
        <f>IF($F$1=0,0,IFERROR(VALUE(SUBSTITUTE(SUBSTITUTE(SUBSTITUTE(INDEX(貼り付け!$A$1:$BZ$3001,2957,$F$1)&amp;"",",",""),"¥",""),"￥","")),0))</f>
        <v/>
      </c>
      <c r="G2958">
        <f>IF(ISNUMBER(B2958),YEAR(B2958),"")</f>
        <v/>
      </c>
      <c r="H2958">
        <f>IF(ISNUMBER(B2958),MONTH(B2958),"")</f>
        <v/>
      </c>
      <c r="I2958">
        <f>IFERROR(IF($B$1=0,"",IF(ISNUMBER(INDEX(貼り付け!$A$1:$BZ$3001,2957,$B$1)),"",SUBSTITUTE(SUBSTITUTE(SUBSTITUTE(SUBSTITUTE(TRIM(LEFT(INDEX(貼り付け!$A$1:$BZ$3001,2957,$B$1)&amp;"",FIND(" ",TRIM(INDEX(貼り付け!$A$1:$BZ$3001,2957,$B$1)&amp;"")&amp;" ")-1)),"/","-"),"年","-"),"月","-"),"日",""))),"")</f>
        <v/>
      </c>
      <c r="J2958">
        <f>IFERROR(MID(I2958,FIND("-",I2958)+1,99),"")</f>
        <v/>
      </c>
    </row>
    <row r="2959">
      <c r="B2959">
        <f>IFERROR(IF($B$1=0,"",IF(INDEX(貼り付け!$A$1:$BZ$3001,2958,$B$1)="","",IF(ISNUMBER(INDEX(貼り付け!$A$1:$BZ$3001,2958,$B$1)),INT(INDEX(貼り付け!$A$1:$BZ$3001,2958,$B$1)),DATE(VALUE(LEFT(I2959,FIND("-",I2959)-1)),VALUE(LEFT(J2959,FIND("-",J2959)-1)),VALUE(MID(J2959,FIND("-",J2959)+1,99)))))),"")</f>
        <v/>
      </c>
      <c r="C2959">
        <f>IF($C$1=0,0,IFERROR(VALUE(SUBSTITUTE(SUBSTITUTE(SUBSTITUTE(INDEX(貼り付け!$A$1:$BZ$3001,2958,$C$1)&amp;"",",",""),"¥",""),"￥","")),0))</f>
        <v/>
      </c>
      <c r="D2959">
        <f>IF($D$1=0,0,IFERROR(VALUE(SUBSTITUTE(SUBSTITUTE(SUBSTITUTE(INDEX(貼り付け!$A$1:$BZ$3001,2958,$D$1)&amp;"",",",""),"¥",""),"￥","")),0))</f>
        <v/>
      </c>
      <c r="E2959">
        <f>IF($E$1=0,0,IFERROR(VALUE(SUBSTITUTE(SUBSTITUTE(SUBSTITUTE(INDEX(貼り付け!$A$1:$BZ$3001,2958,$E$1)&amp;"",",",""),"¥",""),"￥","")),0))</f>
        <v/>
      </c>
      <c r="F2959">
        <f>IF($F$1=0,0,IFERROR(VALUE(SUBSTITUTE(SUBSTITUTE(SUBSTITUTE(INDEX(貼り付け!$A$1:$BZ$3001,2958,$F$1)&amp;"",",",""),"¥",""),"￥","")),0))</f>
        <v/>
      </c>
      <c r="G2959">
        <f>IF(ISNUMBER(B2959),YEAR(B2959),"")</f>
        <v/>
      </c>
      <c r="H2959">
        <f>IF(ISNUMBER(B2959),MONTH(B2959),"")</f>
        <v/>
      </c>
      <c r="I2959">
        <f>IFERROR(IF($B$1=0,"",IF(ISNUMBER(INDEX(貼り付け!$A$1:$BZ$3001,2958,$B$1)),"",SUBSTITUTE(SUBSTITUTE(SUBSTITUTE(SUBSTITUTE(TRIM(LEFT(INDEX(貼り付け!$A$1:$BZ$3001,2958,$B$1)&amp;"",FIND(" ",TRIM(INDEX(貼り付け!$A$1:$BZ$3001,2958,$B$1)&amp;"")&amp;" ")-1)),"/","-"),"年","-"),"月","-"),"日",""))),"")</f>
        <v/>
      </c>
      <c r="J2959">
        <f>IFERROR(MID(I2959,FIND("-",I2959)+1,99),"")</f>
        <v/>
      </c>
    </row>
    <row r="2960">
      <c r="B2960">
        <f>IFERROR(IF($B$1=0,"",IF(INDEX(貼り付け!$A$1:$BZ$3001,2959,$B$1)="","",IF(ISNUMBER(INDEX(貼り付け!$A$1:$BZ$3001,2959,$B$1)),INT(INDEX(貼り付け!$A$1:$BZ$3001,2959,$B$1)),DATE(VALUE(LEFT(I2960,FIND("-",I2960)-1)),VALUE(LEFT(J2960,FIND("-",J2960)-1)),VALUE(MID(J2960,FIND("-",J2960)+1,99)))))),"")</f>
        <v/>
      </c>
      <c r="C2960">
        <f>IF($C$1=0,0,IFERROR(VALUE(SUBSTITUTE(SUBSTITUTE(SUBSTITUTE(INDEX(貼り付け!$A$1:$BZ$3001,2959,$C$1)&amp;"",",",""),"¥",""),"￥","")),0))</f>
        <v/>
      </c>
      <c r="D2960">
        <f>IF($D$1=0,0,IFERROR(VALUE(SUBSTITUTE(SUBSTITUTE(SUBSTITUTE(INDEX(貼り付け!$A$1:$BZ$3001,2959,$D$1)&amp;"",",",""),"¥",""),"￥","")),0))</f>
        <v/>
      </c>
      <c r="E2960">
        <f>IF($E$1=0,0,IFERROR(VALUE(SUBSTITUTE(SUBSTITUTE(SUBSTITUTE(INDEX(貼り付け!$A$1:$BZ$3001,2959,$E$1)&amp;"",",",""),"¥",""),"￥","")),0))</f>
        <v/>
      </c>
      <c r="F2960">
        <f>IF($F$1=0,0,IFERROR(VALUE(SUBSTITUTE(SUBSTITUTE(SUBSTITUTE(INDEX(貼り付け!$A$1:$BZ$3001,2959,$F$1)&amp;"",",",""),"¥",""),"￥","")),0))</f>
        <v/>
      </c>
      <c r="G2960">
        <f>IF(ISNUMBER(B2960),YEAR(B2960),"")</f>
        <v/>
      </c>
      <c r="H2960">
        <f>IF(ISNUMBER(B2960),MONTH(B2960),"")</f>
        <v/>
      </c>
      <c r="I2960">
        <f>IFERROR(IF($B$1=0,"",IF(ISNUMBER(INDEX(貼り付け!$A$1:$BZ$3001,2959,$B$1)),"",SUBSTITUTE(SUBSTITUTE(SUBSTITUTE(SUBSTITUTE(TRIM(LEFT(INDEX(貼り付け!$A$1:$BZ$3001,2959,$B$1)&amp;"",FIND(" ",TRIM(INDEX(貼り付け!$A$1:$BZ$3001,2959,$B$1)&amp;"")&amp;" ")-1)),"/","-"),"年","-"),"月","-"),"日",""))),"")</f>
        <v/>
      </c>
      <c r="J2960">
        <f>IFERROR(MID(I2960,FIND("-",I2960)+1,99),"")</f>
        <v/>
      </c>
    </row>
    <row r="2961">
      <c r="B2961">
        <f>IFERROR(IF($B$1=0,"",IF(INDEX(貼り付け!$A$1:$BZ$3001,2960,$B$1)="","",IF(ISNUMBER(INDEX(貼り付け!$A$1:$BZ$3001,2960,$B$1)),INT(INDEX(貼り付け!$A$1:$BZ$3001,2960,$B$1)),DATE(VALUE(LEFT(I2961,FIND("-",I2961)-1)),VALUE(LEFT(J2961,FIND("-",J2961)-1)),VALUE(MID(J2961,FIND("-",J2961)+1,99)))))),"")</f>
        <v/>
      </c>
      <c r="C2961">
        <f>IF($C$1=0,0,IFERROR(VALUE(SUBSTITUTE(SUBSTITUTE(SUBSTITUTE(INDEX(貼り付け!$A$1:$BZ$3001,2960,$C$1)&amp;"",",",""),"¥",""),"￥","")),0))</f>
        <v/>
      </c>
      <c r="D2961">
        <f>IF($D$1=0,0,IFERROR(VALUE(SUBSTITUTE(SUBSTITUTE(SUBSTITUTE(INDEX(貼り付け!$A$1:$BZ$3001,2960,$D$1)&amp;"",",",""),"¥",""),"￥","")),0))</f>
        <v/>
      </c>
      <c r="E2961">
        <f>IF($E$1=0,0,IFERROR(VALUE(SUBSTITUTE(SUBSTITUTE(SUBSTITUTE(INDEX(貼り付け!$A$1:$BZ$3001,2960,$E$1)&amp;"",",",""),"¥",""),"￥","")),0))</f>
        <v/>
      </c>
      <c r="F2961">
        <f>IF($F$1=0,0,IFERROR(VALUE(SUBSTITUTE(SUBSTITUTE(SUBSTITUTE(INDEX(貼り付け!$A$1:$BZ$3001,2960,$F$1)&amp;"",",",""),"¥",""),"￥","")),0))</f>
        <v/>
      </c>
      <c r="G2961">
        <f>IF(ISNUMBER(B2961),YEAR(B2961),"")</f>
        <v/>
      </c>
      <c r="H2961">
        <f>IF(ISNUMBER(B2961),MONTH(B2961),"")</f>
        <v/>
      </c>
      <c r="I2961">
        <f>IFERROR(IF($B$1=0,"",IF(ISNUMBER(INDEX(貼り付け!$A$1:$BZ$3001,2960,$B$1)),"",SUBSTITUTE(SUBSTITUTE(SUBSTITUTE(SUBSTITUTE(TRIM(LEFT(INDEX(貼り付け!$A$1:$BZ$3001,2960,$B$1)&amp;"",FIND(" ",TRIM(INDEX(貼り付け!$A$1:$BZ$3001,2960,$B$1)&amp;"")&amp;" ")-1)),"/","-"),"年","-"),"月","-"),"日",""))),"")</f>
        <v/>
      </c>
      <c r="J2961">
        <f>IFERROR(MID(I2961,FIND("-",I2961)+1,99),"")</f>
        <v/>
      </c>
    </row>
    <row r="2962">
      <c r="B2962">
        <f>IFERROR(IF($B$1=0,"",IF(INDEX(貼り付け!$A$1:$BZ$3001,2961,$B$1)="","",IF(ISNUMBER(INDEX(貼り付け!$A$1:$BZ$3001,2961,$B$1)),INT(INDEX(貼り付け!$A$1:$BZ$3001,2961,$B$1)),DATE(VALUE(LEFT(I2962,FIND("-",I2962)-1)),VALUE(LEFT(J2962,FIND("-",J2962)-1)),VALUE(MID(J2962,FIND("-",J2962)+1,99)))))),"")</f>
        <v/>
      </c>
      <c r="C2962">
        <f>IF($C$1=0,0,IFERROR(VALUE(SUBSTITUTE(SUBSTITUTE(SUBSTITUTE(INDEX(貼り付け!$A$1:$BZ$3001,2961,$C$1)&amp;"",",",""),"¥",""),"￥","")),0))</f>
        <v/>
      </c>
      <c r="D2962">
        <f>IF($D$1=0,0,IFERROR(VALUE(SUBSTITUTE(SUBSTITUTE(SUBSTITUTE(INDEX(貼り付け!$A$1:$BZ$3001,2961,$D$1)&amp;"",",",""),"¥",""),"￥","")),0))</f>
        <v/>
      </c>
      <c r="E2962">
        <f>IF($E$1=0,0,IFERROR(VALUE(SUBSTITUTE(SUBSTITUTE(SUBSTITUTE(INDEX(貼り付け!$A$1:$BZ$3001,2961,$E$1)&amp;"",",",""),"¥",""),"￥","")),0))</f>
        <v/>
      </c>
      <c r="F2962">
        <f>IF($F$1=0,0,IFERROR(VALUE(SUBSTITUTE(SUBSTITUTE(SUBSTITUTE(INDEX(貼り付け!$A$1:$BZ$3001,2961,$F$1)&amp;"",",",""),"¥",""),"￥","")),0))</f>
        <v/>
      </c>
      <c r="G2962">
        <f>IF(ISNUMBER(B2962),YEAR(B2962),"")</f>
        <v/>
      </c>
      <c r="H2962">
        <f>IF(ISNUMBER(B2962),MONTH(B2962),"")</f>
        <v/>
      </c>
      <c r="I2962">
        <f>IFERROR(IF($B$1=0,"",IF(ISNUMBER(INDEX(貼り付け!$A$1:$BZ$3001,2961,$B$1)),"",SUBSTITUTE(SUBSTITUTE(SUBSTITUTE(SUBSTITUTE(TRIM(LEFT(INDEX(貼り付け!$A$1:$BZ$3001,2961,$B$1)&amp;"",FIND(" ",TRIM(INDEX(貼り付け!$A$1:$BZ$3001,2961,$B$1)&amp;"")&amp;" ")-1)),"/","-"),"年","-"),"月","-"),"日",""))),"")</f>
        <v/>
      </c>
      <c r="J2962">
        <f>IFERROR(MID(I2962,FIND("-",I2962)+1,99),"")</f>
        <v/>
      </c>
    </row>
    <row r="2963">
      <c r="B2963">
        <f>IFERROR(IF($B$1=0,"",IF(INDEX(貼り付け!$A$1:$BZ$3001,2962,$B$1)="","",IF(ISNUMBER(INDEX(貼り付け!$A$1:$BZ$3001,2962,$B$1)),INT(INDEX(貼り付け!$A$1:$BZ$3001,2962,$B$1)),DATE(VALUE(LEFT(I2963,FIND("-",I2963)-1)),VALUE(LEFT(J2963,FIND("-",J2963)-1)),VALUE(MID(J2963,FIND("-",J2963)+1,99)))))),"")</f>
        <v/>
      </c>
      <c r="C2963">
        <f>IF($C$1=0,0,IFERROR(VALUE(SUBSTITUTE(SUBSTITUTE(SUBSTITUTE(INDEX(貼り付け!$A$1:$BZ$3001,2962,$C$1)&amp;"",",",""),"¥",""),"￥","")),0))</f>
        <v/>
      </c>
      <c r="D2963">
        <f>IF($D$1=0,0,IFERROR(VALUE(SUBSTITUTE(SUBSTITUTE(SUBSTITUTE(INDEX(貼り付け!$A$1:$BZ$3001,2962,$D$1)&amp;"",",",""),"¥",""),"￥","")),0))</f>
        <v/>
      </c>
      <c r="E2963">
        <f>IF($E$1=0,0,IFERROR(VALUE(SUBSTITUTE(SUBSTITUTE(SUBSTITUTE(INDEX(貼り付け!$A$1:$BZ$3001,2962,$E$1)&amp;"",",",""),"¥",""),"￥","")),0))</f>
        <v/>
      </c>
      <c r="F2963">
        <f>IF($F$1=0,0,IFERROR(VALUE(SUBSTITUTE(SUBSTITUTE(SUBSTITUTE(INDEX(貼り付け!$A$1:$BZ$3001,2962,$F$1)&amp;"",",",""),"¥",""),"￥","")),0))</f>
        <v/>
      </c>
      <c r="G2963">
        <f>IF(ISNUMBER(B2963),YEAR(B2963),"")</f>
        <v/>
      </c>
      <c r="H2963">
        <f>IF(ISNUMBER(B2963),MONTH(B2963),"")</f>
        <v/>
      </c>
      <c r="I2963">
        <f>IFERROR(IF($B$1=0,"",IF(ISNUMBER(INDEX(貼り付け!$A$1:$BZ$3001,2962,$B$1)),"",SUBSTITUTE(SUBSTITUTE(SUBSTITUTE(SUBSTITUTE(TRIM(LEFT(INDEX(貼り付け!$A$1:$BZ$3001,2962,$B$1)&amp;"",FIND(" ",TRIM(INDEX(貼り付け!$A$1:$BZ$3001,2962,$B$1)&amp;"")&amp;" ")-1)),"/","-"),"年","-"),"月","-"),"日",""))),"")</f>
        <v/>
      </c>
      <c r="J2963">
        <f>IFERROR(MID(I2963,FIND("-",I2963)+1,99),"")</f>
        <v/>
      </c>
    </row>
    <row r="2964">
      <c r="B2964">
        <f>IFERROR(IF($B$1=0,"",IF(INDEX(貼り付け!$A$1:$BZ$3001,2963,$B$1)="","",IF(ISNUMBER(INDEX(貼り付け!$A$1:$BZ$3001,2963,$B$1)),INT(INDEX(貼り付け!$A$1:$BZ$3001,2963,$B$1)),DATE(VALUE(LEFT(I2964,FIND("-",I2964)-1)),VALUE(LEFT(J2964,FIND("-",J2964)-1)),VALUE(MID(J2964,FIND("-",J2964)+1,99)))))),"")</f>
        <v/>
      </c>
      <c r="C2964">
        <f>IF($C$1=0,0,IFERROR(VALUE(SUBSTITUTE(SUBSTITUTE(SUBSTITUTE(INDEX(貼り付け!$A$1:$BZ$3001,2963,$C$1)&amp;"",",",""),"¥",""),"￥","")),0))</f>
        <v/>
      </c>
      <c r="D2964">
        <f>IF($D$1=0,0,IFERROR(VALUE(SUBSTITUTE(SUBSTITUTE(SUBSTITUTE(INDEX(貼り付け!$A$1:$BZ$3001,2963,$D$1)&amp;"",",",""),"¥",""),"￥","")),0))</f>
        <v/>
      </c>
      <c r="E2964">
        <f>IF($E$1=0,0,IFERROR(VALUE(SUBSTITUTE(SUBSTITUTE(SUBSTITUTE(INDEX(貼り付け!$A$1:$BZ$3001,2963,$E$1)&amp;"",",",""),"¥",""),"￥","")),0))</f>
        <v/>
      </c>
      <c r="F2964">
        <f>IF($F$1=0,0,IFERROR(VALUE(SUBSTITUTE(SUBSTITUTE(SUBSTITUTE(INDEX(貼り付け!$A$1:$BZ$3001,2963,$F$1)&amp;"",",",""),"¥",""),"￥","")),0))</f>
        <v/>
      </c>
      <c r="G2964">
        <f>IF(ISNUMBER(B2964),YEAR(B2964),"")</f>
        <v/>
      </c>
      <c r="H2964">
        <f>IF(ISNUMBER(B2964),MONTH(B2964),"")</f>
        <v/>
      </c>
      <c r="I2964">
        <f>IFERROR(IF($B$1=0,"",IF(ISNUMBER(INDEX(貼り付け!$A$1:$BZ$3001,2963,$B$1)),"",SUBSTITUTE(SUBSTITUTE(SUBSTITUTE(SUBSTITUTE(TRIM(LEFT(INDEX(貼り付け!$A$1:$BZ$3001,2963,$B$1)&amp;"",FIND(" ",TRIM(INDEX(貼り付け!$A$1:$BZ$3001,2963,$B$1)&amp;"")&amp;" ")-1)),"/","-"),"年","-"),"月","-"),"日",""))),"")</f>
        <v/>
      </c>
      <c r="J2964">
        <f>IFERROR(MID(I2964,FIND("-",I2964)+1,99),"")</f>
        <v/>
      </c>
    </row>
    <row r="2965">
      <c r="B2965">
        <f>IFERROR(IF($B$1=0,"",IF(INDEX(貼り付け!$A$1:$BZ$3001,2964,$B$1)="","",IF(ISNUMBER(INDEX(貼り付け!$A$1:$BZ$3001,2964,$B$1)),INT(INDEX(貼り付け!$A$1:$BZ$3001,2964,$B$1)),DATE(VALUE(LEFT(I2965,FIND("-",I2965)-1)),VALUE(LEFT(J2965,FIND("-",J2965)-1)),VALUE(MID(J2965,FIND("-",J2965)+1,99)))))),"")</f>
        <v/>
      </c>
      <c r="C2965">
        <f>IF($C$1=0,0,IFERROR(VALUE(SUBSTITUTE(SUBSTITUTE(SUBSTITUTE(INDEX(貼り付け!$A$1:$BZ$3001,2964,$C$1)&amp;"",",",""),"¥",""),"￥","")),0))</f>
        <v/>
      </c>
      <c r="D2965">
        <f>IF($D$1=0,0,IFERROR(VALUE(SUBSTITUTE(SUBSTITUTE(SUBSTITUTE(INDEX(貼り付け!$A$1:$BZ$3001,2964,$D$1)&amp;"",",",""),"¥",""),"￥","")),0))</f>
        <v/>
      </c>
      <c r="E2965">
        <f>IF($E$1=0,0,IFERROR(VALUE(SUBSTITUTE(SUBSTITUTE(SUBSTITUTE(INDEX(貼り付け!$A$1:$BZ$3001,2964,$E$1)&amp;"",",",""),"¥",""),"￥","")),0))</f>
        <v/>
      </c>
      <c r="F2965">
        <f>IF($F$1=0,0,IFERROR(VALUE(SUBSTITUTE(SUBSTITUTE(SUBSTITUTE(INDEX(貼り付け!$A$1:$BZ$3001,2964,$F$1)&amp;"",",",""),"¥",""),"￥","")),0))</f>
        <v/>
      </c>
      <c r="G2965">
        <f>IF(ISNUMBER(B2965),YEAR(B2965),"")</f>
        <v/>
      </c>
      <c r="H2965">
        <f>IF(ISNUMBER(B2965),MONTH(B2965),"")</f>
        <v/>
      </c>
      <c r="I2965">
        <f>IFERROR(IF($B$1=0,"",IF(ISNUMBER(INDEX(貼り付け!$A$1:$BZ$3001,2964,$B$1)),"",SUBSTITUTE(SUBSTITUTE(SUBSTITUTE(SUBSTITUTE(TRIM(LEFT(INDEX(貼り付け!$A$1:$BZ$3001,2964,$B$1)&amp;"",FIND(" ",TRIM(INDEX(貼り付け!$A$1:$BZ$3001,2964,$B$1)&amp;"")&amp;" ")-1)),"/","-"),"年","-"),"月","-"),"日",""))),"")</f>
        <v/>
      </c>
      <c r="J2965">
        <f>IFERROR(MID(I2965,FIND("-",I2965)+1,99),"")</f>
        <v/>
      </c>
    </row>
    <row r="2966">
      <c r="B2966">
        <f>IFERROR(IF($B$1=0,"",IF(INDEX(貼り付け!$A$1:$BZ$3001,2965,$B$1)="","",IF(ISNUMBER(INDEX(貼り付け!$A$1:$BZ$3001,2965,$B$1)),INT(INDEX(貼り付け!$A$1:$BZ$3001,2965,$B$1)),DATE(VALUE(LEFT(I2966,FIND("-",I2966)-1)),VALUE(LEFT(J2966,FIND("-",J2966)-1)),VALUE(MID(J2966,FIND("-",J2966)+1,99)))))),"")</f>
        <v/>
      </c>
      <c r="C2966">
        <f>IF($C$1=0,0,IFERROR(VALUE(SUBSTITUTE(SUBSTITUTE(SUBSTITUTE(INDEX(貼り付け!$A$1:$BZ$3001,2965,$C$1)&amp;"",",",""),"¥",""),"￥","")),0))</f>
        <v/>
      </c>
      <c r="D2966">
        <f>IF($D$1=0,0,IFERROR(VALUE(SUBSTITUTE(SUBSTITUTE(SUBSTITUTE(INDEX(貼り付け!$A$1:$BZ$3001,2965,$D$1)&amp;"",",",""),"¥",""),"￥","")),0))</f>
        <v/>
      </c>
      <c r="E2966">
        <f>IF($E$1=0,0,IFERROR(VALUE(SUBSTITUTE(SUBSTITUTE(SUBSTITUTE(INDEX(貼り付け!$A$1:$BZ$3001,2965,$E$1)&amp;"",",",""),"¥",""),"￥","")),0))</f>
        <v/>
      </c>
      <c r="F2966">
        <f>IF($F$1=0,0,IFERROR(VALUE(SUBSTITUTE(SUBSTITUTE(SUBSTITUTE(INDEX(貼り付け!$A$1:$BZ$3001,2965,$F$1)&amp;"",",",""),"¥",""),"￥","")),0))</f>
        <v/>
      </c>
      <c r="G2966">
        <f>IF(ISNUMBER(B2966),YEAR(B2966),"")</f>
        <v/>
      </c>
      <c r="H2966">
        <f>IF(ISNUMBER(B2966),MONTH(B2966),"")</f>
        <v/>
      </c>
      <c r="I2966">
        <f>IFERROR(IF($B$1=0,"",IF(ISNUMBER(INDEX(貼り付け!$A$1:$BZ$3001,2965,$B$1)),"",SUBSTITUTE(SUBSTITUTE(SUBSTITUTE(SUBSTITUTE(TRIM(LEFT(INDEX(貼り付け!$A$1:$BZ$3001,2965,$B$1)&amp;"",FIND(" ",TRIM(INDEX(貼り付け!$A$1:$BZ$3001,2965,$B$1)&amp;"")&amp;" ")-1)),"/","-"),"年","-"),"月","-"),"日",""))),"")</f>
        <v/>
      </c>
      <c r="J2966">
        <f>IFERROR(MID(I2966,FIND("-",I2966)+1,99),"")</f>
        <v/>
      </c>
    </row>
    <row r="2967">
      <c r="B2967">
        <f>IFERROR(IF($B$1=0,"",IF(INDEX(貼り付け!$A$1:$BZ$3001,2966,$B$1)="","",IF(ISNUMBER(INDEX(貼り付け!$A$1:$BZ$3001,2966,$B$1)),INT(INDEX(貼り付け!$A$1:$BZ$3001,2966,$B$1)),DATE(VALUE(LEFT(I2967,FIND("-",I2967)-1)),VALUE(LEFT(J2967,FIND("-",J2967)-1)),VALUE(MID(J2967,FIND("-",J2967)+1,99)))))),"")</f>
        <v/>
      </c>
      <c r="C2967">
        <f>IF($C$1=0,0,IFERROR(VALUE(SUBSTITUTE(SUBSTITUTE(SUBSTITUTE(INDEX(貼り付け!$A$1:$BZ$3001,2966,$C$1)&amp;"",",",""),"¥",""),"￥","")),0))</f>
        <v/>
      </c>
      <c r="D2967">
        <f>IF($D$1=0,0,IFERROR(VALUE(SUBSTITUTE(SUBSTITUTE(SUBSTITUTE(INDEX(貼り付け!$A$1:$BZ$3001,2966,$D$1)&amp;"",",",""),"¥",""),"￥","")),0))</f>
        <v/>
      </c>
      <c r="E2967">
        <f>IF($E$1=0,0,IFERROR(VALUE(SUBSTITUTE(SUBSTITUTE(SUBSTITUTE(INDEX(貼り付け!$A$1:$BZ$3001,2966,$E$1)&amp;"",",",""),"¥",""),"￥","")),0))</f>
        <v/>
      </c>
      <c r="F2967">
        <f>IF($F$1=0,0,IFERROR(VALUE(SUBSTITUTE(SUBSTITUTE(SUBSTITUTE(INDEX(貼り付け!$A$1:$BZ$3001,2966,$F$1)&amp;"",",",""),"¥",""),"￥","")),0))</f>
        <v/>
      </c>
      <c r="G2967">
        <f>IF(ISNUMBER(B2967),YEAR(B2967),"")</f>
        <v/>
      </c>
      <c r="H2967">
        <f>IF(ISNUMBER(B2967),MONTH(B2967),"")</f>
        <v/>
      </c>
      <c r="I2967">
        <f>IFERROR(IF($B$1=0,"",IF(ISNUMBER(INDEX(貼り付け!$A$1:$BZ$3001,2966,$B$1)),"",SUBSTITUTE(SUBSTITUTE(SUBSTITUTE(SUBSTITUTE(TRIM(LEFT(INDEX(貼り付け!$A$1:$BZ$3001,2966,$B$1)&amp;"",FIND(" ",TRIM(INDEX(貼り付け!$A$1:$BZ$3001,2966,$B$1)&amp;"")&amp;" ")-1)),"/","-"),"年","-"),"月","-"),"日",""))),"")</f>
        <v/>
      </c>
      <c r="J2967">
        <f>IFERROR(MID(I2967,FIND("-",I2967)+1,99),"")</f>
        <v/>
      </c>
    </row>
    <row r="2968">
      <c r="B2968">
        <f>IFERROR(IF($B$1=0,"",IF(INDEX(貼り付け!$A$1:$BZ$3001,2967,$B$1)="","",IF(ISNUMBER(INDEX(貼り付け!$A$1:$BZ$3001,2967,$B$1)),INT(INDEX(貼り付け!$A$1:$BZ$3001,2967,$B$1)),DATE(VALUE(LEFT(I2968,FIND("-",I2968)-1)),VALUE(LEFT(J2968,FIND("-",J2968)-1)),VALUE(MID(J2968,FIND("-",J2968)+1,99)))))),"")</f>
        <v/>
      </c>
      <c r="C2968">
        <f>IF($C$1=0,0,IFERROR(VALUE(SUBSTITUTE(SUBSTITUTE(SUBSTITUTE(INDEX(貼り付け!$A$1:$BZ$3001,2967,$C$1)&amp;"",",",""),"¥",""),"￥","")),0))</f>
        <v/>
      </c>
      <c r="D2968">
        <f>IF($D$1=0,0,IFERROR(VALUE(SUBSTITUTE(SUBSTITUTE(SUBSTITUTE(INDEX(貼り付け!$A$1:$BZ$3001,2967,$D$1)&amp;"",",",""),"¥",""),"￥","")),0))</f>
        <v/>
      </c>
      <c r="E2968">
        <f>IF($E$1=0,0,IFERROR(VALUE(SUBSTITUTE(SUBSTITUTE(SUBSTITUTE(INDEX(貼り付け!$A$1:$BZ$3001,2967,$E$1)&amp;"",",",""),"¥",""),"￥","")),0))</f>
        <v/>
      </c>
      <c r="F2968">
        <f>IF($F$1=0,0,IFERROR(VALUE(SUBSTITUTE(SUBSTITUTE(SUBSTITUTE(INDEX(貼り付け!$A$1:$BZ$3001,2967,$F$1)&amp;"",",",""),"¥",""),"￥","")),0))</f>
        <v/>
      </c>
      <c r="G2968">
        <f>IF(ISNUMBER(B2968),YEAR(B2968),"")</f>
        <v/>
      </c>
      <c r="H2968">
        <f>IF(ISNUMBER(B2968),MONTH(B2968),"")</f>
        <v/>
      </c>
      <c r="I2968">
        <f>IFERROR(IF($B$1=0,"",IF(ISNUMBER(INDEX(貼り付け!$A$1:$BZ$3001,2967,$B$1)),"",SUBSTITUTE(SUBSTITUTE(SUBSTITUTE(SUBSTITUTE(TRIM(LEFT(INDEX(貼り付け!$A$1:$BZ$3001,2967,$B$1)&amp;"",FIND(" ",TRIM(INDEX(貼り付け!$A$1:$BZ$3001,2967,$B$1)&amp;"")&amp;" ")-1)),"/","-"),"年","-"),"月","-"),"日",""))),"")</f>
        <v/>
      </c>
      <c r="J2968">
        <f>IFERROR(MID(I2968,FIND("-",I2968)+1,99),"")</f>
        <v/>
      </c>
    </row>
    <row r="2969">
      <c r="B2969">
        <f>IFERROR(IF($B$1=0,"",IF(INDEX(貼り付け!$A$1:$BZ$3001,2968,$B$1)="","",IF(ISNUMBER(INDEX(貼り付け!$A$1:$BZ$3001,2968,$B$1)),INT(INDEX(貼り付け!$A$1:$BZ$3001,2968,$B$1)),DATE(VALUE(LEFT(I2969,FIND("-",I2969)-1)),VALUE(LEFT(J2969,FIND("-",J2969)-1)),VALUE(MID(J2969,FIND("-",J2969)+1,99)))))),"")</f>
        <v/>
      </c>
      <c r="C2969">
        <f>IF($C$1=0,0,IFERROR(VALUE(SUBSTITUTE(SUBSTITUTE(SUBSTITUTE(INDEX(貼り付け!$A$1:$BZ$3001,2968,$C$1)&amp;"",",",""),"¥",""),"￥","")),0))</f>
        <v/>
      </c>
      <c r="D2969">
        <f>IF($D$1=0,0,IFERROR(VALUE(SUBSTITUTE(SUBSTITUTE(SUBSTITUTE(INDEX(貼り付け!$A$1:$BZ$3001,2968,$D$1)&amp;"",",",""),"¥",""),"￥","")),0))</f>
        <v/>
      </c>
      <c r="E2969">
        <f>IF($E$1=0,0,IFERROR(VALUE(SUBSTITUTE(SUBSTITUTE(SUBSTITUTE(INDEX(貼り付け!$A$1:$BZ$3001,2968,$E$1)&amp;"",",",""),"¥",""),"￥","")),0))</f>
        <v/>
      </c>
      <c r="F2969">
        <f>IF($F$1=0,0,IFERROR(VALUE(SUBSTITUTE(SUBSTITUTE(SUBSTITUTE(INDEX(貼り付け!$A$1:$BZ$3001,2968,$F$1)&amp;"",",",""),"¥",""),"￥","")),0))</f>
        <v/>
      </c>
      <c r="G2969">
        <f>IF(ISNUMBER(B2969),YEAR(B2969),"")</f>
        <v/>
      </c>
      <c r="H2969">
        <f>IF(ISNUMBER(B2969),MONTH(B2969),"")</f>
        <v/>
      </c>
      <c r="I2969">
        <f>IFERROR(IF($B$1=0,"",IF(ISNUMBER(INDEX(貼り付け!$A$1:$BZ$3001,2968,$B$1)),"",SUBSTITUTE(SUBSTITUTE(SUBSTITUTE(SUBSTITUTE(TRIM(LEFT(INDEX(貼り付け!$A$1:$BZ$3001,2968,$B$1)&amp;"",FIND(" ",TRIM(INDEX(貼り付け!$A$1:$BZ$3001,2968,$B$1)&amp;"")&amp;" ")-1)),"/","-"),"年","-"),"月","-"),"日",""))),"")</f>
        <v/>
      </c>
      <c r="J2969">
        <f>IFERROR(MID(I2969,FIND("-",I2969)+1,99),"")</f>
        <v/>
      </c>
    </row>
    <row r="2970">
      <c r="B2970">
        <f>IFERROR(IF($B$1=0,"",IF(INDEX(貼り付け!$A$1:$BZ$3001,2969,$B$1)="","",IF(ISNUMBER(INDEX(貼り付け!$A$1:$BZ$3001,2969,$B$1)),INT(INDEX(貼り付け!$A$1:$BZ$3001,2969,$B$1)),DATE(VALUE(LEFT(I2970,FIND("-",I2970)-1)),VALUE(LEFT(J2970,FIND("-",J2970)-1)),VALUE(MID(J2970,FIND("-",J2970)+1,99)))))),"")</f>
        <v/>
      </c>
      <c r="C2970">
        <f>IF($C$1=0,0,IFERROR(VALUE(SUBSTITUTE(SUBSTITUTE(SUBSTITUTE(INDEX(貼り付け!$A$1:$BZ$3001,2969,$C$1)&amp;"",",",""),"¥",""),"￥","")),0))</f>
        <v/>
      </c>
      <c r="D2970">
        <f>IF($D$1=0,0,IFERROR(VALUE(SUBSTITUTE(SUBSTITUTE(SUBSTITUTE(INDEX(貼り付け!$A$1:$BZ$3001,2969,$D$1)&amp;"",",",""),"¥",""),"￥","")),0))</f>
        <v/>
      </c>
      <c r="E2970">
        <f>IF($E$1=0,0,IFERROR(VALUE(SUBSTITUTE(SUBSTITUTE(SUBSTITUTE(INDEX(貼り付け!$A$1:$BZ$3001,2969,$E$1)&amp;"",",",""),"¥",""),"￥","")),0))</f>
        <v/>
      </c>
      <c r="F2970">
        <f>IF($F$1=0,0,IFERROR(VALUE(SUBSTITUTE(SUBSTITUTE(SUBSTITUTE(INDEX(貼り付け!$A$1:$BZ$3001,2969,$F$1)&amp;"",",",""),"¥",""),"￥","")),0))</f>
        <v/>
      </c>
      <c r="G2970">
        <f>IF(ISNUMBER(B2970),YEAR(B2970),"")</f>
        <v/>
      </c>
      <c r="H2970">
        <f>IF(ISNUMBER(B2970),MONTH(B2970),"")</f>
        <v/>
      </c>
      <c r="I2970">
        <f>IFERROR(IF($B$1=0,"",IF(ISNUMBER(INDEX(貼り付け!$A$1:$BZ$3001,2969,$B$1)),"",SUBSTITUTE(SUBSTITUTE(SUBSTITUTE(SUBSTITUTE(TRIM(LEFT(INDEX(貼り付け!$A$1:$BZ$3001,2969,$B$1)&amp;"",FIND(" ",TRIM(INDEX(貼り付け!$A$1:$BZ$3001,2969,$B$1)&amp;"")&amp;" ")-1)),"/","-"),"年","-"),"月","-"),"日",""))),"")</f>
        <v/>
      </c>
      <c r="J2970">
        <f>IFERROR(MID(I2970,FIND("-",I2970)+1,99),"")</f>
        <v/>
      </c>
    </row>
    <row r="2971">
      <c r="B2971">
        <f>IFERROR(IF($B$1=0,"",IF(INDEX(貼り付け!$A$1:$BZ$3001,2970,$B$1)="","",IF(ISNUMBER(INDEX(貼り付け!$A$1:$BZ$3001,2970,$B$1)),INT(INDEX(貼り付け!$A$1:$BZ$3001,2970,$B$1)),DATE(VALUE(LEFT(I2971,FIND("-",I2971)-1)),VALUE(LEFT(J2971,FIND("-",J2971)-1)),VALUE(MID(J2971,FIND("-",J2971)+1,99)))))),"")</f>
        <v/>
      </c>
      <c r="C2971">
        <f>IF($C$1=0,0,IFERROR(VALUE(SUBSTITUTE(SUBSTITUTE(SUBSTITUTE(INDEX(貼り付け!$A$1:$BZ$3001,2970,$C$1)&amp;"",",",""),"¥",""),"￥","")),0))</f>
        <v/>
      </c>
      <c r="D2971">
        <f>IF($D$1=0,0,IFERROR(VALUE(SUBSTITUTE(SUBSTITUTE(SUBSTITUTE(INDEX(貼り付け!$A$1:$BZ$3001,2970,$D$1)&amp;"",",",""),"¥",""),"￥","")),0))</f>
        <v/>
      </c>
      <c r="E2971">
        <f>IF($E$1=0,0,IFERROR(VALUE(SUBSTITUTE(SUBSTITUTE(SUBSTITUTE(INDEX(貼り付け!$A$1:$BZ$3001,2970,$E$1)&amp;"",",",""),"¥",""),"￥","")),0))</f>
        <v/>
      </c>
      <c r="F2971">
        <f>IF($F$1=0,0,IFERROR(VALUE(SUBSTITUTE(SUBSTITUTE(SUBSTITUTE(INDEX(貼り付け!$A$1:$BZ$3001,2970,$F$1)&amp;"",",",""),"¥",""),"￥","")),0))</f>
        <v/>
      </c>
      <c r="G2971">
        <f>IF(ISNUMBER(B2971),YEAR(B2971),"")</f>
        <v/>
      </c>
      <c r="H2971">
        <f>IF(ISNUMBER(B2971),MONTH(B2971),"")</f>
        <v/>
      </c>
      <c r="I2971">
        <f>IFERROR(IF($B$1=0,"",IF(ISNUMBER(INDEX(貼り付け!$A$1:$BZ$3001,2970,$B$1)),"",SUBSTITUTE(SUBSTITUTE(SUBSTITUTE(SUBSTITUTE(TRIM(LEFT(INDEX(貼り付け!$A$1:$BZ$3001,2970,$B$1)&amp;"",FIND(" ",TRIM(INDEX(貼り付け!$A$1:$BZ$3001,2970,$B$1)&amp;"")&amp;" ")-1)),"/","-"),"年","-"),"月","-"),"日",""))),"")</f>
        <v/>
      </c>
      <c r="J2971">
        <f>IFERROR(MID(I2971,FIND("-",I2971)+1,99),"")</f>
        <v/>
      </c>
    </row>
    <row r="2972">
      <c r="B2972">
        <f>IFERROR(IF($B$1=0,"",IF(INDEX(貼り付け!$A$1:$BZ$3001,2971,$B$1)="","",IF(ISNUMBER(INDEX(貼り付け!$A$1:$BZ$3001,2971,$B$1)),INT(INDEX(貼り付け!$A$1:$BZ$3001,2971,$B$1)),DATE(VALUE(LEFT(I2972,FIND("-",I2972)-1)),VALUE(LEFT(J2972,FIND("-",J2972)-1)),VALUE(MID(J2972,FIND("-",J2972)+1,99)))))),"")</f>
        <v/>
      </c>
      <c r="C2972">
        <f>IF($C$1=0,0,IFERROR(VALUE(SUBSTITUTE(SUBSTITUTE(SUBSTITUTE(INDEX(貼り付け!$A$1:$BZ$3001,2971,$C$1)&amp;"",",",""),"¥",""),"￥","")),0))</f>
        <v/>
      </c>
      <c r="D2972">
        <f>IF($D$1=0,0,IFERROR(VALUE(SUBSTITUTE(SUBSTITUTE(SUBSTITUTE(INDEX(貼り付け!$A$1:$BZ$3001,2971,$D$1)&amp;"",",",""),"¥",""),"￥","")),0))</f>
        <v/>
      </c>
      <c r="E2972">
        <f>IF($E$1=0,0,IFERROR(VALUE(SUBSTITUTE(SUBSTITUTE(SUBSTITUTE(INDEX(貼り付け!$A$1:$BZ$3001,2971,$E$1)&amp;"",",",""),"¥",""),"￥","")),0))</f>
        <v/>
      </c>
      <c r="F2972">
        <f>IF($F$1=0,0,IFERROR(VALUE(SUBSTITUTE(SUBSTITUTE(SUBSTITUTE(INDEX(貼り付け!$A$1:$BZ$3001,2971,$F$1)&amp;"",",",""),"¥",""),"￥","")),0))</f>
        <v/>
      </c>
      <c r="G2972">
        <f>IF(ISNUMBER(B2972),YEAR(B2972),"")</f>
        <v/>
      </c>
      <c r="H2972">
        <f>IF(ISNUMBER(B2972),MONTH(B2972),"")</f>
        <v/>
      </c>
      <c r="I2972">
        <f>IFERROR(IF($B$1=0,"",IF(ISNUMBER(INDEX(貼り付け!$A$1:$BZ$3001,2971,$B$1)),"",SUBSTITUTE(SUBSTITUTE(SUBSTITUTE(SUBSTITUTE(TRIM(LEFT(INDEX(貼り付け!$A$1:$BZ$3001,2971,$B$1)&amp;"",FIND(" ",TRIM(INDEX(貼り付け!$A$1:$BZ$3001,2971,$B$1)&amp;"")&amp;" ")-1)),"/","-"),"年","-"),"月","-"),"日",""))),"")</f>
        <v/>
      </c>
      <c r="J2972">
        <f>IFERROR(MID(I2972,FIND("-",I2972)+1,99),"")</f>
        <v/>
      </c>
    </row>
    <row r="2973">
      <c r="B2973">
        <f>IFERROR(IF($B$1=0,"",IF(INDEX(貼り付け!$A$1:$BZ$3001,2972,$B$1)="","",IF(ISNUMBER(INDEX(貼り付け!$A$1:$BZ$3001,2972,$B$1)),INT(INDEX(貼り付け!$A$1:$BZ$3001,2972,$B$1)),DATE(VALUE(LEFT(I2973,FIND("-",I2973)-1)),VALUE(LEFT(J2973,FIND("-",J2973)-1)),VALUE(MID(J2973,FIND("-",J2973)+1,99)))))),"")</f>
        <v/>
      </c>
      <c r="C2973">
        <f>IF($C$1=0,0,IFERROR(VALUE(SUBSTITUTE(SUBSTITUTE(SUBSTITUTE(INDEX(貼り付け!$A$1:$BZ$3001,2972,$C$1)&amp;"",",",""),"¥",""),"￥","")),0))</f>
        <v/>
      </c>
      <c r="D2973">
        <f>IF($D$1=0,0,IFERROR(VALUE(SUBSTITUTE(SUBSTITUTE(SUBSTITUTE(INDEX(貼り付け!$A$1:$BZ$3001,2972,$D$1)&amp;"",",",""),"¥",""),"￥","")),0))</f>
        <v/>
      </c>
      <c r="E2973">
        <f>IF($E$1=0,0,IFERROR(VALUE(SUBSTITUTE(SUBSTITUTE(SUBSTITUTE(INDEX(貼り付け!$A$1:$BZ$3001,2972,$E$1)&amp;"",",",""),"¥",""),"￥","")),0))</f>
        <v/>
      </c>
      <c r="F2973">
        <f>IF($F$1=0,0,IFERROR(VALUE(SUBSTITUTE(SUBSTITUTE(SUBSTITUTE(INDEX(貼り付け!$A$1:$BZ$3001,2972,$F$1)&amp;"",",",""),"¥",""),"￥","")),0))</f>
        <v/>
      </c>
      <c r="G2973">
        <f>IF(ISNUMBER(B2973),YEAR(B2973),"")</f>
        <v/>
      </c>
      <c r="H2973">
        <f>IF(ISNUMBER(B2973),MONTH(B2973),"")</f>
        <v/>
      </c>
      <c r="I2973">
        <f>IFERROR(IF($B$1=0,"",IF(ISNUMBER(INDEX(貼り付け!$A$1:$BZ$3001,2972,$B$1)),"",SUBSTITUTE(SUBSTITUTE(SUBSTITUTE(SUBSTITUTE(TRIM(LEFT(INDEX(貼り付け!$A$1:$BZ$3001,2972,$B$1)&amp;"",FIND(" ",TRIM(INDEX(貼り付け!$A$1:$BZ$3001,2972,$B$1)&amp;"")&amp;" ")-1)),"/","-"),"年","-"),"月","-"),"日",""))),"")</f>
        <v/>
      </c>
      <c r="J2973">
        <f>IFERROR(MID(I2973,FIND("-",I2973)+1,99),"")</f>
        <v/>
      </c>
    </row>
    <row r="2974">
      <c r="B2974">
        <f>IFERROR(IF($B$1=0,"",IF(INDEX(貼り付け!$A$1:$BZ$3001,2973,$B$1)="","",IF(ISNUMBER(INDEX(貼り付け!$A$1:$BZ$3001,2973,$B$1)),INT(INDEX(貼り付け!$A$1:$BZ$3001,2973,$B$1)),DATE(VALUE(LEFT(I2974,FIND("-",I2974)-1)),VALUE(LEFT(J2974,FIND("-",J2974)-1)),VALUE(MID(J2974,FIND("-",J2974)+1,99)))))),"")</f>
        <v/>
      </c>
      <c r="C2974">
        <f>IF($C$1=0,0,IFERROR(VALUE(SUBSTITUTE(SUBSTITUTE(SUBSTITUTE(INDEX(貼り付け!$A$1:$BZ$3001,2973,$C$1)&amp;"",",",""),"¥",""),"￥","")),0))</f>
        <v/>
      </c>
      <c r="D2974">
        <f>IF($D$1=0,0,IFERROR(VALUE(SUBSTITUTE(SUBSTITUTE(SUBSTITUTE(INDEX(貼り付け!$A$1:$BZ$3001,2973,$D$1)&amp;"",",",""),"¥",""),"￥","")),0))</f>
        <v/>
      </c>
      <c r="E2974">
        <f>IF($E$1=0,0,IFERROR(VALUE(SUBSTITUTE(SUBSTITUTE(SUBSTITUTE(INDEX(貼り付け!$A$1:$BZ$3001,2973,$E$1)&amp;"",",",""),"¥",""),"￥","")),0))</f>
        <v/>
      </c>
      <c r="F2974">
        <f>IF($F$1=0,0,IFERROR(VALUE(SUBSTITUTE(SUBSTITUTE(SUBSTITUTE(INDEX(貼り付け!$A$1:$BZ$3001,2973,$F$1)&amp;"",",",""),"¥",""),"￥","")),0))</f>
        <v/>
      </c>
      <c r="G2974">
        <f>IF(ISNUMBER(B2974),YEAR(B2974),"")</f>
        <v/>
      </c>
      <c r="H2974">
        <f>IF(ISNUMBER(B2974),MONTH(B2974),"")</f>
        <v/>
      </c>
      <c r="I2974">
        <f>IFERROR(IF($B$1=0,"",IF(ISNUMBER(INDEX(貼り付け!$A$1:$BZ$3001,2973,$B$1)),"",SUBSTITUTE(SUBSTITUTE(SUBSTITUTE(SUBSTITUTE(TRIM(LEFT(INDEX(貼り付け!$A$1:$BZ$3001,2973,$B$1)&amp;"",FIND(" ",TRIM(INDEX(貼り付け!$A$1:$BZ$3001,2973,$B$1)&amp;"")&amp;" ")-1)),"/","-"),"年","-"),"月","-"),"日",""))),"")</f>
        <v/>
      </c>
      <c r="J2974">
        <f>IFERROR(MID(I2974,FIND("-",I2974)+1,99),"")</f>
        <v/>
      </c>
    </row>
    <row r="2975">
      <c r="B2975">
        <f>IFERROR(IF($B$1=0,"",IF(INDEX(貼り付け!$A$1:$BZ$3001,2974,$B$1)="","",IF(ISNUMBER(INDEX(貼り付け!$A$1:$BZ$3001,2974,$B$1)),INT(INDEX(貼り付け!$A$1:$BZ$3001,2974,$B$1)),DATE(VALUE(LEFT(I2975,FIND("-",I2975)-1)),VALUE(LEFT(J2975,FIND("-",J2975)-1)),VALUE(MID(J2975,FIND("-",J2975)+1,99)))))),"")</f>
        <v/>
      </c>
      <c r="C2975">
        <f>IF($C$1=0,0,IFERROR(VALUE(SUBSTITUTE(SUBSTITUTE(SUBSTITUTE(INDEX(貼り付け!$A$1:$BZ$3001,2974,$C$1)&amp;"",",",""),"¥",""),"￥","")),0))</f>
        <v/>
      </c>
      <c r="D2975">
        <f>IF($D$1=0,0,IFERROR(VALUE(SUBSTITUTE(SUBSTITUTE(SUBSTITUTE(INDEX(貼り付け!$A$1:$BZ$3001,2974,$D$1)&amp;"",",",""),"¥",""),"￥","")),0))</f>
        <v/>
      </c>
      <c r="E2975">
        <f>IF($E$1=0,0,IFERROR(VALUE(SUBSTITUTE(SUBSTITUTE(SUBSTITUTE(INDEX(貼り付け!$A$1:$BZ$3001,2974,$E$1)&amp;"",",",""),"¥",""),"￥","")),0))</f>
        <v/>
      </c>
      <c r="F2975">
        <f>IF($F$1=0,0,IFERROR(VALUE(SUBSTITUTE(SUBSTITUTE(SUBSTITUTE(INDEX(貼り付け!$A$1:$BZ$3001,2974,$F$1)&amp;"",",",""),"¥",""),"￥","")),0))</f>
        <v/>
      </c>
      <c r="G2975">
        <f>IF(ISNUMBER(B2975),YEAR(B2975),"")</f>
        <v/>
      </c>
      <c r="H2975">
        <f>IF(ISNUMBER(B2975),MONTH(B2975),"")</f>
        <v/>
      </c>
      <c r="I2975">
        <f>IFERROR(IF($B$1=0,"",IF(ISNUMBER(INDEX(貼り付け!$A$1:$BZ$3001,2974,$B$1)),"",SUBSTITUTE(SUBSTITUTE(SUBSTITUTE(SUBSTITUTE(TRIM(LEFT(INDEX(貼り付け!$A$1:$BZ$3001,2974,$B$1)&amp;"",FIND(" ",TRIM(INDEX(貼り付け!$A$1:$BZ$3001,2974,$B$1)&amp;"")&amp;" ")-1)),"/","-"),"年","-"),"月","-"),"日",""))),"")</f>
        <v/>
      </c>
      <c r="J2975">
        <f>IFERROR(MID(I2975,FIND("-",I2975)+1,99),"")</f>
        <v/>
      </c>
    </row>
    <row r="2976">
      <c r="B2976">
        <f>IFERROR(IF($B$1=0,"",IF(INDEX(貼り付け!$A$1:$BZ$3001,2975,$B$1)="","",IF(ISNUMBER(INDEX(貼り付け!$A$1:$BZ$3001,2975,$B$1)),INT(INDEX(貼り付け!$A$1:$BZ$3001,2975,$B$1)),DATE(VALUE(LEFT(I2976,FIND("-",I2976)-1)),VALUE(LEFT(J2976,FIND("-",J2976)-1)),VALUE(MID(J2976,FIND("-",J2976)+1,99)))))),"")</f>
        <v/>
      </c>
      <c r="C2976">
        <f>IF($C$1=0,0,IFERROR(VALUE(SUBSTITUTE(SUBSTITUTE(SUBSTITUTE(INDEX(貼り付け!$A$1:$BZ$3001,2975,$C$1)&amp;"",",",""),"¥",""),"￥","")),0))</f>
        <v/>
      </c>
      <c r="D2976">
        <f>IF($D$1=0,0,IFERROR(VALUE(SUBSTITUTE(SUBSTITUTE(SUBSTITUTE(INDEX(貼り付け!$A$1:$BZ$3001,2975,$D$1)&amp;"",",",""),"¥",""),"￥","")),0))</f>
        <v/>
      </c>
      <c r="E2976">
        <f>IF($E$1=0,0,IFERROR(VALUE(SUBSTITUTE(SUBSTITUTE(SUBSTITUTE(INDEX(貼り付け!$A$1:$BZ$3001,2975,$E$1)&amp;"",",",""),"¥",""),"￥","")),0))</f>
        <v/>
      </c>
      <c r="F2976">
        <f>IF($F$1=0,0,IFERROR(VALUE(SUBSTITUTE(SUBSTITUTE(SUBSTITUTE(INDEX(貼り付け!$A$1:$BZ$3001,2975,$F$1)&amp;"",",",""),"¥",""),"￥","")),0))</f>
        <v/>
      </c>
      <c r="G2976">
        <f>IF(ISNUMBER(B2976),YEAR(B2976),"")</f>
        <v/>
      </c>
      <c r="H2976">
        <f>IF(ISNUMBER(B2976),MONTH(B2976),"")</f>
        <v/>
      </c>
      <c r="I2976">
        <f>IFERROR(IF($B$1=0,"",IF(ISNUMBER(INDEX(貼り付け!$A$1:$BZ$3001,2975,$B$1)),"",SUBSTITUTE(SUBSTITUTE(SUBSTITUTE(SUBSTITUTE(TRIM(LEFT(INDEX(貼り付け!$A$1:$BZ$3001,2975,$B$1)&amp;"",FIND(" ",TRIM(INDEX(貼り付け!$A$1:$BZ$3001,2975,$B$1)&amp;"")&amp;" ")-1)),"/","-"),"年","-"),"月","-"),"日",""))),"")</f>
        <v/>
      </c>
      <c r="J2976">
        <f>IFERROR(MID(I2976,FIND("-",I2976)+1,99),"")</f>
        <v/>
      </c>
    </row>
    <row r="2977">
      <c r="B2977">
        <f>IFERROR(IF($B$1=0,"",IF(INDEX(貼り付け!$A$1:$BZ$3001,2976,$B$1)="","",IF(ISNUMBER(INDEX(貼り付け!$A$1:$BZ$3001,2976,$B$1)),INT(INDEX(貼り付け!$A$1:$BZ$3001,2976,$B$1)),DATE(VALUE(LEFT(I2977,FIND("-",I2977)-1)),VALUE(LEFT(J2977,FIND("-",J2977)-1)),VALUE(MID(J2977,FIND("-",J2977)+1,99)))))),"")</f>
        <v/>
      </c>
      <c r="C2977">
        <f>IF($C$1=0,0,IFERROR(VALUE(SUBSTITUTE(SUBSTITUTE(SUBSTITUTE(INDEX(貼り付け!$A$1:$BZ$3001,2976,$C$1)&amp;"",",",""),"¥",""),"￥","")),0))</f>
        <v/>
      </c>
      <c r="D2977">
        <f>IF($D$1=0,0,IFERROR(VALUE(SUBSTITUTE(SUBSTITUTE(SUBSTITUTE(INDEX(貼り付け!$A$1:$BZ$3001,2976,$D$1)&amp;"",",",""),"¥",""),"￥","")),0))</f>
        <v/>
      </c>
      <c r="E2977">
        <f>IF($E$1=0,0,IFERROR(VALUE(SUBSTITUTE(SUBSTITUTE(SUBSTITUTE(INDEX(貼り付け!$A$1:$BZ$3001,2976,$E$1)&amp;"",",",""),"¥",""),"￥","")),0))</f>
        <v/>
      </c>
      <c r="F2977">
        <f>IF($F$1=0,0,IFERROR(VALUE(SUBSTITUTE(SUBSTITUTE(SUBSTITUTE(INDEX(貼り付け!$A$1:$BZ$3001,2976,$F$1)&amp;"",",",""),"¥",""),"￥","")),0))</f>
        <v/>
      </c>
      <c r="G2977">
        <f>IF(ISNUMBER(B2977),YEAR(B2977),"")</f>
        <v/>
      </c>
      <c r="H2977">
        <f>IF(ISNUMBER(B2977),MONTH(B2977),"")</f>
        <v/>
      </c>
      <c r="I2977">
        <f>IFERROR(IF($B$1=0,"",IF(ISNUMBER(INDEX(貼り付け!$A$1:$BZ$3001,2976,$B$1)),"",SUBSTITUTE(SUBSTITUTE(SUBSTITUTE(SUBSTITUTE(TRIM(LEFT(INDEX(貼り付け!$A$1:$BZ$3001,2976,$B$1)&amp;"",FIND(" ",TRIM(INDEX(貼り付け!$A$1:$BZ$3001,2976,$B$1)&amp;"")&amp;" ")-1)),"/","-"),"年","-"),"月","-"),"日",""))),"")</f>
        <v/>
      </c>
      <c r="J2977">
        <f>IFERROR(MID(I2977,FIND("-",I2977)+1,99),"")</f>
        <v/>
      </c>
    </row>
    <row r="2978">
      <c r="B2978">
        <f>IFERROR(IF($B$1=0,"",IF(INDEX(貼り付け!$A$1:$BZ$3001,2977,$B$1)="","",IF(ISNUMBER(INDEX(貼り付け!$A$1:$BZ$3001,2977,$B$1)),INT(INDEX(貼り付け!$A$1:$BZ$3001,2977,$B$1)),DATE(VALUE(LEFT(I2978,FIND("-",I2978)-1)),VALUE(LEFT(J2978,FIND("-",J2978)-1)),VALUE(MID(J2978,FIND("-",J2978)+1,99)))))),"")</f>
        <v/>
      </c>
      <c r="C2978">
        <f>IF($C$1=0,0,IFERROR(VALUE(SUBSTITUTE(SUBSTITUTE(SUBSTITUTE(INDEX(貼り付け!$A$1:$BZ$3001,2977,$C$1)&amp;"",",",""),"¥",""),"￥","")),0))</f>
        <v/>
      </c>
      <c r="D2978">
        <f>IF($D$1=0,0,IFERROR(VALUE(SUBSTITUTE(SUBSTITUTE(SUBSTITUTE(INDEX(貼り付け!$A$1:$BZ$3001,2977,$D$1)&amp;"",",",""),"¥",""),"￥","")),0))</f>
        <v/>
      </c>
      <c r="E2978">
        <f>IF($E$1=0,0,IFERROR(VALUE(SUBSTITUTE(SUBSTITUTE(SUBSTITUTE(INDEX(貼り付け!$A$1:$BZ$3001,2977,$E$1)&amp;"",",",""),"¥",""),"￥","")),0))</f>
        <v/>
      </c>
      <c r="F2978">
        <f>IF($F$1=0,0,IFERROR(VALUE(SUBSTITUTE(SUBSTITUTE(SUBSTITUTE(INDEX(貼り付け!$A$1:$BZ$3001,2977,$F$1)&amp;"",",",""),"¥",""),"￥","")),0))</f>
        <v/>
      </c>
      <c r="G2978">
        <f>IF(ISNUMBER(B2978),YEAR(B2978),"")</f>
        <v/>
      </c>
      <c r="H2978">
        <f>IF(ISNUMBER(B2978),MONTH(B2978),"")</f>
        <v/>
      </c>
      <c r="I2978">
        <f>IFERROR(IF($B$1=0,"",IF(ISNUMBER(INDEX(貼り付け!$A$1:$BZ$3001,2977,$B$1)),"",SUBSTITUTE(SUBSTITUTE(SUBSTITUTE(SUBSTITUTE(TRIM(LEFT(INDEX(貼り付け!$A$1:$BZ$3001,2977,$B$1)&amp;"",FIND(" ",TRIM(INDEX(貼り付け!$A$1:$BZ$3001,2977,$B$1)&amp;"")&amp;" ")-1)),"/","-"),"年","-"),"月","-"),"日",""))),"")</f>
        <v/>
      </c>
      <c r="J2978">
        <f>IFERROR(MID(I2978,FIND("-",I2978)+1,99),"")</f>
        <v/>
      </c>
    </row>
    <row r="2979">
      <c r="B2979">
        <f>IFERROR(IF($B$1=0,"",IF(INDEX(貼り付け!$A$1:$BZ$3001,2978,$B$1)="","",IF(ISNUMBER(INDEX(貼り付け!$A$1:$BZ$3001,2978,$B$1)),INT(INDEX(貼り付け!$A$1:$BZ$3001,2978,$B$1)),DATE(VALUE(LEFT(I2979,FIND("-",I2979)-1)),VALUE(LEFT(J2979,FIND("-",J2979)-1)),VALUE(MID(J2979,FIND("-",J2979)+1,99)))))),"")</f>
        <v/>
      </c>
      <c r="C2979">
        <f>IF($C$1=0,0,IFERROR(VALUE(SUBSTITUTE(SUBSTITUTE(SUBSTITUTE(INDEX(貼り付け!$A$1:$BZ$3001,2978,$C$1)&amp;"",",",""),"¥",""),"￥","")),0))</f>
        <v/>
      </c>
      <c r="D2979">
        <f>IF($D$1=0,0,IFERROR(VALUE(SUBSTITUTE(SUBSTITUTE(SUBSTITUTE(INDEX(貼り付け!$A$1:$BZ$3001,2978,$D$1)&amp;"",",",""),"¥",""),"￥","")),0))</f>
        <v/>
      </c>
      <c r="E2979">
        <f>IF($E$1=0,0,IFERROR(VALUE(SUBSTITUTE(SUBSTITUTE(SUBSTITUTE(INDEX(貼り付け!$A$1:$BZ$3001,2978,$E$1)&amp;"",",",""),"¥",""),"￥","")),0))</f>
        <v/>
      </c>
      <c r="F2979">
        <f>IF($F$1=0,0,IFERROR(VALUE(SUBSTITUTE(SUBSTITUTE(SUBSTITUTE(INDEX(貼り付け!$A$1:$BZ$3001,2978,$F$1)&amp;"",",",""),"¥",""),"￥","")),0))</f>
        <v/>
      </c>
      <c r="G2979">
        <f>IF(ISNUMBER(B2979),YEAR(B2979),"")</f>
        <v/>
      </c>
      <c r="H2979">
        <f>IF(ISNUMBER(B2979),MONTH(B2979),"")</f>
        <v/>
      </c>
      <c r="I2979">
        <f>IFERROR(IF($B$1=0,"",IF(ISNUMBER(INDEX(貼り付け!$A$1:$BZ$3001,2978,$B$1)),"",SUBSTITUTE(SUBSTITUTE(SUBSTITUTE(SUBSTITUTE(TRIM(LEFT(INDEX(貼り付け!$A$1:$BZ$3001,2978,$B$1)&amp;"",FIND(" ",TRIM(INDEX(貼り付け!$A$1:$BZ$3001,2978,$B$1)&amp;"")&amp;" ")-1)),"/","-"),"年","-"),"月","-"),"日",""))),"")</f>
        <v/>
      </c>
      <c r="J2979">
        <f>IFERROR(MID(I2979,FIND("-",I2979)+1,99),"")</f>
        <v/>
      </c>
    </row>
    <row r="2980">
      <c r="B2980">
        <f>IFERROR(IF($B$1=0,"",IF(INDEX(貼り付け!$A$1:$BZ$3001,2979,$B$1)="","",IF(ISNUMBER(INDEX(貼り付け!$A$1:$BZ$3001,2979,$B$1)),INT(INDEX(貼り付け!$A$1:$BZ$3001,2979,$B$1)),DATE(VALUE(LEFT(I2980,FIND("-",I2980)-1)),VALUE(LEFT(J2980,FIND("-",J2980)-1)),VALUE(MID(J2980,FIND("-",J2980)+1,99)))))),"")</f>
        <v/>
      </c>
      <c r="C2980">
        <f>IF($C$1=0,0,IFERROR(VALUE(SUBSTITUTE(SUBSTITUTE(SUBSTITUTE(INDEX(貼り付け!$A$1:$BZ$3001,2979,$C$1)&amp;"",",",""),"¥",""),"￥","")),0))</f>
        <v/>
      </c>
      <c r="D2980">
        <f>IF($D$1=0,0,IFERROR(VALUE(SUBSTITUTE(SUBSTITUTE(SUBSTITUTE(INDEX(貼り付け!$A$1:$BZ$3001,2979,$D$1)&amp;"",",",""),"¥",""),"￥","")),0))</f>
        <v/>
      </c>
      <c r="E2980">
        <f>IF($E$1=0,0,IFERROR(VALUE(SUBSTITUTE(SUBSTITUTE(SUBSTITUTE(INDEX(貼り付け!$A$1:$BZ$3001,2979,$E$1)&amp;"",",",""),"¥",""),"￥","")),0))</f>
        <v/>
      </c>
      <c r="F2980">
        <f>IF($F$1=0,0,IFERROR(VALUE(SUBSTITUTE(SUBSTITUTE(SUBSTITUTE(INDEX(貼り付け!$A$1:$BZ$3001,2979,$F$1)&amp;"",",",""),"¥",""),"￥","")),0))</f>
        <v/>
      </c>
      <c r="G2980">
        <f>IF(ISNUMBER(B2980),YEAR(B2980),"")</f>
        <v/>
      </c>
      <c r="H2980">
        <f>IF(ISNUMBER(B2980),MONTH(B2980),"")</f>
        <v/>
      </c>
      <c r="I2980">
        <f>IFERROR(IF($B$1=0,"",IF(ISNUMBER(INDEX(貼り付け!$A$1:$BZ$3001,2979,$B$1)),"",SUBSTITUTE(SUBSTITUTE(SUBSTITUTE(SUBSTITUTE(TRIM(LEFT(INDEX(貼り付け!$A$1:$BZ$3001,2979,$B$1)&amp;"",FIND(" ",TRIM(INDEX(貼り付け!$A$1:$BZ$3001,2979,$B$1)&amp;"")&amp;" ")-1)),"/","-"),"年","-"),"月","-"),"日",""))),"")</f>
        <v/>
      </c>
      <c r="J2980">
        <f>IFERROR(MID(I2980,FIND("-",I2980)+1,99),"")</f>
        <v/>
      </c>
    </row>
    <row r="2981">
      <c r="B2981">
        <f>IFERROR(IF($B$1=0,"",IF(INDEX(貼り付け!$A$1:$BZ$3001,2980,$B$1)="","",IF(ISNUMBER(INDEX(貼り付け!$A$1:$BZ$3001,2980,$B$1)),INT(INDEX(貼り付け!$A$1:$BZ$3001,2980,$B$1)),DATE(VALUE(LEFT(I2981,FIND("-",I2981)-1)),VALUE(LEFT(J2981,FIND("-",J2981)-1)),VALUE(MID(J2981,FIND("-",J2981)+1,99)))))),"")</f>
        <v/>
      </c>
      <c r="C2981">
        <f>IF($C$1=0,0,IFERROR(VALUE(SUBSTITUTE(SUBSTITUTE(SUBSTITUTE(INDEX(貼り付け!$A$1:$BZ$3001,2980,$C$1)&amp;"",",",""),"¥",""),"￥","")),0))</f>
        <v/>
      </c>
      <c r="D2981">
        <f>IF($D$1=0,0,IFERROR(VALUE(SUBSTITUTE(SUBSTITUTE(SUBSTITUTE(INDEX(貼り付け!$A$1:$BZ$3001,2980,$D$1)&amp;"",",",""),"¥",""),"￥","")),0))</f>
        <v/>
      </c>
      <c r="E2981">
        <f>IF($E$1=0,0,IFERROR(VALUE(SUBSTITUTE(SUBSTITUTE(SUBSTITUTE(INDEX(貼り付け!$A$1:$BZ$3001,2980,$E$1)&amp;"",",",""),"¥",""),"￥","")),0))</f>
        <v/>
      </c>
      <c r="F2981">
        <f>IF($F$1=0,0,IFERROR(VALUE(SUBSTITUTE(SUBSTITUTE(SUBSTITUTE(INDEX(貼り付け!$A$1:$BZ$3001,2980,$F$1)&amp;"",",",""),"¥",""),"￥","")),0))</f>
        <v/>
      </c>
      <c r="G2981">
        <f>IF(ISNUMBER(B2981),YEAR(B2981),"")</f>
        <v/>
      </c>
      <c r="H2981">
        <f>IF(ISNUMBER(B2981),MONTH(B2981),"")</f>
        <v/>
      </c>
      <c r="I2981">
        <f>IFERROR(IF($B$1=0,"",IF(ISNUMBER(INDEX(貼り付け!$A$1:$BZ$3001,2980,$B$1)),"",SUBSTITUTE(SUBSTITUTE(SUBSTITUTE(SUBSTITUTE(TRIM(LEFT(INDEX(貼り付け!$A$1:$BZ$3001,2980,$B$1)&amp;"",FIND(" ",TRIM(INDEX(貼り付け!$A$1:$BZ$3001,2980,$B$1)&amp;"")&amp;" ")-1)),"/","-"),"年","-"),"月","-"),"日",""))),"")</f>
        <v/>
      </c>
      <c r="J2981">
        <f>IFERROR(MID(I2981,FIND("-",I2981)+1,99),"")</f>
        <v/>
      </c>
    </row>
    <row r="2982">
      <c r="B2982">
        <f>IFERROR(IF($B$1=0,"",IF(INDEX(貼り付け!$A$1:$BZ$3001,2981,$B$1)="","",IF(ISNUMBER(INDEX(貼り付け!$A$1:$BZ$3001,2981,$B$1)),INT(INDEX(貼り付け!$A$1:$BZ$3001,2981,$B$1)),DATE(VALUE(LEFT(I2982,FIND("-",I2982)-1)),VALUE(LEFT(J2982,FIND("-",J2982)-1)),VALUE(MID(J2982,FIND("-",J2982)+1,99)))))),"")</f>
        <v/>
      </c>
      <c r="C2982">
        <f>IF($C$1=0,0,IFERROR(VALUE(SUBSTITUTE(SUBSTITUTE(SUBSTITUTE(INDEX(貼り付け!$A$1:$BZ$3001,2981,$C$1)&amp;"",",",""),"¥",""),"￥","")),0))</f>
        <v/>
      </c>
      <c r="D2982">
        <f>IF($D$1=0,0,IFERROR(VALUE(SUBSTITUTE(SUBSTITUTE(SUBSTITUTE(INDEX(貼り付け!$A$1:$BZ$3001,2981,$D$1)&amp;"",",",""),"¥",""),"￥","")),0))</f>
        <v/>
      </c>
      <c r="E2982">
        <f>IF($E$1=0,0,IFERROR(VALUE(SUBSTITUTE(SUBSTITUTE(SUBSTITUTE(INDEX(貼り付け!$A$1:$BZ$3001,2981,$E$1)&amp;"",",",""),"¥",""),"￥","")),0))</f>
        <v/>
      </c>
      <c r="F2982">
        <f>IF($F$1=0,0,IFERROR(VALUE(SUBSTITUTE(SUBSTITUTE(SUBSTITUTE(INDEX(貼り付け!$A$1:$BZ$3001,2981,$F$1)&amp;"",",",""),"¥",""),"￥","")),0))</f>
        <v/>
      </c>
      <c r="G2982">
        <f>IF(ISNUMBER(B2982),YEAR(B2982),"")</f>
        <v/>
      </c>
      <c r="H2982">
        <f>IF(ISNUMBER(B2982),MONTH(B2982),"")</f>
        <v/>
      </c>
      <c r="I2982">
        <f>IFERROR(IF($B$1=0,"",IF(ISNUMBER(INDEX(貼り付け!$A$1:$BZ$3001,2981,$B$1)),"",SUBSTITUTE(SUBSTITUTE(SUBSTITUTE(SUBSTITUTE(TRIM(LEFT(INDEX(貼り付け!$A$1:$BZ$3001,2981,$B$1)&amp;"",FIND(" ",TRIM(INDEX(貼り付け!$A$1:$BZ$3001,2981,$B$1)&amp;"")&amp;" ")-1)),"/","-"),"年","-"),"月","-"),"日",""))),"")</f>
        <v/>
      </c>
      <c r="J2982">
        <f>IFERROR(MID(I2982,FIND("-",I2982)+1,99),"")</f>
        <v/>
      </c>
    </row>
    <row r="2983">
      <c r="B2983">
        <f>IFERROR(IF($B$1=0,"",IF(INDEX(貼り付け!$A$1:$BZ$3001,2982,$B$1)="","",IF(ISNUMBER(INDEX(貼り付け!$A$1:$BZ$3001,2982,$B$1)),INT(INDEX(貼り付け!$A$1:$BZ$3001,2982,$B$1)),DATE(VALUE(LEFT(I2983,FIND("-",I2983)-1)),VALUE(LEFT(J2983,FIND("-",J2983)-1)),VALUE(MID(J2983,FIND("-",J2983)+1,99)))))),"")</f>
        <v/>
      </c>
      <c r="C2983">
        <f>IF($C$1=0,0,IFERROR(VALUE(SUBSTITUTE(SUBSTITUTE(SUBSTITUTE(INDEX(貼り付け!$A$1:$BZ$3001,2982,$C$1)&amp;"",",",""),"¥",""),"￥","")),0))</f>
        <v/>
      </c>
      <c r="D2983">
        <f>IF($D$1=0,0,IFERROR(VALUE(SUBSTITUTE(SUBSTITUTE(SUBSTITUTE(INDEX(貼り付け!$A$1:$BZ$3001,2982,$D$1)&amp;"",",",""),"¥",""),"￥","")),0))</f>
        <v/>
      </c>
      <c r="E2983">
        <f>IF($E$1=0,0,IFERROR(VALUE(SUBSTITUTE(SUBSTITUTE(SUBSTITUTE(INDEX(貼り付け!$A$1:$BZ$3001,2982,$E$1)&amp;"",",",""),"¥",""),"￥","")),0))</f>
        <v/>
      </c>
      <c r="F2983">
        <f>IF($F$1=0,0,IFERROR(VALUE(SUBSTITUTE(SUBSTITUTE(SUBSTITUTE(INDEX(貼り付け!$A$1:$BZ$3001,2982,$F$1)&amp;"",",",""),"¥",""),"￥","")),0))</f>
        <v/>
      </c>
      <c r="G2983">
        <f>IF(ISNUMBER(B2983),YEAR(B2983),"")</f>
        <v/>
      </c>
      <c r="H2983">
        <f>IF(ISNUMBER(B2983),MONTH(B2983),"")</f>
        <v/>
      </c>
      <c r="I2983">
        <f>IFERROR(IF($B$1=0,"",IF(ISNUMBER(INDEX(貼り付け!$A$1:$BZ$3001,2982,$B$1)),"",SUBSTITUTE(SUBSTITUTE(SUBSTITUTE(SUBSTITUTE(TRIM(LEFT(INDEX(貼り付け!$A$1:$BZ$3001,2982,$B$1)&amp;"",FIND(" ",TRIM(INDEX(貼り付け!$A$1:$BZ$3001,2982,$B$1)&amp;"")&amp;" ")-1)),"/","-"),"年","-"),"月","-"),"日",""))),"")</f>
        <v/>
      </c>
      <c r="J2983">
        <f>IFERROR(MID(I2983,FIND("-",I2983)+1,99),"")</f>
        <v/>
      </c>
    </row>
    <row r="2984">
      <c r="B2984">
        <f>IFERROR(IF($B$1=0,"",IF(INDEX(貼り付け!$A$1:$BZ$3001,2983,$B$1)="","",IF(ISNUMBER(INDEX(貼り付け!$A$1:$BZ$3001,2983,$B$1)),INT(INDEX(貼り付け!$A$1:$BZ$3001,2983,$B$1)),DATE(VALUE(LEFT(I2984,FIND("-",I2984)-1)),VALUE(LEFT(J2984,FIND("-",J2984)-1)),VALUE(MID(J2984,FIND("-",J2984)+1,99)))))),"")</f>
        <v/>
      </c>
      <c r="C2984">
        <f>IF($C$1=0,0,IFERROR(VALUE(SUBSTITUTE(SUBSTITUTE(SUBSTITUTE(INDEX(貼り付け!$A$1:$BZ$3001,2983,$C$1)&amp;"",",",""),"¥",""),"￥","")),0))</f>
        <v/>
      </c>
      <c r="D2984">
        <f>IF($D$1=0,0,IFERROR(VALUE(SUBSTITUTE(SUBSTITUTE(SUBSTITUTE(INDEX(貼り付け!$A$1:$BZ$3001,2983,$D$1)&amp;"",",",""),"¥",""),"￥","")),0))</f>
        <v/>
      </c>
      <c r="E2984">
        <f>IF($E$1=0,0,IFERROR(VALUE(SUBSTITUTE(SUBSTITUTE(SUBSTITUTE(INDEX(貼り付け!$A$1:$BZ$3001,2983,$E$1)&amp;"",",",""),"¥",""),"￥","")),0))</f>
        <v/>
      </c>
      <c r="F2984">
        <f>IF($F$1=0,0,IFERROR(VALUE(SUBSTITUTE(SUBSTITUTE(SUBSTITUTE(INDEX(貼り付け!$A$1:$BZ$3001,2983,$F$1)&amp;"",",",""),"¥",""),"￥","")),0))</f>
        <v/>
      </c>
      <c r="G2984">
        <f>IF(ISNUMBER(B2984),YEAR(B2984),"")</f>
        <v/>
      </c>
      <c r="H2984">
        <f>IF(ISNUMBER(B2984),MONTH(B2984),"")</f>
        <v/>
      </c>
      <c r="I2984">
        <f>IFERROR(IF($B$1=0,"",IF(ISNUMBER(INDEX(貼り付け!$A$1:$BZ$3001,2983,$B$1)),"",SUBSTITUTE(SUBSTITUTE(SUBSTITUTE(SUBSTITUTE(TRIM(LEFT(INDEX(貼り付け!$A$1:$BZ$3001,2983,$B$1)&amp;"",FIND(" ",TRIM(INDEX(貼り付け!$A$1:$BZ$3001,2983,$B$1)&amp;"")&amp;" ")-1)),"/","-"),"年","-"),"月","-"),"日",""))),"")</f>
        <v/>
      </c>
      <c r="J2984">
        <f>IFERROR(MID(I2984,FIND("-",I2984)+1,99),"")</f>
        <v/>
      </c>
    </row>
    <row r="2985">
      <c r="B2985">
        <f>IFERROR(IF($B$1=0,"",IF(INDEX(貼り付け!$A$1:$BZ$3001,2984,$B$1)="","",IF(ISNUMBER(INDEX(貼り付け!$A$1:$BZ$3001,2984,$B$1)),INT(INDEX(貼り付け!$A$1:$BZ$3001,2984,$B$1)),DATE(VALUE(LEFT(I2985,FIND("-",I2985)-1)),VALUE(LEFT(J2985,FIND("-",J2985)-1)),VALUE(MID(J2985,FIND("-",J2985)+1,99)))))),"")</f>
        <v/>
      </c>
      <c r="C2985">
        <f>IF($C$1=0,0,IFERROR(VALUE(SUBSTITUTE(SUBSTITUTE(SUBSTITUTE(INDEX(貼り付け!$A$1:$BZ$3001,2984,$C$1)&amp;"",",",""),"¥",""),"￥","")),0))</f>
        <v/>
      </c>
      <c r="D2985">
        <f>IF($D$1=0,0,IFERROR(VALUE(SUBSTITUTE(SUBSTITUTE(SUBSTITUTE(INDEX(貼り付け!$A$1:$BZ$3001,2984,$D$1)&amp;"",",",""),"¥",""),"￥","")),0))</f>
        <v/>
      </c>
      <c r="E2985">
        <f>IF($E$1=0,0,IFERROR(VALUE(SUBSTITUTE(SUBSTITUTE(SUBSTITUTE(INDEX(貼り付け!$A$1:$BZ$3001,2984,$E$1)&amp;"",",",""),"¥",""),"￥","")),0))</f>
        <v/>
      </c>
      <c r="F2985">
        <f>IF($F$1=0,0,IFERROR(VALUE(SUBSTITUTE(SUBSTITUTE(SUBSTITUTE(INDEX(貼り付け!$A$1:$BZ$3001,2984,$F$1)&amp;"",",",""),"¥",""),"￥","")),0))</f>
        <v/>
      </c>
      <c r="G2985">
        <f>IF(ISNUMBER(B2985),YEAR(B2985),"")</f>
        <v/>
      </c>
      <c r="H2985">
        <f>IF(ISNUMBER(B2985),MONTH(B2985),"")</f>
        <v/>
      </c>
      <c r="I2985">
        <f>IFERROR(IF($B$1=0,"",IF(ISNUMBER(INDEX(貼り付け!$A$1:$BZ$3001,2984,$B$1)),"",SUBSTITUTE(SUBSTITUTE(SUBSTITUTE(SUBSTITUTE(TRIM(LEFT(INDEX(貼り付け!$A$1:$BZ$3001,2984,$B$1)&amp;"",FIND(" ",TRIM(INDEX(貼り付け!$A$1:$BZ$3001,2984,$B$1)&amp;"")&amp;" ")-1)),"/","-"),"年","-"),"月","-"),"日",""))),"")</f>
        <v/>
      </c>
      <c r="J2985">
        <f>IFERROR(MID(I2985,FIND("-",I2985)+1,99),"")</f>
        <v/>
      </c>
    </row>
    <row r="2986">
      <c r="B2986">
        <f>IFERROR(IF($B$1=0,"",IF(INDEX(貼り付け!$A$1:$BZ$3001,2985,$B$1)="","",IF(ISNUMBER(INDEX(貼り付け!$A$1:$BZ$3001,2985,$B$1)),INT(INDEX(貼り付け!$A$1:$BZ$3001,2985,$B$1)),DATE(VALUE(LEFT(I2986,FIND("-",I2986)-1)),VALUE(LEFT(J2986,FIND("-",J2986)-1)),VALUE(MID(J2986,FIND("-",J2986)+1,99)))))),"")</f>
        <v/>
      </c>
      <c r="C2986">
        <f>IF($C$1=0,0,IFERROR(VALUE(SUBSTITUTE(SUBSTITUTE(SUBSTITUTE(INDEX(貼り付け!$A$1:$BZ$3001,2985,$C$1)&amp;"",",",""),"¥",""),"￥","")),0))</f>
        <v/>
      </c>
      <c r="D2986">
        <f>IF($D$1=0,0,IFERROR(VALUE(SUBSTITUTE(SUBSTITUTE(SUBSTITUTE(INDEX(貼り付け!$A$1:$BZ$3001,2985,$D$1)&amp;"",",",""),"¥",""),"￥","")),0))</f>
        <v/>
      </c>
      <c r="E2986">
        <f>IF($E$1=0,0,IFERROR(VALUE(SUBSTITUTE(SUBSTITUTE(SUBSTITUTE(INDEX(貼り付け!$A$1:$BZ$3001,2985,$E$1)&amp;"",",",""),"¥",""),"￥","")),0))</f>
        <v/>
      </c>
      <c r="F2986">
        <f>IF($F$1=0,0,IFERROR(VALUE(SUBSTITUTE(SUBSTITUTE(SUBSTITUTE(INDEX(貼り付け!$A$1:$BZ$3001,2985,$F$1)&amp;"",",",""),"¥",""),"￥","")),0))</f>
        <v/>
      </c>
      <c r="G2986">
        <f>IF(ISNUMBER(B2986),YEAR(B2986),"")</f>
        <v/>
      </c>
      <c r="H2986">
        <f>IF(ISNUMBER(B2986),MONTH(B2986),"")</f>
        <v/>
      </c>
      <c r="I2986">
        <f>IFERROR(IF($B$1=0,"",IF(ISNUMBER(INDEX(貼り付け!$A$1:$BZ$3001,2985,$B$1)),"",SUBSTITUTE(SUBSTITUTE(SUBSTITUTE(SUBSTITUTE(TRIM(LEFT(INDEX(貼り付け!$A$1:$BZ$3001,2985,$B$1)&amp;"",FIND(" ",TRIM(INDEX(貼り付け!$A$1:$BZ$3001,2985,$B$1)&amp;"")&amp;" ")-1)),"/","-"),"年","-"),"月","-"),"日",""))),"")</f>
        <v/>
      </c>
      <c r="J2986">
        <f>IFERROR(MID(I2986,FIND("-",I2986)+1,99),"")</f>
        <v/>
      </c>
    </row>
    <row r="2987">
      <c r="B2987">
        <f>IFERROR(IF($B$1=0,"",IF(INDEX(貼り付け!$A$1:$BZ$3001,2986,$B$1)="","",IF(ISNUMBER(INDEX(貼り付け!$A$1:$BZ$3001,2986,$B$1)),INT(INDEX(貼り付け!$A$1:$BZ$3001,2986,$B$1)),DATE(VALUE(LEFT(I2987,FIND("-",I2987)-1)),VALUE(LEFT(J2987,FIND("-",J2987)-1)),VALUE(MID(J2987,FIND("-",J2987)+1,99)))))),"")</f>
        <v/>
      </c>
      <c r="C2987">
        <f>IF($C$1=0,0,IFERROR(VALUE(SUBSTITUTE(SUBSTITUTE(SUBSTITUTE(INDEX(貼り付け!$A$1:$BZ$3001,2986,$C$1)&amp;"",",",""),"¥",""),"￥","")),0))</f>
        <v/>
      </c>
      <c r="D2987">
        <f>IF($D$1=0,0,IFERROR(VALUE(SUBSTITUTE(SUBSTITUTE(SUBSTITUTE(INDEX(貼り付け!$A$1:$BZ$3001,2986,$D$1)&amp;"",",",""),"¥",""),"￥","")),0))</f>
        <v/>
      </c>
      <c r="E2987">
        <f>IF($E$1=0,0,IFERROR(VALUE(SUBSTITUTE(SUBSTITUTE(SUBSTITUTE(INDEX(貼り付け!$A$1:$BZ$3001,2986,$E$1)&amp;"",",",""),"¥",""),"￥","")),0))</f>
        <v/>
      </c>
      <c r="F2987">
        <f>IF($F$1=0,0,IFERROR(VALUE(SUBSTITUTE(SUBSTITUTE(SUBSTITUTE(INDEX(貼り付け!$A$1:$BZ$3001,2986,$F$1)&amp;"",",",""),"¥",""),"￥","")),0))</f>
        <v/>
      </c>
      <c r="G2987">
        <f>IF(ISNUMBER(B2987),YEAR(B2987),"")</f>
        <v/>
      </c>
      <c r="H2987">
        <f>IF(ISNUMBER(B2987),MONTH(B2987),"")</f>
        <v/>
      </c>
      <c r="I2987">
        <f>IFERROR(IF($B$1=0,"",IF(ISNUMBER(INDEX(貼り付け!$A$1:$BZ$3001,2986,$B$1)),"",SUBSTITUTE(SUBSTITUTE(SUBSTITUTE(SUBSTITUTE(TRIM(LEFT(INDEX(貼り付け!$A$1:$BZ$3001,2986,$B$1)&amp;"",FIND(" ",TRIM(INDEX(貼り付け!$A$1:$BZ$3001,2986,$B$1)&amp;"")&amp;" ")-1)),"/","-"),"年","-"),"月","-"),"日",""))),"")</f>
        <v/>
      </c>
      <c r="J2987">
        <f>IFERROR(MID(I2987,FIND("-",I2987)+1,99),"")</f>
        <v/>
      </c>
    </row>
    <row r="2988">
      <c r="B2988">
        <f>IFERROR(IF($B$1=0,"",IF(INDEX(貼り付け!$A$1:$BZ$3001,2987,$B$1)="","",IF(ISNUMBER(INDEX(貼り付け!$A$1:$BZ$3001,2987,$B$1)),INT(INDEX(貼り付け!$A$1:$BZ$3001,2987,$B$1)),DATE(VALUE(LEFT(I2988,FIND("-",I2988)-1)),VALUE(LEFT(J2988,FIND("-",J2988)-1)),VALUE(MID(J2988,FIND("-",J2988)+1,99)))))),"")</f>
        <v/>
      </c>
      <c r="C2988">
        <f>IF($C$1=0,0,IFERROR(VALUE(SUBSTITUTE(SUBSTITUTE(SUBSTITUTE(INDEX(貼り付け!$A$1:$BZ$3001,2987,$C$1)&amp;"",",",""),"¥",""),"￥","")),0))</f>
        <v/>
      </c>
      <c r="D2988">
        <f>IF($D$1=0,0,IFERROR(VALUE(SUBSTITUTE(SUBSTITUTE(SUBSTITUTE(INDEX(貼り付け!$A$1:$BZ$3001,2987,$D$1)&amp;"",",",""),"¥",""),"￥","")),0))</f>
        <v/>
      </c>
      <c r="E2988">
        <f>IF($E$1=0,0,IFERROR(VALUE(SUBSTITUTE(SUBSTITUTE(SUBSTITUTE(INDEX(貼り付け!$A$1:$BZ$3001,2987,$E$1)&amp;"",",",""),"¥",""),"￥","")),0))</f>
        <v/>
      </c>
      <c r="F2988">
        <f>IF($F$1=0,0,IFERROR(VALUE(SUBSTITUTE(SUBSTITUTE(SUBSTITUTE(INDEX(貼り付け!$A$1:$BZ$3001,2987,$F$1)&amp;"",",",""),"¥",""),"￥","")),0))</f>
        <v/>
      </c>
      <c r="G2988">
        <f>IF(ISNUMBER(B2988),YEAR(B2988),"")</f>
        <v/>
      </c>
      <c r="H2988">
        <f>IF(ISNUMBER(B2988),MONTH(B2988),"")</f>
        <v/>
      </c>
      <c r="I2988">
        <f>IFERROR(IF($B$1=0,"",IF(ISNUMBER(INDEX(貼り付け!$A$1:$BZ$3001,2987,$B$1)),"",SUBSTITUTE(SUBSTITUTE(SUBSTITUTE(SUBSTITUTE(TRIM(LEFT(INDEX(貼り付け!$A$1:$BZ$3001,2987,$B$1)&amp;"",FIND(" ",TRIM(INDEX(貼り付け!$A$1:$BZ$3001,2987,$B$1)&amp;"")&amp;" ")-1)),"/","-"),"年","-"),"月","-"),"日",""))),"")</f>
        <v/>
      </c>
      <c r="J2988">
        <f>IFERROR(MID(I2988,FIND("-",I2988)+1,99),"")</f>
        <v/>
      </c>
    </row>
    <row r="2989">
      <c r="B2989">
        <f>IFERROR(IF($B$1=0,"",IF(INDEX(貼り付け!$A$1:$BZ$3001,2988,$B$1)="","",IF(ISNUMBER(INDEX(貼り付け!$A$1:$BZ$3001,2988,$B$1)),INT(INDEX(貼り付け!$A$1:$BZ$3001,2988,$B$1)),DATE(VALUE(LEFT(I2989,FIND("-",I2989)-1)),VALUE(LEFT(J2989,FIND("-",J2989)-1)),VALUE(MID(J2989,FIND("-",J2989)+1,99)))))),"")</f>
        <v/>
      </c>
      <c r="C2989">
        <f>IF($C$1=0,0,IFERROR(VALUE(SUBSTITUTE(SUBSTITUTE(SUBSTITUTE(INDEX(貼り付け!$A$1:$BZ$3001,2988,$C$1)&amp;"",",",""),"¥",""),"￥","")),0))</f>
        <v/>
      </c>
      <c r="D2989">
        <f>IF($D$1=0,0,IFERROR(VALUE(SUBSTITUTE(SUBSTITUTE(SUBSTITUTE(INDEX(貼り付け!$A$1:$BZ$3001,2988,$D$1)&amp;"",",",""),"¥",""),"￥","")),0))</f>
        <v/>
      </c>
      <c r="E2989">
        <f>IF($E$1=0,0,IFERROR(VALUE(SUBSTITUTE(SUBSTITUTE(SUBSTITUTE(INDEX(貼り付け!$A$1:$BZ$3001,2988,$E$1)&amp;"",",",""),"¥",""),"￥","")),0))</f>
        <v/>
      </c>
      <c r="F2989">
        <f>IF($F$1=0,0,IFERROR(VALUE(SUBSTITUTE(SUBSTITUTE(SUBSTITUTE(INDEX(貼り付け!$A$1:$BZ$3001,2988,$F$1)&amp;"",",",""),"¥",""),"￥","")),0))</f>
        <v/>
      </c>
      <c r="G2989">
        <f>IF(ISNUMBER(B2989),YEAR(B2989),"")</f>
        <v/>
      </c>
      <c r="H2989">
        <f>IF(ISNUMBER(B2989),MONTH(B2989),"")</f>
        <v/>
      </c>
      <c r="I2989">
        <f>IFERROR(IF($B$1=0,"",IF(ISNUMBER(INDEX(貼り付け!$A$1:$BZ$3001,2988,$B$1)),"",SUBSTITUTE(SUBSTITUTE(SUBSTITUTE(SUBSTITUTE(TRIM(LEFT(INDEX(貼り付け!$A$1:$BZ$3001,2988,$B$1)&amp;"",FIND(" ",TRIM(INDEX(貼り付け!$A$1:$BZ$3001,2988,$B$1)&amp;"")&amp;" ")-1)),"/","-"),"年","-"),"月","-"),"日",""))),"")</f>
        <v/>
      </c>
      <c r="J2989">
        <f>IFERROR(MID(I2989,FIND("-",I2989)+1,99),"")</f>
        <v/>
      </c>
    </row>
    <row r="2990">
      <c r="B2990">
        <f>IFERROR(IF($B$1=0,"",IF(INDEX(貼り付け!$A$1:$BZ$3001,2989,$B$1)="","",IF(ISNUMBER(INDEX(貼り付け!$A$1:$BZ$3001,2989,$B$1)),INT(INDEX(貼り付け!$A$1:$BZ$3001,2989,$B$1)),DATE(VALUE(LEFT(I2990,FIND("-",I2990)-1)),VALUE(LEFT(J2990,FIND("-",J2990)-1)),VALUE(MID(J2990,FIND("-",J2990)+1,99)))))),"")</f>
        <v/>
      </c>
      <c r="C2990">
        <f>IF($C$1=0,0,IFERROR(VALUE(SUBSTITUTE(SUBSTITUTE(SUBSTITUTE(INDEX(貼り付け!$A$1:$BZ$3001,2989,$C$1)&amp;"",",",""),"¥",""),"￥","")),0))</f>
        <v/>
      </c>
      <c r="D2990">
        <f>IF($D$1=0,0,IFERROR(VALUE(SUBSTITUTE(SUBSTITUTE(SUBSTITUTE(INDEX(貼り付け!$A$1:$BZ$3001,2989,$D$1)&amp;"",",",""),"¥",""),"￥","")),0))</f>
        <v/>
      </c>
      <c r="E2990">
        <f>IF($E$1=0,0,IFERROR(VALUE(SUBSTITUTE(SUBSTITUTE(SUBSTITUTE(INDEX(貼り付け!$A$1:$BZ$3001,2989,$E$1)&amp;"",",",""),"¥",""),"￥","")),0))</f>
        <v/>
      </c>
      <c r="F2990">
        <f>IF($F$1=0,0,IFERROR(VALUE(SUBSTITUTE(SUBSTITUTE(SUBSTITUTE(INDEX(貼り付け!$A$1:$BZ$3001,2989,$F$1)&amp;"",",",""),"¥",""),"￥","")),0))</f>
        <v/>
      </c>
      <c r="G2990">
        <f>IF(ISNUMBER(B2990),YEAR(B2990),"")</f>
        <v/>
      </c>
      <c r="H2990">
        <f>IF(ISNUMBER(B2990),MONTH(B2990),"")</f>
        <v/>
      </c>
      <c r="I2990">
        <f>IFERROR(IF($B$1=0,"",IF(ISNUMBER(INDEX(貼り付け!$A$1:$BZ$3001,2989,$B$1)),"",SUBSTITUTE(SUBSTITUTE(SUBSTITUTE(SUBSTITUTE(TRIM(LEFT(INDEX(貼り付け!$A$1:$BZ$3001,2989,$B$1)&amp;"",FIND(" ",TRIM(INDEX(貼り付け!$A$1:$BZ$3001,2989,$B$1)&amp;"")&amp;" ")-1)),"/","-"),"年","-"),"月","-"),"日",""))),"")</f>
        <v/>
      </c>
      <c r="J2990">
        <f>IFERROR(MID(I2990,FIND("-",I2990)+1,99),"")</f>
        <v/>
      </c>
    </row>
    <row r="2991">
      <c r="B2991">
        <f>IFERROR(IF($B$1=0,"",IF(INDEX(貼り付け!$A$1:$BZ$3001,2990,$B$1)="","",IF(ISNUMBER(INDEX(貼り付け!$A$1:$BZ$3001,2990,$B$1)),INT(INDEX(貼り付け!$A$1:$BZ$3001,2990,$B$1)),DATE(VALUE(LEFT(I2991,FIND("-",I2991)-1)),VALUE(LEFT(J2991,FIND("-",J2991)-1)),VALUE(MID(J2991,FIND("-",J2991)+1,99)))))),"")</f>
        <v/>
      </c>
      <c r="C2991">
        <f>IF($C$1=0,0,IFERROR(VALUE(SUBSTITUTE(SUBSTITUTE(SUBSTITUTE(INDEX(貼り付け!$A$1:$BZ$3001,2990,$C$1)&amp;"",",",""),"¥",""),"￥","")),0))</f>
        <v/>
      </c>
      <c r="D2991">
        <f>IF($D$1=0,0,IFERROR(VALUE(SUBSTITUTE(SUBSTITUTE(SUBSTITUTE(INDEX(貼り付け!$A$1:$BZ$3001,2990,$D$1)&amp;"",",",""),"¥",""),"￥","")),0))</f>
        <v/>
      </c>
      <c r="E2991">
        <f>IF($E$1=0,0,IFERROR(VALUE(SUBSTITUTE(SUBSTITUTE(SUBSTITUTE(INDEX(貼り付け!$A$1:$BZ$3001,2990,$E$1)&amp;"",",",""),"¥",""),"￥","")),0))</f>
        <v/>
      </c>
      <c r="F2991">
        <f>IF($F$1=0,0,IFERROR(VALUE(SUBSTITUTE(SUBSTITUTE(SUBSTITUTE(INDEX(貼り付け!$A$1:$BZ$3001,2990,$F$1)&amp;"",",",""),"¥",""),"￥","")),0))</f>
        <v/>
      </c>
      <c r="G2991">
        <f>IF(ISNUMBER(B2991),YEAR(B2991),"")</f>
        <v/>
      </c>
      <c r="H2991">
        <f>IF(ISNUMBER(B2991),MONTH(B2991),"")</f>
        <v/>
      </c>
      <c r="I2991">
        <f>IFERROR(IF($B$1=0,"",IF(ISNUMBER(INDEX(貼り付け!$A$1:$BZ$3001,2990,$B$1)),"",SUBSTITUTE(SUBSTITUTE(SUBSTITUTE(SUBSTITUTE(TRIM(LEFT(INDEX(貼り付け!$A$1:$BZ$3001,2990,$B$1)&amp;"",FIND(" ",TRIM(INDEX(貼り付け!$A$1:$BZ$3001,2990,$B$1)&amp;"")&amp;" ")-1)),"/","-"),"年","-"),"月","-"),"日",""))),"")</f>
        <v/>
      </c>
      <c r="J2991">
        <f>IFERROR(MID(I2991,FIND("-",I2991)+1,99),"")</f>
        <v/>
      </c>
    </row>
    <row r="2992">
      <c r="B2992">
        <f>IFERROR(IF($B$1=0,"",IF(INDEX(貼り付け!$A$1:$BZ$3001,2991,$B$1)="","",IF(ISNUMBER(INDEX(貼り付け!$A$1:$BZ$3001,2991,$B$1)),INT(INDEX(貼り付け!$A$1:$BZ$3001,2991,$B$1)),DATE(VALUE(LEFT(I2992,FIND("-",I2992)-1)),VALUE(LEFT(J2992,FIND("-",J2992)-1)),VALUE(MID(J2992,FIND("-",J2992)+1,99)))))),"")</f>
        <v/>
      </c>
      <c r="C2992">
        <f>IF($C$1=0,0,IFERROR(VALUE(SUBSTITUTE(SUBSTITUTE(SUBSTITUTE(INDEX(貼り付け!$A$1:$BZ$3001,2991,$C$1)&amp;"",",",""),"¥",""),"￥","")),0))</f>
        <v/>
      </c>
      <c r="D2992">
        <f>IF($D$1=0,0,IFERROR(VALUE(SUBSTITUTE(SUBSTITUTE(SUBSTITUTE(INDEX(貼り付け!$A$1:$BZ$3001,2991,$D$1)&amp;"",",",""),"¥",""),"￥","")),0))</f>
        <v/>
      </c>
      <c r="E2992">
        <f>IF($E$1=0,0,IFERROR(VALUE(SUBSTITUTE(SUBSTITUTE(SUBSTITUTE(INDEX(貼り付け!$A$1:$BZ$3001,2991,$E$1)&amp;"",",",""),"¥",""),"￥","")),0))</f>
        <v/>
      </c>
      <c r="F2992">
        <f>IF($F$1=0,0,IFERROR(VALUE(SUBSTITUTE(SUBSTITUTE(SUBSTITUTE(INDEX(貼り付け!$A$1:$BZ$3001,2991,$F$1)&amp;"",",",""),"¥",""),"￥","")),0))</f>
        <v/>
      </c>
      <c r="G2992">
        <f>IF(ISNUMBER(B2992),YEAR(B2992),"")</f>
        <v/>
      </c>
      <c r="H2992">
        <f>IF(ISNUMBER(B2992),MONTH(B2992),"")</f>
        <v/>
      </c>
      <c r="I2992">
        <f>IFERROR(IF($B$1=0,"",IF(ISNUMBER(INDEX(貼り付け!$A$1:$BZ$3001,2991,$B$1)),"",SUBSTITUTE(SUBSTITUTE(SUBSTITUTE(SUBSTITUTE(TRIM(LEFT(INDEX(貼り付け!$A$1:$BZ$3001,2991,$B$1)&amp;"",FIND(" ",TRIM(INDEX(貼り付け!$A$1:$BZ$3001,2991,$B$1)&amp;"")&amp;" ")-1)),"/","-"),"年","-"),"月","-"),"日",""))),"")</f>
        <v/>
      </c>
      <c r="J2992">
        <f>IFERROR(MID(I2992,FIND("-",I2992)+1,99),"")</f>
        <v/>
      </c>
    </row>
    <row r="2993">
      <c r="B2993">
        <f>IFERROR(IF($B$1=0,"",IF(INDEX(貼り付け!$A$1:$BZ$3001,2992,$B$1)="","",IF(ISNUMBER(INDEX(貼り付け!$A$1:$BZ$3001,2992,$B$1)),INT(INDEX(貼り付け!$A$1:$BZ$3001,2992,$B$1)),DATE(VALUE(LEFT(I2993,FIND("-",I2993)-1)),VALUE(LEFT(J2993,FIND("-",J2993)-1)),VALUE(MID(J2993,FIND("-",J2993)+1,99)))))),"")</f>
        <v/>
      </c>
      <c r="C2993">
        <f>IF($C$1=0,0,IFERROR(VALUE(SUBSTITUTE(SUBSTITUTE(SUBSTITUTE(INDEX(貼り付け!$A$1:$BZ$3001,2992,$C$1)&amp;"",",",""),"¥",""),"￥","")),0))</f>
        <v/>
      </c>
      <c r="D2993">
        <f>IF($D$1=0,0,IFERROR(VALUE(SUBSTITUTE(SUBSTITUTE(SUBSTITUTE(INDEX(貼り付け!$A$1:$BZ$3001,2992,$D$1)&amp;"",",",""),"¥",""),"￥","")),0))</f>
        <v/>
      </c>
      <c r="E2993">
        <f>IF($E$1=0,0,IFERROR(VALUE(SUBSTITUTE(SUBSTITUTE(SUBSTITUTE(INDEX(貼り付け!$A$1:$BZ$3001,2992,$E$1)&amp;"",",",""),"¥",""),"￥","")),0))</f>
        <v/>
      </c>
      <c r="F2993">
        <f>IF($F$1=0,0,IFERROR(VALUE(SUBSTITUTE(SUBSTITUTE(SUBSTITUTE(INDEX(貼り付け!$A$1:$BZ$3001,2992,$F$1)&amp;"",",",""),"¥",""),"￥","")),0))</f>
        <v/>
      </c>
      <c r="G2993">
        <f>IF(ISNUMBER(B2993),YEAR(B2993),"")</f>
        <v/>
      </c>
      <c r="H2993">
        <f>IF(ISNUMBER(B2993),MONTH(B2993),"")</f>
        <v/>
      </c>
      <c r="I2993">
        <f>IFERROR(IF($B$1=0,"",IF(ISNUMBER(INDEX(貼り付け!$A$1:$BZ$3001,2992,$B$1)),"",SUBSTITUTE(SUBSTITUTE(SUBSTITUTE(SUBSTITUTE(TRIM(LEFT(INDEX(貼り付け!$A$1:$BZ$3001,2992,$B$1)&amp;"",FIND(" ",TRIM(INDEX(貼り付け!$A$1:$BZ$3001,2992,$B$1)&amp;"")&amp;" ")-1)),"/","-"),"年","-"),"月","-"),"日",""))),"")</f>
        <v/>
      </c>
      <c r="J2993">
        <f>IFERROR(MID(I2993,FIND("-",I2993)+1,99),"")</f>
        <v/>
      </c>
    </row>
    <row r="2994">
      <c r="B2994">
        <f>IFERROR(IF($B$1=0,"",IF(INDEX(貼り付け!$A$1:$BZ$3001,2993,$B$1)="","",IF(ISNUMBER(INDEX(貼り付け!$A$1:$BZ$3001,2993,$B$1)),INT(INDEX(貼り付け!$A$1:$BZ$3001,2993,$B$1)),DATE(VALUE(LEFT(I2994,FIND("-",I2994)-1)),VALUE(LEFT(J2994,FIND("-",J2994)-1)),VALUE(MID(J2994,FIND("-",J2994)+1,99)))))),"")</f>
        <v/>
      </c>
      <c r="C2994">
        <f>IF($C$1=0,0,IFERROR(VALUE(SUBSTITUTE(SUBSTITUTE(SUBSTITUTE(INDEX(貼り付け!$A$1:$BZ$3001,2993,$C$1)&amp;"",",",""),"¥",""),"￥","")),0))</f>
        <v/>
      </c>
      <c r="D2994">
        <f>IF($D$1=0,0,IFERROR(VALUE(SUBSTITUTE(SUBSTITUTE(SUBSTITUTE(INDEX(貼り付け!$A$1:$BZ$3001,2993,$D$1)&amp;"",",",""),"¥",""),"￥","")),0))</f>
        <v/>
      </c>
      <c r="E2994">
        <f>IF($E$1=0,0,IFERROR(VALUE(SUBSTITUTE(SUBSTITUTE(SUBSTITUTE(INDEX(貼り付け!$A$1:$BZ$3001,2993,$E$1)&amp;"",",",""),"¥",""),"￥","")),0))</f>
        <v/>
      </c>
      <c r="F2994">
        <f>IF($F$1=0,0,IFERROR(VALUE(SUBSTITUTE(SUBSTITUTE(SUBSTITUTE(INDEX(貼り付け!$A$1:$BZ$3001,2993,$F$1)&amp;"",",",""),"¥",""),"￥","")),0))</f>
        <v/>
      </c>
      <c r="G2994">
        <f>IF(ISNUMBER(B2994),YEAR(B2994),"")</f>
        <v/>
      </c>
      <c r="H2994">
        <f>IF(ISNUMBER(B2994),MONTH(B2994),"")</f>
        <v/>
      </c>
      <c r="I2994">
        <f>IFERROR(IF($B$1=0,"",IF(ISNUMBER(INDEX(貼り付け!$A$1:$BZ$3001,2993,$B$1)),"",SUBSTITUTE(SUBSTITUTE(SUBSTITUTE(SUBSTITUTE(TRIM(LEFT(INDEX(貼り付け!$A$1:$BZ$3001,2993,$B$1)&amp;"",FIND(" ",TRIM(INDEX(貼り付け!$A$1:$BZ$3001,2993,$B$1)&amp;"")&amp;" ")-1)),"/","-"),"年","-"),"月","-"),"日",""))),"")</f>
        <v/>
      </c>
      <c r="J2994">
        <f>IFERROR(MID(I2994,FIND("-",I2994)+1,99),"")</f>
        <v/>
      </c>
    </row>
    <row r="2995">
      <c r="B2995">
        <f>IFERROR(IF($B$1=0,"",IF(INDEX(貼り付け!$A$1:$BZ$3001,2994,$B$1)="","",IF(ISNUMBER(INDEX(貼り付け!$A$1:$BZ$3001,2994,$B$1)),INT(INDEX(貼り付け!$A$1:$BZ$3001,2994,$B$1)),DATE(VALUE(LEFT(I2995,FIND("-",I2995)-1)),VALUE(LEFT(J2995,FIND("-",J2995)-1)),VALUE(MID(J2995,FIND("-",J2995)+1,99)))))),"")</f>
        <v/>
      </c>
      <c r="C2995">
        <f>IF($C$1=0,0,IFERROR(VALUE(SUBSTITUTE(SUBSTITUTE(SUBSTITUTE(INDEX(貼り付け!$A$1:$BZ$3001,2994,$C$1)&amp;"",",",""),"¥",""),"￥","")),0))</f>
        <v/>
      </c>
      <c r="D2995">
        <f>IF($D$1=0,0,IFERROR(VALUE(SUBSTITUTE(SUBSTITUTE(SUBSTITUTE(INDEX(貼り付け!$A$1:$BZ$3001,2994,$D$1)&amp;"",",",""),"¥",""),"￥","")),0))</f>
        <v/>
      </c>
      <c r="E2995">
        <f>IF($E$1=0,0,IFERROR(VALUE(SUBSTITUTE(SUBSTITUTE(SUBSTITUTE(INDEX(貼り付け!$A$1:$BZ$3001,2994,$E$1)&amp;"",",",""),"¥",""),"￥","")),0))</f>
        <v/>
      </c>
      <c r="F2995">
        <f>IF($F$1=0,0,IFERROR(VALUE(SUBSTITUTE(SUBSTITUTE(SUBSTITUTE(INDEX(貼り付け!$A$1:$BZ$3001,2994,$F$1)&amp;"",",",""),"¥",""),"￥","")),0))</f>
        <v/>
      </c>
      <c r="G2995">
        <f>IF(ISNUMBER(B2995),YEAR(B2995),"")</f>
        <v/>
      </c>
      <c r="H2995">
        <f>IF(ISNUMBER(B2995),MONTH(B2995),"")</f>
        <v/>
      </c>
      <c r="I2995">
        <f>IFERROR(IF($B$1=0,"",IF(ISNUMBER(INDEX(貼り付け!$A$1:$BZ$3001,2994,$B$1)),"",SUBSTITUTE(SUBSTITUTE(SUBSTITUTE(SUBSTITUTE(TRIM(LEFT(INDEX(貼り付け!$A$1:$BZ$3001,2994,$B$1)&amp;"",FIND(" ",TRIM(INDEX(貼り付け!$A$1:$BZ$3001,2994,$B$1)&amp;"")&amp;" ")-1)),"/","-"),"年","-"),"月","-"),"日",""))),"")</f>
        <v/>
      </c>
      <c r="J2995">
        <f>IFERROR(MID(I2995,FIND("-",I2995)+1,99),"")</f>
        <v/>
      </c>
    </row>
    <row r="2996">
      <c r="B2996">
        <f>IFERROR(IF($B$1=0,"",IF(INDEX(貼り付け!$A$1:$BZ$3001,2995,$B$1)="","",IF(ISNUMBER(INDEX(貼り付け!$A$1:$BZ$3001,2995,$B$1)),INT(INDEX(貼り付け!$A$1:$BZ$3001,2995,$B$1)),DATE(VALUE(LEFT(I2996,FIND("-",I2996)-1)),VALUE(LEFT(J2996,FIND("-",J2996)-1)),VALUE(MID(J2996,FIND("-",J2996)+1,99)))))),"")</f>
        <v/>
      </c>
      <c r="C2996">
        <f>IF($C$1=0,0,IFERROR(VALUE(SUBSTITUTE(SUBSTITUTE(SUBSTITUTE(INDEX(貼り付け!$A$1:$BZ$3001,2995,$C$1)&amp;"",",",""),"¥",""),"￥","")),0))</f>
        <v/>
      </c>
      <c r="D2996">
        <f>IF($D$1=0,0,IFERROR(VALUE(SUBSTITUTE(SUBSTITUTE(SUBSTITUTE(INDEX(貼り付け!$A$1:$BZ$3001,2995,$D$1)&amp;"",",",""),"¥",""),"￥","")),0))</f>
        <v/>
      </c>
      <c r="E2996">
        <f>IF($E$1=0,0,IFERROR(VALUE(SUBSTITUTE(SUBSTITUTE(SUBSTITUTE(INDEX(貼り付け!$A$1:$BZ$3001,2995,$E$1)&amp;"",",",""),"¥",""),"￥","")),0))</f>
        <v/>
      </c>
      <c r="F2996">
        <f>IF($F$1=0,0,IFERROR(VALUE(SUBSTITUTE(SUBSTITUTE(SUBSTITUTE(INDEX(貼り付け!$A$1:$BZ$3001,2995,$F$1)&amp;"",",",""),"¥",""),"￥","")),0))</f>
        <v/>
      </c>
      <c r="G2996">
        <f>IF(ISNUMBER(B2996),YEAR(B2996),"")</f>
        <v/>
      </c>
      <c r="H2996">
        <f>IF(ISNUMBER(B2996),MONTH(B2996),"")</f>
        <v/>
      </c>
      <c r="I2996">
        <f>IFERROR(IF($B$1=0,"",IF(ISNUMBER(INDEX(貼り付け!$A$1:$BZ$3001,2995,$B$1)),"",SUBSTITUTE(SUBSTITUTE(SUBSTITUTE(SUBSTITUTE(TRIM(LEFT(INDEX(貼り付け!$A$1:$BZ$3001,2995,$B$1)&amp;"",FIND(" ",TRIM(INDEX(貼り付け!$A$1:$BZ$3001,2995,$B$1)&amp;"")&amp;" ")-1)),"/","-"),"年","-"),"月","-"),"日",""))),"")</f>
        <v/>
      </c>
      <c r="J2996">
        <f>IFERROR(MID(I2996,FIND("-",I2996)+1,99),"")</f>
        <v/>
      </c>
    </row>
    <row r="2997">
      <c r="B2997">
        <f>IFERROR(IF($B$1=0,"",IF(INDEX(貼り付け!$A$1:$BZ$3001,2996,$B$1)="","",IF(ISNUMBER(INDEX(貼り付け!$A$1:$BZ$3001,2996,$B$1)),INT(INDEX(貼り付け!$A$1:$BZ$3001,2996,$B$1)),DATE(VALUE(LEFT(I2997,FIND("-",I2997)-1)),VALUE(LEFT(J2997,FIND("-",J2997)-1)),VALUE(MID(J2997,FIND("-",J2997)+1,99)))))),"")</f>
        <v/>
      </c>
      <c r="C2997">
        <f>IF($C$1=0,0,IFERROR(VALUE(SUBSTITUTE(SUBSTITUTE(SUBSTITUTE(INDEX(貼り付け!$A$1:$BZ$3001,2996,$C$1)&amp;"",",",""),"¥",""),"￥","")),0))</f>
        <v/>
      </c>
      <c r="D2997">
        <f>IF($D$1=0,0,IFERROR(VALUE(SUBSTITUTE(SUBSTITUTE(SUBSTITUTE(INDEX(貼り付け!$A$1:$BZ$3001,2996,$D$1)&amp;"",",",""),"¥",""),"￥","")),0))</f>
        <v/>
      </c>
      <c r="E2997">
        <f>IF($E$1=0,0,IFERROR(VALUE(SUBSTITUTE(SUBSTITUTE(SUBSTITUTE(INDEX(貼り付け!$A$1:$BZ$3001,2996,$E$1)&amp;"",",",""),"¥",""),"￥","")),0))</f>
        <v/>
      </c>
      <c r="F2997">
        <f>IF($F$1=0,0,IFERROR(VALUE(SUBSTITUTE(SUBSTITUTE(SUBSTITUTE(INDEX(貼り付け!$A$1:$BZ$3001,2996,$F$1)&amp;"",",",""),"¥",""),"￥","")),0))</f>
        <v/>
      </c>
      <c r="G2997">
        <f>IF(ISNUMBER(B2997),YEAR(B2997),"")</f>
        <v/>
      </c>
      <c r="H2997">
        <f>IF(ISNUMBER(B2997),MONTH(B2997),"")</f>
        <v/>
      </c>
      <c r="I2997">
        <f>IFERROR(IF($B$1=0,"",IF(ISNUMBER(INDEX(貼り付け!$A$1:$BZ$3001,2996,$B$1)),"",SUBSTITUTE(SUBSTITUTE(SUBSTITUTE(SUBSTITUTE(TRIM(LEFT(INDEX(貼り付け!$A$1:$BZ$3001,2996,$B$1)&amp;"",FIND(" ",TRIM(INDEX(貼り付け!$A$1:$BZ$3001,2996,$B$1)&amp;"")&amp;" ")-1)),"/","-"),"年","-"),"月","-"),"日",""))),"")</f>
        <v/>
      </c>
      <c r="J2997">
        <f>IFERROR(MID(I2997,FIND("-",I2997)+1,99),"")</f>
        <v/>
      </c>
    </row>
    <row r="2998">
      <c r="B2998">
        <f>IFERROR(IF($B$1=0,"",IF(INDEX(貼り付け!$A$1:$BZ$3001,2997,$B$1)="","",IF(ISNUMBER(INDEX(貼り付け!$A$1:$BZ$3001,2997,$B$1)),INT(INDEX(貼り付け!$A$1:$BZ$3001,2997,$B$1)),DATE(VALUE(LEFT(I2998,FIND("-",I2998)-1)),VALUE(LEFT(J2998,FIND("-",J2998)-1)),VALUE(MID(J2998,FIND("-",J2998)+1,99)))))),"")</f>
        <v/>
      </c>
      <c r="C2998">
        <f>IF($C$1=0,0,IFERROR(VALUE(SUBSTITUTE(SUBSTITUTE(SUBSTITUTE(INDEX(貼り付け!$A$1:$BZ$3001,2997,$C$1)&amp;"",",",""),"¥",""),"￥","")),0))</f>
        <v/>
      </c>
      <c r="D2998">
        <f>IF($D$1=0,0,IFERROR(VALUE(SUBSTITUTE(SUBSTITUTE(SUBSTITUTE(INDEX(貼り付け!$A$1:$BZ$3001,2997,$D$1)&amp;"",",",""),"¥",""),"￥","")),0))</f>
        <v/>
      </c>
      <c r="E2998">
        <f>IF($E$1=0,0,IFERROR(VALUE(SUBSTITUTE(SUBSTITUTE(SUBSTITUTE(INDEX(貼り付け!$A$1:$BZ$3001,2997,$E$1)&amp;"",",",""),"¥",""),"￥","")),0))</f>
        <v/>
      </c>
      <c r="F2998">
        <f>IF($F$1=0,0,IFERROR(VALUE(SUBSTITUTE(SUBSTITUTE(SUBSTITUTE(INDEX(貼り付け!$A$1:$BZ$3001,2997,$F$1)&amp;"",",",""),"¥",""),"￥","")),0))</f>
        <v/>
      </c>
      <c r="G2998">
        <f>IF(ISNUMBER(B2998),YEAR(B2998),"")</f>
        <v/>
      </c>
      <c r="H2998">
        <f>IF(ISNUMBER(B2998),MONTH(B2998),"")</f>
        <v/>
      </c>
      <c r="I2998">
        <f>IFERROR(IF($B$1=0,"",IF(ISNUMBER(INDEX(貼り付け!$A$1:$BZ$3001,2997,$B$1)),"",SUBSTITUTE(SUBSTITUTE(SUBSTITUTE(SUBSTITUTE(TRIM(LEFT(INDEX(貼り付け!$A$1:$BZ$3001,2997,$B$1)&amp;"",FIND(" ",TRIM(INDEX(貼り付け!$A$1:$BZ$3001,2997,$B$1)&amp;"")&amp;" ")-1)),"/","-"),"年","-"),"月","-"),"日",""))),"")</f>
        <v/>
      </c>
      <c r="J2998">
        <f>IFERROR(MID(I2998,FIND("-",I2998)+1,99),"")</f>
        <v/>
      </c>
    </row>
    <row r="2999">
      <c r="B2999">
        <f>IFERROR(IF($B$1=0,"",IF(INDEX(貼り付け!$A$1:$BZ$3001,2998,$B$1)="","",IF(ISNUMBER(INDEX(貼り付け!$A$1:$BZ$3001,2998,$B$1)),INT(INDEX(貼り付け!$A$1:$BZ$3001,2998,$B$1)),DATE(VALUE(LEFT(I2999,FIND("-",I2999)-1)),VALUE(LEFT(J2999,FIND("-",J2999)-1)),VALUE(MID(J2999,FIND("-",J2999)+1,99)))))),"")</f>
        <v/>
      </c>
      <c r="C2999">
        <f>IF($C$1=0,0,IFERROR(VALUE(SUBSTITUTE(SUBSTITUTE(SUBSTITUTE(INDEX(貼り付け!$A$1:$BZ$3001,2998,$C$1)&amp;"",",",""),"¥",""),"￥","")),0))</f>
        <v/>
      </c>
      <c r="D2999">
        <f>IF($D$1=0,0,IFERROR(VALUE(SUBSTITUTE(SUBSTITUTE(SUBSTITUTE(INDEX(貼り付け!$A$1:$BZ$3001,2998,$D$1)&amp;"",",",""),"¥",""),"￥","")),0))</f>
        <v/>
      </c>
      <c r="E2999">
        <f>IF($E$1=0,0,IFERROR(VALUE(SUBSTITUTE(SUBSTITUTE(SUBSTITUTE(INDEX(貼り付け!$A$1:$BZ$3001,2998,$E$1)&amp;"",",",""),"¥",""),"￥","")),0))</f>
        <v/>
      </c>
      <c r="F2999">
        <f>IF($F$1=0,0,IFERROR(VALUE(SUBSTITUTE(SUBSTITUTE(SUBSTITUTE(INDEX(貼り付け!$A$1:$BZ$3001,2998,$F$1)&amp;"",",",""),"¥",""),"￥","")),0))</f>
        <v/>
      </c>
      <c r="G2999">
        <f>IF(ISNUMBER(B2999),YEAR(B2999),"")</f>
        <v/>
      </c>
      <c r="H2999">
        <f>IF(ISNUMBER(B2999),MONTH(B2999),"")</f>
        <v/>
      </c>
      <c r="I2999">
        <f>IFERROR(IF($B$1=0,"",IF(ISNUMBER(INDEX(貼り付け!$A$1:$BZ$3001,2998,$B$1)),"",SUBSTITUTE(SUBSTITUTE(SUBSTITUTE(SUBSTITUTE(TRIM(LEFT(INDEX(貼り付け!$A$1:$BZ$3001,2998,$B$1)&amp;"",FIND(" ",TRIM(INDEX(貼り付け!$A$1:$BZ$3001,2998,$B$1)&amp;"")&amp;" ")-1)),"/","-"),"年","-"),"月","-"),"日",""))),"")</f>
        <v/>
      </c>
      <c r="J2999">
        <f>IFERROR(MID(I2999,FIND("-",I2999)+1,99),"")</f>
        <v/>
      </c>
    </row>
    <row r="3000">
      <c r="B3000">
        <f>IFERROR(IF($B$1=0,"",IF(INDEX(貼り付け!$A$1:$BZ$3001,2999,$B$1)="","",IF(ISNUMBER(INDEX(貼り付け!$A$1:$BZ$3001,2999,$B$1)),INT(INDEX(貼り付け!$A$1:$BZ$3001,2999,$B$1)),DATE(VALUE(LEFT(I3000,FIND("-",I3000)-1)),VALUE(LEFT(J3000,FIND("-",J3000)-1)),VALUE(MID(J3000,FIND("-",J3000)+1,99)))))),"")</f>
        <v/>
      </c>
      <c r="C3000">
        <f>IF($C$1=0,0,IFERROR(VALUE(SUBSTITUTE(SUBSTITUTE(SUBSTITUTE(INDEX(貼り付け!$A$1:$BZ$3001,2999,$C$1)&amp;"",",",""),"¥",""),"￥","")),0))</f>
        <v/>
      </c>
      <c r="D3000">
        <f>IF($D$1=0,0,IFERROR(VALUE(SUBSTITUTE(SUBSTITUTE(SUBSTITUTE(INDEX(貼り付け!$A$1:$BZ$3001,2999,$D$1)&amp;"",",",""),"¥",""),"￥","")),0))</f>
        <v/>
      </c>
      <c r="E3000">
        <f>IF($E$1=0,0,IFERROR(VALUE(SUBSTITUTE(SUBSTITUTE(SUBSTITUTE(INDEX(貼り付け!$A$1:$BZ$3001,2999,$E$1)&amp;"",",",""),"¥",""),"￥","")),0))</f>
        <v/>
      </c>
      <c r="F3000">
        <f>IF($F$1=0,0,IFERROR(VALUE(SUBSTITUTE(SUBSTITUTE(SUBSTITUTE(INDEX(貼り付け!$A$1:$BZ$3001,2999,$F$1)&amp;"",",",""),"¥",""),"￥","")),0))</f>
        <v/>
      </c>
      <c r="G3000">
        <f>IF(ISNUMBER(B3000),YEAR(B3000),"")</f>
        <v/>
      </c>
      <c r="H3000">
        <f>IF(ISNUMBER(B3000),MONTH(B3000),"")</f>
        <v/>
      </c>
      <c r="I3000">
        <f>IFERROR(IF($B$1=0,"",IF(ISNUMBER(INDEX(貼り付け!$A$1:$BZ$3001,2999,$B$1)),"",SUBSTITUTE(SUBSTITUTE(SUBSTITUTE(SUBSTITUTE(TRIM(LEFT(INDEX(貼り付け!$A$1:$BZ$3001,2999,$B$1)&amp;"",FIND(" ",TRIM(INDEX(貼り付け!$A$1:$BZ$3001,2999,$B$1)&amp;"")&amp;" ")-1)),"/","-"),"年","-"),"月","-"),"日",""))),"")</f>
        <v/>
      </c>
      <c r="J3000">
        <f>IFERROR(MID(I3000,FIND("-",I3000)+1,99),"")</f>
        <v/>
      </c>
    </row>
    <row r="3001">
      <c r="B3001">
        <f>IFERROR(IF($B$1=0,"",IF(INDEX(貼り付け!$A$1:$BZ$3001,3000,$B$1)="","",IF(ISNUMBER(INDEX(貼り付け!$A$1:$BZ$3001,3000,$B$1)),INT(INDEX(貼り付け!$A$1:$BZ$3001,3000,$B$1)),DATE(VALUE(LEFT(I3001,FIND("-",I3001)-1)),VALUE(LEFT(J3001,FIND("-",J3001)-1)),VALUE(MID(J3001,FIND("-",J3001)+1,99)))))),"")</f>
        <v/>
      </c>
      <c r="C3001">
        <f>IF($C$1=0,0,IFERROR(VALUE(SUBSTITUTE(SUBSTITUTE(SUBSTITUTE(INDEX(貼り付け!$A$1:$BZ$3001,3000,$C$1)&amp;"",",",""),"¥",""),"￥","")),0))</f>
        <v/>
      </c>
      <c r="D3001">
        <f>IF($D$1=0,0,IFERROR(VALUE(SUBSTITUTE(SUBSTITUTE(SUBSTITUTE(INDEX(貼り付け!$A$1:$BZ$3001,3000,$D$1)&amp;"",",",""),"¥",""),"￥","")),0))</f>
        <v/>
      </c>
      <c r="E3001">
        <f>IF($E$1=0,0,IFERROR(VALUE(SUBSTITUTE(SUBSTITUTE(SUBSTITUTE(INDEX(貼り付け!$A$1:$BZ$3001,3000,$E$1)&amp;"",",",""),"¥",""),"￥","")),0))</f>
        <v/>
      </c>
      <c r="F3001">
        <f>IF($F$1=0,0,IFERROR(VALUE(SUBSTITUTE(SUBSTITUTE(SUBSTITUTE(INDEX(貼り付け!$A$1:$BZ$3001,3000,$F$1)&amp;"",",",""),"¥",""),"￥","")),0))</f>
        <v/>
      </c>
      <c r="G3001">
        <f>IF(ISNUMBER(B3001),YEAR(B3001),"")</f>
        <v/>
      </c>
      <c r="H3001">
        <f>IF(ISNUMBER(B3001),MONTH(B3001),"")</f>
        <v/>
      </c>
      <c r="I3001">
        <f>IFERROR(IF($B$1=0,"",IF(ISNUMBER(INDEX(貼り付け!$A$1:$BZ$3001,3000,$B$1)),"",SUBSTITUTE(SUBSTITUTE(SUBSTITUTE(SUBSTITUTE(TRIM(LEFT(INDEX(貼り付け!$A$1:$BZ$3001,3000,$B$1)&amp;"",FIND(" ",TRIM(INDEX(貼り付け!$A$1:$BZ$3001,3000,$B$1)&amp;"")&amp;" ")-1)),"/","-"),"年","-"),"月","-"),"日",""))),"")</f>
        <v/>
      </c>
      <c r="J3001">
        <f>IFERROR(MID(I3001,FIND("-",I3001)+1,99),"")</f>
        <v/>
      </c>
    </row>
    <row r="3002">
      <c r="B3002">
        <f>IFERROR(IF($B$1=0,"",IF(INDEX(貼り付け!$A$1:$BZ$3001,3001,$B$1)="","",IF(ISNUMBER(INDEX(貼り付け!$A$1:$BZ$3001,3001,$B$1)),INT(INDEX(貼り付け!$A$1:$BZ$3001,3001,$B$1)),DATE(VALUE(LEFT(I3002,FIND("-",I3002)-1)),VALUE(LEFT(J3002,FIND("-",J3002)-1)),VALUE(MID(J3002,FIND("-",J3002)+1,99)))))),"")</f>
        <v/>
      </c>
      <c r="C3002">
        <f>IF($C$1=0,0,IFERROR(VALUE(SUBSTITUTE(SUBSTITUTE(SUBSTITUTE(INDEX(貼り付け!$A$1:$BZ$3001,3001,$C$1)&amp;"",",",""),"¥",""),"￥","")),0))</f>
        <v/>
      </c>
      <c r="D3002">
        <f>IF($D$1=0,0,IFERROR(VALUE(SUBSTITUTE(SUBSTITUTE(SUBSTITUTE(INDEX(貼り付け!$A$1:$BZ$3001,3001,$D$1)&amp;"",",",""),"¥",""),"￥","")),0))</f>
        <v/>
      </c>
      <c r="E3002">
        <f>IF($E$1=0,0,IFERROR(VALUE(SUBSTITUTE(SUBSTITUTE(SUBSTITUTE(INDEX(貼り付け!$A$1:$BZ$3001,3001,$E$1)&amp;"",",",""),"¥",""),"￥","")),0))</f>
        <v/>
      </c>
      <c r="F3002">
        <f>IF($F$1=0,0,IFERROR(VALUE(SUBSTITUTE(SUBSTITUTE(SUBSTITUTE(INDEX(貼り付け!$A$1:$BZ$3001,3001,$F$1)&amp;"",",",""),"¥",""),"￥","")),0))</f>
        <v/>
      </c>
      <c r="G3002">
        <f>IF(ISNUMBER(B3002),YEAR(B3002),"")</f>
        <v/>
      </c>
      <c r="H3002">
        <f>IF(ISNUMBER(B3002),MONTH(B3002),"")</f>
        <v/>
      </c>
      <c r="I3002">
        <f>IFERROR(IF($B$1=0,"",IF(ISNUMBER(INDEX(貼り付け!$A$1:$BZ$3001,3001,$B$1)),"",SUBSTITUTE(SUBSTITUTE(SUBSTITUTE(SUBSTITUTE(TRIM(LEFT(INDEX(貼り付け!$A$1:$BZ$3001,3001,$B$1)&amp;"",FIND(" ",TRIM(INDEX(貼り付け!$A$1:$BZ$3001,3001,$B$1)&amp;"")&amp;" ")-1)),"/","-"),"年","-"),"月","-"),"日",""))),"")</f>
        <v/>
      </c>
      <c r="J3002">
        <f>IFERROR(MID(I3002,FIND("-",I3002)+1,99),"")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2026-10-09T08:21:45Z</dcterms:created>
  <dcterms:modified xmlns:dcterms="http://purl.org/dc/terms/" xmlns:xsi="http://www.w3.org/2001/XMLSchema-instance" xsi:type="dcterms:W3CDTF">2026-10-09T08:21:46Z</dcterms:modified>
</cp:coreProperties>
</file>